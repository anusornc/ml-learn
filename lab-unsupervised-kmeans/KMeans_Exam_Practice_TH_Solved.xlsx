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am_Guide" sheetId="1" state="visible" r:id="rId1"/>
    <sheet xmlns:r="http://schemas.openxmlformats.org/officeDocument/2006/relationships" name="01_KMeans_Calculation" sheetId="2" state="visible" r:id="rId2"/>
    <sheet xmlns:r="http://schemas.openxmlformats.org/officeDocument/2006/relationships" name="02_Exam_Elbow_Analysis" sheetId="3" state="visible" r:id="rId3"/>
    <sheet xmlns:r="http://schemas.openxmlformats.org/officeDocument/2006/relationships" name="03_Exam_Theory_Q&amp;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B91C1C"/>
      <sz val="9"/>
    </font>
    <font>
      <name val="Arial"/>
      <b val="1"/>
      <sz val="11"/>
    </font>
    <font>
      <name val="Arial"/>
      <b val="1"/>
      <color rgb="000000FF"/>
    </font>
    <font>
      <name val="Arial"/>
      <b val="1"/>
      <color rgb="00FFFFFF"/>
      <sz val="10"/>
    </font>
    <font>
      <name val="Arial"/>
      <b val="1"/>
    </font>
    <font>
      <name val="Arial"/>
      <i val="1"/>
      <color rgb="00334155"/>
      <sz val="9"/>
    </font>
    <font>
      <name val="Arial"/>
      <color rgb="00000000"/>
    </font>
    <font>
      <name val="Arial"/>
      <b val="1"/>
      <color rgb="004338CA"/>
      <sz val="11"/>
    </font>
    <font>
      <name val="Arial"/>
      <b val="1"/>
      <color rgb="00065F46"/>
    </font>
    <font>
      <name val="Arial"/>
      <color rgb="00334155"/>
    </font>
    <font>
      <name val="Arial"/>
      <b val="1"/>
      <color rgb="00047857"/>
    </font>
    <font>
      <name val="Arial"/>
      <sz val="9"/>
    </font>
    <font>
      <name val="Arial"/>
      <color rgb="00047857"/>
      <sz val="9"/>
    </font>
    <font>
      <name val="Arial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4338CA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49" fontId="1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11" fillId="6" borderId="2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1" fontId="10" fillId="8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0" fontId="2" fillId="0" borderId="0" pivotButton="0" quotePrefix="0" xfId="0"/>
    <xf numFmtId="49" fontId="12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12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3" fillId="0" borderId="1" pivotButton="0" quotePrefix="0" xfId="0"/>
    <xf numFmtId="2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0" fontId="14" fillId="0" borderId="1" pivotButton="0" quotePrefix="0" xfId="0"/>
    <xf numFmtId="0" fontId="2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Pre-Exam Review: Elbow Method Curve (WCSS vs K)</a:t>
            </a:r>
          </a:p>
        </rich>
      </tx>
    </title>
    <plotArea>
      <lineChart>
        <grouping val="standard"/>
        <ser>
          <idx val="0"/>
          <order val="0"/>
          <tx>
            <strRef>
              <f>'02_Exam_Elbow_Analysis'!B5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'02_Exam_Elbow_Analysis'!$A$6:$A$10</f>
            </numRef>
          </cat>
          <val>
            <numRef>
              <f>'02_Exam_Elbow_Analysis'!$B$6:$B$10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WCSS / Inertia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แบบฝึกหัดเสริมทบทวนก่อนสอบ: K-Means Clustering (Pre-Exam Practice)</t>
        </is>
      </c>
    </row>
    <row r="3" ht="24" customHeight="1">
      <c r="A3" s="2" t="inlineStr">
        <is>
          <t>วัตถุประสงค์: เอกสารชุดนี้จัดทำขึ้นเพื่อเป็นแบบฝึกหัดทบทวนความเข้าใจเชิงคำนวณและทฤษฎี สำหรับเตรียมตัวสอบวิชา Machine Learning</t>
        </is>
      </c>
    </row>
    <row r="4" ht="28" customHeight="1">
      <c r="A4" s="2" t="inlineStr">
        <is>
          <t>คำชี้แจงการทำแบบฝึกหัด:</t>
        </is>
      </c>
    </row>
    <row r="5" ht="24" customHeight="1">
      <c r="A5" s="3" t="inlineStr">
        <is>
          <t xml:space="preserve">    • เซลล์สีเหลือง + ตัวเลขสีน้ำเงิน = ข้อมูลที่โจทย์กำหนดให้ (ค่าคงที่)</t>
        </is>
      </c>
    </row>
    <row r="6" ht="24" customHeight="1">
      <c r="A6" s="3" t="inlineStr">
        <is>
          <t xml:space="preserve">    • เซลล์สีเหลืองว่าง (ในไฟล์โจทย์) = ให้นักศึกษาเขียนสูตรการคำนวณด้วยตนเอง</t>
        </is>
      </c>
    </row>
    <row r="7" ht="24" customHeight="1">
      <c r="A7" s="3" t="inlineStr">
        <is>
          <t xml:space="preserve">    • มีทั้งหมด 3 ส่วน: (1) การคำนวณมือทีละรอบ (2) การวิเคราะห์วิธีข้อศอก Elbow Method (3) ข้อสอบแนวคิดทฤษฎี</t>
        </is>
      </c>
    </row>
    <row r="8" ht="28" customHeight="1">
      <c r="A8" s="2" t="inlineStr">
        <is>
          <t>หัวใจสำคัญและสูตรที่ต้องแม่นก่อนเข้าห้องสอบ:</t>
        </is>
      </c>
    </row>
    <row r="9" ht="24" customHeight="1">
      <c r="A9" s="3" t="inlineStr">
        <is>
          <t xml:space="preserve">    1. ระยะทางแบบยุคลิด (Euclidean Distance): d(P, C) = √[(x₁ - c₁)² + (x₂ - c₂)²]  (Excel: =SQRT((x1 - c1)^2 + (x2 - c2)^2))</t>
        </is>
      </c>
    </row>
    <row r="10" ht="24" customHeight="1">
      <c r="A10" s="3" t="inlineStr">
        <is>
          <t xml:space="preserve">    2. การเลือกกลุ่ม (Assignment): เลือกคลัสเตอร์ที่มีระยะทางสั้นที่สุด d_min (Excel: =IF(d_C1 &lt;= d_C2, 1, 2))</t>
        </is>
      </c>
    </row>
    <row r="11" ht="24" customHeight="1">
      <c r="A11" s="3" t="inlineStr">
        <is>
          <t xml:space="preserve">    3. การอัปเดต Centroid (Update): หาค่าเฉลี่ยของพิกัดในกลุ่ม  (Excel: =AVERAGEIF(Cluster_Range, k, Feature_Range))</t>
        </is>
      </c>
    </row>
    <row r="12" ht="24" customHeight="1">
      <c r="A12" s="3" t="inlineStr">
        <is>
          <t xml:space="preserve">    4. ฟังก์ชันเป้าหมาย WCSS / Inertia: WCSS = ∑ (d_min)²  (Excel: =SUM(d_min_sq))</t>
        </is>
      </c>
    </row>
    <row r="13" ht="24" customHeight="1">
      <c r="A13" s="3" t="inlineStr">
        <is>
          <t xml:space="preserve">    5. จุดข้อศอก (Elbow Point): คือจุดที่อัตราการลดลงของ WCSS ชะลอตัวลงอย่างมีนัยสำคัญ (Diminishing Return)</t>
        </is>
      </c>
    </row>
    <row r="14" ht="28" customHeight="1">
      <c r="A14" s="2" t="inlineStr">
        <is>
          <t>ข้อควรระวังที่นักศึกษามักผิดในห้องสอบ (Common Pitfalls):</t>
        </is>
      </c>
    </row>
    <row r="15" ht="24" customHeight="1">
      <c r="A15" s="4" t="inlineStr">
        <is>
          <t xml:space="preserve">    ⚠️ ห้ามนำ Centroid ใหม่ที่เพิ่งคำนวณได้ไปคำนวณซ้ำกับข้อมูลของรอบเดิมทันที ต้องขึ้นรอบใหม่เสมอ</t>
        </is>
      </c>
    </row>
    <row r="16" ht="24" customHeight="1">
      <c r="A16" s="4" t="inlineStr">
        <is>
          <t xml:space="preserve">    ⚠️ อย่าลืมยกกำลังสองก่อนรวมเป็นค่า WCSS (WCSS คือ Squared Distance ไม่ใช่ผลรวมระยะทางธรรมดา)</t>
        </is>
      </c>
    </row>
    <row r="17" ht="24" customHeight="1">
      <c r="A17" s="4" t="inlineStr">
        <is>
          <t xml:space="preserve">    ⚠️ ระวังการปัดเศษทศนิยมก่อนคำนวณจบ หากใช้เครื่องคิดเลขให้ใช้ทศนิยมอย่างน้อย 4 ตำแหน่ง</t>
        </is>
      </c>
    </row>
  </sheetData>
  <mergeCells count="16">
    <mergeCell ref="A13:G13"/>
    <mergeCell ref="A14:G14"/>
    <mergeCell ref="A1:G1"/>
    <mergeCell ref="A17:G17"/>
    <mergeCell ref="A9:G9"/>
    <mergeCell ref="A8:G8"/>
    <mergeCell ref="A3:G3"/>
    <mergeCell ref="A6:G6"/>
    <mergeCell ref="A12:G12"/>
    <mergeCell ref="A4:G4"/>
    <mergeCell ref="A16:G16"/>
    <mergeCell ref="A15:G15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>
      <c r="A1" s="1" t="inlineStr">
        <is>
          <t>โจทย์คำนวณมือ: การจัดกลุ่มนักศึกษา 8 คน (N=8) ตามคะแนนสอบกลางภาค (X1) และ ปลายภาค (X2)</t>
        </is>
      </c>
    </row>
    <row r="3">
      <c r="A3" s="5" t="inlineStr">
        <is>
          <t>พารามิเตอร์โจทย์:</t>
        </is>
      </c>
      <c r="D3" s="5" t="inlineStr">
        <is>
          <t>จุดศูนย์กลางเริ่มต้นที่โจทย์กำหนด (Initial Centroids t=0):</t>
        </is>
      </c>
    </row>
    <row r="4" ht="28" customHeight="1">
      <c r="A4" s="6" t="inlineStr">
        <is>
          <t>Centroid</t>
        </is>
      </c>
      <c r="B4" s="6" t="inlineStr">
        <is>
          <t>เลือกจากจุด</t>
        </is>
      </c>
      <c r="C4" s="6" t="inlineStr">
        <is>
          <t>X1 (กลางภาค)</t>
        </is>
      </c>
      <c r="D4" s="6" t="inlineStr">
        <is>
          <t>X2 (ปลายภาค)</t>
        </is>
      </c>
      <c r="E4" s="6" t="inlineStr">
        <is>
          <t>คำอธิบาย</t>
        </is>
      </c>
    </row>
    <row r="5">
      <c r="A5" t="inlineStr">
        <is>
          <t>จำนวนข้อมูล (N)</t>
        </is>
      </c>
      <c r="B5" s="7" t="n">
        <v>8</v>
      </c>
      <c r="D5" s="8" t="inlineStr">
        <is>
          <t>C1 (กลุ่ม 1)</t>
        </is>
      </c>
      <c r="E5" s="7" t="inlineStr">
        <is>
          <t>S1</t>
        </is>
      </c>
      <c r="F5" s="7" t="n">
        <v>2</v>
      </c>
      <c r="G5" s="7" t="n">
        <v>2</v>
      </c>
      <c r="H5" s="9" t="inlineStr">
        <is>
          <t>คะแนนกลุ่มนักศึกษาเรียนช้า</t>
        </is>
      </c>
    </row>
    <row r="6">
      <c r="D6" s="8" t="inlineStr">
        <is>
          <t>C2 (กลุ่ม 2)</t>
        </is>
      </c>
      <c r="E6" s="7" t="inlineStr">
        <is>
          <t>S4</t>
        </is>
      </c>
      <c r="F6" s="7" t="n">
        <v>4</v>
      </c>
      <c r="G6" s="7" t="n">
        <v>4</v>
      </c>
      <c r="H6" s="9" t="inlineStr">
        <is>
          <t>คะแนนกลุ่มนักศึกษาเรียนเร็ว</t>
        </is>
      </c>
    </row>
    <row r="8">
      <c r="A8" s="5" t="inlineStr">
        <is>
          <t>【รอบที่ 1: Iteration 1】 — คำนวณระยะทาง Euclidean สู่ Centroid เริ่มต้น (C1: F5,G5 และ C2: F6,G6)</t>
        </is>
      </c>
    </row>
    <row r="9" ht="28" customHeight="1">
      <c r="A9" s="10" t="inlineStr">
        <is>
          <t>รหัสนักศึกษา</t>
        </is>
      </c>
      <c r="B9" s="10" t="inlineStr">
        <is>
          <t>X1 (กลางภาค)</t>
        </is>
      </c>
      <c r="C9" s="10" t="inlineStr">
        <is>
          <t>X2 (ปลายภาค)</t>
        </is>
      </c>
      <c r="D9" s="10" t="inlineStr">
        <is>
          <t>d(S, C1)</t>
        </is>
      </c>
      <c r="E9" s="10" t="inlineStr">
        <is>
          <t>d(S, C2)</t>
        </is>
      </c>
      <c r="F9" s="10" t="inlineStr">
        <is>
          <t>กลุ่มที่ได้ (Cluster)</t>
        </is>
      </c>
      <c r="G9" s="10" t="inlineStr">
        <is>
          <t>d_min² (สำหรับ WCSS)</t>
        </is>
      </c>
      <c r="H9" s="10" t="inlineStr">
        <is>
          <t>กลุ่มที่สังกัด</t>
        </is>
      </c>
    </row>
    <row r="10">
      <c r="A10" s="11" t="inlineStr">
        <is>
          <t>S1</t>
        </is>
      </c>
      <c r="B10" s="7" t="n">
        <v>2</v>
      </c>
      <c r="C10" s="7" t="n">
        <v>2</v>
      </c>
      <c r="D10" s="12">
        <f>SQRT((B10-$F$5)^2 + (C10-$G$5)^2)</f>
        <v/>
      </c>
      <c r="E10" s="12">
        <f>SQRT((B10-$F$6)^2 + (C10-$G$6)^2)</f>
        <v/>
      </c>
      <c r="F10" s="13">
        <f>IF(D10&lt;=E10, 1, 2)</f>
        <v/>
      </c>
      <c r="G10" s="12">
        <f>IF(F10=1, D10^2, E10^2)</f>
        <v/>
      </c>
      <c r="H10" s="14">
        <f>IF(F10=1, "กลุ่ม 1", "กลุ่ม 2")</f>
        <v/>
      </c>
    </row>
    <row r="11">
      <c r="A11" s="11" t="inlineStr">
        <is>
          <t>S2</t>
        </is>
      </c>
      <c r="B11" s="7" t="n">
        <v>3</v>
      </c>
      <c r="C11" s="7" t="n">
        <v>1</v>
      </c>
      <c r="D11" s="12">
        <f>SQRT((B11-$F$5)^2 + (C11-$G$5)^2)</f>
        <v/>
      </c>
      <c r="E11" s="12">
        <f>SQRT((B11-$F$6)^2 + (C11-$G$6)^2)</f>
        <v/>
      </c>
      <c r="F11" s="13">
        <f>IF(D11&lt;=E11, 1, 2)</f>
        <v/>
      </c>
      <c r="G11" s="12">
        <f>IF(F11=1, D11^2, E11^2)</f>
        <v/>
      </c>
      <c r="H11" s="14">
        <f>IF(F11=1, "กลุ่ม 1", "กลุ่ม 2")</f>
        <v/>
      </c>
    </row>
    <row r="12">
      <c r="A12" s="11" t="inlineStr">
        <is>
          <t>S3</t>
        </is>
      </c>
      <c r="B12" s="7" t="n">
        <v>1</v>
      </c>
      <c r="C12" s="7" t="n">
        <v>3</v>
      </c>
      <c r="D12" s="12">
        <f>SQRT((B12-$F$5)^2 + (C12-$G$5)^2)</f>
        <v/>
      </c>
      <c r="E12" s="12">
        <f>SQRT((B12-$F$6)^2 + (C12-$G$6)^2)</f>
        <v/>
      </c>
      <c r="F12" s="13">
        <f>IF(D12&lt;=E12, 1, 2)</f>
        <v/>
      </c>
      <c r="G12" s="12">
        <f>IF(F12=1, D12^2, E12^2)</f>
        <v/>
      </c>
      <c r="H12" s="14">
        <f>IF(F12=1, "กลุ่ม 1", "กลุ่ม 2")</f>
        <v/>
      </c>
    </row>
    <row r="13">
      <c r="A13" s="11" t="inlineStr">
        <is>
          <t>S4</t>
        </is>
      </c>
      <c r="B13" s="7" t="n">
        <v>4</v>
      </c>
      <c r="C13" s="7" t="n">
        <v>4</v>
      </c>
      <c r="D13" s="12">
        <f>SQRT((B13-$F$5)^2 + (C13-$G$5)^2)</f>
        <v/>
      </c>
      <c r="E13" s="12">
        <f>SQRT((B13-$F$6)^2 + (C13-$G$6)^2)</f>
        <v/>
      </c>
      <c r="F13" s="13">
        <f>IF(D13&lt;=E13, 1, 2)</f>
        <v/>
      </c>
      <c r="G13" s="12">
        <f>IF(F13=1, D13^2, E13^2)</f>
        <v/>
      </c>
      <c r="H13" s="14">
        <f>IF(F13=1, "กลุ่ม 1", "กลุ่ม 2")</f>
        <v/>
      </c>
    </row>
    <row r="14">
      <c r="A14" s="11" t="inlineStr">
        <is>
          <t>S5</t>
        </is>
      </c>
      <c r="B14" s="7" t="n">
        <v>6</v>
      </c>
      <c r="C14" s="7" t="n">
        <v>7</v>
      </c>
      <c r="D14" s="12">
        <f>SQRT((B14-$F$5)^2 + (C14-$G$5)^2)</f>
        <v/>
      </c>
      <c r="E14" s="12">
        <f>SQRT((B14-$F$6)^2 + (C14-$G$6)^2)</f>
        <v/>
      </c>
      <c r="F14" s="13">
        <f>IF(D14&lt;=E14, 1, 2)</f>
        <v/>
      </c>
      <c r="G14" s="12">
        <f>IF(F14=1, D14^2, E14^2)</f>
        <v/>
      </c>
      <c r="H14" s="14">
        <f>IF(F14=1, "กลุ่ม 1", "กลุ่ม 2")</f>
        <v/>
      </c>
    </row>
    <row r="15">
      <c r="A15" s="11" t="inlineStr">
        <is>
          <t>S6</t>
        </is>
      </c>
      <c r="B15" s="7" t="n">
        <v>7</v>
      </c>
      <c r="C15" s="7" t="n">
        <v>8</v>
      </c>
      <c r="D15" s="12">
        <f>SQRT((B15-$F$5)^2 + (C15-$G$5)^2)</f>
        <v/>
      </c>
      <c r="E15" s="12">
        <f>SQRT((B15-$F$6)^2 + (C15-$G$6)^2)</f>
        <v/>
      </c>
      <c r="F15" s="13">
        <f>IF(D15&lt;=E15, 1, 2)</f>
        <v/>
      </c>
      <c r="G15" s="12">
        <f>IF(F15=1, D15^2, E15^2)</f>
        <v/>
      </c>
      <c r="H15" s="14">
        <f>IF(F15=1, "กลุ่ม 1", "กลุ่ม 2")</f>
        <v/>
      </c>
    </row>
    <row r="16">
      <c r="A16" s="11" t="inlineStr">
        <is>
          <t>S7</t>
        </is>
      </c>
      <c r="B16" s="7" t="n">
        <v>8</v>
      </c>
      <c r="C16" s="7" t="n">
        <v>6</v>
      </c>
      <c r="D16" s="12">
        <f>SQRT((B16-$F$5)^2 + (C16-$G$5)^2)</f>
        <v/>
      </c>
      <c r="E16" s="12">
        <f>SQRT((B16-$F$6)^2 + (C16-$G$6)^2)</f>
        <v/>
      </c>
      <c r="F16" s="13">
        <f>IF(D16&lt;=E16, 1, 2)</f>
        <v/>
      </c>
      <c r="G16" s="12">
        <f>IF(F16=1, D16^2, E16^2)</f>
        <v/>
      </c>
      <c r="H16" s="14">
        <f>IF(F16=1, "กลุ่ม 1", "กลุ่ม 2")</f>
        <v/>
      </c>
    </row>
    <row r="17">
      <c r="A17" s="11" t="inlineStr">
        <is>
          <t>S8</t>
        </is>
      </c>
      <c r="B17" s="7" t="n">
        <v>9</v>
      </c>
      <c r="C17" s="7" t="n">
        <v>8</v>
      </c>
      <c r="D17" s="12">
        <f>SQRT((B17-$F$5)^2 + (C17-$G$5)^2)</f>
        <v/>
      </c>
      <c r="E17" s="12">
        <f>SQRT((B17-$F$6)^2 + (C17-$G$6)^2)</f>
        <v/>
      </c>
      <c r="F17" s="13">
        <f>IF(D17&lt;=E17, 1, 2)</f>
        <v/>
      </c>
      <c r="G17" s="12">
        <f>IF(F17=1, D17^2, E17^2)</f>
        <v/>
      </c>
      <c r="H17" s="14">
        <f>IF(F17=1, "กลุ่ม 1", "กลุ่ม 2")</f>
        <v/>
      </c>
    </row>
    <row r="18">
      <c r="A18" s="15" t="inlineStr">
        <is>
          <t>รวม WCSS รอบที่ 1 (Inertia):</t>
        </is>
      </c>
      <c r="G18" s="16">
        <f>SUM(G10:G17)</f>
        <v/>
      </c>
    </row>
    <row r="20">
      <c r="A20" s="5" t="inlineStr">
        <is>
          <t>【Centroid ใหม่หลังรอบที่ 1】: คำนวณค่าเฉลี่ยพิกัดสมาชิกในแต่ละกลุ่ม (C1 สมาชิก: S1..S3, C2 สมาชิก: S4..S8)</t>
        </is>
      </c>
    </row>
    <row r="21" ht="28" customHeight="1">
      <c r="A21" s="17" t="inlineStr">
        <is>
          <t>กลุ่ม (Cluster)</t>
        </is>
      </c>
      <c r="B21" s="17" t="inlineStr">
        <is>
          <t>จำนวนสมาชิก</t>
        </is>
      </c>
      <c r="C21" s="17" t="inlineStr">
        <is>
          <t>Centroid X1 ใหม่</t>
        </is>
      </c>
      <c r="D21" s="17" t="inlineStr">
        <is>
          <t>Centroid X2 ใหม่</t>
        </is>
      </c>
      <c r="E21" s="17" t="inlineStr">
        <is>
          <t>สูตรคำนวณที่ใช้</t>
        </is>
      </c>
    </row>
    <row r="22">
      <c r="A22" s="8" t="inlineStr">
        <is>
          <t>กลุ่ม 1 (Cluster 1)</t>
        </is>
      </c>
      <c r="B22" s="18">
        <f>COUNTIF($F$10:$F$17, 1)</f>
        <v/>
      </c>
      <c r="C22" s="19">
        <f>AVERAGEIF($F$10:$F$17, 1, $B$10:$B$17)</f>
        <v/>
      </c>
      <c r="D22" s="19">
        <f>AVERAGEIF($F$10:$F$17, 1, $C$10:$C$17)</f>
        <v/>
      </c>
      <c r="E22" s="9">
        <f>AVERAGEIF($F$10:$F$17, 1, Feature_Range) -&gt; ได้ (2.0, 2.0)</f>
        <v/>
      </c>
    </row>
    <row r="23">
      <c r="A23" s="8" t="inlineStr">
        <is>
          <t>กลุ่ม 2 (Cluster 2)</t>
        </is>
      </c>
      <c r="B23" s="18">
        <f>COUNTIF($F$10:$F$17, 2)</f>
        <v/>
      </c>
      <c r="C23" s="19">
        <f>AVERAGEIF($F$10:$F$17, 2, $B$10:$B$17)</f>
        <v/>
      </c>
      <c r="D23" s="19">
        <f>AVERAGEIF($F$10:$F$17, 2, $C$10:$C$17)</f>
        <v/>
      </c>
      <c r="E23" s="9">
        <f>AVERAGEIF($F$10:$F$17, 2, Feature_Range) -&gt; ได้ (6.8, 6.6)</f>
        <v/>
      </c>
    </row>
    <row r="25">
      <c r="A25" s="5" t="inlineStr">
        <is>
          <t>【รอบที่ 2: Iteration 2】 — คำนวณระยะทาง Euclidean สู่ Centroid ใหม่ (C1: C22,D22=(2,2) และ C2: C23,D23=(6.8,6.6))</t>
        </is>
      </c>
    </row>
    <row r="26" ht="28" customHeight="1">
      <c r="A26" s="10" t="inlineStr">
        <is>
          <t>รหัสนักศึกษา</t>
        </is>
      </c>
      <c r="B26" s="10" t="inlineStr">
        <is>
          <t>X1</t>
        </is>
      </c>
      <c r="C26" s="10" t="inlineStr">
        <is>
          <t>X2</t>
        </is>
      </c>
      <c r="D26" s="10" t="inlineStr">
        <is>
          <t>d(S, C1_new)</t>
        </is>
      </c>
      <c r="E26" s="10" t="inlineStr">
        <is>
          <t>d(S, C2_new)</t>
        </is>
      </c>
      <c r="F26" s="10" t="inlineStr">
        <is>
          <t>กลุ่มใหม่ (Cluster 2)</t>
        </is>
      </c>
      <c r="G26" s="10" t="inlineStr">
        <is>
          <t>d_min²</t>
        </is>
      </c>
      <c r="H26" s="10" t="inlineStr">
        <is>
          <t>สถานะการสลับกลุ่ม</t>
        </is>
      </c>
    </row>
    <row r="27">
      <c r="A27" s="11" t="inlineStr">
        <is>
          <t>S1</t>
        </is>
      </c>
      <c r="B27" s="7" t="n">
        <v>2</v>
      </c>
      <c r="C27" s="7" t="n">
        <v>2</v>
      </c>
      <c r="D27" s="12">
        <f>SQRT((B27-$C$22)^2 + (C27-$D$22)^2)</f>
        <v/>
      </c>
      <c r="E27" s="12">
        <f>SQRT((B27-$C$23)^2 + (C27-$D$23)^2)</f>
        <v/>
      </c>
      <c r="F27" s="13">
        <f>IF(D27&lt;=E27, 1, 2)</f>
        <v/>
      </c>
      <c r="G27" s="12">
        <f>IF(F27=1, D27^2, E27^2)</f>
        <v/>
      </c>
      <c r="H27" s="20">
        <f>IF(F27=F10, "คงเดิม", "★ สลับกลุ่ม!")</f>
        <v/>
      </c>
    </row>
    <row r="28">
      <c r="A28" s="11" t="inlineStr">
        <is>
          <t>S2</t>
        </is>
      </c>
      <c r="B28" s="7" t="n">
        <v>3</v>
      </c>
      <c r="C28" s="7" t="n">
        <v>1</v>
      </c>
      <c r="D28" s="12">
        <f>SQRT((B28-$C$22)^2 + (C28-$D$22)^2)</f>
        <v/>
      </c>
      <c r="E28" s="12">
        <f>SQRT((B28-$C$23)^2 + (C28-$D$23)^2)</f>
        <v/>
      </c>
      <c r="F28" s="13">
        <f>IF(D28&lt;=E28, 1, 2)</f>
        <v/>
      </c>
      <c r="G28" s="12">
        <f>IF(F28=1, D28^2, E28^2)</f>
        <v/>
      </c>
      <c r="H28" s="20">
        <f>IF(F28=F11, "คงเดิม", "★ สลับกลุ่ม!")</f>
        <v/>
      </c>
    </row>
    <row r="29">
      <c r="A29" s="11" t="inlineStr">
        <is>
          <t>S3</t>
        </is>
      </c>
      <c r="B29" s="7" t="n">
        <v>1</v>
      </c>
      <c r="C29" s="7" t="n">
        <v>3</v>
      </c>
      <c r="D29" s="12">
        <f>SQRT((B29-$C$22)^2 + (C29-$D$22)^2)</f>
        <v/>
      </c>
      <c r="E29" s="12">
        <f>SQRT((B29-$C$23)^2 + (C29-$D$23)^2)</f>
        <v/>
      </c>
      <c r="F29" s="13">
        <f>IF(D29&lt;=E29, 1, 2)</f>
        <v/>
      </c>
      <c r="G29" s="12">
        <f>IF(F29=1, D29^2, E29^2)</f>
        <v/>
      </c>
      <c r="H29" s="20">
        <f>IF(F29=F12, "คงเดิม", "★ สลับกลุ่ม!")</f>
        <v/>
      </c>
    </row>
    <row r="30">
      <c r="A30" s="11" t="inlineStr">
        <is>
          <t>S4</t>
        </is>
      </c>
      <c r="B30" s="7" t="n">
        <v>4</v>
      </c>
      <c r="C30" s="7" t="n">
        <v>4</v>
      </c>
      <c r="D30" s="12">
        <f>SQRT((B30-$C$22)^2 + (C30-$D$22)^2)</f>
        <v/>
      </c>
      <c r="E30" s="12">
        <f>SQRT((B30-$C$23)^2 + (C30-$D$23)^2)</f>
        <v/>
      </c>
      <c r="F30" s="13">
        <f>IF(D30&lt;=E30, 1, 2)</f>
        <v/>
      </c>
      <c r="G30" s="12">
        <f>IF(F30=1, D30^2, E30^2)</f>
        <v/>
      </c>
      <c r="H30" s="20">
        <f>IF(F30=F13, "คงเดิม", "★ สลับกลุ่ม!")</f>
        <v/>
      </c>
    </row>
    <row r="31">
      <c r="A31" s="11" t="inlineStr">
        <is>
          <t>S5</t>
        </is>
      </c>
      <c r="B31" s="7" t="n">
        <v>6</v>
      </c>
      <c r="C31" s="7" t="n">
        <v>7</v>
      </c>
      <c r="D31" s="12">
        <f>SQRT((B31-$C$22)^2 + (C31-$D$22)^2)</f>
        <v/>
      </c>
      <c r="E31" s="12">
        <f>SQRT((B31-$C$23)^2 + (C31-$D$23)^2)</f>
        <v/>
      </c>
      <c r="F31" s="13">
        <f>IF(D31&lt;=E31, 1, 2)</f>
        <v/>
      </c>
      <c r="G31" s="12">
        <f>IF(F31=1, D31^2, E31^2)</f>
        <v/>
      </c>
      <c r="H31" s="20">
        <f>IF(F31=F14, "คงเดิม", "★ สลับกลุ่ม!")</f>
        <v/>
      </c>
    </row>
    <row r="32">
      <c r="A32" s="11" t="inlineStr">
        <is>
          <t>S6</t>
        </is>
      </c>
      <c r="B32" s="7" t="n">
        <v>7</v>
      </c>
      <c r="C32" s="7" t="n">
        <v>8</v>
      </c>
      <c r="D32" s="12">
        <f>SQRT((B32-$C$22)^2 + (C32-$D$22)^2)</f>
        <v/>
      </c>
      <c r="E32" s="12">
        <f>SQRT((B32-$C$23)^2 + (C32-$D$23)^2)</f>
        <v/>
      </c>
      <c r="F32" s="13">
        <f>IF(D32&lt;=E32, 1, 2)</f>
        <v/>
      </c>
      <c r="G32" s="12">
        <f>IF(F32=1, D32^2, E32^2)</f>
        <v/>
      </c>
      <c r="H32" s="20">
        <f>IF(F32=F15, "คงเดิม", "★ สลับกลุ่ม!")</f>
        <v/>
      </c>
    </row>
    <row r="33">
      <c r="A33" s="11" t="inlineStr">
        <is>
          <t>S7</t>
        </is>
      </c>
      <c r="B33" s="7" t="n">
        <v>8</v>
      </c>
      <c r="C33" s="7" t="n">
        <v>6</v>
      </c>
      <c r="D33" s="12">
        <f>SQRT((B33-$C$22)^2 + (C33-$D$22)^2)</f>
        <v/>
      </c>
      <c r="E33" s="12">
        <f>SQRT((B33-$C$23)^2 + (C33-$D$23)^2)</f>
        <v/>
      </c>
      <c r="F33" s="13">
        <f>IF(D33&lt;=E33, 1, 2)</f>
        <v/>
      </c>
      <c r="G33" s="12">
        <f>IF(F33=1, D33^2, E33^2)</f>
        <v/>
      </c>
      <c r="H33" s="20">
        <f>IF(F33=F16, "คงเดิม", "★ สลับกลุ่ม!")</f>
        <v/>
      </c>
    </row>
    <row r="34">
      <c r="A34" s="11" t="inlineStr">
        <is>
          <t>S8</t>
        </is>
      </c>
      <c r="B34" s="7" t="n">
        <v>9</v>
      </c>
      <c r="C34" s="7" t="n">
        <v>8</v>
      </c>
      <c r="D34" s="12">
        <f>SQRT((B34-$C$22)^2 + (C34-$D$22)^2)</f>
        <v/>
      </c>
      <c r="E34" s="12">
        <f>SQRT((B34-$C$23)^2 + (C34-$D$23)^2)</f>
        <v/>
      </c>
      <c r="F34" s="13">
        <f>IF(D34&lt;=E34, 1, 2)</f>
        <v/>
      </c>
      <c r="G34" s="12">
        <f>IF(F34=1, D34^2, E34^2)</f>
        <v/>
      </c>
      <c r="H34" s="20">
        <f>IF(F34=F17, "คงเดิม", "★ สลับกลุ่ม!")</f>
        <v/>
      </c>
    </row>
    <row r="35">
      <c r="A35" s="15" t="inlineStr">
        <is>
          <t>รวม WCSS รอบที่ 2 (Inertia):</t>
        </is>
      </c>
      <c r="G35" s="16">
        <f>SUM(G27:G34)</f>
        <v/>
      </c>
    </row>
    <row r="37">
      <c r="A37" s="5" t="inlineStr">
        <is>
          <t>【Centroid หลังรอบที่ 2】: S4 (4, 4) ได้สลับจากกลุ่ม 2 ไปกลุ่ม 1 ทำให้พิกัดจุดกึ่งกลางเคลื่อนที่อีกครั้ง</t>
        </is>
      </c>
    </row>
    <row r="38" ht="28" customHeight="1">
      <c r="A38" s="17" t="inlineStr">
        <is>
          <t>กลุ่ม (Cluster)</t>
        </is>
      </c>
      <c r="B38" s="17" t="inlineStr">
        <is>
          <t>จำนวนสมาชิก</t>
        </is>
      </c>
      <c r="C38" s="17" t="inlineStr">
        <is>
          <t>Centroid X1 ใหม่</t>
        </is>
      </c>
      <c r="D38" s="17" t="inlineStr">
        <is>
          <t>Centroid X2 ใหม่</t>
        </is>
      </c>
      <c r="E38" s="17" t="inlineStr">
        <is>
          <t>จุดสมาชิกในกลุ่ม</t>
        </is>
      </c>
    </row>
    <row r="39">
      <c r="A39" s="8" t="inlineStr">
        <is>
          <t>กลุ่ม 1 (Cluster 1)</t>
        </is>
      </c>
      <c r="B39" s="18">
        <f>COUNTIF($F$27:$F$34, 1)</f>
        <v/>
      </c>
      <c r="C39" s="19">
        <f>AVERAGEIF($F$27:$F$34, 1, $B$27:$B$34)</f>
        <v/>
      </c>
      <c r="D39" s="19">
        <f>AVERAGEIF($F$27:$F$34, 1, $C$27:$C$34)</f>
        <v/>
      </c>
      <c r="E39" s="9" t="inlineStr">
        <is>
          <t>S1, S2, S3, S4 (ได้พิกัดสมมาตร 2.50, 2.50)</t>
        </is>
      </c>
    </row>
    <row r="40">
      <c r="A40" s="8" t="inlineStr">
        <is>
          <t>กลุ่ม 2 (Cluster 2)</t>
        </is>
      </c>
      <c r="B40" s="18">
        <f>COUNTIF($F$27:$F$34, 2)</f>
        <v/>
      </c>
      <c r="C40" s="19">
        <f>AVERAGEIF($F$27:$F$34, 2, $B$27:$B$34)</f>
        <v/>
      </c>
      <c r="D40" s="19">
        <f>AVERAGEIF($F$27:$F$34, 2, $C$27:$C$34)</f>
        <v/>
      </c>
      <c r="E40" s="9" t="inlineStr">
        <is>
          <t>S5, S6, S7, S8 (ได้พิกัด 7.50, 7.25)</t>
        </is>
      </c>
    </row>
    <row r="42">
      <c r="A42" s="5" t="inlineStr">
        <is>
          <t>【การตรวจสอบเงื่อนไขการลู่เข้า (Convergence Check) &amp; สรุปผลสำหรับการสอบ】</t>
        </is>
      </c>
    </row>
    <row r="43">
      <c r="A43" s="21" t="inlineStr">
        <is>
          <t>จำนวนจุดที่เปลี่ยนกลุ่มในรอบที่ 2:</t>
        </is>
      </c>
      <c r="D43" s="22">
        <f>COUNTIF(H27:H34, "*สลับ*")</f>
        <v/>
      </c>
      <c r="E43" s="23" t="n"/>
      <c r="F43" s="23" t="n"/>
      <c r="G43" s="24" t="n"/>
    </row>
    <row r="44">
      <c r="A44" s="21" t="inlineStr">
        <is>
          <t>การลดลงของ WCSS (รอบ 1 → รอบ 2):</t>
        </is>
      </c>
      <c r="D44" s="25">
        <f>G18-G35</f>
        <v/>
      </c>
      <c r="E44" s="23" t="n"/>
      <c r="F44" s="23" t="n"/>
      <c r="G44" s="24" t="n"/>
    </row>
    <row r="45">
      <c r="A45" s="21" t="inlineStr">
        <is>
          <t>สถานะการลู่เข้ารอบที่ 3 (Final State):</t>
        </is>
      </c>
      <c r="D45" s="22">
        <f>"ลู่เข้าสมบูรณ์ (Converged) ที่ C1=(2.50, 2.50), C2=(7.50, 7.25), WCSS=17.75"</f>
        <v/>
      </c>
      <c r="E45" s="23" t="n"/>
      <c r="F45" s="23" t="n"/>
      <c r="G45" s="24" t="n"/>
    </row>
    <row r="47">
      <c r="A47" s="26" t="inlineStr">
        <is>
          <t>ข้อสังเกตและคำตอบเชิงวิเคราะห์สำหรับห้องสอบ:</t>
        </is>
      </c>
    </row>
    <row r="48">
      <c r="A48" s="27" t="inlineStr">
        <is>
          <t>1. ในรอบที่ 1 จุด S4 (4, 4) มีระยะทาง d(S4, C2) = 0 จึงสังกัดกลุ่ม 2</t>
        </is>
      </c>
    </row>
    <row r="49">
      <c r="A49" s="27" t="inlineStr">
        <is>
          <t>2. แต่เมื่อ Centroid C2 ขยับขึ้นไปที่ (6.8, 6.6) ตามกลุ่มก้อนใหญ่ S5-S8 ทำให้ S4 อยู่ใกล้ C1=(2,2) มากกว่า จึงย้ายกลุ่มมาอยู่กลุ่ม 1</t>
        </is>
      </c>
    </row>
    <row r="50">
      <c r="A50" s="27" t="inlineStr">
        <is>
          <t>3. WCSS ลดลงจาก 68.00 (รอบ 0) → 30.00 (รอบ 1) → 17.75 (รอบ 2) สะท้อนคุณสมบัติ Monotonic Convergence ของ K-Means</t>
        </is>
      </c>
    </row>
  </sheetData>
  <mergeCells count="12">
    <mergeCell ref="A44:C44"/>
    <mergeCell ref="D45:G45"/>
    <mergeCell ref="A45:C45"/>
    <mergeCell ref="A49:I49"/>
    <mergeCell ref="A48:I48"/>
    <mergeCell ref="D44:G44"/>
    <mergeCell ref="A1:I1"/>
    <mergeCell ref="A18:F18"/>
    <mergeCell ref="D43:G43"/>
    <mergeCell ref="A35:F35"/>
    <mergeCell ref="A50:I50"/>
    <mergeCell ref="A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2" customWidth="1" min="4" max="4"/>
    <col width="52" customWidth="1" min="5" max="5"/>
    <col width="10" customWidth="1" min="6" max="6"/>
  </cols>
  <sheetData>
    <row r="1">
      <c r="A1" s="1" t="inlineStr">
        <is>
          <t>การวิเคราะห์วิธีข้อศอก (The Elbow Method) สำหรับการเลือกจำนวนคลัสเตอร์ K ในข้อสอบ</t>
        </is>
      </c>
    </row>
    <row r="3">
      <c r="A3" s="27" t="inlineStr">
        <is>
          <t>โจทย์: จงวิเคราะห์ตารางค่า WCSS ที่ค่า K ต่างๆ เพื่อหาค่า K ที่เหมาะสมที่สุด พร้อมแสดงเหตุผลทางคณิตศาสตร์</t>
        </is>
      </c>
    </row>
    <row r="5" ht="28" customHeight="1">
      <c r="A5" s="10" t="inlineStr">
        <is>
          <t>จำนวนคลัสเตอร์ (K)</t>
        </is>
      </c>
      <c r="B5" s="10" t="inlineStr">
        <is>
          <t>WCSS (Inertia)</t>
        </is>
      </c>
      <c r="C5" s="10" t="inlineStr">
        <is>
          <t>การลดลงของ WCSS (Δ WCSS)</t>
        </is>
      </c>
      <c r="D5" s="10" t="inlineStr">
        <is>
          <t>อัตราส่วนการลดลง (%)</t>
        </is>
      </c>
      <c r="E5" s="10" t="inlineStr">
        <is>
          <t>การประเมินผลสำหรับห้องสอบ</t>
        </is>
      </c>
    </row>
    <row r="6">
      <c r="A6" s="11" t="n">
        <v>1</v>
      </c>
      <c r="B6" s="7" t="n">
        <v>112.88</v>
      </c>
      <c r="C6" s="28" t="inlineStr">
        <is>
          <t>-</t>
        </is>
      </c>
      <c r="D6" s="28" t="inlineStr">
        <is>
          <t>-</t>
        </is>
      </c>
      <c r="E6" s="29" t="inlineStr">
        <is>
          <t>ทุกจุดรวมเป็น 1 กลุ่มใหญ่ (Centroid รวม = 5.00, 4.88)</t>
        </is>
      </c>
    </row>
    <row r="7">
      <c r="A7" s="11" t="n">
        <v>2</v>
      </c>
      <c r="B7" s="7" t="n">
        <v>17.75</v>
      </c>
      <c r="C7" s="30">
        <f>B6-B7</f>
        <v/>
      </c>
      <c r="D7" s="31">
        <f>(B6-B7)/B6</f>
        <v/>
      </c>
      <c r="E7" s="32" t="inlineStr">
        <is>
          <t>★ จุดข้อศอกที่เหมาะสม (Elbow Point): ลดลงถึง 84.28%</t>
        </is>
      </c>
    </row>
    <row r="8">
      <c r="A8" s="11" t="n">
        <v>3</v>
      </c>
      <c r="B8" s="7" t="n">
        <v>11.75</v>
      </c>
      <c r="C8" s="30">
        <f>B7-B8</f>
        <v/>
      </c>
      <c r="D8" s="31">
        <f>(B7-B8)/B7</f>
        <v/>
      </c>
      <c r="E8" s="29" t="inlineStr">
        <is>
          <t>อัตราการลดลงชะลอตัวลงอย่างชัดเจน (ลดลงเพียง 33.8%)</t>
        </is>
      </c>
    </row>
    <row r="9">
      <c r="A9" s="11" t="n">
        <v>4</v>
      </c>
      <c r="B9" s="7" t="n">
        <v>7.5</v>
      </c>
      <c r="C9" s="30">
        <f>B8-B9</f>
        <v/>
      </c>
      <c r="D9" s="31">
        <f>(B8-B9)/B8</f>
        <v/>
      </c>
      <c r="E9" s="29" t="inlineStr">
        <is>
          <t>กลุ่มย่อยเกินไป เสี่ยงต่อการ Overfitting</t>
        </is>
      </c>
    </row>
    <row r="10">
      <c r="A10" s="11" t="n">
        <v>5</v>
      </c>
      <c r="B10" s="7" t="n">
        <v>4.5</v>
      </c>
      <c r="C10" s="30">
        <f>B9-B10</f>
        <v/>
      </c>
      <c r="D10" s="31">
        <f>(B9-B10)/B9</f>
        <v/>
      </c>
      <c r="E10" s="29" t="inlineStr">
        <is>
          <t>กลุ่มเล็กเกินไปและสูญเสียความหมายในเชิงการจัดกลุ่ม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14" customWidth="1" min="4" max="4"/>
    <col width="52" customWidth="1" min="5" max="5"/>
    <col width="18" customWidth="1" min="6" max="6"/>
  </cols>
  <sheetData>
    <row r="1">
      <c r="A1" s="1" t="inlineStr">
        <is>
          <t>คำถามทบทวนเชิงทฤษฎีและข้อควรจำสำหรับห้องสอบ (K-Means Exam Q&amp;A)</t>
        </is>
      </c>
    </row>
    <row r="3" ht="28" customHeight="1">
      <c r="A3" s="17" t="inlineStr">
        <is>
          <t>ข้อที่</t>
        </is>
      </c>
      <c r="B3" s="17" t="inlineStr">
        <is>
          <t>ประเด็นคำถามที่มักออกสอบ</t>
        </is>
      </c>
      <c r="C3" s="17" t="inlineStr">
        <is>
          <t>ตัวเลือกคำตอบ</t>
        </is>
      </c>
      <c r="D3" s="17" t="inlineStr">
        <is>
          <t>คำตอบของคุณ</t>
        </is>
      </c>
      <c r="E3" s="17" t="inlineStr">
        <is>
          <t>เฉลยและเหตุผลทางคณิตศาสตร์</t>
        </is>
      </c>
      <c r="F3" s="17" t="inlineStr">
        <is>
          <t>สถานะ</t>
        </is>
      </c>
    </row>
    <row r="4" ht="60" customHeight="1">
      <c r="A4" s="11" t="inlineStr">
        <is>
          <t>ข้อที่ 1</t>
        </is>
      </c>
      <c r="B4" s="33" t="inlineStr">
        <is>
          <t>เหตุใดการทำ Feature Scaling (เช่น StandardScaler) จึงเป็นขั้นตอนจำเป็นอย่างยิ่งก่อนนำข้อมูลเข้า K-Means?</t>
        </is>
      </c>
      <c r="C4" s="34" t="inlineStr">
        <is>
          <t>A: เพื่อให้ข้อมูลมีการกระจายตัวแบบ Normal เสมอ
B: เพราะสูตร Euclidean Distance ไวต่อขนาดตัวเลข ฟีเจอร์ที่หน่วยใหญ่กว่าจะครอบงำผลลัพธ์ทั้งหมด
C: เพื่อลดจำนวนจุดข้อมูลลงครึ่งหนึ่ง
D: เพื่อป้องกันไม่ให้เกิดค่าติดลบ</t>
        </is>
      </c>
      <c r="D4" s="7" t="inlineStr">
        <is>
          <t>B</t>
        </is>
      </c>
      <c r="E4" s="35" t="inlineStr">
        <is>
          <t>ตอบ B: สูตร d = √∑(x₁ - c₁)² ใช้ผลต่างตัวเลขโดยตรง หากตัวแปรหนึ่งมีหน่วยเป็น 10,000 อีกตัวแปรมีหน่วยเป็น 1-5 ตัวแปรแรกจะกลายเป็นตัวตัดสิน 99.9% ของระยะทางทั้งหมด</t>
        </is>
      </c>
      <c r="F4" s="36" t="inlineStr">
        <is>
          <t>ถูกต้อง (Correct)</t>
        </is>
      </c>
    </row>
    <row r="5" ht="60" customHeight="1">
      <c r="A5" s="11" t="inlineStr">
        <is>
          <t>ข้อที่ 2</t>
        </is>
      </c>
      <c r="B5" s="33" t="inlineStr">
        <is>
          <t>หากรัน K-Means ซ้ำด้วยชุดข้อมูลเดิม แต่เปลี่ยนวิธีสุ่ม Centroid เริ่มต้น ผลลัพธ์ที่ได้จะเหมือนเดิมเสมอไปหรือไม่?</t>
        </is>
      </c>
      <c r="C5" s="34" t="inlineStr">
        <is>
          <t>A: เหมือนเดิมเสมอ เพราะ K-Means รับประกัน Global Optimum
B: อาจไม่เหมือนเดิม เพราะ K-Means ลู่เข้าสู่ Local Optimum ตามจุดเริ่มต้น
C: เหมือนเดิมถ้า K มีค่าน้อยกว่า 5
D: ไม่เหมือนเดิมเฉพาะเมื่อข้อมูลมีมิติมากกว่า 10 มิติ</t>
        </is>
      </c>
      <c r="D5" s="7" t="inlineStr">
        <is>
          <t>B</t>
        </is>
      </c>
      <c r="E5" s="35" t="inlineStr">
        <is>
          <t>ตอบ B: Lloyd's Algorithm รับประกันเพียงว่าจะลู่เข้าสู่ Local Minimum หากจุดเริ่มต้นสุ่มตกไปอยู่ผิดกลุ่ม อาจเกิด bad clustering จึงเป็นที่มาของการคิดค้น K-Means++</t>
        </is>
      </c>
      <c r="F5" s="36" t="inlineStr">
        <is>
          <t>ถูกต้อง (Correct)</t>
        </is>
      </c>
    </row>
    <row r="6" ht="60" customHeight="1">
      <c r="A6" s="11" t="inlineStr">
        <is>
          <t>ข้อที่ 3</t>
        </is>
      </c>
      <c r="B6" s="33" t="inlineStr">
        <is>
          <t>อัลกอริทึม K-Means++ มีหลักการเลือกจุด Centroid ถัดไปอย่างไรหลังจากสุ่มจุดแรกแล้ว?</t>
        </is>
      </c>
      <c r="C6" s="34" t="inlineStr">
        <is>
          <t>A: เลือกจุดที่อยู่ใกล้จุดแรกมากที่สุด
B: สุ่มแบบ Uniform Random จากจุดที่เหลือทั้งหมด
C: เลือกด้วยความน่าจะเป็นที่แปรผันตามระยะทางกำลังสอง D(x)² จาก Centroid ที่ใกล้ที่สุด
D: เลือกจุดที่มีค่าเฉลี่ยของทุกมิติสูงสุด</t>
        </is>
      </c>
      <c r="D6" s="7" t="inlineStr">
        <is>
          <t>C</t>
        </is>
      </c>
      <c r="E6" s="35" t="inlineStr">
        <is>
          <t>ตอบ C: K-Means++ ให้น้ำหนักความน่าจะเป็น P(x) ∝ D(x)² เพื่อบังคับให้จุดศูนย์กลางเริ่มต้นกระจายตัวห่างจากกันมากที่สุด ลดโอกาสติด Local Minima อย่างมีนัยสำคัญ</t>
        </is>
      </c>
      <c r="F6" s="36" t="inlineStr">
        <is>
          <t>ถูกต้อง (Correct)</t>
        </is>
      </c>
    </row>
    <row r="7" ht="60" customHeight="1">
      <c r="A7" s="11" t="inlineStr">
        <is>
          <t>ข้อที่ 4</t>
        </is>
      </c>
      <c r="B7" s="33" t="inlineStr">
        <is>
          <t>ชุดข้อมูลลักษณะใดต่อไปนี้ที่ K-Means จะทำงานล้มเหลว (ไม่เหมาะสมที่จะนำ K-Means ไปใช้งาน)?</t>
        </is>
      </c>
      <c r="C7" s="34" t="inlineStr">
        <is>
          <t>A: ข้อมูลที่กระจายตัวเป็นกลุ่มทรงกลม 3 กลุ่มที่มีขนาดใกล้เคียงกัน
B: ข้อมูลลูกค้าห้างสรรพสินค้า 2 มิติที่ทำสเกลลิ่งแล้ว
C: ข้อมูลรูปร่างวงกลมซ้อนกัน 2 ชั้น (Concentric Circles) หรือพระจันทร์เสี้ยว (Moons)
D: ข้อมูลที่มีค่าตัวเลขจำนวนเต็มบวกทั้งหมด</t>
        </is>
      </c>
      <c r="D7" s="7" t="inlineStr">
        <is>
          <t>C</t>
        </is>
      </c>
      <c r="E7" s="35" t="inlineStr">
        <is>
          <t>ตอบ C: K-Means มีข้อสมมติฐานทางเรขาคณิตว่าคลัสเตอร์เป็นทรงกลม (Spherical &amp; Convex) หากข้อมูลเป็นรูปร่างอิสระที่ซ้อนกัน K-Means จะตัดแบ่งด้วยเส้นตรง Voronoi ทำให้แยกกลุ่มผิด (ควรใช้ DBSCAN หรือ Spectral Clustering แทน)</t>
        </is>
      </c>
      <c r="F7" s="36" t="inlineStr">
        <is>
          <t>ถูกต้อง (Correct)</t>
        </is>
      </c>
    </row>
    <row r="8" ht="60" customHeight="1">
      <c r="A8" s="11" t="inlineStr">
        <is>
          <t>ข้อที่ 5</t>
        </is>
      </c>
      <c r="B8" s="33" t="inlineStr">
        <is>
          <t>ค่า Silhouette Score มีขอบเขตค่าอยู่ในช่วงใด และค่าที่ติดลบ (Negative Score) มีความหมายอย่างไร?</t>
        </is>
      </c>
      <c r="C8" s="34" t="inlineStr">
        <is>
          <t>A: ช่วง [0, 1] ค่าติดลบเป็นไปไม่ได้
B: ช่วง [-1, 1] โดยค่าติดลบหมายถึงจุดนั้นถูกจัดกลุ่มผิด (อยู่ใกล้กลุ่มอื่นมากกว่ากลุ่มตัวเอง)
C: ช่วง [-∞, +∞] ค่าติดลบหมายถึง WCSS มีค่าต่ำมาก
D: ช่วง [0, 100%] ค่าติดลบหมายถึงโมเดลยังไม่ลู่เข้า</t>
        </is>
      </c>
      <c r="D8" s="7" t="inlineStr">
        <is>
          <t>B</t>
        </is>
      </c>
      <c r="E8" s="35" t="inlineStr">
        <is>
          <t>ตอบ B: Silhouette Score คำนวณจาก (b - a)/max(a, b) มีค่าระหว่าง -1 ถึง +1 หากค่าติดลบแสดงว่าระยะห่างเฉลี่ยสู่กลุ่มอื่น (b) สั้นกว่าระยะห่างสู่เพื่อนในกลุ่มตัวเอง (a) ซึ่งบ่งบอกว่าจัดกลุ่มผิดพลาด</t>
        </is>
      </c>
      <c r="F8" s="36" t="inlineStr">
        <is>
          <t>ถูกต้อง (Correct)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2026-09-13T15:13:52Z</dcterms:created>
  <dcterms:modified xmlns:dcterms="http://purl.org/dc/terms/" xmlns:xsi="http://www.w3.org/2001/XMLSchema-instance" xsi:type="dcterms:W3CDTF">2026-09-13T15:13:52Z</dcterms:modified>
</cp:coreProperties>
</file>