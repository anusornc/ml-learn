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0_Exam_Guide" sheetId="1" state="visible" r:id="rId3"/>
    <sheet name="01_KMeans_Calculation" sheetId="2" state="visible" r:id="rId4"/>
    <sheet name="02_Exam_Elbow_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<sst xmlns="http://schemas.openxmlformats.org/spreadsheetml/2006/main" count="107" uniqueCount="87">
  <si>
    <t xml:space="preserve">แบบฝึกหัดเสริมทบทวนก่อนสอบ: K-Means Clustering (Pre-Exam Practice)</t>
  </si>
  <si>
    <t xml:space="preserve">วัตถุประสงค์: เอกสารชุดนี้จัดทำขึ้นเพื่อเป็นแบบฝึกหัดทบทวนความเข้าใจเชิงคำนวณและทฤษฎี สำหรับเตรียมตัวสอบวิชา Machine Learning</t>
  </si>
  <si>
    <t xml:space="preserve">คำชี้แจงการทำแบบฝึกหัด:</t>
  </si>
  <si>
    <t xml:space="preserve">    • เซลล์สีเหลือง + ตัวเลขสีน้ำเงิน = ข้อมูลที่โจทย์กำหนดให้ (ค่าคงที่)</t>
  </si>
  <si>
    <t xml:space="preserve">    • เซลล์สีเหลืองว่าง (ในไฟล์โจทย์) = ให้นักศึกษาเขียนสูตรการคำนวณด้วยตนเอง</t>
  </si>
  <si>
    <t xml:space="preserve">    • มีทั้งหมด 3 ส่วน: (1) การคำนวณมือทีละรอบ (2) การวิเคราะห์วิธีข้อศอก Elbow Method (3) ข้อสอบแนวคิดทฤษฎี</t>
  </si>
  <si>
    <t xml:space="preserve">หัวใจสำคัญและสูตรที่ต้องแม่นก่อนเข้าห้องสอบ:</t>
  </si>
  <si>
    <t xml:space="preserve">    1. ระยะทางแบบยุคลิด (Euclidean Distance): d(P, C) = √[(x₁ - c₁)² + (x₂ - c₂)²]  (Excel: =SQRT((x1 - c1)^2 + (x2 - c2)^2))</t>
  </si>
  <si>
    <t xml:space="preserve">    2. การเลือกกลุ่ม (Assignment): เลือกคลัสเตอร์ที่มีระยะทางสั้นที่สุด d_min (Excel: =IF(d_C1 &lt;= d_C2, 1, 2))</t>
  </si>
  <si>
    <t xml:space="preserve">    3. การอัปเดต Centroid (Update): หาค่าเฉลี่ยของพิกัดในกลุ่ม  (Excel: =AVERAGEIF(Cluster_Range, k, Feature_Range))</t>
  </si>
  <si>
    <t xml:space="preserve">    4. ฟังก์ชันเป้าหมาย WCSS / Inertia: WCSS = ∑ (d_min)²  (Excel: =SUM(d_min_sq))</t>
  </si>
  <si>
    <t xml:space="preserve">    5. จุดข้อศอก (Elbow Point): คือจุดที่อัตราการลดลงของ WCSS ชะลอตัวลงอย่างมีนัยสำคัญ (Diminishing Return)</t>
  </si>
  <si>
    <t xml:space="preserve">ข้อควรระวังที่นักศึกษามักผิดในห้องสอบ (Common Pitfalls):</t>
  </si>
  <si>
    <t xml:space="preserve">    ⚠️ ห้ามนำ Centroid ใหม่ที่เพิ่งคำนวณได้ไปคำนวณซ้ำกับข้อมูลของรอบเดิมทันที ต้องขึ้นรอบใหม่เสมอ</t>
  </si>
  <si>
    <t xml:space="preserve">    ⚠️ อย่าลืมยกกำลังสองก่อนรวมเป็นค่า WCSS (WCSS คือ Squared Distance ไม่ใช่ผลรวมระยะทางธรรมดา)</t>
  </si>
  <si>
    <t xml:space="preserve">    ⚠️ ระวังการปัดเศษทศนิยมก่อนคำนวณจบ หากใช้เครื่องคิดเลขให้ใช้ทศนิยมอย่างน้อย 4 ตำแหน่ง</t>
  </si>
  <si>
    <t xml:space="preserve">โจทย์คำนวณมือ: การจัดกลุ่มนักศึกษา 8 คน (N=8) ตามคะแนนสอบกลางภาค (X1) และ ปลายภาค (X2)</t>
  </si>
  <si>
    <t xml:space="preserve">พารามิเตอร์โจทย์:</t>
  </si>
  <si>
    <t xml:space="preserve">จุดศูนย์กลางเริ่มต้นที่โจทย์กำหนด (Initial Centroids t=0):</t>
  </si>
  <si>
    <t xml:space="preserve">Centroid</t>
  </si>
  <si>
    <t xml:space="preserve">เลือกจากจุด</t>
  </si>
  <si>
    <t xml:space="preserve">X1 (กลางภาค)</t>
  </si>
  <si>
    <t xml:space="preserve">X2 (ปลายภาค)</t>
  </si>
  <si>
    <t xml:space="preserve">คำอธิบาย</t>
  </si>
  <si>
    <r>
      <rPr>
        <sz val="11"/>
        <color theme="1"/>
        <rFont val="Arial Unicode MS"/>
        <family val="2"/>
      </rPr>
      <t xml:space="preserve">จำนวนข้อมูล </t>
    </r>
    <r>
      <rPr>
        <sz val="11"/>
        <color theme="1"/>
        <rFont val="Calibri"/>
        <family val="2"/>
        <charset val="1"/>
      </rPr>
      <t xml:space="preserve">(N)</t>
    </r>
  </si>
  <si>
    <t xml:space="preserve">C1 (กลุ่ม 1)</t>
  </si>
  <si>
    <t xml:space="preserve">S1</t>
  </si>
  <si>
    <t xml:space="preserve">คะแนนกลุ่มนักศึกษาเรียนช้า</t>
  </si>
  <si>
    <t xml:space="preserve">C2 (กลุ่ม 2)</t>
  </si>
  <si>
    <t xml:space="preserve">S4</t>
  </si>
  <si>
    <t xml:space="preserve">คะแนนกลุ่มนักศึกษาเรียนเร็ว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</si>
  <si>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รอบที่ 1: Iteration 1</t>
    </r>
    <r>
      <rPr>
        <b val="true"/>
        <sz val="11"/>
        <rFont val="Arial Unicode MS"/>
        <family val="2"/>
      </rPr>
      <t xml:space="preserve">】 — </t>
    </r>
    <r>
      <rPr>
        <b val="true"/>
        <sz val="11"/>
        <rFont val="Arial"/>
        <family val="0"/>
        <charset val="1"/>
      </rPr>
      <t xml:space="preserve">คำนวณระยะทาง Euclidean สู่ Centroid เริ่มต้น (C1: F5,G5 และ C2: F6,G6)</t>
    </r>
  </si>
  <si>
    <t xml:space="preserve">รหัสนักศึกษา</t>
  </si>
  <si>
    <t xml:space="preserve">d(S, C1)</t>
  </si>
  <si>
    <t xml:space="preserve">d(S, C2)</t>
  </si>
  <si>
    <t xml:space="preserve">กลุ่มที่ได้ (Cluster)</t>
  </si>
  <si>
    <t xml:space="preserve">d_min² (สำหรับ WCSS)</t>
  </si>
  <si>
    <t xml:space="preserve">กลุ่มที่สังกัด</t>
  </si>
  <si>
    <t xml:space="preserve">S2</t>
  </si>
  <si>
    <t xml:space="preserve">S3</t>
  </si>
  <si>
    <t xml:space="preserve">S5</t>
  </si>
  <si>
    <t xml:space="preserve">S6</t>
  </si>
  <si>
    <t xml:space="preserve">S7</t>
  </si>
  <si>
    <t xml:space="preserve">S8</t>
  </si>
  <si>
    <t xml:space="preserve">รวม WCSS รอบที่ 1 (Inertia):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</si>
  <si>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Centroid ใหม่หลังรอบที่ 1</t>
    </r>
    <r>
      <rPr>
        <b val="true"/>
        <sz val="11"/>
        <rFont val="Arial Unicode MS"/>
        <family val="2"/>
      </rPr>
      <t xml:space="preserve">】</t>
    </r>
    <r>
      <rPr>
        <b val="true"/>
        <sz val="11"/>
        <rFont val="Arial"/>
        <family val="0"/>
        <charset val="1"/>
      </rPr>
      <t xml:space="preserve">: คำนวณค่าเฉลี่ยพิกัดสมาชิกในแต่ละกลุ่ม (C1 สมาชิก: S1..S3, C2 สมาชิก: S4..S8)</t>
    </r>
  </si>
  <si>
    <t xml:space="preserve">กลุ่ม (Cluster)</t>
  </si>
  <si>
    <t xml:space="preserve">จำนวนสมาชิก</t>
  </si>
  <si>
    <t xml:space="preserve">Centroid X1 ใหม่</t>
  </si>
  <si>
    <t xml:space="preserve">Centroid X2 ใหม่</t>
  </si>
  <si>
    <t xml:space="preserve">สูตรคำนวณที่ใช้</t>
  </si>
  <si>
    <t xml:space="preserve">กลุ่ม 1 (Cluster 1)</t>
  </si>
  <si>
    <t xml:space="preserve">กลุ่ม 2 (Cluster 2)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</si>
  <si>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รอบที่ 2: Iteration 2</t>
    </r>
    <r>
      <rPr>
        <b val="true"/>
        <sz val="11"/>
        <rFont val="Arial Unicode MS"/>
        <family val="2"/>
      </rPr>
      <t xml:space="preserve">】 — </t>
    </r>
    <r>
      <rPr>
        <b val="true"/>
        <sz val="11"/>
        <rFont val="Arial"/>
        <family val="0"/>
        <charset val="1"/>
      </rPr>
      <t xml:space="preserve">คำนวณระยะทาง Euclidean สู่ Centroid ใหม่ (C1: C22,D22=(2,2) และ C2: C23,D23=(6.8,6.6))</t>
    </r>
  </si>
  <si>
    <t xml:space="preserve">X1</t>
  </si>
  <si>
    <t xml:space="preserve">X2</t>
  </si>
  <si>
    <t xml:space="preserve">d(S, C1_new)</t>
  </si>
  <si>
    <t xml:space="preserve">d(S, C2_new)</t>
  </si>
  <si>
    <t xml:space="preserve">กลุ่มใหม่ (Cluster 2)</t>
  </si>
  <si>
    <t xml:space="preserve">d_min²</t>
  </si>
  <si>
    <t xml:space="preserve">สถานะการสลับกลุ่ม</t>
  </si>
  <si>
    <t xml:space="preserve">รวม WCSS รอบที่ 2 (Inertia):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</si>
  <si>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Centroid หลังรอบที่ 2</t>
    </r>
    <r>
      <rPr>
        <b val="true"/>
        <sz val="11"/>
        <rFont val="Arial Unicode MS"/>
        <family val="2"/>
      </rPr>
      <t xml:space="preserve">】</t>
    </r>
    <r>
      <rPr>
        <b val="true"/>
        <sz val="11"/>
        <rFont val="Arial"/>
        <family val="0"/>
        <charset val="1"/>
      </rPr>
      <t xml:space="preserve">: S4 (4, 4) ได้สลับจากกลุ่ม 2 ไปกลุ่ม 1 ทำให้พิกัดจุดกึ่งกลางเคลื่อนที่อีกครั้ง</t>
    </r>
  </si>
  <si>
    <t xml:space="preserve">จุดสมาชิกในกลุ่ม</t>
  </si>
  <si>
    <t xml:space="preserve">S1, S2, S3, S4 (ได้พิกัดสมมาตร 2.50, 2.50)</t>
  </si>
  <si>
    <t xml:space="preserve">S5, S6, S7, S8 (ได้พิกัด 7.50, 7.25)</t>
  </si>
  <si>
    <r>
      <rPr>
        <b val="true"/>
        <sz val="11"/>
        <rFont val="Arial Unicode MS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การตรวจสอบเงื่อนไขการลู่เข้า (Convergence Check) &amp; สรุปผลสำหรับการสอบ</t>
    </r>
    <r>
      <rPr>
        <b val="true"/>
        <sz val="11"/>
        <rFont val="Arial Unicode MS"/>
        <family val="2"/>
      </rPr>
      <t xml:space="preserve">】</t>
    </r>
  </si>
  <si>
    <t xml:space="preserve">จำนวนจุดที่เปลี่ยนกลุ่มในรอบที่ 2:</t>
  </si>
  <si>
    <t xml:space="preserve">การลดลงของ WCSS (รอบ 1 → รอบ 2):</t>
  </si>
  <si>
    <t xml:space="preserve">สถานะการลู่เข้ารอบที่ 3 (Final State):</t>
  </si>
  <si>
    <t xml:space="preserve">ข้อสังเกตและคำตอบเชิงวิเคราะห์สำหรับห้องสอบ:</t>
  </si>
  <si>
    <t xml:space="preserve">1. ในรอบที่ 1 จุด S4 (4, 4) มีระยะทาง d(S4, C2) = 0 จึงสังกัดกลุ่ม 2</t>
  </si>
  <si>
    <t xml:space="preserve">2. แต่เมื่อ Centroid C2 ขยับขึ้นไปที่ (6.8, 6.6) ตามกลุ่มก้อนใหญ่ S5-S8 ทำให้ S4 อยู่ใกล้ C1=(2,2) มากกว่า จึงย้ายกลุ่มมาอยู่กลุ่ม 1</t>
  </si>
  <si>
    <t xml:space="preserve">3. WCSS ลดลงจาก 68.00 (รอบ 0) → 30.00 (รอบ 1) → 17.75 (รอบ 2) สะท้อนคุณสมบัติ Monotonic Convergence ของ K-Means</t>
  </si>
  <si>
    <t xml:space="preserve">การวิเคราะห์วิธีข้อศอก (The Elbow Method) สำหรับการเลือกจำนวนคลัสเตอร์ K ในข้อสอบ</t>
  </si>
  <si>
    <t xml:space="preserve">โจทย์: จงวิเคราะห์ตารางค่า WCSS ที่ค่า K ต่างๆ เพื่อหาค่า K ที่เหมาะสมที่สุด พร้อมแสดงเหตุผลทางคณิตศาสตร์</t>
  </si>
  <si>
    <t xml:space="preserve">จำนวนคลัสเตอร์ (K)</t>
  </si>
  <si>
    <t xml:space="preserve">WCSS (Inertia)</t>
  </si>
  <si>
    <t xml:space="preserve">การลดลงของ WCSS (Δ WCSS)</t>
  </si>
  <si>
    <t xml:space="preserve">อัตราส่วนการลดลง (%)</t>
  </si>
  <si>
    <t xml:space="preserve">การประเมินผลสำหรับห้องสอบ</t>
  </si>
  <si>
    <t xml:space="preserve">-</t>
  </si>
  <si>
    <t xml:space="preserve">ทุกจุดรวมเป็น 1 กลุ่มใหญ่ (Centroid รวม = 5.00, 4.88)</t>
  </si>
  <si>
    <t xml:space="preserve">★ จุดข้อศอกที่เหมาะสม (Elbow Point): ลดลงถึง 84.28%</t>
  </si>
  <si>
    <t xml:space="preserve">อัตราการลดลงชะลอตัวลงอย่างชัดเจน (ลดลงเพียง 33.8%)</t>
  </si>
  <si>
    <t xml:space="preserve">กลุ่มย่อยเกินไป เสี่ยงต่อการ Overfitting</t>
  </si>
  <si>
    <t xml:space="preserve">กลุ่มเล็กเกินไปและสูญเสียความหมายในเชิงการจัดกลุ่ม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</si>
</sst>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@"/>
    <numFmt numFmtId="168" formatCode="0.00"/>
    <numFmt numFmtId="169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 Unicode MS"/>
      <family val="2"/>
    </font>
    <font>
      <b val="true"/>
      <sz val="11"/>
      <color rgb="FF0000FF"/>
      <name val="Arial"/>
      <family val="0"/>
      <charset val="1"/>
    </font>
    <font>
      <i val="true"/>
      <sz val="9"/>
      <color rgb="FF334155"/>
      <name val="Arial"/>
      <family val="0"/>
      <charset val="1"/>
    </font>
    <font>
      <b val="true"/>
      <sz val="11"/>
      <name val="Arial Unicode MS"/>
      <family val="2"/>
    </font>
    <font>
      <sz val="11"/>
      <color rgb="FF000000"/>
      <name val="Arial"/>
      <family val="0"/>
      <charset val="1"/>
    </font>
    <font>
      <b val="true"/>
      <sz val="11"/>
      <color rgb="FF4338CA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sz val="11"/>
      <color rgb="FF334155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FF3BF"/>
        <bgColor rgb="FFFFFF99"/>
      </patternFill>
    </fill>
    <fill>
      <patternFill patternType="solid">
        <fgColor rgb="FF0F766E"/>
        <bgColor rgb="FF047857"/>
      </patternFill>
    </fill>
    <fill>
      <patternFill patternType="solid">
        <fgColor rgb="FFDCFCE7"/>
        <bgColor rgb="FFE0F2FE"/>
      </patternFill>
    </fill>
    <fill>
      <patternFill patternType="solid">
        <fgColor rgb="FFF3E8FF"/>
        <bgColor rgb="FFE0F2FE"/>
      </patternFill>
    </fill>
    <fill>
      <patternFill patternType="solid">
        <fgColor rgb="FF4338CA"/>
        <bgColor rgb="FF334155"/>
      </patternFill>
    </fill>
    <fill>
      <patternFill patternType="solid">
        <fgColor rgb="FFE0F2FE"/>
        <bgColor rgb="FFDCFC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5F46"/>
      <rgbColor rgb="FF000080"/>
      <rgbColor rgb="FF808000"/>
      <rgbColor rgb="FF800080"/>
      <rgbColor rgb="FF0F766E"/>
      <rgbColor rgb="FFD9D9D9"/>
      <rgbColor rgb="FF878787"/>
      <rgbColor rgb="FF9999FF"/>
      <rgbColor rgb="FF993366"/>
      <rgbColor rgb="FFFFF3BF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0F2FE"/>
      <rgbColor rgb="FFF3E8FF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4155"/>
      <rgbColor rgb="FFB91C1C"/>
      <rgbColor rgb="FF993366"/>
      <rgbColor rgb="FF4338C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Pre-Exam Review: Elbow Method Curve (WCSS vs 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02_Exam_Elbow_Analysis!B5</c:f>
              <c:strCache>
                <c:ptCount val="1"/>
                <c:pt idx="0">
                  <c:v>WCSS (Inertia)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02_Exam_Elbow_Analysis!$A$6:$A$10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02_Exam_Elbow_Analysis!$B$6:$B$10</c:f>
              <c:numCache>
                <c:formatCode>General</c:formatCode>
                <c:ptCount val="5"/>
                <c:pt idx="0">
                  <c:v>112.88</c:v>
                </c:pt>
                <c:pt idx="1">
                  <c:v>17.75</c:v>
                </c:pt>
                <c:pt idx="2">
                  <c:v>11.75</c:v>
                </c:pt>
                <c:pt idx="3">
                  <c:v>7.5</c:v>
                </c:pt>
                <c:pt idx="4">
                  <c:v>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659325"/>
        <c:axId val="75248534"/>
      </c:lineChart>
      <c:catAx>
        <c:axId val="85659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Number of Clusters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48534"/>
        <c:crosses val="autoZero"/>
        <c:auto val="1"/>
        <c:lblAlgn val="ctr"/>
        <c:lblOffset val="100"/>
        <c:noMultiLvlLbl val="0"/>
      </c:catAx>
      <c:valAx>
        <c:axId val="75248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WCSS / Inertia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593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42480</xdr:rowOff>
    </xdr:from>
    <xdr:to>
      <xdr:col>3</xdr:col>
      <xdr:colOff>1248480</xdr:colOff>
      <xdr:row>31</xdr:row>
      <xdr:rowOff>22680</xdr:rowOff>
    </xdr:to>
    <xdr:graphicFrame>
      <xdr:nvGraphicFramePr>
        <xdr:cNvPr id="1" name="Chart 1"/>
        <xdr:cNvGraphicFramePr/>
      </xdr:nvGraphicFramePr>
      <xdr:xfrm>
        <a:off x="0" y="2448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05"/>
    <col collapsed="false" customWidth="true" hidden="false" outlineLevel="0" max="7" min="2" style="0" width="15"/>
  </cols>
  <sheetData>
    <row r="1" customFormat="false" ht="15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4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2" t="s">
        <v>2</v>
      </c>
      <c r="B4" s="2"/>
      <c r="C4" s="2"/>
      <c r="D4" s="2"/>
      <c r="E4" s="2"/>
      <c r="F4" s="2"/>
      <c r="G4" s="2"/>
    </row>
    <row r="5" customFormat="false" ht="24" hidden="false" customHeight="true" outlineLevel="0" collapsed="false">
      <c r="A5" s="3" t="s">
        <v>3</v>
      </c>
      <c r="B5" s="3"/>
      <c r="C5" s="3"/>
      <c r="D5" s="3"/>
      <c r="E5" s="3"/>
      <c r="F5" s="3"/>
      <c r="G5" s="3"/>
    </row>
    <row r="6" customFormat="false" ht="24" hidden="false" customHeight="true" outlineLevel="0" collapsed="false">
      <c r="A6" s="3" t="s">
        <v>4</v>
      </c>
      <c r="B6" s="3"/>
      <c r="C6" s="3"/>
      <c r="D6" s="3"/>
      <c r="E6" s="3"/>
      <c r="F6" s="3"/>
      <c r="G6" s="3"/>
    </row>
    <row r="7" customFormat="false" ht="24" hidden="false" customHeight="true" outlineLevel="0" collapsed="false">
      <c r="A7" s="3" t="s">
        <v>5</v>
      </c>
      <c r="B7" s="3"/>
      <c r="C7" s="3"/>
      <c r="D7" s="3"/>
      <c r="E7" s="3"/>
      <c r="F7" s="3"/>
      <c r="G7" s="3"/>
    </row>
    <row r="8" customFormat="false" ht="27.75" hidden="false" customHeight="tru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24" hidden="false" customHeight="true" outlineLevel="0" collapsed="false">
      <c r="A9" s="3" t="s">
        <v>7</v>
      </c>
      <c r="B9" s="3"/>
      <c r="C9" s="3"/>
      <c r="D9" s="3"/>
      <c r="E9" s="3"/>
      <c r="F9" s="3"/>
      <c r="G9" s="3"/>
    </row>
    <row r="10" customFormat="false" ht="24" hidden="false" customHeight="true" outlineLevel="0" collapsed="false">
      <c r="A10" s="3" t="s">
        <v>8</v>
      </c>
      <c r="B10" s="3"/>
      <c r="C10" s="3"/>
      <c r="D10" s="3"/>
      <c r="E10" s="3"/>
      <c r="F10" s="3"/>
      <c r="G10" s="3"/>
    </row>
    <row r="11" customFormat="false" ht="24" hidden="false" customHeight="true" outlineLevel="0" collapsed="false">
      <c r="A11" s="3" t="s">
        <v>9</v>
      </c>
      <c r="B11" s="3"/>
      <c r="C11" s="3"/>
      <c r="D11" s="3"/>
      <c r="E11" s="3"/>
      <c r="F11" s="3"/>
      <c r="G11" s="3"/>
    </row>
    <row r="12" customFormat="false" ht="24" hidden="false" customHeight="true" outlineLevel="0" collapsed="false">
      <c r="A12" s="3" t="s">
        <v>10</v>
      </c>
      <c r="B12" s="3"/>
      <c r="C12" s="3"/>
      <c r="D12" s="3"/>
      <c r="E12" s="3"/>
      <c r="F12" s="3"/>
      <c r="G12" s="3"/>
    </row>
    <row r="13" customFormat="false" ht="24" hidden="false" customHeight="true" outlineLevel="0" collapsed="false">
      <c r="A13" s="3" t="s">
        <v>11</v>
      </c>
      <c r="B13" s="3"/>
      <c r="C13" s="3"/>
      <c r="D13" s="3"/>
      <c r="E13" s="3"/>
      <c r="F13" s="3"/>
      <c r="G13" s="3"/>
    </row>
    <row r="14" customFormat="false" ht="27.75" hidden="false" customHeight="true" outlineLevel="0" collapsed="false">
      <c r="A14" s="2" t="s">
        <v>12</v>
      </c>
      <c r="B14" s="2"/>
      <c r="C14" s="2"/>
      <c r="D14" s="2"/>
      <c r="E14" s="2"/>
      <c r="F14" s="2"/>
      <c r="G14" s="2"/>
    </row>
    <row r="15" customFormat="false" ht="24" hidden="false" customHeight="true" outlineLevel="0" collapsed="false">
      <c r="A15" s="4" t="s">
        <v>13</v>
      </c>
      <c r="B15" s="4"/>
      <c r="C15" s="4"/>
      <c r="D15" s="4"/>
      <c r="E15" s="4"/>
      <c r="F15" s="4"/>
      <c r="G15" s="4"/>
    </row>
    <row r="16" customFormat="false" ht="24" hidden="false" customHeight="true" outlineLevel="0" collapsed="false">
      <c r="A16" s="4" t="s">
        <v>14</v>
      </c>
      <c r="B16" s="4"/>
      <c r="C16" s="4"/>
      <c r="D16" s="4"/>
      <c r="E16" s="4"/>
      <c r="F16" s="4"/>
      <c r="G16" s="4"/>
    </row>
    <row r="17" customFormat="false" ht="24" hidden="false" customHeight="true" outlineLevel="0" collapsed="false">
      <c r="A17" s="4" t="s">
        <v>15</v>
      </c>
      <c r="B17" s="4"/>
      <c r="C17" s="4"/>
      <c r="D17" s="4"/>
      <c r="E17" s="4"/>
      <c r="F17" s="4"/>
      <c r="G17" s="4"/>
    </row>
  </sheetData>
  <mergeCells count="16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15.9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5" t="s">
        <v>17</v>
      </c>
      <c r="D3" s="5" t="s">
        <v>18</v>
      </c>
    </row>
    <row r="4" customFormat="false" ht="27.75" hidden="false" customHeight="tru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</row>
    <row r="5" customFormat="false" ht="15" hidden="false" customHeight="false" outlineLevel="0" collapsed="false">
      <c r="A5" s="7" t="s">
        <v>24</v>
      </c>
      <c r="B5" s="8" t="n">
        <v>8</v>
      </c>
      <c r="D5" s="9" t="s">
        <v>25</v>
      </c>
      <c r="E5" s="8" t="s">
        <v>26</v>
      </c>
      <c r="F5" s="8" t="n">
        <v>2</v>
      </c>
      <c r="G5" s="8" t="n">
        <v>2</v>
      </c>
      <c r="H5" s="10" t="s">
        <v>27</v>
      </c>
    </row>
    <row r="6" customFormat="false" ht="15" hidden="false" customHeight="false" outlineLevel="0" collapsed="false">
      <c r="D6" s="9" t="s">
        <v>28</v>
      </c>
      <c r="E6" s="8" t="s">
        <v>29</v>
      </c>
      <c r="F6" s="8" t="n">
        <v>4</v>
      </c>
      <c r="G6" s="8" t="n">
        <v>4</v>
      </c>
      <c r="H6" s="10" t="s">
        <v>30</v>
      </c>
    </row>
    <row r="8" customFormat="false" ht="15" hidden="false" customHeight="false" outlineLevel="0" collapsed="false">
      <c r="A8" s="11" t="s">
        <v>31</v>
      </c>
    </row>
    <row r="9" customFormat="false" ht="27.75" hidden="false" customHeight="true" outlineLevel="0" collapsed="false">
      <c r="A9" s="12" t="s">
        <v>32</v>
      </c>
      <c r="B9" s="12" t="s">
        <v>21</v>
      </c>
      <c r="C9" s="12" t="s">
        <v>22</v>
      </c>
      <c r="D9" s="12" t="s">
        <v>33</v>
      </c>
      <c r="E9" s="12" t="s">
        <v>34</v>
      </c>
      <c r="F9" s="12" t="s">
        <v>35</v>
      </c>
      <c r="G9" s="12" t="s">
        <v>36</v>
      </c>
      <c r="H9" s="12" t="s">
        <v>37</v>
      </c>
    </row>
    <row r="10" customFormat="false" ht="15" hidden="false" customHeight="false" outlineLevel="0" collapsed="false">
      <c r="A10" s="13" t="s">
        <v>26</v>
      </c>
      <c r="B10" s="8" t="n">
        <v>2</v>
      </c>
      <c r="C10" s="8" t="n">
        <v>2</v>
      </c>
      <c r="D10" s="14"/>
      <c r="E10" s="14"/>
      <c r="F10" s="15"/>
      <c r="G10" s="14"/>
      <c r="H10" s="16"/>
    </row>
    <row r="11" customFormat="false" ht="15" hidden="false" customHeight="false" outlineLevel="0" collapsed="false">
      <c r="A11" s="13" t="s">
        <v>38</v>
      </c>
      <c r="B11" s="8" t="n">
        <v>3</v>
      </c>
      <c r="C11" s="8" t="n">
        <v>1</v>
      </c>
      <c r="D11" s="14"/>
      <c r="E11" s="14"/>
      <c r="F11" s="15"/>
      <c r="G11" s="14"/>
      <c r="H11" s="16"/>
    </row>
    <row r="12" customFormat="false" ht="15" hidden="false" customHeight="false" outlineLevel="0" collapsed="false">
      <c r="A12" s="13" t="s">
        <v>39</v>
      </c>
      <c r="B12" s="8" t="n">
        <v>1</v>
      </c>
      <c r="C12" s="8" t="n">
        <v>3</v>
      </c>
      <c r="D12" s="14"/>
      <c r="E12" s="14"/>
      <c r="F12" s="15"/>
      <c r="G12" s="14"/>
      <c r="H12" s="16"/>
    </row>
    <row r="13" customFormat="false" ht="15" hidden="false" customHeight="false" outlineLevel="0" collapsed="false">
      <c r="A13" s="13" t="s">
        <v>29</v>
      </c>
      <c r="B13" s="8" t="n">
        <v>4</v>
      </c>
      <c r="C13" s="8" t="n">
        <v>4</v>
      </c>
      <c r="D13" s="14"/>
      <c r="E13" s="14"/>
      <c r="F13" s="15"/>
      <c r="G13" s="14"/>
      <c r="H13" s="16"/>
    </row>
    <row r="14" customFormat="false" ht="15" hidden="false" customHeight="false" outlineLevel="0" collapsed="false">
      <c r="A14" s="13" t="s">
        <v>40</v>
      </c>
      <c r="B14" s="8" t="n">
        <v>6</v>
      </c>
      <c r="C14" s="8" t="n">
        <v>7</v>
      </c>
      <c r="D14" s="14"/>
      <c r="E14" s="14"/>
      <c r="F14" s="15"/>
      <c r="G14" s="14"/>
      <c r="H14" s="16"/>
    </row>
    <row r="15" customFormat="false" ht="15" hidden="false" customHeight="false" outlineLevel="0" collapsed="false">
      <c r="A15" s="13" t="s">
        <v>41</v>
      </c>
      <c r="B15" s="8" t="n">
        <v>7</v>
      </c>
      <c r="C15" s="8" t="n">
        <v>8</v>
      </c>
      <c r="D15" s="14"/>
      <c r="E15" s="14"/>
      <c r="F15" s="15"/>
      <c r="G15" s="14"/>
      <c r="H15" s="16"/>
    </row>
    <row r="16" customFormat="false" ht="15" hidden="false" customHeight="false" outlineLevel="0" collapsed="false">
      <c r="A16" s="13" t="s">
        <v>42</v>
      </c>
      <c r="B16" s="8" t="n">
        <v>8</v>
      </c>
      <c r="C16" s="8" t="n">
        <v>6</v>
      </c>
      <c r="D16" s="14"/>
      <c r="E16" s="14"/>
      <c r="F16" s="15"/>
      <c r="G16" s="14"/>
      <c r="H16" s="16"/>
    </row>
    <row r="17" customFormat="false" ht="15" hidden="false" customHeight="false" outlineLevel="0" collapsed="false">
      <c r="A17" s="13" t="s">
        <v>43</v>
      </c>
      <c r="B17" s="8" t="n">
        <v>9</v>
      </c>
      <c r="C17" s="8" t="n">
        <v>8</v>
      </c>
      <c r="D17" s="14"/>
      <c r="E17" s="14"/>
      <c r="F17" s="15"/>
      <c r="G17" s="14"/>
      <c r="H17" s="16"/>
    </row>
    <row r="18" customFormat="false" ht="15" hidden="false" customHeight="false" outlineLevel="0" collapsed="false">
      <c r="A18" s="17" t="s">
        <v>44</v>
      </c>
      <c r="B18" s="17"/>
      <c r="C18" s="17"/>
      <c r="D18" s="17"/>
      <c r="E18" s="17"/>
      <c r="F18" s="17"/>
      <c r="G18" s="18"/>
    </row>
    <row r="20" customFormat="false" ht="15" hidden="false" customHeight="false" outlineLevel="0" collapsed="false">
      <c r="A20" s="11" t="s">
        <v>45</v>
      </c>
    </row>
    <row r="21" customFormat="false" ht="27.75" hidden="false" customHeight="true" outlineLevel="0" collapsed="false">
      <c r="A21" s="19" t="s">
        <v>46</v>
      </c>
      <c r="B21" s="19" t="s">
        <v>47</v>
      </c>
      <c r="C21" s="19" t="s">
        <v>48</v>
      </c>
      <c r="D21" s="19" t="s">
        <v>49</v>
      </c>
      <c r="E21" s="19" t="s">
        <v>50</v>
      </c>
    </row>
    <row r="22" customFormat="false" ht="15" hidden="false" customHeight="false" outlineLevel="0" collapsed="false">
      <c r="A22" s="9" t="s">
        <v>51</v>
      </c>
      <c r="B22" s="20"/>
      <c r="C22" s="21"/>
      <c r="D22" s="21"/>
      <c r="E22" s="10" t="e">
        <f aca="false">AVERAGEIF($F$10:$F$17, 1, feature_range) -&gt; ได้ (2, 2)</f>
        <v>#VALUE!</v>
      </c>
    </row>
    <row r="23" customFormat="false" ht="15" hidden="false" customHeight="false" outlineLevel="0" collapsed="false">
      <c r="A23" s="9" t="s">
        <v>52</v>
      </c>
      <c r="B23" s="20"/>
      <c r="C23" s="21"/>
      <c r="D23" s="21"/>
      <c r="E23" s="10" t="e">
        <f aca="false">AVERAGEIF($F$10:$F$17, 2, feature_range) -&gt; ได้ (6.8, 6.6)</f>
        <v>#VALUE!</v>
      </c>
    </row>
    <row r="25" customFormat="false" ht="15" hidden="false" customHeight="false" outlineLevel="0" collapsed="false">
      <c r="A25" s="11" t="s">
        <v>53</v>
      </c>
    </row>
    <row r="26" customFormat="false" ht="27.75" hidden="false" customHeight="true" outlineLevel="0" collapsed="false">
      <c r="A26" s="12" t="s">
        <v>32</v>
      </c>
      <c r="B26" s="12" t="s">
        <v>54</v>
      </c>
      <c r="C26" s="12" t="s">
        <v>55</v>
      </c>
      <c r="D26" s="12" t="s">
        <v>56</v>
      </c>
      <c r="E26" s="12" t="s">
        <v>57</v>
      </c>
      <c r="F26" s="12" t="s">
        <v>58</v>
      </c>
      <c r="G26" s="12" t="s">
        <v>59</v>
      </c>
      <c r="H26" s="12" t="s">
        <v>60</v>
      </c>
    </row>
    <row r="27" customFormat="false" ht="15" hidden="false" customHeight="false" outlineLevel="0" collapsed="false">
      <c r="A27" s="13" t="s">
        <v>26</v>
      </c>
      <c r="B27" s="8" t="n">
        <v>2</v>
      </c>
      <c r="C27" s="8" t="n">
        <v>2</v>
      </c>
      <c r="D27" s="14"/>
      <c r="E27" s="14"/>
      <c r="F27" s="15"/>
      <c r="G27" s="14"/>
      <c r="H27" s="22"/>
    </row>
    <row r="28" customFormat="false" ht="15" hidden="false" customHeight="false" outlineLevel="0" collapsed="false">
      <c r="A28" s="13" t="s">
        <v>38</v>
      </c>
      <c r="B28" s="8" t="n">
        <v>3</v>
      </c>
      <c r="C28" s="8" t="n">
        <v>1</v>
      </c>
      <c r="D28" s="14"/>
      <c r="E28" s="14"/>
      <c r="F28" s="15"/>
      <c r="G28" s="14"/>
      <c r="H28" s="22"/>
    </row>
    <row r="29" customFormat="false" ht="15" hidden="false" customHeight="false" outlineLevel="0" collapsed="false">
      <c r="A29" s="13" t="s">
        <v>39</v>
      </c>
      <c r="B29" s="8" t="n">
        <v>1</v>
      </c>
      <c r="C29" s="8" t="n">
        <v>3</v>
      </c>
      <c r="D29" s="14"/>
      <c r="E29" s="14"/>
      <c r="F29" s="15"/>
      <c r="G29" s="14"/>
      <c r="H29" s="22"/>
    </row>
    <row r="30" customFormat="false" ht="15" hidden="false" customHeight="false" outlineLevel="0" collapsed="false">
      <c r="A30" s="13" t="s">
        <v>29</v>
      </c>
      <c r="B30" s="8" t="n">
        <v>4</v>
      </c>
      <c r="C30" s="8" t="n">
        <v>4</v>
      </c>
      <c r="D30" s="14"/>
      <c r="E30" s="14"/>
      <c r="F30" s="15"/>
      <c r="G30" s="14"/>
      <c r="H30" s="22"/>
    </row>
    <row r="31" customFormat="false" ht="15" hidden="false" customHeight="false" outlineLevel="0" collapsed="false">
      <c r="A31" s="13" t="s">
        <v>40</v>
      </c>
      <c r="B31" s="8" t="n">
        <v>6</v>
      </c>
      <c r="C31" s="8" t="n">
        <v>7</v>
      </c>
      <c r="D31" s="14"/>
      <c r="E31" s="14"/>
      <c r="F31" s="15"/>
      <c r="G31" s="14"/>
      <c r="H31" s="22"/>
    </row>
    <row r="32" customFormat="false" ht="15" hidden="false" customHeight="false" outlineLevel="0" collapsed="false">
      <c r="A32" s="13" t="s">
        <v>41</v>
      </c>
      <c r="B32" s="8" t="n">
        <v>7</v>
      </c>
      <c r="C32" s="8" t="n">
        <v>8</v>
      </c>
      <c r="D32" s="14"/>
      <c r="E32" s="14"/>
      <c r="F32" s="15"/>
      <c r="G32" s="14"/>
      <c r="H32" s="22"/>
    </row>
    <row r="33" customFormat="false" ht="15" hidden="false" customHeight="false" outlineLevel="0" collapsed="false">
      <c r="A33" s="13" t="s">
        <v>42</v>
      </c>
      <c r="B33" s="8" t="n">
        <v>8</v>
      </c>
      <c r="C33" s="8" t="n">
        <v>6</v>
      </c>
      <c r="D33" s="14"/>
      <c r="E33" s="14"/>
      <c r="F33" s="15"/>
      <c r="G33" s="14"/>
      <c r="H33" s="22"/>
    </row>
    <row r="34" customFormat="false" ht="15" hidden="false" customHeight="false" outlineLevel="0" collapsed="false">
      <c r="A34" s="13" t="s">
        <v>43</v>
      </c>
      <c r="B34" s="8" t="n">
        <v>9</v>
      </c>
      <c r="C34" s="8" t="n">
        <v>8</v>
      </c>
      <c r="D34" s="14"/>
      <c r="E34" s="14"/>
      <c r="F34" s="15"/>
      <c r="G34" s="14"/>
      <c r="H34" s="22"/>
    </row>
    <row r="35" customFormat="false" ht="15" hidden="false" customHeight="false" outlineLevel="0" collapsed="false">
      <c r="A35" s="17" t="s">
        <v>61</v>
      </c>
      <c r="B35" s="17"/>
      <c r="C35" s="17"/>
      <c r="D35" s="17"/>
      <c r="E35" s="17"/>
      <c r="F35" s="17"/>
      <c r="G35" s="18"/>
    </row>
    <row r="37" customFormat="false" ht="15" hidden="false" customHeight="false" outlineLevel="0" collapsed="false">
      <c r="A37" s="11" t="s">
        <v>62</v>
      </c>
    </row>
    <row r="38" customFormat="false" ht="27.75" hidden="false" customHeight="true" outlineLevel="0" collapsed="false">
      <c r="A38" s="19" t="s">
        <v>46</v>
      </c>
      <c r="B38" s="19" t="s">
        <v>47</v>
      </c>
      <c r="C38" s="19" t="s">
        <v>48</v>
      </c>
      <c r="D38" s="19" t="s">
        <v>49</v>
      </c>
      <c r="E38" s="19" t="s">
        <v>63</v>
      </c>
    </row>
    <row r="39" customFormat="false" ht="15" hidden="false" customHeight="false" outlineLevel="0" collapsed="false">
      <c r="A39" s="9" t="s">
        <v>51</v>
      </c>
      <c r="B39" s="20"/>
      <c r="C39" s="21"/>
      <c r="D39" s="21"/>
      <c r="E39" s="10" t="s">
        <v>64</v>
      </c>
    </row>
    <row r="40" customFormat="false" ht="15" hidden="false" customHeight="false" outlineLevel="0" collapsed="false">
      <c r="A40" s="9" t="s">
        <v>52</v>
      </c>
      <c r="B40" s="20"/>
      <c r="C40" s="21"/>
      <c r="D40" s="21"/>
      <c r="E40" s="10" t="s">
        <v>65</v>
      </c>
    </row>
    <row r="42" customFormat="false" ht="15" hidden="false" customHeight="false" outlineLevel="0" collapsed="false">
      <c r="A42" s="11" t="s">
        <v>66</v>
      </c>
    </row>
    <row r="43" customFormat="false" ht="15" hidden="false" customHeight="false" outlineLevel="0" collapsed="false">
      <c r="A43" s="23" t="s">
        <v>67</v>
      </c>
      <c r="B43" s="23"/>
      <c r="C43" s="23"/>
      <c r="D43" s="24"/>
      <c r="E43" s="24"/>
      <c r="F43" s="24"/>
      <c r="G43" s="24"/>
    </row>
    <row r="44" customFormat="false" ht="15" hidden="false" customHeight="false" outlineLevel="0" collapsed="false">
      <c r="A44" s="23" t="s">
        <v>68</v>
      </c>
      <c r="B44" s="23"/>
      <c r="C44" s="23"/>
      <c r="D44" s="25"/>
      <c r="E44" s="25"/>
      <c r="F44" s="25"/>
      <c r="G44" s="25"/>
    </row>
    <row r="45" customFormat="false" ht="15" hidden="false" customHeight="false" outlineLevel="0" collapsed="false">
      <c r="A45" s="23" t="s">
        <v>69</v>
      </c>
      <c r="B45" s="23"/>
      <c r="C45" s="23"/>
      <c r="D45" s="24"/>
      <c r="E45" s="24"/>
      <c r="F45" s="24"/>
      <c r="G45" s="24"/>
    </row>
    <row r="47" customFormat="false" ht="15" hidden="false" customHeight="false" outlineLevel="0" collapsed="false">
      <c r="A47" s="5" t="s">
        <v>70</v>
      </c>
    </row>
    <row r="48" customFormat="false" ht="10.75" hidden="false" customHeight="false" outlineLevel="0" collapsed="false">
      <c r="A48" s="26" t="s">
        <v>71</v>
      </c>
      <c r="B48" s="26"/>
      <c r="C48" s="26"/>
      <c r="D48" s="26"/>
      <c r="E48" s="26"/>
      <c r="F48" s="26"/>
      <c r="G48" s="26"/>
      <c r="H48" s="26"/>
      <c r="I48" s="26"/>
    </row>
    <row r="49" customFormat="false" ht="10.75" hidden="false" customHeight="false" outlineLevel="0" collapsed="false">
      <c r="A49" s="26" t="s">
        <v>72</v>
      </c>
      <c r="B49" s="26"/>
      <c r="C49" s="26"/>
      <c r="D49" s="26"/>
      <c r="E49" s="26"/>
      <c r="F49" s="26"/>
      <c r="G49" s="26"/>
      <c r="H49" s="26"/>
      <c r="I49" s="26"/>
    </row>
    <row r="50" customFormat="false" ht="10.75" hidden="false" customHeight="false" outlineLevel="0" collapsed="false">
      <c r="A50" s="26" t="s">
        <v>73</v>
      </c>
      <c r="B50" s="26"/>
      <c r="C50" s="26"/>
      <c r="D50" s="26"/>
      <c r="E50" s="26"/>
      <c r="F50" s="26"/>
      <c r="G50" s="26"/>
      <c r="H50" s="26"/>
      <c r="I50" s="26"/>
    </row>
  </sheetData>
  <mergeCells count="12">
    <mergeCell ref="A1:I1"/>
    <mergeCell ref="A18:F18"/>
    <mergeCell ref="A35:F35"/>
    <mergeCell ref="A43:C43"/>
    <mergeCell ref="D43:G43"/>
    <mergeCell ref="A44:C44"/>
    <mergeCell ref="D44:G44"/>
    <mergeCell ref="A45:C45"/>
    <mergeCell ref="D45:G45"/>
    <mergeCell ref="A48:I48"/>
    <mergeCell ref="A49:I49"/>
    <mergeCell ref="A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10"/>
  </cols>
  <sheetData>
    <row r="1" customFormat="false" ht="15.9" hidden="false" customHeight="false" outlineLevel="0" collapsed="false">
      <c r="A1" s="1" t="s">
        <v>74</v>
      </c>
      <c r="B1" s="1"/>
      <c r="C1" s="1"/>
      <c r="D1" s="1"/>
      <c r="E1" s="1"/>
      <c r="F1" s="1"/>
    </row>
    <row r="3" customFormat="false" ht="10.75" hidden="false" customHeight="false" outlineLevel="0" collapsed="false">
      <c r="A3" s="26" t="s">
        <v>75</v>
      </c>
      <c r="B3" s="26"/>
      <c r="C3" s="26"/>
      <c r="D3" s="26"/>
      <c r="E3" s="26"/>
      <c r="F3" s="26"/>
    </row>
    <row r="5" customFormat="false" ht="27.75" hidden="false" customHeight="true" outlineLevel="0" collapsed="false">
      <c r="A5" s="12" t="s">
        <v>76</v>
      </c>
      <c r="B5" s="12" t="s">
        <v>77</v>
      </c>
      <c r="C5" s="12" t="s">
        <v>78</v>
      </c>
      <c r="D5" s="12" t="s">
        <v>79</v>
      </c>
      <c r="E5" s="12" t="s">
        <v>80</v>
      </c>
    </row>
    <row r="6" customFormat="false" ht="15" hidden="false" customHeight="false" outlineLevel="0" collapsed="false">
      <c r="A6" s="13" t="n">
        <v>1</v>
      </c>
      <c r="B6" s="8" t="n">
        <v>112.88</v>
      </c>
      <c r="C6" s="27" t="s">
        <v>81</v>
      </c>
      <c r="D6" s="27" t="s">
        <v>81</v>
      </c>
      <c r="E6" s="28" t="s">
        <v>82</v>
      </c>
    </row>
    <row r="7" customFormat="false" ht="15" hidden="false" customHeight="false" outlineLevel="0" collapsed="false">
      <c r="A7" s="13" t="n">
        <v>2</v>
      </c>
      <c r="B7" s="8" t="n">
        <v>17.75</v>
      </c>
      <c r="C7" s="29"/>
      <c r="D7" s="30"/>
      <c r="E7" s="31" t="s">
        <v>83</v>
      </c>
    </row>
    <row r="8" customFormat="false" ht="15" hidden="false" customHeight="false" outlineLevel="0" collapsed="false">
      <c r="A8" s="13" t="n">
        <v>3</v>
      </c>
      <c r="B8" s="8" t="n">
        <v>11.75</v>
      </c>
      <c r="C8" s="29"/>
      <c r="D8" s="30"/>
      <c r="E8" s="28" t="s">
        <v>84</v>
      </c>
    </row>
    <row r="9" customFormat="false" ht="15" hidden="false" customHeight="false" outlineLevel="0" collapsed="false">
      <c r="A9" s="13" t="n">
        <v>4</v>
      </c>
      <c r="B9" s="8" t="n">
        <v>7.5</v>
      </c>
      <c r="C9" s="29"/>
      <c r="D9" s="30"/>
      <c r="E9" s="28" t="s">
        <v>85</v>
      </c>
    </row>
    <row r="10" customFormat="false" ht="15" hidden="false" customHeight="false" outlineLevel="0" collapsed="false">
      <c r="A10" s="13" t="n">
        <v>5</v>
      </c>
      <c r="B10" s="8" t="n">
        <v>4.5</v>
      </c>
      <c r="C10" s="29"/>
      <c r="D10" s="30"/>
      <c r="E10" s="28" t="s">
        <v>86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2026-09-13T15:13:52Z</dcterms:created>
  <dc:creator>openpyxl</dc:creator>
  <dc:description/>
  <dc:language>en-US</dc:language>
  <cp:lastModifiedBy/>
  <dcterms:modified xsi:type="dcterms:W3CDTF">2026-09-13T22:25:44Z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