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KMeans_2D_Step_by_Step" sheetId="2" state="visible" r:id="rId2"/>
    <sheet xmlns:r="http://schemas.openxmlformats.org/officeDocument/2006/relationships" name="02_Elbow_Meth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%"/>
  </numFmts>
  <fonts count="1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10"/>
    </font>
    <font>
      <name val="Arial"/>
      <b val="1"/>
      <sz val="11"/>
    </font>
    <font>
      <name val="Arial"/>
      <color rgb="000000FF"/>
    </font>
    <font>
      <name val="Arial"/>
      <b val="1"/>
      <color rgb="00FFFFFF"/>
      <sz val="10"/>
    </font>
    <font>
      <name val="Arial"/>
      <b val="1"/>
    </font>
    <font>
      <name val="Arial"/>
      <i val="1"/>
      <color rgb="00334155"/>
      <sz val="9"/>
    </font>
    <font>
      <name val="Arial"/>
      <color rgb="00000000"/>
    </font>
    <font>
      <name val="Arial"/>
      <b val="1"/>
      <sz val="10"/>
    </font>
    <font>
      <name val="Arial"/>
      <b val="1"/>
      <color rgb="004338CA"/>
      <sz val="11"/>
    </font>
    <font>
      <name val="Arial"/>
      <b val="1"/>
      <color rgb="00065F46"/>
    </font>
    <font>
      <name val="Arial"/>
      <color rgb="00334155"/>
    </font>
    <font>
      <name val="Arial"/>
      <b val="1"/>
      <color rgb="00047857"/>
    </font>
  </fonts>
  <fills count="9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1E3A5F"/>
      </patternFill>
    </fill>
    <fill>
      <patternFill patternType="solid">
        <fgColor rgb="000F766E"/>
      </patternFill>
    </fill>
    <fill>
      <patternFill patternType="solid">
        <fgColor rgb="00DCFCE7"/>
      </patternFill>
    </fill>
    <fill>
      <patternFill patternType="solid">
        <fgColor rgb="00F3E8FF"/>
      </patternFill>
    </fill>
    <fill>
      <patternFill patternType="solid">
        <fgColor rgb="004338CA"/>
      </patternFill>
    </fill>
    <fill>
      <patternFill patternType="solid">
        <fgColor rgb="00E0F2FE"/>
      </patternFill>
    </fill>
  </fills>
  <borders count="7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293B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pivotButton="0" quotePrefix="0" xfId="0"/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center" vertical="center"/>
    </xf>
    <xf numFmtId="1" fontId="6" fillId="2" borderId="1" applyAlignment="1" pivotButton="0" quotePrefix="0" xfId="0">
      <alignment horizontal="center" vertical="center"/>
    </xf>
    <xf numFmtId="49" fontId="8" fillId="5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right" vertical="center"/>
    </xf>
    <xf numFmtId="164" fontId="10" fillId="6" borderId="2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 wrapText="1"/>
    </xf>
    <xf numFmtId="1" fontId="8" fillId="8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49" fontId="6" fillId="5" borderId="1" applyAlignment="1" pivotButton="0" quotePrefix="0" xfId="0">
      <alignment horizontal="center" vertical="center"/>
    </xf>
    <xf numFmtId="0" fontId="9" fillId="0" borderId="0" pivotButton="0" quotePrefix="0" xfId="0"/>
    <xf numFmtId="49" fontId="11" fillId="5" borderId="1" pivotButton="0" quotePrefix="0" xfId="0"/>
    <xf numFmtId="0" fontId="0" fillId="0" borderId="5" pivotButton="0" quotePrefix="0" xfId="0"/>
    <xf numFmtId="0" fontId="0" fillId="0" borderId="6" pivotButton="0" quotePrefix="0" xfId="0"/>
    <xf numFmtId="164" fontId="11" fillId="5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12" fillId="0" borderId="1" pivotButton="0" quotePrefix="0" xfId="0"/>
    <xf numFmtId="2" fontId="8" fillId="2" borderId="1" applyAlignment="1" pivotButton="0" quotePrefix="0" xfId="0">
      <alignment horizontal="center" vertical="center"/>
    </xf>
    <xf numFmtId="165" fontId="8" fillId="2" borderId="1" applyAlignment="1" pivotButton="0" quotePrefix="0" xfId="0">
      <alignment horizontal="center" vertical="center"/>
    </xf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Elbow Method: WCSS vs Number of Clusters (K)</a:t>
            </a:r>
          </a:p>
        </rich>
      </tx>
    </title>
    <plotArea>
      <lineChart>
        <grouping val="standard"/>
        <ser>
          <idx val="0"/>
          <order val="0"/>
          <tx>
            <strRef>
              <f>'02_Elbow_Method'!B5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'02_Elbow_Method'!$A$6:$A$10</f>
            </numRef>
          </cat>
          <val>
            <numRef>
              <f>'02_Elbow_Method'!$B$6:$B$10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Clusters (K)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WCSS / Inertia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ใบงานคำนวณมือ K-Means Clustering ทีละขั้นตอน (Step-by-Step)</t>
        </is>
      </c>
    </row>
    <row r="3" ht="24" customHeight="1">
      <c r="A3" s="2" t="inlineStr">
        <is>
          <t>1. ลำดับการเรียนรู้: อ่านบทเรียน 18-ML-Unsupervised-KMeans.html → เปิด index.html (Sandbox) → ทำใบงาน Excel นี้ → รัน python3 kmeans_from_scratch.py</t>
        </is>
      </c>
    </row>
    <row r="4" ht="30" customHeight="1">
      <c r="A4" s="2" t="inlineStr">
        <is>
          <t>2. รหัสสีในตาราง:</t>
        </is>
      </c>
    </row>
    <row r="5" ht="24" customHeight="1">
      <c r="A5" s="2" t="inlineStr">
        <is>
          <t xml:space="preserve">    - เซลล์พื้นสีเหลือง + ตัวเลขสีน้ำเงิน = ค่าข้อมูลที่กำหนดให้ (ห้ามแก้ไขตอนทำแบบฝึกหัด)</t>
        </is>
      </c>
    </row>
    <row r="6" ht="24" customHeight="1">
      <c r="A6" s="2" t="inlineStr">
        <is>
          <t xml:space="preserve">    - เซลล์พื้นสีเหลืองว่าง (ไฟล์โจทย์) = ให้ผู้เรียนพิมพ์สูตรคำนวณของ Excel ลงไปด้วยตนเอง (ห้ามพิมพ์เฉพาะคำตอบตัวเลข)</t>
        </is>
      </c>
    </row>
    <row r="7" ht="24" customHeight="1">
      <c r="A7" s="2" t="inlineStr">
        <is>
          <t xml:space="preserve">    - เซลล์พื้นสีฟ้า/เขียว = ส่วนสรุปและวิเคราะห์ผลลัพธ์ของอัลกอริทึม</t>
        </is>
      </c>
    </row>
    <row r="8" ht="24" customHeight="1">
      <c r="A8" s="2" t="inlineStr">
        <is>
          <t>3. สาระสำคัญและสูตรคณิตศาสตร์ของ K-Means (Lloyd's Algorithm):</t>
        </is>
      </c>
    </row>
    <row r="9" ht="30" customHeight="1">
      <c r="A9" s="2" t="inlineStr">
        <is>
          <t xml:space="preserve">    (1) ระยะทางแบบยุคลิด (Euclidean Distance): d(x, c) = √[(x₁ - c₁)² + (x₂ - c₂)²]  → ใน Excel ใช้สูตร =SQRT((x1 - c1)^2 + (x2 - c2)^2)</t>
        </is>
      </c>
    </row>
    <row r="10" ht="24" customHeight="1">
      <c r="A10" s="2" t="inlineStr">
        <is>
          <t xml:space="preserve">    (2) การกำหนดกลุ่ม (Assignment Step): กำหนดจุด x ไปยังคลัสเตอร์ k ที่มีระยะห่างน้อยที่สุด  → ใน Excel ใช้สูตร =IF(d_C1 &lt;= d_C2, 1, 2)</t>
        </is>
      </c>
    </row>
    <row r="11" ht="24" customHeight="1">
      <c r="A11" s="2" t="inlineStr">
        <is>
          <t xml:space="preserve">    (3) การคำนวณ Centroid ใหม่ (Update Step): หาค่าเฉลี่ยของจุดข้อมูลในกลุ่ม  → ใน Excel ใช้สูตร =AVERAGEIF(Cluster_Range, k, Feature_Range)</t>
        </is>
      </c>
    </row>
    <row r="12" ht="24" customHeight="1">
      <c r="A12" s="2" t="inlineStr">
        <is>
          <t xml:space="preserve">    (4) ฟังก์ชันเป้าหมาย WCSS (Within-Cluster Sum of Squares / Inertia): WCSS = ∑ min ||x - c_k||²  → ใน Excel ใช้สูตร =SUM(d_min_sq)</t>
        </is>
      </c>
    </row>
    <row r="13" ht="24" customHeight="1">
      <c r="A13" s="2" t="inlineStr">
        <is>
          <t xml:space="preserve">    (5) เงื่อนไขการลู่เข้า (Convergence): อัลกอริทึมสิ้นสุดเมื่อไม่มีจุดข้อมูลใดเปลี่ยนกลุ่มอีกต่อไป (Cluster Assignments คงที่)</t>
        </is>
      </c>
    </row>
    <row r="14" ht="24" customHeight="1">
      <c r="A14" s="2" t="inlineStr">
        <is>
          <t>4. ไฟล์เฉลย (KMeans_Clustering_Step_by_Step_TH_Solved.xlsx) มีสูตรครบถ้วน ให้ใช้เพื่อตรวจสอบความเข้าใจหลังคำนวณด้วยตนเอง</t>
        </is>
      </c>
    </row>
  </sheetData>
  <mergeCells count="13">
    <mergeCell ref="A13:G13"/>
    <mergeCell ref="A14:G14"/>
    <mergeCell ref="A1:G1"/>
    <mergeCell ref="A9:G9"/>
    <mergeCell ref="A8:G8"/>
    <mergeCell ref="A3:G3"/>
    <mergeCell ref="A6:G6"/>
    <mergeCell ref="A12:G12"/>
    <mergeCell ref="A4:G4"/>
    <mergeCell ref="A7:G7"/>
    <mergeCell ref="A11:G11"/>
    <mergeCell ref="A10:G10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14" customWidth="1" min="5" max="5"/>
    <col width="18" customWidth="1" min="6" max="6"/>
    <col width="18" customWidth="1" min="7" max="7"/>
    <col width="22" customWidth="1" min="8" max="8"/>
    <col width="12" customWidth="1" min="9" max="9"/>
  </cols>
  <sheetData>
    <row r="1">
      <c r="A1" s="1" t="inlineStr">
        <is>
          <t>การคำนวณ K-Means Clustering 2 มิติ (N=8 จุด, K=2 กลุ่ม, ฟีเจอร์: รายได้ X1 และ คะแนนใช้จ่าย X2)</t>
        </is>
      </c>
    </row>
    <row r="3">
      <c r="A3" s="3" t="inlineStr">
        <is>
          <t>พารามิเตอร์เริ่มต้น:</t>
        </is>
      </c>
      <c r="D3" s="3" t="inlineStr">
        <is>
          <t>จุดศูนย์กลางเริ่มต้น (Initial Centroids t=0):</t>
        </is>
      </c>
    </row>
    <row r="4" ht="28" customHeight="1">
      <c r="A4" s="4" t="inlineStr">
        <is>
          <t>Centroid</t>
        </is>
      </c>
      <c r="B4" s="4" t="inlineStr">
        <is>
          <t>เลือกจากจุด</t>
        </is>
      </c>
      <c r="C4" s="4" t="inlineStr">
        <is>
          <t>X1 (รายได้)</t>
        </is>
      </c>
      <c r="D4" s="4" t="inlineStr">
        <is>
          <t>X2 (คะแนน)</t>
        </is>
      </c>
      <c r="E4" s="4" t="inlineStr">
        <is>
          <t>คำอธิบาย</t>
        </is>
      </c>
    </row>
    <row r="5">
      <c r="A5" t="inlineStr">
        <is>
          <t>จำนวนจุด (N)</t>
        </is>
      </c>
      <c r="B5" s="5" t="n">
        <v>8</v>
      </c>
      <c r="D5" s="6" t="inlineStr">
        <is>
          <t>C1 (กลุ่ม 1)</t>
        </is>
      </c>
      <c r="E5" s="5" t="inlineStr">
        <is>
          <t>P1</t>
        </is>
      </c>
      <c r="F5" s="5" t="n">
        <v>1</v>
      </c>
      <c r="G5" s="5" t="n">
        <v>2</v>
      </c>
      <c r="H5" s="7" t="inlineStr">
        <is>
          <t>จุดข้อมูลเริ่มต้นกลุ่มที่ 1</t>
        </is>
      </c>
    </row>
    <row r="6">
      <c r="D6" s="6" t="inlineStr">
        <is>
          <t>C2 (กลุ่ม 2)</t>
        </is>
      </c>
      <c r="E6" s="5" t="inlineStr">
        <is>
          <t>P4</t>
        </is>
      </c>
      <c r="F6" s="5" t="n">
        <v>4</v>
      </c>
      <c r="G6" s="5" t="n">
        <v>4</v>
      </c>
      <c r="H6" s="7" t="inlineStr">
        <is>
          <t>จุดข้อมูลเริ่มต้นกลุ่มที่ 2</t>
        </is>
      </c>
    </row>
    <row r="8">
      <c r="A8" s="3" t="inlineStr">
        <is>
          <t>【รอบที่ 1: Iteration 1】 — คำนวณระยะทาง Euclidean สู่ Centroid เริ่มต้น (C1: F5,G5 และ C2: F6,G6)</t>
        </is>
      </c>
    </row>
    <row r="9" ht="28" customHeight="1">
      <c r="A9" s="8" t="inlineStr">
        <is>
          <t>จุด</t>
        </is>
      </c>
      <c r="B9" s="8" t="inlineStr">
        <is>
          <t>X1</t>
        </is>
      </c>
      <c r="C9" s="8" t="inlineStr">
        <is>
          <t>X2</t>
        </is>
      </c>
      <c r="D9" s="8" t="inlineStr">
        <is>
          <t>d(P, C1)</t>
        </is>
      </c>
      <c r="E9" s="8" t="inlineStr">
        <is>
          <t>d(P, C2)</t>
        </is>
      </c>
      <c r="F9" s="8" t="inlineStr">
        <is>
          <t>กลุ่มที่ได้ (Cluster)</t>
        </is>
      </c>
      <c r="G9" s="8" t="inlineStr">
        <is>
          <t>d_min² (สำหรับ WCSS)</t>
        </is>
      </c>
      <c r="H9" s="8" t="inlineStr">
        <is>
          <t>Centroid ที่สังกัด</t>
        </is>
      </c>
    </row>
    <row r="10">
      <c r="A10" s="9" t="inlineStr">
        <is>
          <t>P1</t>
        </is>
      </c>
      <c r="B10" s="5" t="n">
        <v>1</v>
      </c>
      <c r="C10" s="5" t="n">
        <v>2</v>
      </c>
      <c r="D10" s="10">
        <f>SQRT((B10-$F$5)^2 + (C10-$G$5)^2)</f>
        <v/>
      </c>
      <c r="E10" s="10">
        <f>SQRT((B10-$F$6)^2 + (C10-$G$6)^2)</f>
        <v/>
      </c>
      <c r="F10" s="11">
        <f>IF(D10&lt;=E10, 1, 2)</f>
        <v/>
      </c>
      <c r="G10" s="10">
        <f>IF(F10=1, D10^2, E10^2)</f>
        <v/>
      </c>
      <c r="H10" s="12">
        <f>IF(F10=1, "C1", "C2")</f>
        <v/>
      </c>
    </row>
    <row r="11">
      <c r="A11" s="9" t="inlineStr">
        <is>
          <t>P2</t>
        </is>
      </c>
      <c r="B11" s="5" t="n">
        <v>2</v>
      </c>
      <c r="C11" s="5" t="n">
        <v>1</v>
      </c>
      <c r="D11" s="10">
        <f>SQRT((B11-$F$5)^2 + (C11-$G$5)^2)</f>
        <v/>
      </c>
      <c r="E11" s="10">
        <f>SQRT((B11-$F$6)^2 + (C11-$G$6)^2)</f>
        <v/>
      </c>
      <c r="F11" s="11">
        <f>IF(D11&lt;=E11, 1, 2)</f>
        <v/>
      </c>
      <c r="G11" s="10">
        <f>IF(F11=1, D11^2, E11^2)</f>
        <v/>
      </c>
      <c r="H11" s="12">
        <f>IF(F11=1, "C1", "C2")</f>
        <v/>
      </c>
    </row>
    <row r="12">
      <c r="A12" s="9" t="inlineStr">
        <is>
          <t>P3</t>
        </is>
      </c>
      <c r="B12" s="5" t="n">
        <v>2</v>
      </c>
      <c r="C12" s="5" t="n">
        <v>3</v>
      </c>
      <c r="D12" s="10">
        <f>SQRT((B12-$F$5)^2 + (C12-$G$5)^2)</f>
        <v/>
      </c>
      <c r="E12" s="10">
        <f>SQRT((B12-$F$6)^2 + (C12-$G$6)^2)</f>
        <v/>
      </c>
      <c r="F12" s="11">
        <f>IF(D12&lt;=E12, 1, 2)</f>
        <v/>
      </c>
      <c r="G12" s="10">
        <f>IF(F12=1, D12^2, E12^2)</f>
        <v/>
      </c>
      <c r="H12" s="12">
        <f>IF(F12=1, "C1", "C2")</f>
        <v/>
      </c>
    </row>
    <row r="13">
      <c r="A13" s="9" t="inlineStr">
        <is>
          <t>P4</t>
        </is>
      </c>
      <c r="B13" s="5" t="n">
        <v>4</v>
      </c>
      <c r="C13" s="5" t="n">
        <v>4</v>
      </c>
      <c r="D13" s="10">
        <f>SQRT((B13-$F$5)^2 + (C13-$G$5)^2)</f>
        <v/>
      </c>
      <c r="E13" s="10">
        <f>SQRT((B13-$F$6)^2 + (C13-$G$6)^2)</f>
        <v/>
      </c>
      <c r="F13" s="11">
        <f>IF(D13&lt;=E13, 1, 2)</f>
        <v/>
      </c>
      <c r="G13" s="10">
        <f>IF(F13=1, D13^2, E13^2)</f>
        <v/>
      </c>
      <c r="H13" s="12">
        <f>IF(F13=1, "C1", "C2")</f>
        <v/>
      </c>
    </row>
    <row r="14">
      <c r="A14" s="9" t="inlineStr">
        <is>
          <t>P5</t>
        </is>
      </c>
      <c r="B14" s="5" t="n">
        <v>6</v>
      </c>
      <c r="C14" s="5" t="n">
        <v>5</v>
      </c>
      <c r="D14" s="10">
        <f>SQRT((B14-$F$5)^2 + (C14-$G$5)^2)</f>
        <v/>
      </c>
      <c r="E14" s="10">
        <f>SQRT((B14-$F$6)^2 + (C14-$G$6)^2)</f>
        <v/>
      </c>
      <c r="F14" s="11">
        <f>IF(D14&lt;=E14, 1, 2)</f>
        <v/>
      </c>
      <c r="G14" s="10">
        <f>IF(F14=1, D14^2, E14^2)</f>
        <v/>
      </c>
      <c r="H14" s="12">
        <f>IF(F14=1, "C1", "C2")</f>
        <v/>
      </c>
    </row>
    <row r="15">
      <c r="A15" s="9" t="inlineStr">
        <is>
          <t>P6</t>
        </is>
      </c>
      <c r="B15" s="5" t="n">
        <v>7</v>
      </c>
      <c r="C15" s="5" t="n">
        <v>7</v>
      </c>
      <c r="D15" s="10">
        <f>SQRT((B15-$F$5)^2 + (C15-$G$5)^2)</f>
        <v/>
      </c>
      <c r="E15" s="10">
        <f>SQRT((B15-$F$6)^2 + (C15-$G$6)^2)</f>
        <v/>
      </c>
      <c r="F15" s="11">
        <f>IF(D15&lt;=E15, 1, 2)</f>
        <v/>
      </c>
      <c r="G15" s="10">
        <f>IF(F15=1, D15^2, E15^2)</f>
        <v/>
      </c>
      <c r="H15" s="12">
        <f>IF(F15=1, "C1", "C2")</f>
        <v/>
      </c>
    </row>
    <row r="16">
      <c r="A16" s="9" t="inlineStr">
        <is>
          <t>P7</t>
        </is>
      </c>
      <c r="B16" s="5" t="n">
        <v>8</v>
      </c>
      <c r="C16" s="5" t="n">
        <v>6</v>
      </c>
      <c r="D16" s="10">
        <f>SQRT((B16-$F$5)^2 + (C16-$G$5)^2)</f>
        <v/>
      </c>
      <c r="E16" s="10">
        <f>SQRT((B16-$F$6)^2 + (C16-$G$6)^2)</f>
        <v/>
      </c>
      <c r="F16" s="11">
        <f>IF(D16&lt;=E16, 1, 2)</f>
        <v/>
      </c>
      <c r="G16" s="10">
        <f>IF(F16=1, D16^2, E16^2)</f>
        <v/>
      </c>
      <c r="H16" s="12">
        <f>IF(F16=1, "C1", "C2")</f>
        <v/>
      </c>
    </row>
    <row r="17">
      <c r="A17" s="9" t="inlineStr">
        <is>
          <t>P8</t>
        </is>
      </c>
      <c r="B17" s="5" t="n">
        <v>8</v>
      </c>
      <c r="C17" s="5" t="n">
        <v>8</v>
      </c>
      <c r="D17" s="10">
        <f>SQRT((B17-$F$5)^2 + (C17-$G$5)^2)</f>
        <v/>
      </c>
      <c r="E17" s="10">
        <f>SQRT((B17-$F$6)^2 + (C17-$G$6)^2)</f>
        <v/>
      </c>
      <c r="F17" s="11">
        <f>IF(D17&lt;=E17, 1, 2)</f>
        <v/>
      </c>
      <c r="G17" s="10">
        <f>IF(F17=1, D17^2, E17^2)</f>
        <v/>
      </c>
      <c r="H17" s="12">
        <f>IF(F17=1, "C1", "C2")</f>
        <v/>
      </c>
    </row>
    <row r="18">
      <c r="A18" s="13" t="inlineStr">
        <is>
          <t>รวม WCSS รอบที่ 1 (Inertia):</t>
        </is>
      </c>
      <c r="G18" s="14">
        <f>SUM(G10:G17)</f>
        <v/>
      </c>
    </row>
    <row r="20">
      <c r="A20" s="3" t="inlineStr">
        <is>
          <t>【คำนวณ Centroid ใหม่หลังรอบที่ 1】: ใช้สูตร =AVERAGEIF(...) หาค่าเฉลี่ยของจุดที่สังกัดแต่ละกลุ่ม</t>
        </is>
      </c>
    </row>
    <row r="21" ht="28" customHeight="1">
      <c r="A21" s="15" t="inlineStr">
        <is>
          <t>กลุ่ม (Cluster)</t>
        </is>
      </c>
      <c r="B21" s="15" t="inlineStr">
        <is>
          <t>จำนวนจุดสมาชิก</t>
        </is>
      </c>
      <c r="C21" s="15" t="inlineStr">
        <is>
          <t>Centroid X1 ใหม่</t>
        </is>
      </c>
      <c r="D21" s="15" t="inlineStr">
        <is>
          <t>Centroid X2 ใหม่</t>
        </is>
      </c>
      <c r="E21" s="15" t="inlineStr">
        <is>
          <t>สูตรที่ใช้</t>
        </is>
      </c>
    </row>
    <row r="22">
      <c r="A22" s="6" t="inlineStr">
        <is>
          <t>กลุ่ม 1 (Cluster 1)</t>
        </is>
      </c>
      <c r="B22" s="16">
        <f>COUNTIF($F$10:$F$17, 1)</f>
        <v/>
      </c>
      <c r="C22" s="17">
        <f>AVERAGEIF($F$10:$F$17, 1, $B$10:$B$17)</f>
        <v/>
      </c>
      <c r="D22" s="17">
        <f>AVERAGEIF($F$10:$F$17, 1, $C$10:$C$17)</f>
        <v/>
      </c>
      <c r="E22" s="7">
        <f>AVERAGEIF($F$10:$F$17, 1, feature_range)</f>
        <v/>
      </c>
    </row>
    <row r="23">
      <c r="A23" s="6" t="inlineStr">
        <is>
          <t>กลุ่ม 2 (Cluster 2)</t>
        </is>
      </c>
      <c r="B23" s="16">
        <f>COUNTIF($F$10:$F$17, 2)</f>
        <v/>
      </c>
      <c r="C23" s="17">
        <f>AVERAGEIF($F$10:$F$17, 2, $B$10:$B$17)</f>
        <v/>
      </c>
      <c r="D23" s="17">
        <f>AVERAGEIF($F$10:$F$17, 2, $C$10:$C$17)</f>
        <v/>
      </c>
      <c r="E23" s="7">
        <f>AVERAGEIF($F$10:$F$17, 2, feature_range)</f>
        <v/>
      </c>
    </row>
    <row r="25">
      <c r="A25" s="3" t="inlineStr">
        <is>
          <t>【รอบที่ 2: Iteration 2】 — คำนวณระยะทาง Euclidean สู่ Centroid ใหม่ (C1: C22,D22 และ C2: C23,D23)</t>
        </is>
      </c>
    </row>
    <row r="26" ht="28" customHeight="1">
      <c r="A26" s="8" t="inlineStr">
        <is>
          <t>จุด</t>
        </is>
      </c>
      <c r="B26" s="8" t="inlineStr">
        <is>
          <t>X1</t>
        </is>
      </c>
      <c r="C26" s="8" t="inlineStr">
        <is>
          <t>X2</t>
        </is>
      </c>
      <c r="D26" s="8" t="inlineStr">
        <is>
          <t>d(P, C1_new)</t>
        </is>
      </c>
      <c r="E26" s="8" t="inlineStr">
        <is>
          <t>d(P, C2_new)</t>
        </is>
      </c>
      <c r="F26" s="8" t="inlineStr">
        <is>
          <t>กลุ่มใหม่ (Cluster 2)</t>
        </is>
      </c>
      <c r="G26" s="8" t="inlineStr">
        <is>
          <t>d_min²</t>
        </is>
      </c>
      <c r="H26" s="8" t="inlineStr">
        <is>
          <t>การเปลี่ยนแปลงกลุ่ม</t>
        </is>
      </c>
    </row>
    <row r="27">
      <c r="A27" s="9" t="inlineStr">
        <is>
          <t>P1</t>
        </is>
      </c>
      <c r="B27" s="5" t="n">
        <v>1</v>
      </c>
      <c r="C27" s="5" t="n">
        <v>2</v>
      </c>
      <c r="D27" s="10">
        <f>SQRT((B27-$C$22)^2 + (C27-$D$22)^2)</f>
        <v/>
      </c>
      <c r="E27" s="10">
        <f>SQRT((B27-$C$23)^2 + (C27-$D$23)^2)</f>
        <v/>
      </c>
      <c r="F27" s="11">
        <f>IF(D27&lt;=E27, 1, 2)</f>
        <v/>
      </c>
      <c r="G27" s="10">
        <f>IF(F27=1, D27^2, E27^2)</f>
        <v/>
      </c>
      <c r="H27" s="18">
        <f>IF(F27=F10, "คงเดิม", "ย้ายกลุ่ม (สลับ!)")</f>
        <v/>
      </c>
    </row>
    <row r="28">
      <c r="A28" s="9" t="inlineStr">
        <is>
          <t>P2</t>
        </is>
      </c>
      <c r="B28" s="5" t="n">
        <v>2</v>
      </c>
      <c r="C28" s="5" t="n">
        <v>1</v>
      </c>
      <c r="D28" s="10">
        <f>SQRT((B28-$C$22)^2 + (C28-$D$22)^2)</f>
        <v/>
      </c>
      <c r="E28" s="10">
        <f>SQRT((B28-$C$23)^2 + (C28-$D$23)^2)</f>
        <v/>
      </c>
      <c r="F28" s="11">
        <f>IF(D28&lt;=E28, 1, 2)</f>
        <v/>
      </c>
      <c r="G28" s="10">
        <f>IF(F28=1, D28^2, E28^2)</f>
        <v/>
      </c>
      <c r="H28" s="18">
        <f>IF(F28=F11, "คงเดิม", "ย้ายกลุ่ม (สลับ!)")</f>
        <v/>
      </c>
    </row>
    <row r="29">
      <c r="A29" s="9" t="inlineStr">
        <is>
          <t>P3</t>
        </is>
      </c>
      <c r="B29" s="5" t="n">
        <v>2</v>
      </c>
      <c r="C29" s="5" t="n">
        <v>3</v>
      </c>
      <c r="D29" s="10">
        <f>SQRT((B29-$C$22)^2 + (C29-$D$22)^2)</f>
        <v/>
      </c>
      <c r="E29" s="10">
        <f>SQRT((B29-$C$23)^2 + (C29-$D$23)^2)</f>
        <v/>
      </c>
      <c r="F29" s="11">
        <f>IF(D29&lt;=E29, 1, 2)</f>
        <v/>
      </c>
      <c r="G29" s="10">
        <f>IF(F29=1, D29^2, E29^2)</f>
        <v/>
      </c>
      <c r="H29" s="18">
        <f>IF(F29=F12, "คงเดิม", "ย้ายกลุ่ม (สลับ!)")</f>
        <v/>
      </c>
    </row>
    <row r="30">
      <c r="A30" s="9" t="inlineStr">
        <is>
          <t>P4</t>
        </is>
      </c>
      <c r="B30" s="5" t="n">
        <v>4</v>
      </c>
      <c r="C30" s="5" t="n">
        <v>4</v>
      </c>
      <c r="D30" s="10">
        <f>SQRT((B30-$C$22)^2 + (C30-$D$22)^2)</f>
        <v/>
      </c>
      <c r="E30" s="10">
        <f>SQRT((B30-$C$23)^2 + (C30-$D$23)^2)</f>
        <v/>
      </c>
      <c r="F30" s="11">
        <f>IF(D30&lt;=E30, 1, 2)</f>
        <v/>
      </c>
      <c r="G30" s="10">
        <f>IF(F30=1, D30^2, E30^2)</f>
        <v/>
      </c>
      <c r="H30" s="18">
        <f>IF(F30=F13, "คงเดิม", "ย้ายกลุ่ม (สลับ!)")</f>
        <v/>
      </c>
    </row>
    <row r="31">
      <c r="A31" s="9" t="inlineStr">
        <is>
          <t>P5</t>
        </is>
      </c>
      <c r="B31" s="5" t="n">
        <v>6</v>
      </c>
      <c r="C31" s="5" t="n">
        <v>5</v>
      </c>
      <c r="D31" s="10">
        <f>SQRT((B31-$C$22)^2 + (C31-$D$22)^2)</f>
        <v/>
      </c>
      <c r="E31" s="10">
        <f>SQRT((B31-$C$23)^2 + (C31-$D$23)^2)</f>
        <v/>
      </c>
      <c r="F31" s="11">
        <f>IF(D31&lt;=E31, 1, 2)</f>
        <v/>
      </c>
      <c r="G31" s="10">
        <f>IF(F31=1, D31^2, E31^2)</f>
        <v/>
      </c>
      <c r="H31" s="18">
        <f>IF(F31=F14, "คงเดิม", "ย้ายกลุ่ม (สลับ!)")</f>
        <v/>
      </c>
    </row>
    <row r="32">
      <c r="A32" s="9" t="inlineStr">
        <is>
          <t>P6</t>
        </is>
      </c>
      <c r="B32" s="5" t="n">
        <v>7</v>
      </c>
      <c r="C32" s="5" t="n">
        <v>7</v>
      </c>
      <c r="D32" s="10">
        <f>SQRT((B32-$C$22)^2 + (C32-$D$22)^2)</f>
        <v/>
      </c>
      <c r="E32" s="10">
        <f>SQRT((B32-$C$23)^2 + (C32-$D$23)^2)</f>
        <v/>
      </c>
      <c r="F32" s="11">
        <f>IF(D32&lt;=E32, 1, 2)</f>
        <v/>
      </c>
      <c r="G32" s="10">
        <f>IF(F32=1, D32^2, E32^2)</f>
        <v/>
      </c>
      <c r="H32" s="18">
        <f>IF(F32=F15, "คงเดิม", "ย้ายกลุ่ม (สลับ!)")</f>
        <v/>
      </c>
    </row>
    <row r="33">
      <c r="A33" s="9" t="inlineStr">
        <is>
          <t>P7</t>
        </is>
      </c>
      <c r="B33" s="5" t="n">
        <v>8</v>
      </c>
      <c r="C33" s="5" t="n">
        <v>6</v>
      </c>
      <c r="D33" s="10">
        <f>SQRT((B33-$C$22)^2 + (C33-$D$22)^2)</f>
        <v/>
      </c>
      <c r="E33" s="10">
        <f>SQRT((B33-$C$23)^2 + (C33-$D$23)^2)</f>
        <v/>
      </c>
      <c r="F33" s="11">
        <f>IF(D33&lt;=E33, 1, 2)</f>
        <v/>
      </c>
      <c r="G33" s="10">
        <f>IF(F33=1, D33^2, E33^2)</f>
        <v/>
      </c>
      <c r="H33" s="18">
        <f>IF(F33=F16, "คงเดิม", "ย้ายกลุ่ม (สลับ!)")</f>
        <v/>
      </c>
    </row>
    <row r="34">
      <c r="A34" s="9" t="inlineStr">
        <is>
          <t>P8</t>
        </is>
      </c>
      <c r="B34" s="5" t="n">
        <v>8</v>
      </c>
      <c r="C34" s="5" t="n">
        <v>8</v>
      </c>
      <c r="D34" s="10">
        <f>SQRT((B34-$C$22)^2 + (C34-$D$22)^2)</f>
        <v/>
      </c>
      <c r="E34" s="10">
        <f>SQRT((B34-$C$23)^2 + (C34-$D$23)^2)</f>
        <v/>
      </c>
      <c r="F34" s="11">
        <f>IF(D34&lt;=E34, 1, 2)</f>
        <v/>
      </c>
      <c r="G34" s="10">
        <f>IF(F34=1, D34^2, E34^2)</f>
        <v/>
      </c>
      <c r="H34" s="18">
        <f>IF(F34=F17, "คงเดิม", "ย้ายกลุ่ม (สลับ!)")</f>
        <v/>
      </c>
    </row>
    <row r="35">
      <c r="A35" s="13" t="inlineStr">
        <is>
          <t>รวม WCSS รอบที่ 2 (Inertia):</t>
        </is>
      </c>
      <c r="G35" s="14">
        <f>SUM(G27:G34)</f>
        <v/>
      </c>
    </row>
    <row r="37">
      <c r="A37" s="3" t="inlineStr">
        <is>
          <t>【Centroid หลังรอบที่ 2】: P4 ได้สลับจากกลุ่ม 2 ไปอยู่กลุ่ม 1 ทำให้จุดศูนย์กลางเคลื่อนตัวอีกครั้ง</t>
        </is>
      </c>
    </row>
    <row r="38" ht="28" customHeight="1">
      <c r="A38" s="15" t="inlineStr">
        <is>
          <t>กลุ่ม (Cluster)</t>
        </is>
      </c>
      <c r="B38" s="15" t="inlineStr">
        <is>
          <t>จำนวนจุดสมาชิก</t>
        </is>
      </c>
      <c r="C38" s="15" t="inlineStr">
        <is>
          <t>Centroid X1 ใหม่</t>
        </is>
      </c>
      <c r="D38" s="15" t="inlineStr">
        <is>
          <t>Centroid X2 ใหม่</t>
        </is>
      </c>
      <c r="E38" s="15" t="inlineStr">
        <is>
          <t>จุดสมาชิกในกลุ่ม</t>
        </is>
      </c>
    </row>
    <row r="39">
      <c r="A39" s="6" t="inlineStr">
        <is>
          <t>กลุ่ม 1 (Cluster 1)</t>
        </is>
      </c>
      <c r="B39" s="16">
        <f>COUNTIF($F$27:$F$34, 1)</f>
        <v/>
      </c>
      <c r="C39" s="17">
        <f>AVERAGEIF($F$27:$F$34, 1, $B$27:$B$34)</f>
        <v/>
      </c>
      <c r="D39" s="17">
        <f>AVERAGEIF($F$27:$F$34, 1, $C$27:$C$34)</f>
        <v/>
      </c>
      <c r="E39" s="7" t="inlineStr">
        <is>
          <t>P1, P2, P3, P4 (มี P4 เพิ่มเข้ามา)</t>
        </is>
      </c>
    </row>
    <row r="40">
      <c r="A40" s="6" t="inlineStr">
        <is>
          <t>กลุ่ม 2 (Cluster 2)</t>
        </is>
      </c>
      <c r="B40" s="16">
        <f>COUNTIF($F$27:$F$34, 2)</f>
        <v/>
      </c>
      <c r="C40" s="17">
        <f>AVERAGEIF($F$27:$F$34, 2, $B$27:$B$34)</f>
        <v/>
      </c>
      <c r="D40" s="17">
        <f>AVERAGEIF($F$27:$F$34, 2, $C$27:$C$34)</f>
        <v/>
      </c>
      <c r="E40" s="7" t="inlineStr">
        <is>
          <t>P5, P6, P7, P8</t>
        </is>
      </c>
    </row>
    <row r="42">
      <c r="A42" s="3" t="inlineStr">
        <is>
          <t>【การตรวจสอบการลู่เข้า (Convergence Check) &amp; สรุปผลสัมฤทธิ์】</t>
        </is>
      </c>
    </row>
    <row r="43">
      <c r="A43" s="19" t="inlineStr">
        <is>
          <t>จำนวนจุดที่เปลี่ยนกลุ่มในรอบที่ 2:</t>
        </is>
      </c>
      <c r="D43" s="20">
        <f>COUNTIF(H27:H34, "*สลับ*")</f>
        <v/>
      </c>
      <c r="E43" s="21" t="n"/>
      <c r="F43" s="21" t="n"/>
      <c r="G43" s="22" t="n"/>
    </row>
    <row r="44">
      <c r="A44" s="19" t="inlineStr">
        <is>
          <t>การลดลงของ WCSS (รอบ 1 → รอบ 2):</t>
        </is>
      </c>
      <c r="D44" s="23">
        <f>G18-G35</f>
        <v/>
      </c>
      <c r="E44" s="21" t="n"/>
      <c r="F44" s="21" t="n"/>
      <c r="G44" s="22" t="n"/>
    </row>
    <row r="45">
      <c r="A45" s="19" t="inlineStr">
        <is>
          <t>สถานะการลู่เข้ารอบที่ 3 (Final State):</t>
        </is>
      </c>
      <c r="D45" s="20">
        <f>"ลู่เข้าสมบูรณ์ (Converged) ที่ C1=(2.25, 2.50), C2=(7.25, 6.50) WCSS=17.50"</f>
        <v/>
      </c>
      <c r="E45" s="21" t="n"/>
      <c r="F45" s="21" t="n"/>
      <c r="G45" s="22" t="n"/>
    </row>
    <row r="47">
      <c r="A47" s="24" t="inlineStr">
        <is>
          <t>ข้อสังเกตสำคัญสำหรับการเรียนรู้:</t>
        </is>
      </c>
    </row>
    <row r="48">
      <c r="A48" s="25" t="inlineStr">
        <is>
          <t>1. จุด P4 (4, 4) เริ่มต้นอยู่ใกล้ C2 (4, 4) จึงสังกัดกลุ่ม 2 ในรอบแรก</t>
        </is>
      </c>
    </row>
    <row r="49">
      <c r="A49" s="25" t="inlineStr">
        <is>
          <t>2. เมื่อ C2 ขยับไปทางขวาบนตามจุด P5-P8 ทำให้ระยะห่างจาก P4 ไปยัง C1 ใหม่ใกล้กว่า C2 ใหม่ จุด P4 จึงสลับมาสังกัดกลุ่ม 1 ในรอบที่ 2</t>
        </is>
      </c>
    </row>
    <row r="50">
      <c r="A50" s="25" t="inlineStr">
        <is>
          <t>3. ค่า WCSS ลดลงจาก 79.00 (จุดเริ่มต้น) → 23.87 (หลังรอบ 1) → 17.50 (หลังรอบ 2) ซึ่งพิสูจน์คุณสมบัติการลดลงทางคณิตศาสตร์ของ K-Means</t>
        </is>
      </c>
    </row>
  </sheetData>
  <mergeCells count="12">
    <mergeCell ref="A44:C44"/>
    <mergeCell ref="D45:G45"/>
    <mergeCell ref="A45:C45"/>
    <mergeCell ref="A49:I49"/>
    <mergeCell ref="A48:I48"/>
    <mergeCell ref="D44:G44"/>
    <mergeCell ref="A1:I1"/>
    <mergeCell ref="A18:F18"/>
    <mergeCell ref="D43:G43"/>
    <mergeCell ref="A35:F35"/>
    <mergeCell ref="A50:I50"/>
    <mergeCell ref="A43:C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22" customWidth="1" min="4" max="4"/>
    <col width="48" customWidth="1" min="5" max="5"/>
    <col width="10" customWidth="1" min="6" max="6"/>
  </cols>
  <sheetData>
    <row r="1">
      <c r="A1" s="1" t="inlineStr">
        <is>
          <t>การเลือกจำนวนคลัสเตอร์ K ที่เหมาะสมด้วยวิธีข้อศอก (Elbow Method &amp; Inertia)</t>
        </is>
      </c>
    </row>
    <row r="3">
      <c r="A3" s="25" t="inlineStr">
        <is>
          <t>ทฤษฎี: WCSS (Inertia) จะลดลงเสมอเมื่อ K เพิ่มขึ้น แต่จุดที่เหมาะสมคือจุด 'ข้อศอก' ที่อัตราการลดลงเริ่มชะลอตัวลงอย่างชัดเจน</t>
        </is>
      </c>
    </row>
    <row r="5" ht="28" customHeight="1">
      <c r="A5" s="8" t="inlineStr">
        <is>
          <t>จำนวนคลัสเตอร์ (K)</t>
        </is>
      </c>
      <c r="B5" s="8" t="inlineStr">
        <is>
          <t>WCSS (Inertia)</t>
        </is>
      </c>
      <c r="C5" s="8" t="inlineStr">
        <is>
          <t>การลดลงของ WCSS (Δ WCSS)</t>
        </is>
      </c>
      <c r="D5" s="8" t="inlineStr">
        <is>
          <t>อัตราส่วนการลดลง (%)</t>
        </is>
      </c>
      <c r="E5" s="8" t="inlineStr">
        <is>
          <t>ข้อสรุป</t>
        </is>
      </c>
    </row>
    <row r="6">
      <c r="A6" s="9" t="n">
        <v>1</v>
      </c>
      <c r="B6" s="5" t="n">
        <v>99.5</v>
      </c>
      <c r="C6" s="26" t="inlineStr">
        <is>
          <t>-</t>
        </is>
      </c>
      <c r="D6" s="26" t="inlineStr">
        <is>
          <t>-</t>
        </is>
      </c>
      <c r="E6" s="27" t="inlineStr">
        <is>
          <t>ทุกจุดรวมเป็น 1 คลัสเตอร์ (จุดกึ่งกลาง = 4.75, 4.50)</t>
        </is>
      </c>
    </row>
    <row r="7">
      <c r="A7" s="9" t="n">
        <v>2</v>
      </c>
      <c r="B7" s="5" t="n">
        <v>17.5</v>
      </c>
      <c r="C7" s="28">
        <f>B6-B7</f>
        <v/>
      </c>
      <c r="D7" s="29">
        <f>(B6-B7)/B6</f>
        <v/>
      </c>
      <c r="E7" s="30" t="inlineStr">
        <is>
          <t>★ จุดข้อศอก (Elbow Point): ลดลงมากถึง 82.41%</t>
        </is>
      </c>
    </row>
    <row r="8">
      <c r="A8" s="9" t="n">
        <v>3</v>
      </c>
      <c r="B8" s="5" t="n">
        <v>7.83</v>
      </c>
      <c r="C8" s="28">
        <f>B7-B8</f>
        <v/>
      </c>
      <c r="D8" s="29">
        <f>(B7-B8)/B7</f>
        <v/>
      </c>
      <c r="E8" s="27" t="inlineStr">
        <is>
          <t>เริ่มชะลอตัว การแบ่งกลุ่มย่อยเพิ่มไม่คุ้มค่า</t>
        </is>
      </c>
    </row>
    <row r="9">
      <c r="A9" s="9" t="n">
        <v>4</v>
      </c>
      <c r="B9" s="5" t="n">
        <v>5.33</v>
      </c>
      <c r="C9" s="28">
        <f>B8-B9</f>
        <v/>
      </c>
      <c r="D9" s="29">
        <f>(B8-B9)/B8</f>
        <v/>
      </c>
      <c r="E9" s="27" t="inlineStr">
        <is>
          <t>กลุ่มย่อยเกินไป (Overfitting)</t>
        </is>
      </c>
    </row>
    <row r="10">
      <c r="A10" s="9" t="n">
        <v>5</v>
      </c>
      <c r="B10" s="5" t="n">
        <v>3.67</v>
      </c>
      <c r="C10" s="28">
        <f>B9-B10</f>
        <v/>
      </c>
      <c r="D10" s="29">
        <f>(B9-B10)/B9</f>
        <v/>
      </c>
      <c r="E10" s="27" t="inlineStr">
        <is>
          <t>ใกล้เคียงศูนย์แต่สูญเสียความหมายทางสถิติ</t>
        </is>
      </c>
    </row>
  </sheetData>
  <mergeCells count="2">
    <mergeCell ref="A3:F3"/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2026-09-10T01:32:53Z</dcterms:created>
  <dcterms:modified xmlns:dcterms="http://purl.org/dc/terms/" xmlns:xsi="http://www.w3.org/2001/XMLSchema-instance" xsi:type="dcterms:W3CDTF">2026-09-10T01:32:53Z</dcterms:modified>
</cp:coreProperties>
</file>