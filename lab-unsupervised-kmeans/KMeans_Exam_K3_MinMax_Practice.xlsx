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0_Exam_Instructions" sheetId="1" state="visible" r:id="rId3"/>
    <sheet name="02_KMeans_Iteration_1" sheetId="2" state="visible" r:id="rId4"/>
    <sheet name="01_MinMax_Scaling" sheetId="3" state="visible" r:id="rId5"/>
    <sheet name="03_KMeans_Iteration_2" sheetId="4" state="visible" r:id="rId6"/>
    <sheet name="04_KMeans_Iteration_3" sheetId="5" state="visible" r:id="rId7"/>
    <sheet name="05_Analysis_and_Rubri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<sst xmlns="http://schemas.openxmlformats.org/spreadsheetml/2006/main" count="322" uniqueCount="165">
  <si>
    <r>
      <rPr>
        <b val="true"/>
        <sz val="13"/>
        <rFont val="Arial"/>
        <family val="0"/>
        <charset val="1"/>
      </rPr>
      <t xml:space="preserve">ข้อสอบปฏิบัติการ: K-Means Clustering ด้วย Min-Max Normalization (K=3, 3 รอบ) </t>
    </r>
    <r>
      <rPr>
        <b val="true"/>
        <sz val="13"/>
        <rFont val="Arial Unicode MS"/>
        <family val="2"/>
      </rPr>
      <t xml:space="preserve">【</t>
    </r>
    <r>
      <rPr>
        <b val="true"/>
        <sz val="13"/>
        <rFont val="Arial"/>
        <family val="0"/>
        <charset val="1"/>
      </rPr>
      <t xml:space="preserve">ฉบับข้อสอบสำหรับนักศึกษา - STUDENT EXAM</t>
    </r>
    <r>
      <rPr>
        <b val="true"/>
        <sz val="13"/>
        <rFont val="Arial Unicode MS"/>
        <family val="2"/>
      </rPr>
      <t xml:space="preserve">】</t>
    </r>
  </si>
  <si>
    <t xml:space="preserve">วิชา: Machine Learning / Data Mining (ข้อสอบภาคปฏิบัติการวิเคราะห์ข้อมูลด้วย Microsoft Excel)</t>
  </si>
  <si>
    <t xml:space="preserve">คำสั่งและข้อตกลงในการทำข้อสอบ:</t>
  </si>
  <si>
    <t xml:space="preserve">    1. ให้แสดงวิธีทำทุกขั้นตอนลงในแผ่นงาน (Worksheet) แต่ละแผ่นอย่างเคร่งครัด</t>
  </si>
  <si>
    <t xml:space="preserve">    2. เซลล์สีเหลือง + ตัวเลขสีน้ำเงิน = ข้อมูลและค่าคงที่โจทย์กำหนด ห้ามแก้ไข</t>
  </si>
  <si>
    <t xml:space="preserve">    3. เซลล์สีเหลืองว่าง = เซลล์ที่นักศึกษาต้องพิมพ์ 'สูตรคำนวณ Excel' ลงไป ห้ามพิมพ์ตัวเลขตรงๆ (Hard-code)</t>
  </si>
  <si>
    <t xml:space="preserve">    4. การอ้างอิงตำแหน่งเซลล์ต้องใช้การตรึงเซลล์ ($) ให้ถูกต้อง เพื่อให้สามารถคัดลอกสูตร (Drag-fill) ได้อย่างแม่นยำ</t>
  </si>
  <si>
    <t xml:space="preserve">    5. ค่าตัวเลขทศนิยมให้แสดงทศนิยม 4 ตำแหน่ง (เช่น 0.1234)</t>
  </si>
  <si>
    <t xml:space="preserve">โครงสร้างข้อสอบ (คะแนนเต็ม 100 คะแนน):</t>
  </si>
  <si>
    <t xml:space="preserve">    • แผ่นงาน 01 (01_MinMax_Scaling): การคำนวณสถิติพื้นฐาน และทำ Min-Max Normalization (20 คะแนน)</t>
  </si>
  <si>
    <t xml:space="preserve">    • แผ่นงาน 02 (02_KMeans_Iteration_1): การจัดกลุ่ม K-Means รอบที่ 1, คำนวณ WCSS, และหา Centroid ใหม่ (25 คะแนน)</t>
  </si>
  <si>
    <t xml:space="preserve">    • แผ่นงาน 03 (03_KMeans_Iteration_2): การจัดกลุ่ม K-Means รอบที่ 2 จาก Centroid ใหม่ของรอบ 1 (25 คะแนน)</t>
  </si>
  <si>
    <t xml:space="preserve">    • แผ่นงาน 04 (04_KMeans_Iteration_3): การจัดกลุ่ม K-Means รอบที่ 3, คำนวณ WCSS, และพิสูจน์การลู่เข้า (15 คะแนน)</t>
  </si>
  <si>
    <t xml:space="preserve">    • แผ่นงาน 05 (05_Analysis_and_Rubric): เกณฑ์คะแนน (15 คะแนน)</t>
  </si>
  <si>
    <t xml:space="preserve">ตอนที่ 2: การคำนวณ K-Means รอบที่ 1 (Iteration 1) (โจทย์)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</si>
  <si>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1.1: จุดศูนย์กลาง Centroids ที่ใช้ในรอบที่ 1 (Initial Seeds t=0: P1, P5, P9 จากชีต 01)</t>
    </r>
    <r>
      <rPr>
        <b val="true"/>
        <sz val="11"/>
        <rFont val="Arial Unicode MS"/>
        <family val="2"/>
      </rPr>
      <t xml:space="preserve">】</t>
    </r>
  </si>
  <si>
    <t xml:space="preserve">Centroid</t>
  </si>
  <si>
    <t xml:space="preserve">X1_norm (แกนอายุ)</t>
  </si>
  <si>
    <t xml:space="preserve">X2_norm (แกนรายได้)</t>
  </si>
  <si>
    <t xml:space="preserve">แหล่งที่มาของค่าพิกัด</t>
  </si>
  <si>
    <t xml:space="preserve">C1</t>
  </si>
  <si>
    <t xml:space="preserve">เชื่อมโยงพิกัด C1 จาก Centroid ใหม่รอบก่อนหน้า</t>
  </si>
  <si>
    <t xml:space="preserve">C2</t>
  </si>
  <si>
    <t xml:space="preserve">เชื่อมโยงพิกัด C2 จาก Centroid ใหม่รอบก่อนหน้า</t>
  </si>
  <si>
    <t xml:space="preserve">C3</t>
  </si>
  <si>
    <t xml:space="preserve">เชื่อมโยงพิกัด C3 จาก Centroid ใหม่รอบก่อนหน้า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</si>
  <si>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1.2: คำนวณระยะทาง Euclidean สู่ Centroid, การจัดกลุ่ม (Assignment), และ WCSS</t>
    </r>
    <r>
      <rPr>
        <b val="true"/>
        <sz val="11"/>
        <rFont val="Arial Unicode MS"/>
        <family val="2"/>
      </rPr>
      <t xml:space="preserve">】</t>
    </r>
  </si>
  <si>
    <t xml:space="preserve">รหัส</t>
  </si>
  <si>
    <t xml:space="preserve">ชื่อลูกค้า</t>
  </si>
  <si>
    <t xml:space="preserve">Age_Norm (X1)</t>
  </si>
  <si>
    <t xml:space="preserve">Income_Norm (X2)</t>
  </si>
  <si>
    <t xml:space="preserve">d(P, C1)</t>
  </si>
  <si>
    <t xml:space="preserve">d(P, C2)</t>
  </si>
  <si>
    <t xml:space="preserve">d(P, C3)</t>
  </si>
  <si>
    <t xml:space="preserve">กลุ่มที่ได้ (Cluster)</t>
  </si>
  <si>
    <t xml:space="preserve">d_min²</t>
  </si>
  <si>
    <t xml:space="preserve">สถานะกลุ่ม / คำอธิบาย</t>
  </si>
  <si>
    <t xml:space="preserve">P1</t>
  </si>
  <si>
    <t xml:space="preserve">สมคิด</t>
  </si>
  <si>
    <t xml:space="preserve">P2</t>
  </si>
  <si>
    <t xml:space="preserve">สมชาย</t>
  </si>
  <si>
    <t xml:space="preserve">P3</t>
  </si>
  <si>
    <t xml:space="preserve">สมหมาย</t>
  </si>
  <si>
    <t xml:space="preserve">P4</t>
  </si>
  <si>
    <t xml:space="preserve">กานดา</t>
  </si>
  <si>
    <t xml:space="preserve">P5</t>
  </si>
  <si>
    <t xml:space="preserve">เกศรา</t>
  </si>
  <si>
    <t xml:space="preserve">P6</t>
  </si>
  <si>
    <t xml:space="preserve">ขวัญใจ</t>
  </si>
  <si>
    <t xml:space="preserve">P7</t>
  </si>
  <si>
    <t xml:space="preserve">ฉัตรชัย</t>
  </si>
  <si>
    <t xml:space="preserve">P8</t>
  </si>
  <si>
    <t xml:space="preserve">ชัยวัฒน์</t>
  </si>
  <si>
    <t xml:space="preserve">P9</t>
  </si>
  <si>
    <t xml:space="preserve">ชูศักดิ์</t>
  </si>
  <si>
    <t xml:space="preserve">ผลรวม WCSS รอบที่ 1 (Inertia = ∑ d_min²):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</si>
  <si>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1.3: การคำนวณจุดศูนย์กลางใหม่หลังจบรอบที่ 1 (Update Centroids: หาค่าเฉลี่ย AVERAGEIF)</t>
    </r>
    <r>
      <rPr>
        <b val="true"/>
        <sz val="11"/>
        <rFont val="Arial Unicode MS"/>
        <family val="2"/>
      </rPr>
      <t xml:space="preserve">】</t>
    </r>
  </si>
  <si>
    <t xml:space="preserve">Centroid ใหม่</t>
  </si>
  <si>
    <t xml:space="preserve">จำนวนสมาชิก (N)</t>
  </si>
  <si>
    <t xml:space="preserve">X1_norm ใหม่ (เฉลี่ย)</t>
  </si>
  <si>
    <t xml:space="preserve">X2_norm ใหม่ (เฉลี่ย)</t>
  </si>
  <si>
    <t xml:space="preserve">สูตร Excel ที่ใช้</t>
  </si>
  <si>
    <t xml:space="preserve">การเคลื่อนที่ (Shift)</t>
  </si>
  <si>
    <t xml:space="preserve">C1 (ใหม่)</t>
  </si>
  <si>
    <t xml:space="preserve">[เขียนสูตรคำนวณค่าเฉลี่ย AVERAGEIF]</t>
  </si>
  <si>
    <t xml:space="preserve">C2 (ใหม่)</t>
  </si>
  <si>
    <t xml:space="preserve">C3 (ใหม่)</t>
  </si>
  <si>
    <t xml:space="preserve">ตอนที่ 1: การเตรียมข้อมูลและการทำ Min-Max Feature Scaling (ช่วง 0 ถึง 1)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</si>
  <si>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1.1: ข้อมูลดิบของลูกค้า 9 ราย (Raw Data: อายุ และ รายได้ต่อเดือน)</t>
    </r>
    <r>
      <rPr>
        <b val="true"/>
        <sz val="11"/>
        <rFont val="Arial Unicode MS"/>
        <family val="2"/>
      </rPr>
      <t xml:space="preserve">】</t>
    </r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</si>
  <si>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1.2: ข้อมูลหลังทำ Min-Max Normalization: สูตร (X - Min) / Range</t>
    </r>
    <r>
      <rPr>
        <b val="true"/>
        <sz val="11"/>
        <rFont val="Arial Unicode MS"/>
        <family val="2"/>
      </rPr>
      <t xml:space="preserve">】</t>
    </r>
  </si>
  <si>
    <t xml:space="preserve">รหัสลูกค้า</t>
  </si>
  <si>
    <t xml:space="preserve">อายุ (X1, ปี)</t>
  </si>
  <si>
    <t xml:space="preserve">รายได้ (X2, บาท)</t>
  </si>
  <si>
    <t xml:space="preserve">Age_Norm (0-1)</t>
  </si>
  <si>
    <t xml:space="preserve">Income_Norm (0-1)</t>
  </si>
  <si>
    <t xml:space="preserve">สูตร Excel ที่ใช้คำนวณ</t>
  </si>
  <si>
    <t xml:space="preserve">[เขียนสูตร Min-Max Scaling ด้วยตนเอง]</t>
  </si>
  <si>
    <t xml:space="preserve">ค่าทางสถิติ (Statistics)</t>
  </si>
  <si>
    <t xml:space="preserve">สูตร Excel</t>
  </si>
  <si>
    <t xml:space="preserve">Min (ค่าน้อยสุด)</t>
  </si>
  <si>
    <t xml:space="preserve">[เขียนสูตรสถิติด้วยตนเอง]</t>
  </si>
  <si>
    <t xml:space="preserve">Max (ค่ามากสุด)</t>
  </si>
  <si>
    <t xml:space="preserve">Range (พิสัย = Max - Min)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</si>
  <si>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1.3: จุดศูนย์กลางเริ่มต้นที่โจทย์กำหนด (Initial Centroids t=0 จากตัวอย่าง P1, P5, P9)</t>
    </r>
    <r>
      <rPr>
        <b val="true"/>
        <sz val="11"/>
        <rFont val="Arial Unicode MS"/>
        <family val="2"/>
      </rPr>
      <t xml:space="preserve">】</t>
    </r>
  </si>
  <si>
    <t xml:space="preserve">จากจุด</t>
  </si>
  <si>
    <t xml:space="preserve">ชื่อตัวอย่าง</t>
  </si>
  <si>
    <t xml:space="preserve">อายุจริง</t>
  </si>
  <si>
    <t xml:space="preserve">รายได้จริง</t>
  </si>
  <si>
    <t xml:space="preserve">X1_norm (เริ่มต้น)</t>
  </si>
  <si>
    <t xml:space="preserve">X2_norm (เริ่มต้น)</t>
  </si>
  <si>
    <t xml:space="preserve">นิยามกลุ่มลูกค้า</t>
  </si>
  <si>
    <t xml:space="preserve">C1 (กลุ่ม 1)</t>
  </si>
  <si>
    <t xml:space="preserve">กลุ่มวัยเริ่มทำงาน รายได้เริ่มต้น (Young - Entry Level)</t>
  </si>
  <si>
    <t xml:space="preserve">C2 (กลุ่ม 2)</t>
  </si>
  <si>
    <t xml:space="preserve">กลุ่มวัยทำงานมั่นคง รายได้ปานกลาง (Mid-Career - Moderate)</t>
  </si>
  <si>
    <t xml:space="preserve">C3 (กลุ่ม 3)</t>
  </si>
  <si>
    <t xml:space="preserve">กลุ่มวัยผู้ใหญ่ รายได้ระดับสูง (Senior - High Income)</t>
  </si>
  <si>
    <t xml:space="preserve">ตอนที่ 3: การคำนวณ K-Means รอบที่ 2 (Iteration 2) (โจทย์)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</si>
  <si>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2.1: จุดศูนย์กลาง Centroids ที่ใช้ในรอบที่ 2 (Updated Centroids จาก New C1, C2, C3 ของรอบที่ 1)</t>
    </r>
    <r>
      <rPr>
        <b val="true"/>
        <sz val="11"/>
        <rFont val="Arial Unicode MS"/>
        <family val="2"/>
      </rPr>
      <t xml:space="preserve">】</t>
    </r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</si>
  <si>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2.2: คำนวณระยะทาง Euclidean สู่ Centroid, การจัดกลุ่ม (Assignment), และ WCSS</t>
    </r>
    <r>
      <rPr>
        <b val="true"/>
        <sz val="11"/>
        <rFont val="Arial Unicode MS"/>
        <family val="2"/>
      </rPr>
      <t xml:space="preserve">】</t>
    </r>
  </si>
  <si>
    <t xml:space="preserve">ผลรวม WCSS รอบที่ 2 (Inertia = ∑ d_min²):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</si>
  <si>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2.3: การคำนวณจุดศูนย์กลางใหม่หลังจบรอบที่ 2 (Update Centroids: หาค่าเฉลี่ย AVERAGEIF)</t>
    </r>
    <r>
      <rPr>
        <b val="true"/>
        <sz val="11"/>
        <rFont val="Arial Unicode MS"/>
        <family val="2"/>
      </rPr>
      <t xml:space="preserve">】</t>
    </r>
  </si>
  <si>
    <t xml:space="preserve">ตอนที่ 4: การคำนวณ K-Means รอบที่ 3 (Iteration 3) (โจทย์)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</si>
  <si>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3.1: จุดศูนย์กลาง Centroids ที่ใช้ในรอบที่ 3 (Updated Centroids จาก New C1, C2, C3 ของรอบที่ 2)</t>
    </r>
    <r>
      <rPr>
        <b val="true"/>
        <sz val="11"/>
        <rFont val="Arial Unicode MS"/>
        <family val="2"/>
      </rPr>
      <t xml:space="preserve">】</t>
    </r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</si>
  <si>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3.2: คำนวณระยะทาง Euclidean สู่ Centroid, การจัดกลุ่ม (Assignment), และ WCSS</t>
    </r>
    <r>
      <rPr>
        <b val="true"/>
        <sz val="11"/>
        <rFont val="Arial Unicode MS"/>
        <family val="2"/>
      </rPr>
      <t xml:space="preserve">】</t>
    </r>
  </si>
  <si>
    <t xml:space="preserve">ผลรวม WCSS รอบที่ 3 (Inertia = ∑ d_min²):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</si>
  <si>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3.3: การคำนวณจุดศูนย์กลางใหม่หลังจบรอบที่ 3 (Update Centroids: หาค่าเฉลี่ย AVERAGEIF)</t>
    </r>
    <r>
      <rPr>
        <b val="true"/>
        <sz val="11"/>
        <rFont val="Arial Unicode MS"/>
        <family val="2"/>
      </rPr>
      <t xml:space="preserve">】</t>
    </r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</si>
  <si>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3.4: การตรวจสอบและสรุปผลการลู่เข้าของอัลกอริทึม (Convergence Assessment)</t>
    </r>
    <r>
      <rPr>
        <b val="true"/>
        <sz val="11"/>
        <rFont val="Arial Unicode MS"/>
        <family val="2"/>
      </rPr>
      <t xml:space="preserve">】</t>
    </r>
  </si>
  <si>
    <t xml:space="preserve">เกณฑ์การตรวจสอบ (Convergence Criteria)</t>
  </si>
  <si>
    <t xml:space="preserve">ค่าที่ได้จากการคำนวณ</t>
  </si>
  <si>
    <t xml:space="preserve">เกณฑ์การตัดสิน</t>
  </si>
  <si>
    <t xml:space="preserve">ผลการประเมิน</t>
  </si>
  <si>
    <t xml:space="preserve">ความหมาย</t>
  </si>
  <si>
    <t xml:space="preserve">1. การเปลี่ยนกลุ่มของข้อมูล (Reassignments)</t>
  </si>
  <si>
    <t xml:space="preserve">ต้องเท่ากับ 0 จุด</t>
  </si>
  <si>
    <t xml:space="preserve">2. การเคลื่อนที่ของ Centroids (Total Shift ΔC)</t>
  </si>
  <si>
    <t xml:space="preserve">ΔC = 0.0000</t>
  </si>
  <si>
    <t xml:space="preserve">3. การเปลี่ยนแปลงของ WCSS (ΔWCSS)</t>
  </si>
  <si>
    <t xml:space="preserve">ΔWCSS = 0.0000</t>
  </si>
  <si>
    <t xml:space="preserve">★ สรุปผลการทดสอบ: อัลกอริทึม K-Means บรรลุภาวะการลู่เข้า (Convergence) โดยสมบูรณ์ในรอบที่ 3 ไม่จำเป็นต้องทำรอบต่อไป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</si>
  <si>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ตารางเกณฑ์การให้คะแนนอย่างละเอียด (Grading Rubric รวม 100 คะแนน)</t>
    </r>
    <r>
      <rPr>
        <b val="true"/>
        <sz val="11"/>
        <rFont val="Arial Unicode MS"/>
        <family val="2"/>
      </rPr>
      <t xml:space="preserve">】</t>
    </r>
  </si>
  <si>
    <t xml:space="preserve">ส่วนของข้อสอบ</t>
  </si>
  <si>
    <t xml:space="preserve">หัวข้อประเมิน</t>
  </si>
  <si>
    <t xml:space="preserve">คะแนนเต็ม</t>
  </si>
  <si>
    <t xml:space="preserve">เกณฑ์การได้คะแนนเต็ม</t>
  </si>
  <si>
    <t xml:space="preserve">ข้อผิดพลาดที่มักถูกหักคะแนน</t>
  </si>
  <si>
    <t xml:space="preserve">ตอนที่ 1 (Scaling)</t>
  </si>
  <si>
    <t xml:space="preserve">สถิติ Min, Max, Range</t>
  </si>
  <si>
    <t xml:space="preserve">ใช้สูตร MIN, MAX, และผลต่างได้ถูกต้องทั้ง 2 ตัวแปร</t>
  </si>
  <si>
    <t xml:space="preserve">พิมพ์ตัวเลขตรงๆ โดยไม่ใช้สูตร (-2)</t>
  </si>
  <si>
    <t xml:space="preserve">สูตร Min-Max Normalization</t>
  </si>
  <si>
    <t xml:space="preserve">ใช้สูตร =(X-Min)/Range และตรึง $ เซลล์ Min/Range ถูกต้อง</t>
  </si>
  <si>
    <t xml:space="preserve">ไม่ตรึง $ เซลล์ทำให้ลากสูตรแล้วเพี้ยน (-5)</t>
  </si>
  <si>
    <t xml:space="preserve">พิกัด Initial Centroids (t=0)</t>
  </si>
  <si>
    <t xml:space="preserve">อ้างอิงค่าพิกัดจาก P1, P5, P9 ในตารางที่ทำ Scaling แล้วได้ถูกต้อง</t>
  </si>
  <si>
    <t xml:space="preserve">ดึงค่าจากข้อมูลดิบมาใส่โดยไม่ได้ดึงจากสเกล 0-1 (-3)</t>
  </si>
  <si>
    <t xml:space="preserve">ตอนที่ 2 (Round 1)</t>
  </si>
  <si>
    <t xml:space="preserve">ระยะทาง Euclidean สู่ C1, C2, C3</t>
  </si>
  <si>
    <t xml:space="preserve">ใช้สูตร =SQRT((X1-$Bx)^2+(X2-$By)^2) ตรึง Centroid ถูกต้อง</t>
  </si>
  <si>
    <t xml:space="preserve">ลืมยกกำลังสอง หรือตรึงแถว/หลัก Centroid ผิด (-4)</t>
  </si>
  <si>
    <t xml:space="preserve">การจัดกลุ่ม Cluster Assignment</t>
  </si>
  <si>
    <t xml:space="preserve">ใช้สูตร IF/AND หรือ MATCH/MIN เพื่อเลือกกลุ่มระยะทางต่ำสุด</t>
  </si>
  <si>
    <t xml:space="preserve">จัดกลุ่มผิด หรือไม่ได้ใช้สูตรอัตโนมัติ (-3)</t>
  </si>
  <si>
    <t xml:space="preserve">การคำนวณ WCSS และ New Centroids</t>
  </si>
  <si>
    <t xml:space="preserve">คำนวณ d_min² และ SUM ถูกต้อง (0.2300) พร้อมเฉลี่ยจุดใหม่ด้วย AVERAGEIF</t>
  </si>
  <si>
    <t xml:space="preserve">ลืมยกกำลังสองระยะทางก่อนรวม WCSS (-4)</t>
  </si>
  <si>
    <t xml:space="preserve">ตอนที่ 3 (Round 2)</t>
  </si>
  <si>
    <t xml:space="preserve">การนำ Centroid ใหม่มาคำนวณต่อ</t>
  </si>
  <si>
    <t xml:space="preserve">ดึง New Centroids จากรอบ 1 มาเป็น Centroid ตั้งต้นของรอบ 2</t>
  </si>
  <si>
    <t xml:space="preserve">นำ Initial Centroid เดิมมาคำนวณซ้ำ (-8)</t>
  </si>
  <si>
    <t xml:space="preserve">ระยะทาง, การจัดกลุ่ม, WCSS รอบ 2</t>
  </si>
  <si>
    <t xml:space="preserve">คำนวณระยะทางใหม่ถูกต้อง ได้ WCSS ลดลงเหลือ 0.1067</t>
  </si>
  <si>
    <t xml:space="preserve">คำนวณระยะทางผิด หรือไม่ได้อัปเดต Centroid (-5)</t>
  </si>
  <si>
    <t xml:space="preserve">การอัปเดต New Centroids รอบ 2</t>
  </si>
  <si>
    <t xml:space="preserve">คำนวณ New Centroids รอบ 2 ถูกต้อง (C1: 0.1,0.1 | C2: 0.5,0.5333 | C3: 0.9,0.9)</t>
  </si>
  <si>
    <t xml:space="preserve">คำนวณค่าเฉลี่ยผิด (-3)</t>
  </si>
  <si>
    <t xml:space="preserve">ตอนที่ 4 (Round 3)</t>
  </si>
  <si>
    <t xml:space="preserve">การคำนวณรอบ 3 และ WCSS</t>
  </si>
  <si>
    <t xml:space="preserve">คำนวณระยะทางรอบ 3 ถูกต้อง ได้ WCSS = 0.1067 เท่าเดิม</t>
  </si>
  <si>
    <t xml:space="preserve">คำนวณผิดพลาด (-5)</t>
  </si>
  <si>
    <t xml:space="preserve">การตรวจสอบ Convergence</t>
  </si>
  <si>
    <t xml:space="preserve">ตรวจสอบและสรุปครบ 3 มิติ: จุดไม่ย้ายกลุ่ม, ΔC=0, ΔWCSS=0</t>
  </si>
  <si>
    <t xml:space="preserve">สรุปเพียงว่ากลุ่มเหมือนเดิมโดยไม่อ้างอิง Centroid (-2)</t>
  </si>
  <si>
    <t xml:space="preserve">คะแนนรวมทั้งสิ้น:</t>
  </si>
  <si>
    <t xml:space="preserve">ข้อสอบ 5 ตอน ครอบคลุมทั้งทฤษฎี การปฏิบัติการด้วย Excel และการคิดวิเคราะห์เชิงธุรกิจ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</si>
</sst>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"/>
    <numFmt numFmtId="167" formatCode="@"/>
    <numFmt numFmtId="168" formatCode="0.000000"/>
    <numFmt numFmtId="169" formatCode="#,##0"/>
    <numFmt numFmtId="170" formatCode="&quot;ลดลง &quot;0.0000;;&quot;คงเดิม (0.0000)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Arial Unicode M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1"/>
      <name val="Arial Unicode MS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33415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i val="true"/>
      <sz val="9"/>
      <color rgb="FFB91C1C"/>
      <name val="Arial"/>
      <family val="0"/>
      <charset val="1"/>
    </font>
    <font>
      <b val="true"/>
      <sz val="13"/>
      <color rgb="FFB91C1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E0F2FE"/>
        <bgColor rgb="FFF1F5F9"/>
      </patternFill>
    </fill>
    <fill>
      <patternFill patternType="solid">
        <fgColor rgb="FF0F766E"/>
        <bgColor rgb="FF047857"/>
      </patternFill>
    </fill>
    <fill>
      <patternFill patternType="solid">
        <fgColor rgb="FFFFF3BF"/>
        <bgColor rgb="FFFEF3C7"/>
      </patternFill>
    </fill>
    <fill>
      <patternFill patternType="solid">
        <fgColor rgb="FFF1F5F9"/>
        <bgColor rgb="FFE0F2FE"/>
      </patternFill>
    </fill>
    <fill>
      <patternFill patternType="solid">
        <fgColor rgb="FFFFE4E6"/>
        <bgColor rgb="FFFEF3C7"/>
      </patternFill>
    </fill>
    <fill>
      <patternFill patternType="solid">
        <fgColor rgb="FF4338CA"/>
        <bgColor rgb="FF334155"/>
      </patternFill>
    </fill>
    <fill>
      <patternFill patternType="solid">
        <fgColor rgb="FFDCFCE7"/>
        <bgColor rgb="FFE0F2FE"/>
      </patternFill>
    </fill>
    <fill>
      <patternFill patternType="solid">
        <fgColor rgb="FFFEF3C7"/>
        <bgColor rgb="FFFFF3B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double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0F2FE"/>
      <rgbColor rgb="FFF1F5F9"/>
      <rgbColor rgb="FFFFF3BF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4155"/>
      <rgbColor rgb="FFB91C1C"/>
      <rgbColor rgb="FF993366"/>
      <rgbColor rgb="FF4338C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10"/>
    <col collapsed="false" customWidth="true" hidden="false" outlineLevel="0" max="8" min="2" style="0" width="15"/>
  </cols>
  <sheetData>
    <row r="1" customFormat="false" ht="18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</row>
    <row r="5" customFormat="false" ht="24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4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24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24" hidden="false" customHeight="true" outlineLevel="0" collapsed="false">
      <c r="A9" s="3" t="s">
        <v>7</v>
      </c>
      <c r="B9" s="3"/>
      <c r="C9" s="3"/>
      <c r="D9" s="3"/>
      <c r="E9" s="3"/>
      <c r="F9" s="3"/>
      <c r="G9" s="3"/>
      <c r="H9" s="3"/>
    </row>
    <row r="10" customFormat="false" ht="27.75" hidden="false" customHeight="true" outlineLevel="0" collapsed="false">
      <c r="A10" s="2" t="s">
        <v>8</v>
      </c>
      <c r="B10" s="2"/>
      <c r="C10" s="2"/>
      <c r="D10" s="2"/>
      <c r="E10" s="2"/>
      <c r="F10" s="2"/>
      <c r="G10" s="2"/>
      <c r="H10" s="2"/>
    </row>
    <row r="11" customFormat="false" ht="24" hidden="false" customHeight="true" outlineLevel="0" collapsed="false">
      <c r="A11" s="3" t="s">
        <v>9</v>
      </c>
      <c r="B11" s="3"/>
      <c r="C11" s="3"/>
      <c r="D11" s="3"/>
      <c r="E11" s="3"/>
      <c r="F11" s="3"/>
      <c r="G11" s="3"/>
      <c r="H11" s="3"/>
    </row>
    <row r="12" customFormat="false" ht="24" hidden="false" customHeight="true" outlineLevel="0" collapsed="false">
      <c r="A12" s="3" t="s">
        <v>10</v>
      </c>
      <c r="B12" s="3"/>
      <c r="C12" s="3"/>
      <c r="D12" s="3"/>
      <c r="E12" s="3"/>
      <c r="F12" s="3"/>
      <c r="G12" s="3"/>
      <c r="H12" s="3"/>
    </row>
    <row r="13" customFormat="false" ht="24" hidden="false" customHeight="true" outlineLevel="0" collapsed="false">
      <c r="A13" s="3" t="s">
        <v>11</v>
      </c>
      <c r="B13" s="3"/>
      <c r="C13" s="3"/>
      <c r="D13" s="3"/>
      <c r="E13" s="3"/>
      <c r="F13" s="3"/>
      <c r="G13" s="3"/>
      <c r="H13" s="3"/>
    </row>
    <row r="14" customFormat="false" ht="24" hidden="false" customHeight="true" outlineLevel="0" collapsed="false">
      <c r="A14" s="3" t="s">
        <v>12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3" t="s">
        <v>13</v>
      </c>
      <c r="B15" s="3"/>
      <c r="C15" s="3"/>
      <c r="D15" s="3"/>
      <c r="E15" s="3"/>
      <c r="F15" s="3"/>
      <c r="G15" s="3"/>
      <c r="H15" s="3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15.9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5" t="s">
        <v>15</v>
      </c>
      <c r="B3" s="5"/>
      <c r="C3" s="5"/>
      <c r="D3" s="5"/>
      <c r="E3" s="5"/>
      <c r="F3" s="5"/>
    </row>
    <row r="4" customFormat="false" ht="27.7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</row>
    <row r="5" customFormat="false" ht="15" hidden="false" customHeight="false" outlineLevel="0" collapsed="false">
      <c r="A5" s="7" t="s">
        <v>20</v>
      </c>
      <c r="B5" s="8"/>
      <c r="C5" s="8"/>
      <c r="D5" s="9" t="s">
        <v>21</v>
      </c>
    </row>
    <row r="6" customFormat="false" ht="15" hidden="false" customHeight="false" outlineLevel="0" collapsed="false">
      <c r="A6" s="7" t="s">
        <v>22</v>
      </c>
      <c r="B6" s="8"/>
      <c r="C6" s="8"/>
      <c r="D6" s="9" t="s">
        <v>23</v>
      </c>
    </row>
    <row r="7" customFormat="false" ht="15" hidden="false" customHeight="false" outlineLevel="0" collapsed="false">
      <c r="A7" s="7" t="s">
        <v>24</v>
      </c>
      <c r="B7" s="8"/>
      <c r="C7" s="8"/>
      <c r="D7" s="9" t="s">
        <v>25</v>
      </c>
    </row>
    <row r="9" customFormat="false" ht="15" hidden="false" customHeight="false" outlineLevel="0" collapsed="false">
      <c r="A9" s="5" t="s">
        <v>26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7.7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</row>
    <row r="11" customFormat="false" ht="15" hidden="false" customHeight="false" outlineLevel="0" collapsed="false">
      <c r="A11" s="7" t="s">
        <v>37</v>
      </c>
      <c r="B11" s="11" t="s">
        <v>38</v>
      </c>
      <c r="C11" s="12" t="n">
        <f aca="false">01_MinMax_Scaling!G6</f>
        <v>0</v>
      </c>
      <c r="D11" s="12" t="n">
        <f aca="false">01_MinMax_Scaling!H6</f>
        <v>0</v>
      </c>
      <c r="E11" s="13"/>
      <c r="F11" s="13"/>
      <c r="G11" s="13"/>
      <c r="H11" s="14"/>
      <c r="I11" s="13"/>
      <c r="J11" s="15"/>
    </row>
    <row r="12" customFormat="false" ht="15" hidden="false" customHeight="false" outlineLevel="0" collapsed="false">
      <c r="A12" s="7" t="s">
        <v>39</v>
      </c>
      <c r="B12" s="11" t="s">
        <v>40</v>
      </c>
      <c r="C12" s="12" t="n">
        <f aca="false">01_MinMax_Scaling!G7</f>
        <v>0</v>
      </c>
      <c r="D12" s="12" t="n">
        <f aca="false">01_MinMax_Scaling!H7</f>
        <v>0</v>
      </c>
      <c r="E12" s="13"/>
      <c r="F12" s="13"/>
      <c r="G12" s="13"/>
      <c r="H12" s="14"/>
      <c r="I12" s="13"/>
      <c r="J12" s="15"/>
    </row>
    <row r="13" customFormat="false" ht="15" hidden="false" customHeight="false" outlineLevel="0" collapsed="false">
      <c r="A13" s="7" t="s">
        <v>41</v>
      </c>
      <c r="B13" s="11" t="s">
        <v>42</v>
      </c>
      <c r="C13" s="12" t="n">
        <f aca="false">01_MinMax_Scaling!G8</f>
        <v>0</v>
      </c>
      <c r="D13" s="12" t="n">
        <f aca="false">01_MinMax_Scaling!H8</f>
        <v>0</v>
      </c>
      <c r="E13" s="13"/>
      <c r="F13" s="13"/>
      <c r="G13" s="13"/>
      <c r="H13" s="14"/>
      <c r="I13" s="13"/>
      <c r="J13" s="15"/>
    </row>
    <row r="14" customFormat="false" ht="15" hidden="false" customHeight="false" outlineLevel="0" collapsed="false">
      <c r="A14" s="7" t="s">
        <v>43</v>
      </c>
      <c r="B14" s="11" t="s">
        <v>44</v>
      </c>
      <c r="C14" s="12" t="n">
        <f aca="false">01_MinMax_Scaling!G9</f>
        <v>0</v>
      </c>
      <c r="D14" s="12" t="n">
        <f aca="false">01_MinMax_Scaling!H9</f>
        <v>0</v>
      </c>
      <c r="E14" s="13"/>
      <c r="F14" s="13"/>
      <c r="G14" s="13"/>
      <c r="H14" s="14"/>
      <c r="I14" s="13"/>
      <c r="J14" s="15"/>
    </row>
    <row r="15" customFormat="false" ht="15" hidden="false" customHeight="false" outlineLevel="0" collapsed="false">
      <c r="A15" s="7" t="s">
        <v>45</v>
      </c>
      <c r="B15" s="11" t="s">
        <v>46</v>
      </c>
      <c r="C15" s="12" t="n">
        <f aca="false">01_MinMax_Scaling!G10</f>
        <v>0</v>
      </c>
      <c r="D15" s="12" t="n">
        <f aca="false">01_MinMax_Scaling!H10</f>
        <v>0</v>
      </c>
      <c r="E15" s="13"/>
      <c r="F15" s="13"/>
      <c r="G15" s="13"/>
      <c r="H15" s="14"/>
      <c r="I15" s="13"/>
      <c r="J15" s="15"/>
    </row>
    <row r="16" customFormat="false" ht="15" hidden="false" customHeight="false" outlineLevel="0" collapsed="false">
      <c r="A16" s="7" t="s">
        <v>47</v>
      </c>
      <c r="B16" s="11" t="s">
        <v>48</v>
      </c>
      <c r="C16" s="12" t="n">
        <f aca="false">01_MinMax_Scaling!G11</f>
        <v>0</v>
      </c>
      <c r="D16" s="12" t="n">
        <f aca="false">01_MinMax_Scaling!H11</f>
        <v>0</v>
      </c>
      <c r="E16" s="13"/>
      <c r="F16" s="13"/>
      <c r="G16" s="13"/>
      <c r="H16" s="14"/>
      <c r="I16" s="13"/>
      <c r="J16" s="15"/>
    </row>
    <row r="17" customFormat="false" ht="15" hidden="false" customHeight="false" outlineLevel="0" collapsed="false">
      <c r="A17" s="7" t="s">
        <v>49</v>
      </c>
      <c r="B17" s="11" t="s">
        <v>50</v>
      </c>
      <c r="C17" s="12" t="n">
        <f aca="false">01_MinMax_Scaling!G12</f>
        <v>0</v>
      </c>
      <c r="D17" s="12" t="n">
        <f aca="false">01_MinMax_Scaling!H12</f>
        <v>0</v>
      </c>
      <c r="E17" s="13"/>
      <c r="F17" s="13"/>
      <c r="G17" s="13"/>
      <c r="H17" s="14"/>
      <c r="I17" s="13"/>
      <c r="J17" s="15"/>
    </row>
    <row r="18" customFormat="false" ht="15" hidden="false" customHeight="false" outlineLevel="0" collapsed="false">
      <c r="A18" s="7" t="s">
        <v>51</v>
      </c>
      <c r="B18" s="11" t="s">
        <v>52</v>
      </c>
      <c r="C18" s="12" t="n">
        <f aca="false">01_MinMax_Scaling!G13</f>
        <v>0</v>
      </c>
      <c r="D18" s="12" t="n">
        <f aca="false">01_MinMax_Scaling!H13</f>
        <v>0</v>
      </c>
      <c r="E18" s="13"/>
      <c r="F18" s="13"/>
      <c r="G18" s="13"/>
      <c r="H18" s="14"/>
      <c r="I18" s="13"/>
      <c r="J18" s="15"/>
    </row>
    <row r="19" customFormat="false" ht="15" hidden="false" customHeight="false" outlineLevel="0" collapsed="false">
      <c r="A19" s="7" t="s">
        <v>53</v>
      </c>
      <c r="B19" s="11" t="s">
        <v>54</v>
      </c>
      <c r="C19" s="12" t="n">
        <f aca="false">01_MinMax_Scaling!G14</f>
        <v>0</v>
      </c>
      <c r="D19" s="12" t="n">
        <f aca="false">01_MinMax_Scaling!H14</f>
        <v>0</v>
      </c>
      <c r="E19" s="13"/>
      <c r="F19" s="13"/>
      <c r="G19" s="13"/>
      <c r="H19" s="14"/>
      <c r="I19" s="13"/>
      <c r="J19" s="15"/>
    </row>
    <row r="20" customFormat="false" ht="15" hidden="false" customHeight="false" outlineLevel="0" collapsed="false">
      <c r="A20" s="16" t="s">
        <v>55</v>
      </c>
      <c r="B20" s="16"/>
      <c r="C20" s="16"/>
      <c r="D20" s="16"/>
      <c r="E20" s="16"/>
      <c r="F20" s="16"/>
      <c r="G20" s="16"/>
      <c r="H20" s="16"/>
      <c r="I20" s="17"/>
      <c r="J20" s="18"/>
    </row>
    <row r="22" customFormat="false" ht="15" hidden="false" customHeight="false" outlineLevel="0" collapsed="false">
      <c r="A22" s="5" t="s">
        <v>56</v>
      </c>
      <c r="B22" s="5"/>
      <c r="C22" s="5"/>
      <c r="D22" s="5"/>
      <c r="E22" s="5"/>
      <c r="F22" s="5"/>
    </row>
    <row r="23" customFormat="false" ht="27.75" hidden="false" customHeight="true" outlineLevel="0" collapsed="false">
      <c r="A23" s="19" t="s">
        <v>57</v>
      </c>
      <c r="B23" s="19" t="s">
        <v>58</v>
      </c>
      <c r="C23" s="19" t="s">
        <v>59</v>
      </c>
      <c r="D23" s="19" t="s">
        <v>60</v>
      </c>
      <c r="E23" s="19" t="s">
        <v>61</v>
      </c>
      <c r="F23" s="19" t="s">
        <v>62</v>
      </c>
    </row>
    <row r="24" customFormat="false" ht="15" hidden="false" customHeight="false" outlineLevel="0" collapsed="false">
      <c r="A24" s="7" t="s">
        <v>63</v>
      </c>
      <c r="B24" s="20"/>
      <c r="C24" s="21"/>
      <c r="D24" s="21"/>
      <c r="E24" s="9" t="s">
        <v>64</v>
      </c>
      <c r="F24" s="22"/>
    </row>
    <row r="25" customFormat="false" ht="15" hidden="false" customHeight="false" outlineLevel="0" collapsed="false">
      <c r="A25" s="7" t="s">
        <v>65</v>
      </c>
      <c r="B25" s="20"/>
      <c r="C25" s="21"/>
      <c r="D25" s="21"/>
      <c r="E25" s="9" t="s">
        <v>64</v>
      </c>
      <c r="F25" s="22"/>
    </row>
    <row r="26" customFormat="false" ht="15" hidden="false" customHeight="false" outlineLevel="0" collapsed="false">
      <c r="A26" s="7" t="s">
        <v>66</v>
      </c>
      <c r="B26" s="20"/>
      <c r="C26" s="21"/>
      <c r="D26" s="21"/>
      <c r="E26" s="9" t="s">
        <v>64</v>
      </c>
      <c r="F26" s="22"/>
    </row>
  </sheetData>
  <mergeCells count="5">
    <mergeCell ref="A1:J1"/>
    <mergeCell ref="A3:F3"/>
    <mergeCell ref="A9:J9"/>
    <mergeCell ref="A20:H20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1.93"/>
    <col collapsed="false" customWidth="true" hidden="false" outlineLevel="0" max="2" min="2" style="0" width="18.33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.62"/>
    <col collapsed="false" customWidth="true" hidden="false" outlineLevel="0" max="8" min="7" style="0" width="18"/>
    <col collapsed="false" customWidth="true" hidden="false" outlineLevel="0" max="9" min="9" style="0" width="42"/>
  </cols>
  <sheetData>
    <row r="1" customFormat="false" ht="15.9" hidden="false" customHeight="fals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5" t="s">
        <v>68</v>
      </c>
      <c r="B3" s="5"/>
      <c r="C3" s="5"/>
      <c r="D3" s="5"/>
      <c r="F3" s="5" t="s">
        <v>69</v>
      </c>
      <c r="G3" s="5"/>
      <c r="H3" s="5"/>
      <c r="I3" s="5"/>
    </row>
    <row r="5" customFormat="false" ht="27.75" hidden="false" customHeight="true" outlineLevel="0" collapsed="false">
      <c r="A5" s="6" t="s">
        <v>70</v>
      </c>
      <c r="B5" s="6" t="s">
        <v>28</v>
      </c>
      <c r="C5" s="6" t="s">
        <v>71</v>
      </c>
      <c r="D5" s="6" t="s">
        <v>72</v>
      </c>
      <c r="F5" s="19" t="s">
        <v>27</v>
      </c>
      <c r="G5" s="19" t="s">
        <v>73</v>
      </c>
      <c r="H5" s="19" t="s">
        <v>74</v>
      </c>
      <c r="I5" s="19" t="s">
        <v>75</v>
      </c>
    </row>
    <row r="6" customFormat="false" ht="15" hidden="false" customHeight="false" outlineLevel="0" collapsed="false">
      <c r="A6" s="7" t="s">
        <v>37</v>
      </c>
      <c r="B6" s="11" t="s">
        <v>38</v>
      </c>
      <c r="C6" s="23" t="n">
        <v>20</v>
      </c>
      <c r="D6" s="24" t="n">
        <v>15000</v>
      </c>
      <c r="F6" s="7" t="s">
        <v>37</v>
      </c>
      <c r="G6" s="13"/>
      <c r="H6" s="13"/>
      <c r="I6" s="9" t="s">
        <v>76</v>
      </c>
    </row>
    <row r="7" customFormat="false" ht="15" hidden="false" customHeight="false" outlineLevel="0" collapsed="false">
      <c r="A7" s="7" t="s">
        <v>39</v>
      </c>
      <c r="B7" s="11" t="s">
        <v>40</v>
      </c>
      <c r="C7" s="23" t="n">
        <v>24</v>
      </c>
      <c r="D7" s="24" t="n">
        <v>25000</v>
      </c>
      <c r="F7" s="7" t="s">
        <v>39</v>
      </c>
      <c r="G7" s="13"/>
      <c r="H7" s="13"/>
      <c r="I7" s="9" t="s">
        <v>76</v>
      </c>
    </row>
    <row r="8" customFormat="false" ht="15" hidden="false" customHeight="false" outlineLevel="0" collapsed="false">
      <c r="A8" s="7" t="s">
        <v>41</v>
      </c>
      <c r="B8" s="11" t="s">
        <v>42</v>
      </c>
      <c r="C8" s="23" t="n">
        <v>28</v>
      </c>
      <c r="D8" s="24" t="n">
        <v>20000</v>
      </c>
      <c r="F8" s="7" t="s">
        <v>41</v>
      </c>
      <c r="G8" s="13"/>
      <c r="H8" s="13"/>
      <c r="I8" s="9" t="s">
        <v>76</v>
      </c>
    </row>
    <row r="9" customFormat="false" ht="15" hidden="false" customHeight="false" outlineLevel="0" collapsed="false">
      <c r="A9" s="7" t="s">
        <v>43</v>
      </c>
      <c r="B9" s="11" t="s">
        <v>44</v>
      </c>
      <c r="C9" s="23" t="n">
        <v>36</v>
      </c>
      <c r="D9" s="24" t="n">
        <v>40000</v>
      </c>
      <c r="F9" s="7" t="s">
        <v>43</v>
      </c>
      <c r="G9" s="13"/>
      <c r="H9" s="13"/>
      <c r="I9" s="9" t="s">
        <v>76</v>
      </c>
    </row>
    <row r="10" customFormat="false" ht="15" hidden="false" customHeight="false" outlineLevel="0" collapsed="false">
      <c r="A10" s="7" t="s">
        <v>45</v>
      </c>
      <c r="B10" s="11" t="s">
        <v>46</v>
      </c>
      <c r="C10" s="23" t="n">
        <v>40</v>
      </c>
      <c r="D10" s="24" t="n">
        <v>40000</v>
      </c>
      <c r="F10" s="7" t="s">
        <v>45</v>
      </c>
      <c r="G10" s="13"/>
      <c r="H10" s="13"/>
      <c r="I10" s="9" t="s">
        <v>76</v>
      </c>
    </row>
    <row r="11" customFormat="false" ht="15" hidden="false" customHeight="false" outlineLevel="0" collapsed="false">
      <c r="A11" s="7" t="s">
        <v>47</v>
      </c>
      <c r="B11" s="11" t="s">
        <v>48</v>
      </c>
      <c r="C11" s="23" t="n">
        <v>44</v>
      </c>
      <c r="D11" s="24" t="n">
        <v>45000</v>
      </c>
      <c r="F11" s="7" t="s">
        <v>47</v>
      </c>
      <c r="G11" s="13"/>
      <c r="H11" s="13"/>
      <c r="I11" s="9" t="s">
        <v>76</v>
      </c>
    </row>
    <row r="12" customFormat="false" ht="15" hidden="false" customHeight="false" outlineLevel="0" collapsed="false">
      <c r="A12" s="7" t="s">
        <v>49</v>
      </c>
      <c r="B12" s="11" t="s">
        <v>50</v>
      </c>
      <c r="C12" s="23" t="n">
        <v>52</v>
      </c>
      <c r="D12" s="24" t="n">
        <v>60000</v>
      </c>
      <c r="F12" s="7" t="s">
        <v>49</v>
      </c>
      <c r="G12" s="13"/>
      <c r="H12" s="13"/>
      <c r="I12" s="9" t="s">
        <v>76</v>
      </c>
    </row>
    <row r="13" customFormat="false" ht="15" hidden="false" customHeight="false" outlineLevel="0" collapsed="false">
      <c r="A13" s="7" t="s">
        <v>51</v>
      </c>
      <c r="B13" s="11" t="s">
        <v>52</v>
      </c>
      <c r="C13" s="23" t="n">
        <v>56</v>
      </c>
      <c r="D13" s="24" t="n">
        <v>55000</v>
      </c>
      <c r="F13" s="7" t="s">
        <v>51</v>
      </c>
      <c r="G13" s="13"/>
      <c r="H13" s="13"/>
      <c r="I13" s="9" t="s">
        <v>76</v>
      </c>
    </row>
    <row r="14" customFormat="false" ht="15" hidden="false" customHeight="false" outlineLevel="0" collapsed="false">
      <c r="A14" s="7" t="s">
        <v>53</v>
      </c>
      <c r="B14" s="11" t="s">
        <v>54</v>
      </c>
      <c r="C14" s="23" t="n">
        <v>60</v>
      </c>
      <c r="D14" s="24" t="n">
        <v>65000</v>
      </c>
      <c r="F14" s="7" t="s">
        <v>53</v>
      </c>
      <c r="G14" s="13"/>
      <c r="H14" s="13"/>
      <c r="I14" s="9" t="s">
        <v>76</v>
      </c>
    </row>
    <row r="16" customFormat="false" ht="27.75" hidden="false" customHeight="true" outlineLevel="0" collapsed="false">
      <c r="A16" s="10" t="s">
        <v>77</v>
      </c>
      <c r="B16" s="10" t="s">
        <v>78</v>
      </c>
      <c r="C16" s="10" t="s">
        <v>71</v>
      </c>
      <c r="D16" s="10" t="s">
        <v>72</v>
      </c>
    </row>
    <row r="17" customFormat="false" ht="15" hidden="false" customHeight="false" outlineLevel="0" collapsed="false">
      <c r="A17" s="25" t="s">
        <v>79</v>
      </c>
      <c r="B17" s="9" t="s">
        <v>80</v>
      </c>
      <c r="C17" s="26"/>
      <c r="D17" s="27"/>
    </row>
    <row r="18" customFormat="false" ht="15" hidden="false" customHeight="false" outlineLevel="0" collapsed="false">
      <c r="A18" s="25" t="s">
        <v>81</v>
      </c>
      <c r="B18" s="9" t="s">
        <v>80</v>
      </c>
      <c r="C18" s="26"/>
      <c r="D18" s="27"/>
    </row>
    <row r="19" customFormat="false" ht="15" hidden="false" customHeight="false" outlineLevel="0" collapsed="false">
      <c r="A19" s="25" t="s">
        <v>82</v>
      </c>
      <c r="B19" s="9" t="s">
        <v>80</v>
      </c>
      <c r="C19" s="26"/>
      <c r="D19" s="27"/>
    </row>
    <row r="22" customFormat="false" ht="15" hidden="false" customHeight="false" outlineLevel="0" collapsed="false">
      <c r="A22" s="5" t="s">
        <v>83</v>
      </c>
      <c r="B22" s="5"/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6" t="s">
        <v>16</v>
      </c>
      <c r="B23" s="6" t="s">
        <v>84</v>
      </c>
      <c r="C23" s="6" t="s">
        <v>85</v>
      </c>
      <c r="D23" s="6" t="s">
        <v>86</v>
      </c>
      <c r="E23" s="6" t="s">
        <v>87</v>
      </c>
      <c r="F23" s="6" t="s">
        <v>88</v>
      </c>
      <c r="G23" s="6" t="s">
        <v>89</v>
      </c>
      <c r="H23" s="6" t="s">
        <v>90</v>
      </c>
    </row>
    <row r="24" customFormat="false" ht="15" hidden="false" customHeight="false" outlineLevel="0" collapsed="false">
      <c r="A24" s="28" t="s">
        <v>91</v>
      </c>
      <c r="B24" s="29" t="s">
        <v>37</v>
      </c>
      <c r="C24" s="11" t="s">
        <v>38</v>
      </c>
      <c r="D24" s="23" t="n">
        <v>20</v>
      </c>
      <c r="E24" s="24" t="n">
        <v>15000</v>
      </c>
      <c r="F24" s="13"/>
      <c r="G24" s="13"/>
      <c r="H24" s="9" t="s">
        <v>92</v>
      </c>
    </row>
    <row r="25" customFormat="false" ht="15" hidden="false" customHeight="false" outlineLevel="0" collapsed="false">
      <c r="A25" s="28" t="s">
        <v>93</v>
      </c>
      <c r="B25" s="29" t="s">
        <v>45</v>
      </c>
      <c r="C25" s="11" t="s">
        <v>46</v>
      </c>
      <c r="D25" s="23" t="n">
        <v>40</v>
      </c>
      <c r="E25" s="24" t="n">
        <v>40000</v>
      </c>
      <c r="F25" s="13"/>
      <c r="G25" s="13"/>
      <c r="H25" s="9" t="s">
        <v>94</v>
      </c>
    </row>
    <row r="26" customFormat="false" ht="15" hidden="false" customHeight="false" outlineLevel="0" collapsed="false">
      <c r="A26" s="28" t="s">
        <v>95</v>
      </c>
      <c r="B26" s="29" t="s">
        <v>53</v>
      </c>
      <c r="C26" s="11" t="s">
        <v>54</v>
      </c>
      <c r="D26" s="23" t="n">
        <v>60</v>
      </c>
      <c r="E26" s="24" t="n">
        <v>65000</v>
      </c>
      <c r="F26" s="13"/>
      <c r="G26" s="13"/>
      <c r="H26" s="9" t="s">
        <v>96</v>
      </c>
    </row>
  </sheetData>
  <mergeCells count="4">
    <mergeCell ref="A1:I1"/>
    <mergeCell ref="A3:D3"/>
    <mergeCell ref="F3:I3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15.9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5" t="s">
        <v>98</v>
      </c>
      <c r="B3" s="5"/>
      <c r="C3" s="5"/>
      <c r="D3" s="5"/>
      <c r="E3" s="5"/>
      <c r="F3" s="5"/>
    </row>
    <row r="4" customFormat="false" ht="27.7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</row>
    <row r="5" customFormat="false" ht="15" hidden="false" customHeight="false" outlineLevel="0" collapsed="false">
      <c r="A5" s="7" t="s">
        <v>20</v>
      </c>
      <c r="B5" s="8"/>
      <c r="C5" s="8"/>
      <c r="D5" s="9" t="s">
        <v>21</v>
      </c>
    </row>
    <row r="6" customFormat="false" ht="15" hidden="false" customHeight="false" outlineLevel="0" collapsed="false">
      <c r="A6" s="7" t="s">
        <v>22</v>
      </c>
      <c r="B6" s="8"/>
      <c r="C6" s="8"/>
      <c r="D6" s="9" t="s">
        <v>23</v>
      </c>
    </row>
    <row r="7" customFormat="false" ht="15" hidden="false" customHeight="false" outlineLevel="0" collapsed="false">
      <c r="A7" s="7" t="s">
        <v>24</v>
      </c>
      <c r="B7" s="8"/>
      <c r="C7" s="8"/>
      <c r="D7" s="9" t="s">
        <v>25</v>
      </c>
    </row>
    <row r="9" customFormat="false" ht="15" hidden="false" customHeight="false" outlineLevel="0" collapsed="false">
      <c r="A9" s="5" t="s">
        <v>99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7.7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</row>
    <row r="11" customFormat="false" ht="15" hidden="false" customHeight="false" outlineLevel="0" collapsed="false">
      <c r="A11" s="7" t="s">
        <v>37</v>
      </c>
      <c r="B11" s="11" t="s">
        <v>38</v>
      </c>
      <c r="C11" s="12" t="n">
        <f aca="false">01_MinMax_Scaling!G6</f>
        <v>0</v>
      </c>
      <c r="D11" s="12" t="n">
        <f aca="false">01_MinMax_Scaling!H6</f>
        <v>0</v>
      </c>
      <c r="E11" s="13"/>
      <c r="F11" s="13"/>
      <c r="G11" s="13"/>
      <c r="H11" s="14"/>
      <c r="I11" s="13"/>
      <c r="J11" s="15"/>
    </row>
    <row r="12" customFormat="false" ht="15" hidden="false" customHeight="false" outlineLevel="0" collapsed="false">
      <c r="A12" s="7" t="s">
        <v>39</v>
      </c>
      <c r="B12" s="11" t="s">
        <v>40</v>
      </c>
      <c r="C12" s="12" t="n">
        <f aca="false">01_MinMax_Scaling!G7</f>
        <v>0</v>
      </c>
      <c r="D12" s="12" t="n">
        <f aca="false">01_MinMax_Scaling!H7</f>
        <v>0</v>
      </c>
      <c r="E12" s="13"/>
      <c r="F12" s="13"/>
      <c r="G12" s="13"/>
      <c r="H12" s="14"/>
      <c r="I12" s="13"/>
      <c r="J12" s="15"/>
    </row>
    <row r="13" customFormat="false" ht="15" hidden="false" customHeight="false" outlineLevel="0" collapsed="false">
      <c r="A13" s="7" t="s">
        <v>41</v>
      </c>
      <c r="B13" s="11" t="s">
        <v>42</v>
      </c>
      <c r="C13" s="12" t="n">
        <f aca="false">01_MinMax_Scaling!G8</f>
        <v>0</v>
      </c>
      <c r="D13" s="12" t="n">
        <f aca="false">01_MinMax_Scaling!H8</f>
        <v>0</v>
      </c>
      <c r="E13" s="13"/>
      <c r="F13" s="13"/>
      <c r="G13" s="13"/>
      <c r="H13" s="14"/>
      <c r="I13" s="13"/>
      <c r="J13" s="15"/>
    </row>
    <row r="14" customFormat="false" ht="15" hidden="false" customHeight="false" outlineLevel="0" collapsed="false">
      <c r="A14" s="7" t="s">
        <v>43</v>
      </c>
      <c r="B14" s="11" t="s">
        <v>44</v>
      </c>
      <c r="C14" s="12" t="n">
        <f aca="false">01_MinMax_Scaling!G9</f>
        <v>0</v>
      </c>
      <c r="D14" s="12" t="n">
        <f aca="false">01_MinMax_Scaling!H9</f>
        <v>0</v>
      </c>
      <c r="E14" s="13"/>
      <c r="F14" s="13"/>
      <c r="G14" s="13"/>
      <c r="H14" s="14"/>
      <c r="I14" s="13"/>
      <c r="J14" s="15"/>
    </row>
    <row r="15" customFormat="false" ht="15" hidden="false" customHeight="false" outlineLevel="0" collapsed="false">
      <c r="A15" s="7" t="s">
        <v>45</v>
      </c>
      <c r="B15" s="11" t="s">
        <v>46</v>
      </c>
      <c r="C15" s="12" t="n">
        <f aca="false">01_MinMax_Scaling!G10</f>
        <v>0</v>
      </c>
      <c r="D15" s="12" t="n">
        <f aca="false">01_MinMax_Scaling!H10</f>
        <v>0</v>
      </c>
      <c r="E15" s="13"/>
      <c r="F15" s="13"/>
      <c r="G15" s="13"/>
      <c r="H15" s="14"/>
      <c r="I15" s="13"/>
      <c r="J15" s="15"/>
    </row>
    <row r="16" customFormat="false" ht="15" hidden="false" customHeight="false" outlineLevel="0" collapsed="false">
      <c r="A16" s="7" t="s">
        <v>47</v>
      </c>
      <c r="B16" s="11" t="s">
        <v>48</v>
      </c>
      <c r="C16" s="12" t="n">
        <f aca="false">01_MinMax_Scaling!G11</f>
        <v>0</v>
      </c>
      <c r="D16" s="12" t="n">
        <f aca="false">01_MinMax_Scaling!H11</f>
        <v>0</v>
      </c>
      <c r="E16" s="13"/>
      <c r="F16" s="13"/>
      <c r="G16" s="13"/>
      <c r="H16" s="14"/>
      <c r="I16" s="13"/>
      <c r="J16" s="15"/>
    </row>
    <row r="17" customFormat="false" ht="15" hidden="false" customHeight="false" outlineLevel="0" collapsed="false">
      <c r="A17" s="7" t="s">
        <v>49</v>
      </c>
      <c r="B17" s="11" t="s">
        <v>50</v>
      </c>
      <c r="C17" s="12" t="n">
        <f aca="false">01_MinMax_Scaling!G12</f>
        <v>0</v>
      </c>
      <c r="D17" s="12" t="n">
        <f aca="false">01_MinMax_Scaling!H12</f>
        <v>0</v>
      </c>
      <c r="E17" s="13"/>
      <c r="F17" s="13"/>
      <c r="G17" s="13"/>
      <c r="H17" s="14"/>
      <c r="I17" s="13"/>
      <c r="J17" s="15"/>
    </row>
    <row r="18" customFormat="false" ht="15" hidden="false" customHeight="false" outlineLevel="0" collapsed="false">
      <c r="A18" s="7" t="s">
        <v>51</v>
      </c>
      <c r="B18" s="11" t="s">
        <v>52</v>
      </c>
      <c r="C18" s="12" t="n">
        <f aca="false">01_MinMax_Scaling!G13</f>
        <v>0</v>
      </c>
      <c r="D18" s="12" t="n">
        <f aca="false">01_MinMax_Scaling!H13</f>
        <v>0</v>
      </c>
      <c r="E18" s="13"/>
      <c r="F18" s="13"/>
      <c r="G18" s="13"/>
      <c r="H18" s="14"/>
      <c r="I18" s="13"/>
      <c r="J18" s="15"/>
    </row>
    <row r="19" customFormat="false" ht="15" hidden="false" customHeight="false" outlineLevel="0" collapsed="false">
      <c r="A19" s="7" t="s">
        <v>53</v>
      </c>
      <c r="B19" s="11" t="s">
        <v>54</v>
      </c>
      <c r="C19" s="12" t="n">
        <f aca="false">01_MinMax_Scaling!G14</f>
        <v>0</v>
      </c>
      <c r="D19" s="12" t="n">
        <f aca="false">01_MinMax_Scaling!H14</f>
        <v>0</v>
      </c>
      <c r="E19" s="13"/>
      <c r="F19" s="13"/>
      <c r="G19" s="13"/>
      <c r="H19" s="14"/>
      <c r="I19" s="13"/>
      <c r="J19" s="15"/>
    </row>
    <row r="20" customFormat="false" ht="15" hidden="false" customHeight="false" outlineLevel="0" collapsed="false">
      <c r="A20" s="16" t="s">
        <v>100</v>
      </c>
      <c r="B20" s="16"/>
      <c r="C20" s="16"/>
      <c r="D20" s="16"/>
      <c r="E20" s="16"/>
      <c r="F20" s="16"/>
      <c r="G20" s="16"/>
      <c r="H20" s="16"/>
      <c r="I20" s="17"/>
      <c r="J20" s="30"/>
    </row>
    <row r="22" customFormat="false" ht="15" hidden="false" customHeight="false" outlineLevel="0" collapsed="false">
      <c r="A22" s="5" t="s">
        <v>101</v>
      </c>
      <c r="B22" s="5"/>
      <c r="C22" s="5"/>
      <c r="D22" s="5"/>
      <c r="E22" s="5"/>
      <c r="F22" s="5"/>
    </row>
    <row r="23" customFormat="false" ht="27.75" hidden="false" customHeight="true" outlineLevel="0" collapsed="false">
      <c r="A23" s="19" t="s">
        <v>57</v>
      </c>
      <c r="B23" s="19" t="s">
        <v>58</v>
      </c>
      <c r="C23" s="19" t="s">
        <v>59</v>
      </c>
      <c r="D23" s="19" t="s">
        <v>60</v>
      </c>
      <c r="E23" s="19" t="s">
        <v>61</v>
      </c>
      <c r="F23" s="19" t="s">
        <v>62</v>
      </c>
    </row>
    <row r="24" customFormat="false" ht="15" hidden="false" customHeight="false" outlineLevel="0" collapsed="false">
      <c r="A24" s="7" t="s">
        <v>63</v>
      </c>
      <c r="B24" s="20"/>
      <c r="C24" s="21"/>
      <c r="D24" s="21"/>
      <c r="E24" s="9" t="s">
        <v>64</v>
      </c>
      <c r="F24" s="22"/>
    </row>
    <row r="25" customFormat="false" ht="15" hidden="false" customHeight="false" outlineLevel="0" collapsed="false">
      <c r="A25" s="7" t="s">
        <v>65</v>
      </c>
      <c r="B25" s="20"/>
      <c r="C25" s="21"/>
      <c r="D25" s="21"/>
      <c r="E25" s="9" t="s">
        <v>64</v>
      </c>
      <c r="F25" s="22"/>
    </row>
    <row r="26" customFormat="false" ht="15" hidden="false" customHeight="false" outlineLevel="0" collapsed="false">
      <c r="A26" s="7" t="s">
        <v>66</v>
      </c>
      <c r="B26" s="20"/>
      <c r="C26" s="21"/>
      <c r="D26" s="21"/>
      <c r="E26" s="9" t="s">
        <v>64</v>
      </c>
      <c r="F26" s="22"/>
    </row>
  </sheetData>
  <mergeCells count="5">
    <mergeCell ref="A1:J1"/>
    <mergeCell ref="A3:F3"/>
    <mergeCell ref="A9:J9"/>
    <mergeCell ref="A20:H20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15.9" hidden="false" customHeight="fals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5" t="s">
        <v>103</v>
      </c>
      <c r="B3" s="5"/>
      <c r="C3" s="5"/>
      <c r="D3" s="5"/>
      <c r="E3" s="5"/>
      <c r="F3" s="5"/>
    </row>
    <row r="4" customFormat="false" ht="27.7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</row>
    <row r="5" customFormat="false" ht="15" hidden="false" customHeight="false" outlineLevel="0" collapsed="false">
      <c r="A5" s="7" t="s">
        <v>20</v>
      </c>
      <c r="B5" s="8"/>
      <c r="C5" s="8"/>
      <c r="D5" s="9" t="s">
        <v>21</v>
      </c>
    </row>
    <row r="6" customFormat="false" ht="15" hidden="false" customHeight="false" outlineLevel="0" collapsed="false">
      <c r="A6" s="7" t="s">
        <v>22</v>
      </c>
      <c r="B6" s="8"/>
      <c r="C6" s="8"/>
      <c r="D6" s="9" t="s">
        <v>23</v>
      </c>
    </row>
    <row r="7" customFormat="false" ht="15" hidden="false" customHeight="false" outlineLevel="0" collapsed="false">
      <c r="A7" s="7" t="s">
        <v>24</v>
      </c>
      <c r="B7" s="8"/>
      <c r="C7" s="8"/>
      <c r="D7" s="9" t="s">
        <v>25</v>
      </c>
    </row>
    <row r="9" customFormat="false" ht="15" hidden="false" customHeight="false" outlineLevel="0" collapsed="false">
      <c r="A9" s="5" t="s">
        <v>104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7.7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</row>
    <row r="11" customFormat="false" ht="15" hidden="false" customHeight="false" outlineLevel="0" collapsed="false">
      <c r="A11" s="7" t="s">
        <v>37</v>
      </c>
      <c r="B11" s="11" t="s">
        <v>38</v>
      </c>
      <c r="C11" s="12" t="n">
        <f aca="false">01_MinMax_Scaling!G6</f>
        <v>0</v>
      </c>
      <c r="D11" s="12" t="n">
        <f aca="false">01_MinMax_Scaling!H6</f>
        <v>0</v>
      </c>
      <c r="E11" s="13"/>
      <c r="F11" s="13"/>
      <c r="G11" s="13"/>
      <c r="H11" s="14"/>
      <c r="I11" s="13"/>
      <c r="J11" s="15"/>
    </row>
    <row r="12" customFormat="false" ht="15" hidden="false" customHeight="false" outlineLevel="0" collapsed="false">
      <c r="A12" s="7" t="s">
        <v>39</v>
      </c>
      <c r="B12" s="11" t="s">
        <v>40</v>
      </c>
      <c r="C12" s="12" t="n">
        <f aca="false">01_MinMax_Scaling!G7</f>
        <v>0</v>
      </c>
      <c r="D12" s="12" t="n">
        <f aca="false">01_MinMax_Scaling!H7</f>
        <v>0</v>
      </c>
      <c r="E12" s="13"/>
      <c r="F12" s="13"/>
      <c r="G12" s="13"/>
      <c r="H12" s="14"/>
      <c r="I12" s="13"/>
      <c r="J12" s="15"/>
    </row>
    <row r="13" customFormat="false" ht="15" hidden="false" customHeight="false" outlineLevel="0" collapsed="false">
      <c r="A13" s="7" t="s">
        <v>41</v>
      </c>
      <c r="B13" s="11" t="s">
        <v>42</v>
      </c>
      <c r="C13" s="12" t="n">
        <f aca="false">01_MinMax_Scaling!G8</f>
        <v>0</v>
      </c>
      <c r="D13" s="12" t="n">
        <f aca="false">01_MinMax_Scaling!H8</f>
        <v>0</v>
      </c>
      <c r="E13" s="13"/>
      <c r="F13" s="13"/>
      <c r="G13" s="13"/>
      <c r="H13" s="14"/>
      <c r="I13" s="13"/>
      <c r="J13" s="15"/>
    </row>
    <row r="14" customFormat="false" ht="15" hidden="false" customHeight="false" outlineLevel="0" collapsed="false">
      <c r="A14" s="7" t="s">
        <v>43</v>
      </c>
      <c r="B14" s="11" t="s">
        <v>44</v>
      </c>
      <c r="C14" s="12" t="n">
        <f aca="false">01_MinMax_Scaling!G9</f>
        <v>0</v>
      </c>
      <c r="D14" s="12" t="n">
        <f aca="false">01_MinMax_Scaling!H9</f>
        <v>0</v>
      </c>
      <c r="E14" s="13"/>
      <c r="F14" s="13"/>
      <c r="G14" s="13"/>
      <c r="H14" s="14"/>
      <c r="I14" s="13"/>
      <c r="J14" s="15"/>
    </row>
    <row r="15" customFormat="false" ht="15" hidden="false" customHeight="false" outlineLevel="0" collapsed="false">
      <c r="A15" s="7" t="s">
        <v>45</v>
      </c>
      <c r="B15" s="11" t="s">
        <v>46</v>
      </c>
      <c r="C15" s="12" t="n">
        <f aca="false">01_MinMax_Scaling!G10</f>
        <v>0</v>
      </c>
      <c r="D15" s="12" t="n">
        <f aca="false">01_MinMax_Scaling!H10</f>
        <v>0</v>
      </c>
      <c r="E15" s="13"/>
      <c r="F15" s="13"/>
      <c r="G15" s="13"/>
      <c r="H15" s="14"/>
      <c r="I15" s="13"/>
      <c r="J15" s="15"/>
    </row>
    <row r="16" customFormat="false" ht="15" hidden="false" customHeight="false" outlineLevel="0" collapsed="false">
      <c r="A16" s="7" t="s">
        <v>47</v>
      </c>
      <c r="B16" s="11" t="s">
        <v>48</v>
      </c>
      <c r="C16" s="12" t="n">
        <f aca="false">01_MinMax_Scaling!G11</f>
        <v>0</v>
      </c>
      <c r="D16" s="12" t="n">
        <f aca="false">01_MinMax_Scaling!H11</f>
        <v>0</v>
      </c>
      <c r="E16" s="13"/>
      <c r="F16" s="13"/>
      <c r="G16" s="13"/>
      <c r="H16" s="14"/>
      <c r="I16" s="13"/>
      <c r="J16" s="15"/>
    </row>
    <row r="17" customFormat="false" ht="15" hidden="false" customHeight="false" outlineLevel="0" collapsed="false">
      <c r="A17" s="7" t="s">
        <v>49</v>
      </c>
      <c r="B17" s="11" t="s">
        <v>50</v>
      </c>
      <c r="C17" s="12" t="n">
        <f aca="false">01_MinMax_Scaling!G12</f>
        <v>0</v>
      </c>
      <c r="D17" s="12" t="n">
        <f aca="false">01_MinMax_Scaling!H12</f>
        <v>0</v>
      </c>
      <c r="E17" s="13"/>
      <c r="F17" s="13"/>
      <c r="G17" s="13"/>
      <c r="H17" s="14"/>
      <c r="I17" s="13"/>
      <c r="J17" s="15"/>
    </row>
    <row r="18" customFormat="false" ht="15" hidden="false" customHeight="false" outlineLevel="0" collapsed="false">
      <c r="A18" s="7" t="s">
        <v>51</v>
      </c>
      <c r="B18" s="11" t="s">
        <v>52</v>
      </c>
      <c r="C18" s="12" t="n">
        <f aca="false">01_MinMax_Scaling!G13</f>
        <v>0</v>
      </c>
      <c r="D18" s="12" t="n">
        <f aca="false">01_MinMax_Scaling!H13</f>
        <v>0</v>
      </c>
      <c r="E18" s="13"/>
      <c r="F18" s="13"/>
      <c r="G18" s="13"/>
      <c r="H18" s="14"/>
      <c r="I18" s="13"/>
      <c r="J18" s="15"/>
    </row>
    <row r="19" customFormat="false" ht="15" hidden="false" customHeight="false" outlineLevel="0" collapsed="false">
      <c r="A19" s="7" t="s">
        <v>53</v>
      </c>
      <c r="B19" s="11" t="s">
        <v>54</v>
      </c>
      <c r="C19" s="12" t="n">
        <f aca="false">01_MinMax_Scaling!G14</f>
        <v>0</v>
      </c>
      <c r="D19" s="12" t="n">
        <f aca="false">01_MinMax_Scaling!H14</f>
        <v>0</v>
      </c>
      <c r="E19" s="13"/>
      <c r="F19" s="13"/>
      <c r="G19" s="13"/>
      <c r="H19" s="14"/>
      <c r="I19" s="13"/>
      <c r="J19" s="15"/>
    </row>
    <row r="20" customFormat="false" ht="15" hidden="false" customHeight="false" outlineLevel="0" collapsed="false">
      <c r="A20" s="16" t="s">
        <v>105</v>
      </c>
      <c r="B20" s="16"/>
      <c r="C20" s="16"/>
      <c r="D20" s="16"/>
      <c r="E20" s="16"/>
      <c r="F20" s="16"/>
      <c r="G20" s="16"/>
      <c r="H20" s="16"/>
      <c r="I20" s="17"/>
      <c r="J20" s="30"/>
    </row>
    <row r="22" customFormat="false" ht="15" hidden="false" customHeight="false" outlineLevel="0" collapsed="false">
      <c r="A22" s="5" t="s">
        <v>106</v>
      </c>
      <c r="B22" s="5"/>
      <c r="C22" s="5"/>
      <c r="D22" s="5"/>
      <c r="E22" s="5"/>
      <c r="F22" s="5"/>
    </row>
    <row r="23" customFormat="false" ht="27.75" hidden="false" customHeight="true" outlineLevel="0" collapsed="false">
      <c r="A23" s="19" t="s">
        <v>57</v>
      </c>
      <c r="B23" s="19" t="s">
        <v>58</v>
      </c>
      <c r="C23" s="19" t="s">
        <v>59</v>
      </c>
      <c r="D23" s="19" t="s">
        <v>60</v>
      </c>
      <c r="E23" s="19" t="s">
        <v>61</v>
      </c>
      <c r="F23" s="19" t="s">
        <v>62</v>
      </c>
    </row>
    <row r="24" customFormat="false" ht="15" hidden="false" customHeight="false" outlineLevel="0" collapsed="false">
      <c r="A24" s="7" t="s">
        <v>63</v>
      </c>
      <c r="B24" s="20"/>
      <c r="C24" s="21"/>
      <c r="D24" s="21"/>
      <c r="E24" s="9" t="s">
        <v>64</v>
      </c>
      <c r="F24" s="22"/>
    </row>
    <row r="25" customFormat="false" ht="15" hidden="false" customHeight="false" outlineLevel="0" collapsed="false">
      <c r="A25" s="7" t="s">
        <v>65</v>
      </c>
      <c r="B25" s="20"/>
      <c r="C25" s="21"/>
      <c r="D25" s="21"/>
      <c r="E25" s="9" t="s">
        <v>64</v>
      </c>
      <c r="F25" s="22"/>
    </row>
    <row r="26" customFormat="false" ht="15" hidden="false" customHeight="false" outlineLevel="0" collapsed="false">
      <c r="A26" s="7" t="s">
        <v>66</v>
      </c>
      <c r="B26" s="20"/>
      <c r="C26" s="21"/>
      <c r="D26" s="21"/>
      <c r="E26" s="9" t="s">
        <v>64</v>
      </c>
      <c r="F26" s="22"/>
    </row>
    <row r="28" customFormat="false" ht="15" hidden="false" customHeight="false" outlineLevel="0" collapsed="false">
      <c r="A28" s="5" t="s">
        <v>107</v>
      </c>
      <c r="B28" s="5"/>
      <c r="C28" s="5"/>
      <c r="D28" s="5"/>
      <c r="E28" s="5"/>
      <c r="F28" s="5"/>
    </row>
    <row r="29" customFormat="false" ht="27.75" hidden="false" customHeight="true" outlineLevel="0" collapsed="false">
      <c r="A29" s="6" t="s">
        <v>108</v>
      </c>
      <c r="B29" s="6" t="s">
        <v>109</v>
      </c>
      <c r="C29" s="6" t="s">
        <v>110</v>
      </c>
      <c r="D29" s="6" t="s">
        <v>111</v>
      </c>
      <c r="E29" s="6" t="s">
        <v>112</v>
      </c>
    </row>
    <row r="30" customFormat="false" ht="15" hidden="false" customHeight="false" outlineLevel="0" collapsed="false">
      <c r="A30" s="25" t="s">
        <v>113</v>
      </c>
      <c r="B30" s="8"/>
      <c r="C30" s="31" t="s">
        <v>114</v>
      </c>
      <c r="D30" s="32"/>
      <c r="E30" s="9"/>
    </row>
    <row r="31" customFormat="false" ht="15" hidden="false" customHeight="false" outlineLevel="0" collapsed="false">
      <c r="A31" s="25" t="s">
        <v>115</v>
      </c>
      <c r="B31" s="8"/>
      <c r="C31" s="31" t="s">
        <v>116</v>
      </c>
      <c r="D31" s="32"/>
      <c r="E31" s="9"/>
    </row>
    <row r="32" customFormat="false" ht="15" hidden="false" customHeight="false" outlineLevel="0" collapsed="false">
      <c r="A32" s="25" t="s">
        <v>117</v>
      </c>
      <c r="B32" s="8"/>
      <c r="C32" s="31" t="s">
        <v>118</v>
      </c>
      <c r="D32" s="32"/>
      <c r="E32" s="9"/>
    </row>
    <row r="34" customFormat="false" ht="15" hidden="false" customHeight="false" outlineLevel="0" collapsed="false">
      <c r="A34" s="33" t="s">
        <v>119</v>
      </c>
      <c r="B34" s="33"/>
      <c r="C34" s="33"/>
      <c r="D34" s="33"/>
      <c r="E34" s="33"/>
      <c r="F34" s="33"/>
    </row>
  </sheetData>
  <mergeCells count="7">
    <mergeCell ref="A1:J1"/>
    <mergeCell ref="A3:F3"/>
    <mergeCell ref="A9:J9"/>
    <mergeCell ref="A20:H20"/>
    <mergeCell ref="A22:F22"/>
    <mergeCell ref="A28:F28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7" min="6" style="0" width="15"/>
  </cols>
  <sheetData>
    <row r="1" customFormat="false" ht="15" hidden="false" customHeight="false" outlineLevel="0" collapsed="false">
      <c r="A1" s="5" t="s">
        <v>120</v>
      </c>
      <c r="B1" s="5"/>
      <c r="C1" s="5"/>
      <c r="D1" s="5"/>
      <c r="E1" s="5"/>
      <c r="F1" s="5"/>
      <c r="G1" s="5"/>
    </row>
    <row r="2" customFormat="false" ht="27.75" hidden="false" customHeight="true" outlineLevel="0" collapsed="false">
      <c r="A2" s="6" t="s">
        <v>121</v>
      </c>
      <c r="B2" s="6" t="s">
        <v>122</v>
      </c>
      <c r="C2" s="6" t="s">
        <v>123</v>
      </c>
      <c r="D2" s="6" t="s">
        <v>124</v>
      </c>
      <c r="E2" s="6" t="s">
        <v>125</v>
      </c>
    </row>
    <row r="3" customFormat="false" ht="15" hidden="false" customHeight="false" outlineLevel="0" collapsed="false">
      <c r="A3" s="25" t="s">
        <v>126</v>
      </c>
      <c r="B3" s="34" t="s">
        <v>127</v>
      </c>
      <c r="C3" s="7" t="n">
        <v>10</v>
      </c>
      <c r="D3" s="9" t="s">
        <v>128</v>
      </c>
      <c r="E3" s="35" t="s">
        <v>129</v>
      </c>
    </row>
    <row r="4" customFormat="false" ht="15" hidden="false" customHeight="false" outlineLevel="0" collapsed="false">
      <c r="A4" s="25" t="s">
        <v>126</v>
      </c>
      <c r="B4" s="34" t="s">
        <v>130</v>
      </c>
      <c r="C4" s="7" t="n">
        <v>10</v>
      </c>
      <c r="D4" s="9" t="s">
        <v>131</v>
      </c>
      <c r="E4" s="35" t="s">
        <v>132</v>
      </c>
    </row>
    <row r="5" customFormat="false" ht="15" hidden="false" customHeight="false" outlineLevel="0" collapsed="false">
      <c r="A5" s="25" t="s">
        <v>126</v>
      </c>
      <c r="B5" s="34" t="s">
        <v>133</v>
      </c>
      <c r="C5" s="7" t="n">
        <v>5</v>
      </c>
      <c r="D5" s="9" t="s">
        <v>134</v>
      </c>
      <c r="E5" s="35" t="s">
        <v>135</v>
      </c>
    </row>
    <row r="6" customFormat="false" ht="15" hidden="false" customHeight="false" outlineLevel="0" collapsed="false">
      <c r="A6" s="25" t="s">
        <v>136</v>
      </c>
      <c r="B6" s="34" t="s">
        <v>137</v>
      </c>
      <c r="C6" s="7" t="n">
        <v>10</v>
      </c>
      <c r="D6" s="9" t="s">
        <v>138</v>
      </c>
      <c r="E6" s="35" t="s">
        <v>139</v>
      </c>
    </row>
    <row r="7" customFormat="false" ht="15" hidden="false" customHeight="false" outlineLevel="0" collapsed="false">
      <c r="A7" s="25" t="s">
        <v>136</v>
      </c>
      <c r="B7" s="34" t="s">
        <v>140</v>
      </c>
      <c r="C7" s="7" t="n">
        <v>10</v>
      </c>
      <c r="D7" s="9" t="s">
        <v>141</v>
      </c>
      <c r="E7" s="35" t="s">
        <v>142</v>
      </c>
    </row>
    <row r="8" customFormat="false" ht="15" hidden="false" customHeight="false" outlineLevel="0" collapsed="false">
      <c r="A8" s="25" t="s">
        <v>136</v>
      </c>
      <c r="B8" s="34" t="s">
        <v>143</v>
      </c>
      <c r="C8" s="7" t="n">
        <v>10</v>
      </c>
      <c r="D8" s="9" t="s">
        <v>144</v>
      </c>
      <c r="E8" s="35" t="s">
        <v>145</v>
      </c>
    </row>
    <row r="9" customFormat="false" ht="15" hidden="false" customHeight="false" outlineLevel="0" collapsed="false">
      <c r="A9" s="25" t="s">
        <v>146</v>
      </c>
      <c r="B9" s="34" t="s">
        <v>147</v>
      </c>
      <c r="C9" s="7" t="n">
        <v>10</v>
      </c>
      <c r="D9" s="9" t="s">
        <v>148</v>
      </c>
      <c r="E9" s="35" t="s">
        <v>149</v>
      </c>
    </row>
    <row r="10" customFormat="false" ht="15" hidden="false" customHeight="false" outlineLevel="0" collapsed="false">
      <c r="A10" s="25" t="s">
        <v>146</v>
      </c>
      <c r="B10" s="34" t="s">
        <v>150</v>
      </c>
      <c r="C10" s="7" t="n">
        <v>10</v>
      </c>
      <c r="D10" s="9" t="s">
        <v>151</v>
      </c>
      <c r="E10" s="35" t="s">
        <v>152</v>
      </c>
    </row>
    <row r="11" customFormat="false" ht="15" hidden="false" customHeight="false" outlineLevel="0" collapsed="false">
      <c r="A11" s="25" t="s">
        <v>146</v>
      </c>
      <c r="B11" s="34" t="s">
        <v>153</v>
      </c>
      <c r="C11" s="7" t="n">
        <v>10</v>
      </c>
      <c r="D11" s="9" t="s">
        <v>154</v>
      </c>
      <c r="E11" s="35" t="s">
        <v>155</v>
      </c>
    </row>
    <row r="12" customFormat="false" ht="15" hidden="false" customHeight="false" outlineLevel="0" collapsed="false">
      <c r="A12" s="25" t="s">
        <v>156</v>
      </c>
      <c r="B12" s="34" t="s">
        <v>157</v>
      </c>
      <c r="C12" s="7" t="n">
        <v>10</v>
      </c>
      <c r="D12" s="9" t="s">
        <v>158</v>
      </c>
      <c r="E12" s="35" t="s">
        <v>159</v>
      </c>
    </row>
    <row r="13" customFormat="false" ht="15" hidden="false" customHeight="false" outlineLevel="0" collapsed="false">
      <c r="A13" s="25" t="s">
        <v>156</v>
      </c>
      <c r="B13" s="34" t="s">
        <v>160</v>
      </c>
      <c r="C13" s="7" t="n">
        <v>5</v>
      </c>
      <c r="D13" s="9" t="s">
        <v>161</v>
      </c>
      <c r="E13" s="35" t="s">
        <v>162</v>
      </c>
    </row>
    <row r="14" customFormat="false" ht="16.15" hidden="false" customHeight="false" outlineLevel="0" collapsed="false">
      <c r="A14" s="36" t="s">
        <v>163</v>
      </c>
      <c r="B14" s="36"/>
      <c r="C14" s="37" t="n">
        <f aca="false">SUM(C3:C13)</f>
        <v>100</v>
      </c>
      <c r="D14" s="38" t="s">
        <v>164</v>
      </c>
      <c r="E14" s="38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G1"/>
    <mergeCell ref="A14:B14"/>
    <mergeCell ref="D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2026-09-16T12:54:54Z</dcterms:created>
  <dc:creator>openpyxl</dc:creator>
  <dc:description/>
  <dc:language>en-US</dc:language>
  <cp:lastModifiedBy/>
  <dcterms:modified xsi:type="dcterms:W3CDTF">2026-09-16T21:38:17Z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