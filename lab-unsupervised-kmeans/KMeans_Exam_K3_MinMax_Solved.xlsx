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am_Instructions" sheetId="1" state="visible" r:id="rId1"/>
    <sheet xmlns:r="http://schemas.openxmlformats.org/officeDocument/2006/relationships" name="01_MinMax_Scaling" sheetId="2" state="visible" r:id="rId2"/>
    <sheet xmlns:r="http://schemas.openxmlformats.org/officeDocument/2006/relationships" name="02_KMeans_Iteration_1" sheetId="3" state="visible" r:id="rId3"/>
    <sheet xmlns:r="http://schemas.openxmlformats.org/officeDocument/2006/relationships" name="03_KMeans_Iteration_2" sheetId="4" state="visible" r:id="rId4"/>
    <sheet xmlns:r="http://schemas.openxmlformats.org/officeDocument/2006/relationships" name="04_KMeans_Iteration_3" sheetId="5" state="visible" r:id="rId5"/>
    <sheet xmlns:r="http://schemas.openxmlformats.org/officeDocument/2006/relationships" name="05_Analysis_and_Rubr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&quot;ลดลง &quot;0.0000;;&quot;คงเดิม (0.0000)&quot;"/>
  </numFmts>
  <fonts count="1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B91C1C"/>
      <sz val="9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</font>
    <font>
      <name val="Arial"/>
      <color rgb="00000000"/>
    </font>
    <font>
      <name val="Arial"/>
      <b val="1"/>
      <color rgb="000000FF"/>
    </font>
    <font>
      <name val="Arial"/>
      <i val="1"/>
      <color rgb="00334155"/>
      <sz val="9"/>
    </font>
    <font>
      <name val="Arial"/>
      <b val="1"/>
      <sz val="9"/>
    </font>
    <font>
      <name val="Arial"/>
      <b val="1"/>
      <color rgb="00047857"/>
      <sz val="9"/>
    </font>
    <font>
      <name val="Arial"/>
      <b val="1"/>
      <color rgb="00047857"/>
      <sz val="10"/>
    </font>
    <font>
      <name val="Arial"/>
      <b val="1"/>
      <color rgb="00047857"/>
      <sz val="11"/>
    </font>
    <font>
      <name val="Arial"/>
      <b val="1"/>
      <color rgb="00047857"/>
    </font>
    <font>
      <name val="Arial"/>
      <sz val="9"/>
    </font>
    <font>
      <name val="Arial"/>
      <i val="1"/>
      <color rgb="00B91C1C"/>
      <sz val="9"/>
    </font>
    <font>
      <name val="Arial"/>
      <b val="1"/>
      <color rgb="00B91C1C"/>
      <sz val="13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BF"/>
      </patternFill>
    </fill>
    <fill>
      <patternFill patternType="solid">
        <fgColor rgb="004338CA"/>
      </patternFill>
    </fill>
    <fill>
      <patternFill patternType="solid">
        <fgColor rgb="00DCFCE7"/>
      </patternFill>
    </fill>
    <fill>
      <patternFill patternType="solid">
        <fgColor rgb="000F766E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E4E6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" fontId="9" fillId="3" borderId="1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10" fillId="0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11" fillId="0" borderId="1" pivotButton="0" quotePrefix="0" xfId="0"/>
    <xf numFmtId="1" fontId="8" fillId="7" borderId="1" applyAlignment="1" pivotButton="0" quotePrefix="0" xfId="0">
      <alignment horizontal="center" vertical="center"/>
    </xf>
    <xf numFmtId="3" fontId="8" fillId="7" borderId="1" applyAlignment="1" pivotButton="0" quotePrefix="0" xfId="0">
      <alignment horizontal="center" vertical="center"/>
    </xf>
    <xf numFmtId="0" fontId="7" fillId="0" borderId="1" pivotButton="0" quotePrefix="0" xfId="0"/>
    <xf numFmtId="0" fontId="9" fillId="3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" fontId="7" fillId="8" borderId="1" applyAlignment="1" pivotButton="0" quotePrefix="0" xfId="0">
      <alignment horizontal="center" vertical="center"/>
    </xf>
    <xf numFmtId="49" fontId="8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0" fontId="0" fillId="0" borderId="2" pivotButton="0" quotePrefix="0" xfId="0"/>
    <xf numFmtId="165" fontId="5" fillId="1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166" fontId="12" fillId="0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vertical="center" wrapText="1"/>
    </xf>
    <xf numFmtId="0" fontId="15" fillId="0" borderId="0" pivotButton="0" quotePrefix="0" xfId="0"/>
    <xf numFmtId="0" fontId="16" fillId="5" borderId="1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0" borderId="1" pivotButton="0" quotePrefix="0" xfId="0"/>
    <xf numFmtId="0" fontId="17" fillId="0" borderId="1" pivotButton="0" quotePrefix="0" xfId="0"/>
    <xf numFmtId="0" fontId="1" fillId="0" borderId="2" applyAlignment="1" pivotButton="0" quotePrefix="0" xfId="0">
      <alignment horizontal="right" vertical="center"/>
    </xf>
    <xf numFmtId="0" fontId="18" fillId="8" borderId="2" applyAlignment="1" pivotButton="0" quotePrefix="0" xfId="0">
      <alignment horizontal="center" vertical="center"/>
    </xf>
    <xf numFmtId="0" fontId="1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ข้อสอบปฏิบัติการ: K-Means Clustering ด้วย Min-Max Normalization (K=3, 3 รอบ) 【ฉบับเฉลยสำหรับอาจารย์ผู้ตรวจ - INSTRUCTOR KEY】</t>
        </is>
      </c>
    </row>
    <row r="3" ht="24" customHeight="1">
      <c r="A3" s="2" t="inlineStr">
        <is>
          <t>วิชา: Machine Learning / Data Mining (ข้อสอบภาคปฏิบัติการวิเคราะห์ข้อมูลด้วย Microsoft Excel)</t>
        </is>
      </c>
    </row>
    <row r="4" ht="28" customHeight="1">
      <c r="A4" s="2" t="inlineStr">
        <is>
          <t>คำสั่งและข้อตกลงในการทำข้อสอบ:</t>
        </is>
      </c>
    </row>
    <row r="5" ht="24" customHeight="1">
      <c r="A5" s="3" t="inlineStr">
        <is>
          <t xml:space="preserve">    1. ให้แสดงวิธีทำทุกขั้นตอนลงในแผ่นงาน (Worksheet) แต่ละแผ่นอย่างเคร่งครัด</t>
        </is>
      </c>
    </row>
    <row r="6" ht="24" customHeight="1">
      <c r="A6" s="4" t="inlineStr">
        <is>
          <t xml:space="preserve">    2. เซลล์สีเหลือง + ตัวเลขสีน้ำเงิน = ข้อมูลและค่าคงที่โจทย์กำหนด ห้ามแก้ไข</t>
        </is>
      </c>
    </row>
    <row r="7" ht="24" customHeight="1">
      <c r="A7" s="4" t="inlineStr">
        <is>
          <t xml:space="preserve">    3. เซลล์สีเหลืองว่าง = เซลล์ที่นักศึกษาต้องพิมพ์ 'สูตรคำนวณ Excel' ลงไป ห้ามพิมพ์ตัวเลขตรงๆ (Hard-code)</t>
        </is>
      </c>
    </row>
    <row r="8" ht="24" customHeight="1">
      <c r="A8" s="3" t="inlineStr">
        <is>
          <t xml:space="preserve">    4. การอ้างอิงตำแหน่งเซลล์ต้องใช้การตรึงเซลล์ ($) ให้ถูกต้อง เพื่อให้สามารถคัดลอกสูตร (Drag-fill) ได้อย่างแม่นยำ</t>
        </is>
      </c>
    </row>
    <row r="9" ht="24" customHeight="1">
      <c r="A9" s="3" t="inlineStr">
        <is>
          <t xml:space="preserve">    5. ค่าตัวเลขทศนิยมให้แสดงทศนิยม 4 ตำแหน่ง (เช่น 0.1234)</t>
        </is>
      </c>
    </row>
    <row r="10" ht="28" customHeight="1">
      <c r="A10" s="2" t="inlineStr">
        <is>
          <t>โครงสร้างข้อสอบ (คะแนนเต็ม 100 คะแนน):</t>
        </is>
      </c>
    </row>
    <row r="11" ht="24" customHeight="1">
      <c r="A11" s="3" t="inlineStr">
        <is>
          <t xml:space="preserve">    • แผ่นงาน 01 (01_MinMax_Scaling): การคำนวณสถิติพื้นฐาน และทำ Min-Max Normalization (20 คะแนน)</t>
        </is>
      </c>
    </row>
    <row r="12" ht="24" customHeight="1">
      <c r="A12" s="3" t="inlineStr">
        <is>
          <t xml:space="preserve">    • แผ่นงาน 02 (02_KMeans_Iteration_1): การจัดกลุ่ม K-Means รอบที่ 1, คำนวณ WCSS, และหา Centroid ใหม่ (25 คะแนน)</t>
        </is>
      </c>
    </row>
    <row r="13" ht="24" customHeight="1">
      <c r="A13" s="3" t="inlineStr">
        <is>
          <t xml:space="preserve">    • แผ่นงาน 03 (03_KMeans_Iteration_2): การจัดกลุ่ม K-Means รอบที่ 2 จาก Centroid ใหม่ของรอบ 1 (25 คะแนน)</t>
        </is>
      </c>
    </row>
    <row r="14" ht="24" customHeight="1">
      <c r="A14" s="3" t="inlineStr">
        <is>
          <t xml:space="preserve">    • แผ่นงาน 04 (04_KMeans_Iteration_3): การจัดกลุ่ม K-Means รอบที่ 3, คำนวณ WCSS, และพิสูจน์การลู่เข้า (15 คะแนน)</t>
        </is>
      </c>
    </row>
    <row r="15" ht="24" customHeight="1">
      <c r="A15" s="3" t="inlineStr">
        <is>
          <t xml:space="preserve">    • แผ่นงาน 05 (05_Analysis_and_Rubric): คำถามเชิงคิดวิเคราะห์ 3 ข้อ และเกณฑ์คะแนน (15 คะแนน)</t>
        </is>
      </c>
    </row>
    <row r="16" ht="28" customHeight="1">
      <c r="A16" s="2" t="inlineStr">
        <is>
          <t>สรุปสูตรคณิตศาสตร์และสูตร Excel สำคัญที่ต้องใช้:</t>
        </is>
      </c>
    </row>
    <row r="17" ht="24" customHeight="1">
      <c r="A17" s="3" t="inlineStr">
        <is>
          <t xml:space="preserve">    • Min-Max Normalization: X_norm = (X - Min) / (Max - Min)   [สูตร Excel: =(C6-$C$17)/$C$19 ]</t>
        </is>
      </c>
    </row>
    <row r="18" ht="24" customHeight="1">
      <c r="A18" s="3" t="inlineStr">
        <is>
          <t xml:space="preserve">    • Euclidean Distance (2D): d(P, C) = √[(X₁ - C₁)² + (X₂ - C₂)²]   [สูตร Excel: =SQRT((C10-$B$5)^2 + (D10-$C$5)^2) ]</t>
        </is>
      </c>
    </row>
    <row r="19" ht="24" customHeight="1">
      <c r="A19" s="3" t="inlineStr">
        <is>
          <t xml:space="preserve">    • Cluster Assignment: เลือกคลัสเตอร์ที่มีระยะทางสั้นที่สุด   [สูตร Excel: =IF(AND(E10&lt;=F10, E10&lt;=G10), 1, IF(F10&lt;=G10, 2, 3)) ]</t>
        </is>
      </c>
    </row>
    <row r="20" ht="24" customHeight="1">
      <c r="A20" s="3" t="inlineStr">
        <is>
          <t xml:space="preserve">    • WCSS / Inertia: ผลรวมของระยะทางต่ำสุดยกกำลังสอง ∑ (d_min)²   [สูตร Excel: =SUM(I10:I18) โดย I10=MIN(E10:G10)^2 ]</t>
        </is>
      </c>
    </row>
    <row r="21" ht="24" customHeight="1">
      <c r="A21" s="3" t="inlineStr">
        <is>
          <t xml:space="preserve">    • New Centroid: ค่าเฉลี่ยของพิกัดในแต่ละคลัสเตอร์   [สูตร Excel: =AVERAGEIF($H$10:$H$18, 1, C$10:C$18) ]</t>
        </is>
      </c>
    </row>
    <row r="22" ht="24" customHeight="1">
      <c r="A22" s="3" t="inlineStr">
        <is>
          <t xml:space="preserve">    • Convergence Check: คลัสเตอร์ไม่เปลี่ยนกลุ่ม และ Centroids หยุดการเคลื่อนที่ (ΔC = 0)</t>
        </is>
      </c>
    </row>
  </sheetData>
  <mergeCells count="21">
    <mergeCell ref="A9:H9"/>
    <mergeCell ref="A15:H15"/>
    <mergeCell ref="A11:H11"/>
    <mergeCell ref="A1:H1"/>
    <mergeCell ref="A6:H6"/>
    <mergeCell ref="A7:H7"/>
    <mergeCell ref="A16:H16"/>
    <mergeCell ref="A12:H12"/>
    <mergeCell ref="A18:H18"/>
    <mergeCell ref="A3:H3"/>
    <mergeCell ref="A21:H21"/>
    <mergeCell ref="A14:H14"/>
    <mergeCell ref="A5:H5"/>
    <mergeCell ref="A8:H8"/>
    <mergeCell ref="A22:H22"/>
    <mergeCell ref="A17:H17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2" customWidth="1" min="5" max="5"/>
    <col width="12" customWidth="1" min="6" max="6"/>
    <col width="18" customWidth="1" min="7" max="7"/>
    <col width="18" customWidth="1" min="8" max="8"/>
    <col width="42" customWidth="1" min="9" max="9"/>
  </cols>
  <sheetData>
    <row r="1">
      <c r="A1" s="1" t="inlineStr">
        <is>
          <t>ตอนที่ 1: การเตรียมข้อมูลและการทำ Min-Max Feature Scaling (ช่วง 0 ถึง 1)</t>
        </is>
      </c>
    </row>
    <row r="3">
      <c r="A3" s="5" t="inlineStr">
        <is>
          <t>【ตารางที่ 1.1: ข้อมูลดิบของลูกค้า 9 ราย (Raw Data: อายุ และ รายได้ต่อเดือน)】</t>
        </is>
      </c>
      <c r="F3" s="5" t="inlineStr">
        <is>
          <t>【ตารางที่ 1.2: ข้อมูลหลังทำ Min-Max Normalization: สูตร (X - Min) / Range】</t>
        </is>
      </c>
    </row>
    <row r="5" ht="28" customHeight="1">
      <c r="A5" s="6" t="inlineStr">
        <is>
          <t>รหัสลูกค้า</t>
        </is>
      </c>
      <c r="B5" s="6" t="inlineStr">
        <is>
          <t>ชื่อลูกค้า</t>
        </is>
      </c>
      <c r="C5" s="6" t="inlineStr">
        <is>
          <t>อายุ (X1, ปี)</t>
        </is>
      </c>
      <c r="D5" s="6" t="inlineStr">
        <is>
          <t>รายได้ (X2, บาท)</t>
        </is>
      </c>
      <c r="F5" s="7" t="inlineStr">
        <is>
          <t>รหัส</t>
        </is>
      </c>
      <c r="G5" s="7" t="inlineStr">
        <is>
          <t>Age_Norm (0-1)</t>
        </is>
      </c>
      <c r="H5" s="7" t="inlineStr">
        <is>
          <t>Income_Norm (0-1)</t>
        </is>
      </c>
      <c r="I5" s="7" t="inlineStr">
        <is>
          <t>สูตร Excel ที่ใช้คำนวณ</t>
        </is>
      </c>
    </row>
    <row r="6">
      <c r="A6" s="8" t="inlineStr">
        <is>
          <t>P1</t>
        </is>
      </c>
      <c r="B6" s="9" t="inlineStr">
        <is>
          <t>สมคิด</t>
        </is>
      </c>
      <c r="C6" s="10" t="n">
        <v>20</v>
      </c>
      <c r="D6" s="11" t="n">
        <v>15000</v>
      </c>
      <c r="F6" s="8" t="inlineStr">
        <is>
          <t>P1</t>
        </is>
      </c>
      <c r="G6" s="12">
        <f>(C6-$C$17)/$C$19</f>
        <v/>
      </c>
      <c r="H6" s="12">
        <f>(D6-$D$17)/$D$19</f>
        <v/>
      </c>
      <c r="I6" s="13">
        <f>(C6-$C$17)/$C$19  |  =(D6-$D$17)/$D$19</f>
        <v/>
      </c>
    </row>
    <row r="7">
      <c r="A7" s="8" t="inlineStr">
        <is>
          <t>P2</t>
        </is>
      </c>
      <c r="B7" s="9" t="inlineStr">
        <is>
          <t>สมชาย</t>
        </is>
      </c>
      <c r="C7" s="10" t="n">
        <v>24</v>
      </c>
      <c r="D7" s="11" t="n">
        <v>25000</v>
      </c>
      <c r="F7" s="8" t="inlineStr">
        <is>
          <t>P2</t>
        </is>
      </c>
      <c r="G7" s="12">
        <f>(C7-$C$17)/$C$19</f>
        <v/>
      </c>
      <c r="H7" s="12">
        <f>(D7-$D$17)/$D$19</f>
        <v/>
      </c>
      <c r="I7" s="13">
        <f>(C7-$C$17)/$C$19  |  =(D7-$D$17)/$D$19</f>
        <v/>
      </c>
    </row>
    <row r="8">
      <c r="A8" s="8" t="inlineStr">
        <is>
          <t>P3</t>
        </is>
      </c>
      <c r="B8" s="9" t="inlineStr">
        <is>
          <t>สมหมาย</t>
        </is>
      </c>
      <c r="C8" s="10" t="n">
        <v>28</v>
      </c>
      <c r="D8" s="11" t="n">
        <v>20000</v>
      </c>
      <c r="F8" s="8" t="inlineStr">
        <is>
          <t>P3</t>
        </is>
      </c>
      <c r="G8" s="12">
        <f>(C8-$C$17)/$C$19</f>
        <v/>
      </c>
      <c r="H8" s="12">
        <f>(D8-$D$17)/$D$19</f>
        <v/>
      </c>
      <c r="I8" s="13">
        <f>(C8-$C$17)/$C$19  |  =(D8-$D$17)/$D$19</f>
        <v/>
      </c>
    </row>
    <row r="9">
      <c r="A9" s="8" t="inlineStr">
        <is>
          <t>P4</t>
        </is>
      </c>
      <c r="B9" s="9" t="inlineStr">
        <is>
          <t>กานดา</t>
        </is>
      </c>
      <c r="C9" s="10" t="n">
        <v>36</v>
      </c>
      <c r="D9" s="11" t="n">
        <v>40000</v>
      </c>
      <c r="F9" s="8" t="inlineStr">
        <is>
          <t>P4</t>
        </is>
      </c>
      <c r="G9" s="12">
        <f>(C9-$C$17)/$C$19</f>
        <v/>
      </c>
      <c r="H9" s="12">
        <f>(D9-$D$17)/$D$19</f>
        <v/>
      </c>
      <c r="I9" s="13">
        <f>(C9-$C$17)/$C$19  |  =(D9-$D$17)/$D$19</f>
        <v/>
      </c>
    </row>
    <row r="10">
      <c r="A10" s="8" t="inlineStr">
        <is>
          <t>P5</t>
        </is>
      </c>
      <c r="B10" s="9" t="inlineStr">
        <is>
          <t>เกศรา</t>
        </is>
      </c>
      <c r="C10" s="10" t="n">
        <v>40</v>
      </c>
      <c r="D10" s="11" t="n">
        <v>40000</v>
      </c>
      <c r="F10" s="8" t="inlineStr">
        <is>
          <t>P5</t>
        </is>
      </c>
      <c r="G10" s="12">
        <f>(C10-$C$17)/$C$19</f>
        <v/>
      </c>
      <c r="H10" s="12">
        <f>(D10-$D$17)/$D$19</f>
        <v/>
      </c>
      <c r="I10" s="13">
        <f>(C10-$C$17)/$C$19  |  =(D10-$D$17)/$D$19</f>
        <v/>
      </c>
    </row>
    <row r="11">
      <c r="A11" s="8" t="inlineStr">
        <is>
          <t>P6</t>
        </is>
      </c>
      <c r="B11" s="9" t="inlineStr">
        <is>
          <t>ขวัญใจ</t>
        </is>
      </c>
      <c r="C11" s="10" t="n">
        <v>44</v>
      </c>
      <c r="D11" s="11" t="n">
        <v>45000</v>
      </c>
      <c r="F11" s="8" t="inlineStr">
        <is>
          <t>P6</t>
        </is>
      </c>
      <c r="G11" s="12">
        <f>(C11-$C$17)/$C$19</f>
        <v/>
      </c>
      <c r="H11" s="12">
        <f>(D11-$D$17)/$D$19</f>
        <v/>
      </c>
      <c r="I11" s="13">
        <f>(C11-$C$17)/$C$19  |  =(D11-$D$17)/$D$19</f>
        <v/>
      </c>
    </row>
    <row r="12">
      <c r="A12" s="8" t="inlineStr">
        <is>
          <t>P7</t>
        </is>
      </c>
      <c r="B12" s="9" t="inlineStr">
        <is>
          <t>ฉัตรชัย</t>
        </is>
      </c>
      <c r="C12" s="10" t="n">
        <v>52</v>
      </c>
      <c r="D12" s="11" t="n">
        <v>60000</v>
      </c>
      <c r="F12" s="8" t="inlineStr">
        <is>
          <t>P7</t>
        </is>
      </c>
      <c r="G12" s="12">
        <f>(C12-$C$17)/$C$19</f>
        <v/>
      </c>
      <c r="H12" s="12">
        <f>(D12-$D$17)/$D$19</f>
        <v/>
      </c>
      <c r="I12" s="13">
        <f>(C12-$C$17)/$C$19  |  =(D12-$D$17)/$D$19</f>
        <v/>
      </c>
    </row>
    <row r="13">
      <c r="A13" s="8" t="inlineStr">
        <is>
          <t>P8</t>
        </is>
      </c>
      <c r="B13" s="9" t="inlineStr">
        <is>
          <t>ชัยวัฒน์</t>
        </is>
      </c>
      <c r="C13" s="10" t="n">
        <v>56</v>
      </c>
      <c r="D13" s="11" t="n">
        <v>55000</v>
      </c>
      <c r="F13" s="8" t="inlineStr">
        <is>
          <t>P8</t>
        </is>
      </c>
      <c r="G13" s="12">
        <f>(C13-$C$17)/$C$19</f>
        <v/>
      </c>
      <c r="H13" s="12">
        <f>(D13-$D$17)/$D$19</f>
        <v/>
      </c>
      <c r="I13" s="13">
        <f>(C13-$C$17)/$C$19  |  =(D13-$D$17)/$D$19</f>
        <v/>
      </c>
    </row>
    <row r="14">
      <c r="A14" s="8" t="inlineStr">
        <is>
          <t>P9</t>
        </is>
      </c>
      <c r="B14" s="9" t="inlineStr">
        <is>
          <t>ชูศักดิ์</t>
        </is>
      </c>
      <c r="C14" s="10" t="n">
        <v>60</v>
      </c>
      <c r="D14" s="11" t="n">
        <v>65000</v>
      </c>
      <c r="F14" s="8" t="inlineStr">
        <is>
          <t>P9</t>
        </is>
      </c>
      <c r="G14" s="12">
        <f>(C14-$C$17)/$C$19</f>
        <v/>
      </c>
      <c r="H14" s="12">
        <f>(D14-$D$17)/$D$19</f>
        <v/>
      </c>
      <c r="I14" s="13">
        <f>(C14-$C$17)/$C$19  |  =(D14-$D$17)/$D$19</f>
        <v/>
      </c>
    </row>
    <row r="16" ht="28" customHeight="1">
      <c r="A16" s="14" t="inlineStr">
        <is>
          <t>ค่าทางสถิติ (Statistics)</t>
        </is>
      </c>
      <c r="B16" s="14" t="inlineStr">
        <is>
          <t>สูตร Excel</t>
        </is>
      </c>
      <c r="C16" s="14" t="inlineStr">
        <is>
          <t>อายุ (X1, ปี)</t>
        </is>
      </c>
      <c r="D16" s="14" t="inlineStr">
        <is>
          <t>รายได้ (X2, บาท)</t>
        </is>
      </c>
    </row>
    <row r="17">
      <c r="A17" s="15" t="inlineStr">
        <is>
          <t>Min (ค่าน้อยสุด)</t>
        </is>
      </c>
      <c r="B17" s="13">
        <f>MIN(C6:C14)  |  =MIN(D6:D14)</f>
        <v/>
      </c>
      <c r="C17" s="16">
        <f>MIN(C6:C14)</f>
        <v/>
      </c>
      <c r="D17" s="17">
        <f>MIN(D6:D14)</f>
        <v/>
      </c>
    </row>
    <row r="18">
      <c r="A18" s="15" t="inlineStr">
        <is>
          <t>Max (ค่ามากสุด)</t>
        </is>
      </c>
      <c r="B18" s="13">
        <f>MAX(C6:C14)  |  =MAX(D6:D14)</f>
        <v/>
      </c>
      <c r="C18" s="16">
        <f>MAX(C6:C14)</f>
        <v/>
      </c>
      <c r="D18" s="17">
        <f>MAX(D6:D14)</f>
        <v/>
      </c>
    </row>
    <row r="19">
      <c r="A19" s="15" t="inlineStr">
        <is>
          <t>Range (พิสัย = Max - Min)</t>
        </is>
      </c>
      <c r="B19" s="13">
        <f>C18-C17  |  =D18-D17</f>
        <v/>
      </c>
      <c r="C19" s="16">
        <f>C18-C17</f>
        <v/>
      </c>
      <c r="D19" s="17">
        <f>D18-D17</f>
        <v/>
      </c>
    </row>
    <row r="22">
      <c r="A22" s="5" t="inlineStr">
        <is>
          <t>【ตารางที่ 1.3: จุดศูนย์กลางเริ่มต้นที่โจทย์กำหนด (Initial Centroids t=0 จากตัวอย่าง P1, P5, P9)】</t>
        </is>
      </c>
    </row>
    <row r="23" ht="28" customHeight="1">
      <c r="A23" s="6" t="inlineStr">
        <is>
          <t>Centroid</t>
        </is>
      </c>
      <c r="B23" s="6" t="inlineStr">
        <is>
          <t>จากจุด</t>
        </is>
      </c>
      <c r="C23" s="6" t="inlineStr">
        <is>
          <t>ชื่อตัวอย่าง</t>
        </is>
      </c>
      <c r="D23" s="6" t="inlineStr">
        <is>
          <t>อายุจริง</t>
        </is>
      </c>
      <c r="E23" s="6" t="inlineStr">
        <is>
          <t>รายได้จริง</t>
        </is>
      </c>
      <c r="F23" s="6" t="inlineStr">
        <is>
          <t>X1_norm (เริ่มต้น)</t>
        </is>
      </c>
      <c r="G23" s="6" t="inlineStr">
        <is>
          <t>X2_norm (เริ่มต้น)</t>
        </is>
      </c>
      <c r="H23" s="6" t="inlineStr">
        <is>
          <t>นิยามกลุ่มลูกค้า</t>
        </is>
      </c>
    </row>
    <row r="24">
      <c r="A24" s="18" t="inlineStr">
        <is>
          <t>C1 (กลุ่ม 1)</t>
        </is>
      </c>
      <c r="B24" s="19" t="inlineStr">
        <is>
          <t>P1</t>
        </is>
      </c>
      <c r="C24" s="9" t="inlineStr">
        <is>
          <t>สมคิด</t>
        </is>
      </c>
      <c r="D24" s="10" t="n">
        <v>20</v>
      </c>
      <c r="E24" s="11" t="n">
        <v>15000</v>
      </c>
      <c r="F24" s="12">
        <f>G6</f>
        <v/>
      </c>
      <c r="G24" s="12">
        <f>H6</f>
        <v/>
      </c>
      <c r="H24" s="13" t="inlineStr">
        <is>
          <t>กลุ่มวัยเริ่มทำงาน รายได้เริ่มต้น (Young - Entry Level)</t>
        </is>
      </c>
    </row>
    <row r="25">
      <c r="A25" s="18" t="inlineStr">
        <is>
          <t>C2 (กลุ่ม 2)</t>
        </is>
      </c>
      <c r="B25" s="19" t="inlineStr">
        <is>
          <t>P5</t>
        </is>
      </c>
      <c r="C25" s="9" t="inlineStr">
        <is>
          <t>เกศรา</t>
        </is>
      </c>
      <c r="D25" s="10" t="n">
        <v>40</v>
      </c>
      <c r="E25" s="11" t="n">
        <v>40000</v>
      </c>
      <c r="F25" s="12">
        <f>G10</f>
        <v/>
      </c>
      <c r="G25" s="12">
        <f>H10</f>
        <v/>
      </c>
      <c r="H25" s="13" t="inlineStr">
        <is>
          <t>กลุ่มวัยทำงานมั่นคง รายได้ปานกลาง (Mid-Career - Moderate)</t>
        </is>
      </c>
    </row>
    <row r="26">
      <c r="A26" s="18" t="inlineStr">
        <is>
          <t>C3 (กลุ่ม 3)</t>
        </is>
      </c>
      <c r="B26" s="19" t="inlineStr">
        <is>
          <t>P9</t>
        </is>
      </c>
      <c r="C26" s="9" t="inlineStr">
        <is>
          <t>ชูศักดิ์</t>
        </is>
      </c>
      <c r="D26" s="10" t="n">
        <v>60</v>
      </c>
      <c r="E26" s="11" t="n">
        <v>65000</v>
      </c>
      <c r="F26" s="12">
        <f>G14</f>
        <v/>
      </c>
      <c r="G26" s="12">
        <f>H14</f>
        <v/>
      </c>
      <c r="H26" s="13" t="inlineStr">
        <is>
          <t>กลุ่มวัยผู้ใหญ่ รายได้ระดับสูง (Senior - High Income)</t>
        </is>
      </c>
    </row>
  </sheetData>
  <mergeCells count="4">
    <mergeCell ref="A1:I1"/>
    <mergeCell ref="F3:I3"/>
    <mergeCell ref="A3:D3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8" customWidth="1" min="8" max="8"/>
    <col width="15" customWidth="1" min="9" max="9"/>
    <col width="26" customWidth="1" min="10" max="10"/>
  </cols>
  <sheetData>
    <row r="1">
      <c r="A1" s="1" t="inlineStr">
        <is>
          <t>ตอนที่ 2: การคำนวณ K-Means รอบที่ 1 (Iteration 1) (เฉลย)</t>
        </is>
      </c>
    </row>
    <row r="3">
      <c r="A3" s="5" t="inlineStr">
        <is>
          <t>【ตารางที่ 1.1: จุดศูนย์กลาง Centroids ที่ใช้ในรอบที่ 1 (Initial Seeds t=0: P1, P5, P9 จากชีต 01)】</t>
        </is>
      </c>
    </row>
    <row r="4" ht="28" customHeight="1">
      <c r="A4" s="6" t="inlineStr">
        <is>
          <t>Centroid</t>
        </is>
      </c>
      <c r="B4" s="6" t="inlineStr">
        <is>
          <t>X1_norm (แกนอายุ)</t>
        </is>
      </c>
      <c r="C4" s="6" t="inlineStr">
        <is>
          <t>X2_norm (แกนรายได้)</t>
        </is>
      </c>
      <c r="D4" s="6" t="inlineStr">
        <is>
          <t>แหล่งที่มาของค่าพิกัด</t>
        </is>
      </c>
    </row>
    <row r="5">
      <c r="A5" s="8" t="inlineStr">
        <is>
          <t>C1</t>
        </is>
      </c>
      <c r="B5" s="20">
        <f>'01_MinMax_Scaling'!F24</f>
        <v/>
      </c>
      <c r="C5" s="20">
        <f>'01_MinMax_Scaling'!G24</f>
        <v/>
      </c>
      <c r="D5" s="13" t="inlineStr">
        <is>
          <t>พิกัด C1 ต้นรอบที่ 1 (อ้างอิง: ='01_MinMax_Scaling'!F24)</t>
        </is>
      </c>
    </row>
    <row r="6">
      <c r="A6" s="8" t="inlineStr">
        <is>
          <t>C2</t>
        </is>
      </c>
      <c r="B6" s="20">
        <f>'01_MinMax_Scaling'!F25</f>
        <v/>
      </c>
      <c r="C6" s="20">
        <f>'01_MinMax_Scaling'!G25</f>
        <v/>
      </c>
      <c r="D6" s="13" t="inlineStr">
        <is>
          <t>พิกัด C2 ต้นรอบที่ 1 (อ้างอิง: ='01_MinMax_Scaling'!F25)</t>
        </is>
      </c>
    </row>
    <row r="7">
      <c r="A7" s="8" t="inlineStr">
        <is>
          <t>C3</t>
        </is>
      </c>
      <c r="B7" s="20">
        <f>'01_MinMax_Scaling'!F26</f>
        <v/>
      </c>
      <c r="C7" s="20">
        <f>'01_MinMax_Scaling'!G26</f>
        <v/>
      </c>
      <c r="D7" s="13" t="inlineStr">
        <is>
          <t>พิกัด C3 ต้นรอบที่ 1 (อ้างอิง: ='01_MinMax_Scaling'!F26)</t>
        </is>
      </c>
    </row>
    <row r="9">
      <c r="A9" s="5" t="inlineStr">
        <is>
          <t>【ตารางที่ 1.2: คำนวณระยะทาง Euclidean สู่ Centroid, การจัดกลุ่ม (Assignment), และ WCSS】</t>
        </is>
      </c>
    </row>
    <row r="10" ht="28" customHeight="1">
      <c r="A10" s="14" t="inlineStr">
        <is>
          <t>รหัส</t>
        </is>
      </c>
      <c r="B10" s="14" t="inlineStr">
        <is>
          <t>ชื่อลูกค้า</t>
        </is>
      </c>
      <c r="C10" s="14" t="inlineStr">
        <is>
          <t>Age_Norm (X1)</t>
        </is>
      </c>
      <c r="D10" s="14" t="inlineStr">
        <is>
          <t>Income_Norm (X2)</t>
        </is>
      </c>
      <c r="E10" s="14" t="inlineStr">
        <is>
          <t>d(P, C1)</t>
        </is>
      </c>
      <c r="F10" s="14" t="inlineStr">
        <is>
          <t>d(P, C2)</t>
        </is>
      </c>
      <c r="G10" s="14" t="inlineStr">
        <is>
          <t>d(P, C3)</t>
        </is>
      </c>
      <c r="H10" s="14" t="inlineStr">
        <is>
          <t>กลุ่มที่ได้ (Cluster)</t>
        </is>
      </c>
      <c r="I10" s="14" t="inlineStr">
        <is>
          <t>d_min²</t>
        </is>
      </c>
      <c r="J10" s="14" t="inlineStr">
        <is>
          <t>สถานะกลุ่ม / คำอธิบาย</t>
        </is>
      </c>
    </row>
    <row r="11">
      <c r="A11" s="8" t="inlineStr">
        <is>
          <t>P1</t>
        </is>
      </c>
      <c r="B11" s="9" t="inlineStr">
        <is>
          <t>สมคิด</t>
        </is>
      </c>
      <c r="C11" s="21">
        <f>'01_MinMax_Scaling'!G6</f>
        <v/>
      </c>
      <c r="D11" s="21">
        <f>'01_MinMax_Scaling'!H6</f>
        <v/>
      </c>
      <c r="E11" s="12">
        <f>SQRT((C11-$B$5)^2 + (D11-$C$5)^2)</f>
        <v/>
      </c>
      <c r="F11" s="12">
        <f>SQRT((C11-$B$6)^2 + (D11-$C$6)^2)</f>
        <v/>
      </c>
      <c r="G11" s="12">
        <f>SQRT((C11-$B$7)^2 + (D11-$C$7)^2)</f>
        <v/>
      </c>
      <c r="H11" s="22">
        <f>IF(AND(E11&lt;=F11, E11&lt;=G11), 1, IF(F11&lt;=G11, 2, 3))</f>
        <v/>
      </c>
      <c r="I11" s="12">
        <f>MIN(E11:G11)^2</f>
        <v/>
      </c>
      <c r="J11" s="23">
        <f>IF(H11=1, "กลุ่ม 1 (C1)", IF(H11=2, "กลุ่ม 2 (C2)", "กลุ่ม 3 (C3)"))</f>
        <v/>
      </c>
    </row>
    <row r="12">
      <c r="A12" s="8" t="inlineStr">
        <is>
          <t>P2</t>
        </is>
      </c>
      <c r="B12" s="9" t="inlineStr">
        <is>
          <t>สมชาย</t>
        </is>
      </c>
      <c r="C12" s="21">
        <f>'01_MinMax_Scaling'!G7</f>
        <v/>
      </c>
      <c r="D12" s="21">
        <f>'01_MinMax_Scaling'!H7</f>
        <v/>
      </c>
      <c r="E12" s="12">
        <f>SQRT((C12-$B$5)^2 + (D12-$C$5)^2)</f>
        <v/>
      </c>
      <c r="F12" s="12">
        <f>SQRT((C12-$B$6)^2 + (D12-$C$6)^2)</f>
        <v/>
      </c>
      <c r="G12" s="12">
        <f>SQRT((C12-$B$7)^2 + (D12-$C$7)^2)</f>
        <v/>
      </c>
      <c r="H12" s="22">
        <f>IF(AND(E12&lt;=F12, E12&lt;=G12), 1, IF(F12&lt;=G12, 2, 3))</f>
        <v/>
      </c>
      <c r="I12" s="12">
        <f>MIN(E12:G12)^2</f>
        <v/>
      </c>
      <c r="J12" s="23">
        <f>IF(H12=1, "กลุ่ม 1 (C1)", IF(H12=2, "กลุ่ม 2 (C2)", "กลุ่ม 3 (C3)"))</f>
        <v/>
      </c>
    </row>
    <row r="13">
      <c r="A13" s="8" t="inlineStr">
        <is>
          <t>P3</t>
        </is>
      </c>
      <c r="B13" s="9" t="inlineStr">
        <is>
          <t>สมหมาย</t>
        </is>
      </c>
      <c r="C13" s="21">
        <f>'01_MinMax_Scaling'!G8</f>
        <v/>
      </c>
      <c r="D13" s="21">
        <f>'01_MinMax_Scaling'!H8</f>
        <v/>
      </c>
      <c r="E13" s="12">
        <f>SQRT((C13-$B$5)^2 + (D13-$C$5)^2)</f>
        <v/>
      </c>
      <c r="F13" s="12">
        <f>SQRT((C13-$B$6)^2 + (D13-$C$6)^2)</f>
        <v/>
      </c>
      <c r="G13" s="12">
        <f>SQRT((C13-$B$7)^2 + (D13-$C$7)^2)</f>
        <v/>
      </c>
      <c r="H13" s="22">
        <f>IF(AND(E13&lt;=F13, E13&lt;=G13), 1, IF(F13&lt;=G13, 2, 3))</f>
        <v/>
      </c>
      <c r="I13" s="12">
        <f>MIN(E13:G13)^2</f>
        <v/>
      </c>
      <c r="J13" s="23">
        <f>IF(H13=1, "กลุ่ม 1 (C1)", IF(H13=2, "กลุ่ม 2 (C2)", "กลุ่ม 3 (C3)"))</f>
        <v/>
      </c>
    </row>
    <row r="14">
      <c r="A14" s="8" t="inlineStr">
        <is>
          <t>P4</t>
        </is>
      </c>
      <c r="B14" s="9" t="inlineStr">
        <is>
          <t>กานดา</t>
        </is>
      </c>
      <c r="C14" s="21">
        <f>'01_MinMax_Scaling'!G9</f>
        <v/>
      </c>
      <c r="D14" s="21">
        <f>'01_MinMax_Scaling'!H9</f>
        <v/>
      </c>
      <c r="E14" s="12">
        <f>SQRT((C14-$B$5)^2 + (D14-$C$5)^2)</f>
        <v/>
      </c>
      <c r="F14" s="12">
        <f>SQRT((C14-$B$6)^2 + (D14-$C$6)^2)</f>
        <v/>
      </c>
      <c r="G14" s="12">
        <f>SQRT((C14-$B$7)^2 + (D14-$C$7)^2)</f>
        <v/>
      </c>
      <c r="H14" s="22">
        <f>IF(AND(E14&lt;=F14, E14&lt;=G14), 1, IF(F14&lt;=G14, 2, 3))</f>
        <v/>
      </c>
      <c r="I14" s="12">
        <f>MIN(E14:G14)^2</f>
        <v/>
      </c>
      <c r="J14" s="23">
        <f>IF(H14=1, "กลุ่ม 1 (C1)", IF(H14=2, "กลุ่ม 2 (C2)", "กลุ่ม 3 (C3)"))</f>
        <v/>
      </c>
    </row>
    <row r="15">
      <c r="A15" s="8" t="inlineStr">
        <is>
          <t>P5</t>
        </is>
      </c>
      <c r="B15" s="9" t="inlineStr">
        <is>
          <t>เกศรา</t>
        </is>
      </c>
      <c r="C15" s="21">
        <f>'01_MinMax_Scaling'!G10</f>
        <v/>
      </c>
      <c r="D15" s="21">
        <f>'01_MinMax_Scaling'!H10</f>
        <v/>
      </c>
      <c r="E15" s="12">
        <f>SQRT((C15-$B$5)^2 + (D15-$C$5)^2)</f>
        <v/>
      </c>
      <c r="F15" s="12">
        <f>SQRT((C15-$B$6)^2 + (D15-$C$6)^2)</f>
        <v/>
      </c>
      <c r="G15" s="12">
        <f>SQRT((C15-$B$7)^2 + (D15-$C$7)^2)</f>
        <v/>
      </c>
      <c r="H15" s="22">
        <f>IF(AND(E15&lt;=F15, E15&lt;=G15), 1, IF(F15&lt;=G15, 2, 3))</f>
        <v/>
      </c>
      <c r="I15" s="12">
        <f>MIN(E15:G15)^2</f>
        <v/>
      </c>
      <c r="J15" s="23">
        <f>IF(H15=1, "กลุ่ม 1 (C1)", IF(H15=2, "กลุ่ม 2 (C2)", "กลุ่ม 3 (C3)"))</f>
        <v/>
      </c>
    </row>
    <row r="16">
      <c r="A16" s="8" t="inlineStr">
        <is>
          <t>P6</t>
        </is>
      </c>
      <c r="B16" s="9" t="inlineStr">
        <is>
          <t>ขวัญใจ</t>
        </is>
      </c>
      <c r="C16" s="21">
        <f>'01_MinMax_Scaling'!G11</f>
        <v/>
      </c>
      <c r="D16" s="21">
        <f>'01_MinMax_Scaling'!H11</f>
        <v/>
      </c>
      <c r="E16" s="12">
        <f>SQRT((C16-$B$5)^2 + (D16-$C$5)^2)</f>
        <v/>
      </c>
      <c r="F16" s="12">
        <f>SQRT((C16-$B$6)^2 + (D16-$C$6)^2)</f>
        <v/>
      </c>
      <c r="G16" s="12">
        <f>SQRT((C16-$B$7)^2 + (D16-$C$7)^2)</f>
        <v/>
      </c>
      <c r="H16" s="22">
        <f>IF(AND(E16&lt;=F16, E16&lt;=G16), 1, IF(F16&lt;=G16, 2, 3))</f>
        <v/>
      </c>
      <c r="I16" s="12">
        <f>MIN(E16:G16)^2</f>
        <v/>
      </c>
      <c r="J16" s="23">
        <f>IF(H16=1, "กลุ่ม 1 (C1)", IF(H16=2, "กลุ่ม 2 (C2)", "กลุ่ม 3 (C3)"))</f>
        <v/>
      </c>
    </row>
    <row r="17">
      <c r="A17" s="8" t="inlineStr">
        <is>
          <t>P7</t>
        </is>
      </c>
      <c r="B17" s="9" t="inlineStr">
        <is>
          <t>ฉัตรชัย</t>
        </is>
      </c>
      <c r="C17" s="21">
        <f>'01_MinMax_Scaling'!G12</f>
        <v/>
      </c>
      <c r="D17" s="21">
        <f>'01_MinMax_Scaling'!H12</f>
        <v/>
      </c>
      <c r="E17" s="12">
        <f>SQRT((C17-$B$5)^2 + (D17-$C$5)^2)</f>
        <v/>
      </c>
      <c r="F17" s="12">
        <f>SQRT((C17-$B$6)^2 + (D17-$C$6)^2)</f>
        <v/>
      </c>
      <c r="G17" s="12">
        <f>SQRT((C17-$B$7)^2 + (D17-$C$7)^2)</f>
        <v/>
      </c>
      <c r="H17" s="22">
        <f>IF(AND(E17&lt;=F17, E17&lt;=G17), 1, IF(F17&lt;=G17, 2, 3))</f>
        <v/>
      </c>
      <c r="I17" s="12">
        <f>MIN(E17:G17)^2</f>
        <v/>
      </c>
      <c r="J17" s="23">
        <f>IF(H17=1, "กลุ่ม 1 (C1)", IF(H17=2, "กลุ่ม 2 (C2)", "กลุ่ม 3 (C3)"))</f>
        <v/>
      </c>
    </row>
    <row r="18">
      <c r="A18" s="8" t="inlineStr">
        <is>
          <t>P8</t>
        </is>
      </c>
      <c r="B18" s="9" t="inlineStr">
        <is>
          <t>ชัยวัฒน์</t>
        </is>
      </c>
      <c r="C18" s="21">
        <f>'01_MinMax_Scaling'!G13</f>
        <v/>
      </c>
      <c r="D18" s="21">
        <f>'01_MinMax_Scaling'!H13</f>
        <v/>
      </c>
      <c r="E18" s="12">
        <f>SQRT((C18-$B$5)^2 + (D18-$C$5)^2)</f>
        <v/>
      </c>
      <c r="F18" s="12">
        <f>SQRT((C18-$B$6)^2 + (D18-$C$6)^2)</f>
        <v/>
      </c>
      <c r="G18" s="12">
        <f>SQRT((C18-$B$7)^2 + (D18-$C$7)^2)</f>
        <v/>
      </c>
      <c r="H18" s="22">
        <f>IF(AND(E18&lt;=F18, E18&lt;=G18), 1, IF(F18&lt;=G18, 2, 3))</f>
        <v/>
      </c>
      <c r="I18" s="12">
        <f>MIN(E18:G18)^2</f>
        <v/>
      </c>
      <c r="J18" s="23">
        <f>IF(H18=1, "กลุ่ม 1 (C1)", IF(H18=2, "กลุ่ม 2 (C2)", "กลุ่ม 3 (C3)"))</f>
        <v/>
      </c>
    </row>
    <row r="19">
      <c r="A19" s="8" t="inlineStr">
        <is>
          <t>P9</t>
        </is>
      </c>
      <c r="B19" s="9" t="inlineStr">
        <is>
          <t>ชูศักดิ์</t>
        </is>
      </c>
      <c r="C19" s="21">
        <f>'01_MinMax_Scaling'!G14</f>
        <v/>
      </c>
      <c r="D19" s="21">
        <f>'01_MinMax_Scaling'!H14</f>
        <v/>
      </c>
      <c r="E19" s="12">
        <f>SQRT((C19-$B$5)^2 + (D19-$C$5)^2)</f>
        <v/>
      </c>
      <c r="F19" s="12">
        <f>SQRT((C19-$B$6)^2 + (D19-$C$6)^2)</f>
        <v/>
      </c>
      <c r="G19" s="12">
        <f>SQRT((C19-$B$7)^2 + (D19-$C$7)^2)</f>
        <v/>
      </c>
      <c r="H19" s="22">
        <f>IF(AND(E19&lt;=F19, E19&lt;=G19), 1, IF(F19&lt;=G19, 2, 3))</f>
        <v/>
      </c>
      <c r="I19" s="12">
        <f>MIN(E19:G19)^2</f>
        <v/>
      </c>
      <c r="J19" s="23">
        <f>IF(H19=1, "กลุ่ม 1 (C1)", IF(H19=2, "กลุ่ม 2 (C2)", "กลุ่ม 3 (C3)"))</f>
        <v/>
      </c>
    </row>
    <row r="20">
      <c r="A20" s="24" t="inlineStr">
        <is>
          <t>ผลรวม WCSS รอบที่ 1 (Inertia = ∑ d_min²):</t>
        </is>
      </c>
      <c r="B20" s="25" t="n"/>
      <c r="C20" s="25" t="n"/>
      <c r="D20" s="25" t="n"/>
      <c r="E20" s="25" t="n"/>
      <c r="F20" s="25" t="n"/>
      <c r="G20" s="25" t="n"/>
      <c r="H20" s="25" t="n"/>
      <c r="I20" s="26">
        <f>SUM(I11:I19)</f>
        <v/>
      </c>
      <c r="J20" s="27" t="inlineStr">
        <is>
          <t>ค่าเริ่มต้นรอบ 1</t>
        </is>
      </c>
    </row>
    <row r="22">
      <c r="A22" s="5" t="inlineStr">
        <is>
          <t>【ตารางที่ 1.3: การคำนวณจุดศูนย์กลางใหม่หลังจบรอบที่ 1 (Update Centroids: หาค่าเฉลี่ย AVERAGEIF)】</t>
        </is>
      </c>
    </row>
    <row r="23" ht="28" customHeight="1">
      <c r="A23" s="7" t="inlineStr">
        <is>
          <t>Centroid ใหม่</t>
        </is>
      </c>
      <c r="B23" s="7" t="inlineStr">
        <is>
          <t>จำนวนสมาชิก (N)</t>
        </is>
      </c>
      <c r="C23" s="7" t="inlineStr">
        <is>
          <t>X1_norm ใหม่ (เฉลี่ย)</t>
        </is>
      </c>
      <c r="D23" s="7" t="inlineStr">
        <is>
          <t>X2_norm ใหม่ (เฉลี่ย)</t>
        </is>
      </c>
      <c r="E23" s="7" t="inlineStr">
        <is>
          <t>สูตร Excel ที่ใช้</t>
        </is>
      </c>
      <c r="F23" s="7" t="inlineStr">
        <is>
          <t>การเคลื่อนที่ (Shift)</t>
        </is>
      </c>
    </row>
    <row r="24">
      <c r="A24" s="8" t="inlineStr">
        <is>
          <t>C1 (ใหม่)</t>
        </is>
      </c>
      <c r="B24" s="16">
        <f>COUNTIF($H$11:$H$19, 1)</f>
        <v/>
      </c>
      <c r="C24" s="28">
        <f>AVERAGEIF($H$11:$H$19, 1, C$11:C$19)</f>
        <v/>
      </c>
      <c r="D24" s="28">
        <f>AVERAGEIF($H$11:$H$19, 1, D$11:D$19)</f>
        <v/>
      </c>
      <c r="E24" s="13">
        <f>AVERAGEIF($H$11:$H$19, 1, C$11:C$19)</f>
        <v/>
      </c>
      <c r="F24" s="29">
        <f>SQRT((C24-$B$5)^2 + (D24-$C$5)^2)</f>
        <v/>
      </c>
    </row>
    <row r="25">
      <c r="A25" s="8" t="inlineStr">
        <is>
          <t>C2 (ใหม่)</t>
        </is>
      </c>
      <c r="B25" s="16">
        <f>COUNTIF($H$11:$H$19, 2)</f>
        <v/>
      </c>
      <c r="C25" s="28">
        <f>AVERAGEIF($H$11:$H$19, 2, C$11:C$19)</f>
        <v/>
      </c>
      <c r="D25" s="28">
        <f>AVERAGEIF($H$11:$H$19, 2, D$11:D$19)</f>
        <v/>
      </c>
      <c r="E25" s="13">
        <f>AVERAGEIF($H$11:$H$19, 2, C$11:C$19)</f>
        <v/>
      </c>
      <c r="F25" s="29">
        <f>SQRT((C25-$B$6)^2 + (D25-$C$6)^2)</f>
        <v/>
      </c>
    </row>
    <row r="26">
      <c r="A26" s="8" t="inlineStr">
        <is>
          <t>C3 (ใหม่)</t>
        </is>
      </c>
      <c r="B26" s="16">
        <f>COUNTIF($H$11:$H$19, 3)</f>
        <v/>
      </c>
      <c r="C26" s="28">
        <f>AVERAGEIF($H$11:$H$19, 3, C$11:C$19)</f>
        <v/>
      </c>
      <c r="D26" s="28">
        <f>AVERAGEIF($H$11:$H$19, 3, D$11:D$19)</f>
        <v/>
      </c>
      <c r="E26" s="13">
        <f>AVERAGEIF($H$11:$H$19, 3, C$11:C$19)</f>
        <v/>
      </c>
      <c r="F26" s="29">
        <f>SQRT((C26-$B$7)^2 + (D26-$C$7)^2)</f>
        <v/>
      </c>
    </row>
  </sheetData>
  <mergeCells count="5">
    <mergeCell ref="A1:J1"/>
    <mergeCell ref="A20:H20"/>
    <mergeCell ref="A9:J9"/>
    <mergeCell ref="A22:F22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8" customWidth="1" min="8" max="8"/>
    <col width="15" customWidth="1" min="9" max="9"/>
    <col width="26" customWidth="1" min="10" max="10"/>
  </cols>
  <sheetData>
    <row r="1">
      <c r="A1" s="1" t="inlineStr">
        <is>
          <t>ตอนที่ 3: การคำนวณ K-Means รอบที่ 2 (Iteration 2) (เฉลย)</t>
        </is>
      </c>
    </row>
    <row r="3">
      <c r="A3" s="5" t="inlineStr">
        <is>
          <t>【ตารางที่ 2.1: จุดศูนย์กลาง Centroids ที่ใช้ในรอบที่ 2 (Updated Centroids จาก New C1, C2, C3 ของรอบที่ 1)】</t>
        </is>
      </c>
    </row>
    <row r="4" ht="28" customHeight="1">
      <c r="A4" s="6" t="inlineStr">
        <is>
          <t>Centroid</t>
        </is>
      </c>
      <c r="B4" s="6" t="inlineStr">
        <is>
          <t>X1_norm (แกนอายุ)</t>
        </is>
      </c>
      <c r="C4" s="6" t="inlineStr">
        <is>
          <t>X2_norm (แกนรายได้)</t>
        </is>
      </c>
      <c r="D4" s="6" t="inlineStr">
        <is>
          <t>แหล่งที่มาของค่าพิกัด</t>
        </is>
      </c>
    </row>
    <row r="5">
      <c r="A5" s="8" t="inlineStr">
        <is>
          <t>C1</t>
        </is>
      </c>
      <c r="B5" s="20">
        <f>'02_KMeans_Iteration_1'!C24</f>
        <v/>
      </c>
      <c r="C5" s="20">
        <f>'02_KMeans_Iteration_1'!D24</f>
        <v/>
      </c>
      <c r="D5" s="13" t="inlineStr">
        <is>
          <t>พิกัด C1 ต้นรอบที่ 2 (อ้างอิง: ='02_KMeans_Iteration_1'!C24)</t>
        </is>
      </c>
    </row>
    <row r="6">
      <c r="A6" s="8" t="inlineStr">
        <is>
          <t>C2</t>
        </is>
      </c>
      <c r="B6" s="20">
        <f>'02_KMeans_Iteration_1'!C25</f>
        <v/>
      </c>
      <c r="C6" s="20">
        <f>'02_KMeans_Iteration_1'!D25</f>
        <v/>
      </c>
      <c r="D6" s="13" t="inlineStr">
        <is>
          <t>พิกัด C2 ต้นรอบที่ 2 (อ้างอิง: ='02_KMeans_Iteration_1'!C25)</t>
        </is>
      </c>
    </row>
    <row r="7">
      <c r="A7" s="8" t="inlineStr">
        <is>
          <t>C3</t>
        </is>
      </c>
      <c r="B7" s="20">
        <f>'02_KMeans_Iteration_1'!C26</f>
        <v/>
      </c>
      <c r="C7" s="20">
        <f>'02_KMeans_Iteration_1'!D26</f>
        <v/>
      </c>
      <c r="D7" s="13" t="inlineStr">
        <is>
          <t>พิกัด C3 ต้นรอบที่ 2 (อ้างอิง: ='02_KMeans_Iteration_1'!C26)</t>
        </is>
      </c>
    </row>
    <row r="9">
      <c r="A9" s="5" t="inlineStr">
        <is>
          <t>【ตารางที่ 2.2: คำนวณระยะทาง Euclidean สู่ Centroid, การจัดกลุ่ม (Assignment), และ WCSS】</t>
        </is>
      </c>
    </row>
    <row r="10" ht="28" customHeight="1">
      <c r="A10" s="14" t="inlineStr">
        <is>
          <t>รหัส</t>
        </is>
      </c>
      <c r="B10" s="14" t="inlineStr">
        <is>
          <t>ชื่อลูกค้า</t>
        </is>
      </c>
      <c r="C10" s="14" t="inlineStr">
        <is>
          <t>Age_Norm (X1)</t>
        </is>
      </c>
      <c r="D10" s="14" t="inlineStr">
        <is>
          <t>Income_Norm (X2)</t>
        </is>
      </c>
      <c r="E10" s="14" t="inlineStr">
        <is>
          <t>d(P, C1)</t>
        </is>
      </c>
      <c r="F10" s="14" t="inlineStr">
        <is>
          <t>d(P, C2)</t>
        </is>
      </c>
      <c r="G10" s="14" t="inlineStr">
        <is>
          <t>d(P, C3)</t>
        </is>
      </c>
      <c r="H10" s="14" t="inlineStr">
        <is>
          <t>กลุ่มที่ได้ (Cluster)</t>
        </is>
      </c>
      <c r="I10" s="14" t="inlineStr">
        <is>
          <t>d_min²</t>
        </is>
      </c>
      <c r="J10" s="14" t="inlineStr">
        <is>
          <t>สถานะกลุ่ม / คำอธิบาย</t>
        </is>
      </c>
    </row>
    <row r="11">
      <c r="A11" s="8" t="inlineStr">
        <is>
          <t>P1</t>
        </is>
      </c>
      <c r="B11" s="9" t="inlineStr">
        <is>
          <t>สมคิด</t>
        </is>
      </c>
      <c r="C11" s="21">
        <f>'01_MinMax_Scaling'!G6</f>
        <v/>
      </c>
      <c r="D11" s="21">
        <f>'01_MinMax_Scaling'!H6</f>
        <v/>
      </c>
      <c r="E11" s="12">
        <f>SQRT((C11-$B$5)^2 + (D11-$C$5)^2)</f>
        <v/>
      </c>
      <c r="F11" s="12">
        <f>SQRT((C11-$B$6)^2 + (D11-$C$6)^2)</f>
        <v/>
      </c>
      <c r="G11" s="12">
        <f>SQRT((C11-$B$7)^2 + (D11-$C$7)^2)</f>
        <v/>
      </c>
      <c r="H11" s="22">
        <f>IF(AND(E11&lt;=F11, E11&lt;=G11), 1, IF(F11&lt;=G11, 2, 3))</f>
        <v/>
      </c>
      <c r="I11" s="12">
        <f>MIN(E11:G11)^2</f>
        <v/>
      </c>
      <c r="J11" s="23">
        <f>IF(H11='02_KMeans_Iteration_1'!H11, "✓ คงเดิม (กลุ่ม " &amp; H11 &amp; ")", "⚠️ เปลี่ยนกลุ่มเป็น " &amp; H11)</f>
        <v/>
      </c>
    </row>
    <row r="12">
      <c r="A12" s="8" t="inlineStr">
        <is>
          <t>P2</t>
        </is>
      </c>
      <c r="B12" s="9" t="inlineStr">
        <is>
          <t>สมชาย</t>
        </is>
      </c>
      <c r="C12" s="21">
        <f>'01_MinMax_Scaling'!G7</f>
        <v/>
      </c>
      <c r="D12" s="21">
        <f>'01_MinMax_Scaling'!H7</f>
        <v/>
      </c>
      <c r="E12" s="12">
        <f>SQRT((C12-$B$5)^2 + (D12-$C$5)^2)</f>
        <v/>
      </c>
      <c r="F12" s="12">
        <f>SQRT((C12-$B$6)^2 + (D12-$C$6)^2)</f>
        <v/>
      </c>
      <c r="G12" s="12">
        <f>SQRT((C12-$B$7)^2 + (D12-$C$7)^2)</f>
        <v/>
      </c>
      <c r="H12" s="22">
        <f>IF(AND(E12&lt;=F12, E12&lt;=G12), 1, IF(F12&lt;=G12, 2, 3))</f>
        <v/>
      </c>
      <c r="I12" s="12">
        <f>MIN(E12:G12)^2</f>
        <v/>
      </c>
      <c r="J12" s="23">
        <f>IF(H12='02_KMeans_Iteration_1'!H12, "✓ คงเดิม (กลุ่ม " &amp; H12 &amp; ")", "⚠️ เปลี่ยนกลุ่มเป็น " &amp; H12)</f>
        <v/>
      </c>
    </row>
    <row r="13">
      <c r="A13" s="8" t="inlineStr">
        <is>
          <t>P3</t>
        </is>
      </c>
      <c r="B13" s="9" t="inlineStr">
        <is>
          <t>สมหมาย</t>
        </is>
      </c>
      <c r="C13" s="21">
        <f>'01_MinMax_Scaling'!G8</f>
        <v/>
      </c>
      <c r="D13" s="21">
        <f>'01_MinMax_Scaling'!H8</f>
        <v/>
      </c>
      <c r="E13" s="12">
        <f>SQRT((C13-$B$5)^2 + (D13-$C$5)^2)</f>
        <v/>
      </c>
      <c r="F13" s="12">
        <f>SQRT((C13-$B$6)^2 + (D13-$C$6)^2)</f>
        <v/>
      </c>
      <c r="G13" s="12">
        <f>SQRT((C13-$B$7)^2 + (D13-$C$7)^2)</f>
        <v/>
      </c>
      <c r="H13" s="22">
        <f>IF(AND(E13&lt;=F13, E13&lt;=G13), 1, IF(F13&lt;=G13, 2, 3))</f>
        <v/>
      </c>
      <c r="I13" s="12">
        <f>MIN(E13:G13)^2</f>
        <v/>
      </c>
      <c r="J13" s="23">
        <f>IF(H13='02_KMeans_Iteration_1'!H13, "✓ คงเดิม (กลุ่ม " &amp; H13 &amp; ")", "⚠️ เปลี่ยนกลุ่มเป็น " &amp; H13)</f>
        <v/>
      </c>
    </row>
    <row r="14">
      <c r="A14" s="8" t="inlineStr">
        <is>
          <t>P4</t>
        </is>
      </c>
      <c r="B14" s="9" t="inlineStr">
        <is>
          <t>กานดา</t>
        </is>
      </c>
      <c r="C14" s="21">
        <f>'01_MinMax_Scaling'!G9</f>
        <v/>
      </c>
      <c r="D14" s="21">
        <f>'01_MinMax_Scaling'!H9</f>
        <v/>
      </c>
      <c r="E14" s="12">
        <f>SQRT((C14-$B$5)^2 + (D14-$C$5)^2)</f>
        <v/>
      </c>
      <c r="F14" s="12">
        <f>SQRT((C14-$B$6)^2 + (D14-$C$6)^2)</f>
        <v/>
      </c>
      <c r="G14" s="12">
        <f>SQRT((C14-$B$7)^2 + (D14-$C$7)^2)</f>
        <v/>
      </c>
      <c r="H14" s="22">
        <f>IF(AND(E14&lt;=F14, E14&lt;=G14), 1, IF(F14&lt;=G14, 2, 3))</f>
        <v/>
      </c>
      <c r="I14" s="12">
        <f>MIN(E14:G14)^2</f>
        <v/>
      </c>
      <c r="J14" s="23">
        <f>IF(H14='02_KMeans_Iteration_1'!H14, "✓ คงเดิม (กลุ่ม " &amp; H14 &amp; ")", "⚠️ เปลี่ยนกลุ่มเป็น " &amp; H14)</f>
        <v/>
      </c>
    </row>
    <row r="15">
      <c r="A15" s="8" t="inlineStr">
        <is>
          <t>P5</t>
        </is>
      </c>
      <c r="B15" s="9" t="inlineStr">
        <is>
          <t>เกศรา</t>
        </is>
      </c>
      <c r="C15" s="21">
        <f>'01_MinMax_Scaling'!G10</f>
        <v/>
      </c>
      <c r="D15" s="21">
        <f>'01_MinMax_Scaling'!H10</f>
        <v/>
      </c>
      <c r="E15" s="12">
        <f>SQRT((C15-$B$5)^2 + (D15-$C$5)^2)</f>
        <v/>
      </c>
      <c r="F15" s="12">
        <f>SQRT((C15-$B$6)^2 + (D15-$C$6)^2)</f>
        <v/>
      </c>
      <c r="G15" s="12">
        <f>SQRT((C15-$B$7)^2 + (D15-$C$7)^2)</f>
        <v/>
      </c>
      <c r="H15" s="22">
        <f>IF(AND(E15&lt;=F15, E15&lt;=G15), 1, IF(F15&lt;=G15, 2, 3))</f>
        <v/>
      </c>
      <c r="I15" s="12">
        <f>MIN(E15:G15)^2</f>
        <v/>
      </c>
      <c r="J15" s="23">
        <f>IF(H15='02_KMeans_Iteration_1'!H15, "✓ คงเดิม (กลุ่ม " &amp; H15 &amp; ")", "⚠️ เปลี่ยนกลุ่มเป็น " &amp; H15)</f>
        <v/>
      </c>
    </row>
    <row r="16">
      <c r="A16" s="8" t="inlineStr">
        <is>
          <t>P6</t>
        </is>
      </c>
      <c r="B16" s="9" t="inlineStr">
        <is>
          <t>ขวัญใจ</t>
        </is>
      </c>
      <c r="C16" s="21">
        <f>'01_MinMax_Scaling'!G11</f>
        <v/>
      </c>
      <c r="D16" s="21">
        <f>'01_MinMax_Scaling'!H11</f>
        <v/>
      </c>
      <c r="E16" s="12">
        <f>SQRT((C16-$B$5)^2 + (D16-$C$5)^2)</f>
        <v/>
      </c>
      <c r="F16" s="12">
        <f>SQRT((C16-$B$6)^2 + (D16-$C$6)^2)</f>
        <v/>
      </c>
      <c r="G16" s="12">
        <f>SQRT((C16-$B$7)^2 + (D16-$C$7)^2)</f>
        <v/>
      </c>
      <c r="H16" s="22">
        <f>IF(AND(E16&lt;=F16, E16&lt;=G16), 1, IF(F16&lt;=G16, 2, 3))</f>
        <v/>
      </c>
      <c r="I16" s="12">
        <f>MIN(E16:G16)^2</f>
        <v/>
      </c>
      <c r="J16" s="23">
        <f>IF(H16='02_KMeans_Iteration_1'!H16, "✓ คงเดิม (กลุ่ม " &amp; H16 &amp; ")", "⚠️ เปลี่ยนกลุ่มเป็น " &amp; H16)</f>
        <v/>
      </c>
    </row>
    <row r="17">
      <c r="A17" s="8" t="inlineStr">
        <is>
          <t>P7</t>
        </is>
      </c>
      <c r="B17" s="9" t="inlineStr">
        <is>
          <t>ฉัตรชัย</t>
        </is>
      </c>
      <c r="C17" s="21">
        <f>'01_MinMax_Scaling'!G12</f>
        <v/>
      </c>
      <c r="D17" s="21">
        <f>'01_MinMax_Scaling'!H12</f>
        <v/>
      </c>
      <c r="E17" s="12">
        <f>SQRT((C17-$B$5)^2 + (D17-$C$5)^2)</f>
        <v/>
      </c>
      <c r="F17" s="12">
        <f>SQRT((C17-$B$6)^2 + (D17-$C$6)^2)</f>
        <v/>
      </c>
      <c r="G17" s="12">
        <f>SQRT((C17-$B$7)^2 + (D17-$C$7)^2)</f>
        <v/>
      </c>
      <c r="H17" s="22">
        <f>IF(AND(E17&lt;=F17, E17&lt;=G17), 1, IF(F17&lt;=G17, 2, 3))</f>
        <v/>
      </c>
      <c r="I17" s="12">
        <f>MIN(E17:G17)^2</f>
        <v/>
      </c>
      <c r="J17" s="23">
        <f>IF(H17='02_KMeans_Iteration_1'!H17, "✓ คงเดิม (กลุ่ม " &amp; H17 &amp; ")", "⚠️ เปลี่ยนกลุ่มเป็น " &amp; H17)</f>
        <v/>
      </c>
    </row>
    <row r="18">
      <c r="A18" s="8" t="inlineStr">
        <is>
          <t>P8</t>
        </is>
      </c>
      <c r="B18" s="9" t="inlineStr">
        <is>
          <t>ชัยวัฒน์</t>
        </is>
      </c>
      <c r="C18" s="21">
        <f>'01_MinMax_Scaling'!G13</f>
        <v/>
      </c>
      <c r="D18" s="21">
        <f>'01_MinMax_Scaling'!H13</f>
        <v/>
      </c>
      <c r="E18" s="12">
        <f>SQRT((C18-$B$5)^2 + (D18-$C$5)^2)</f>
        <v/>
      </c>
      <c r="F18" s="12">
        <f>SQRT((C18-$B$6)^2 + (D18-$C$6)^2)</f>
        <v/>
      </c>
      <c r="G18" s="12">
        <f>SQRT((C18-$B$7)^2 + (D18-$C$7)^2)</f>
        <v/>
      </c>
      <c r="H18" s="22">
        <f>IF(AND(E18&lt;=F18, E18&lt;=G18), 1, IF(F18&lt;=G18, 2, 3))</f>
        <v/>
      </c>
      <c r="I18" s="12">
        <f>MIN(E18:G18)^2</f>
        <v/>
      </c>
      <c r="J18" s="23">
        <f>IF(H18='02_KMeans_Iteration_1'!H18, "✓ คงเดิม (กลุ่ม " &amp; H18 &amp; ")", "⚠️ เปลี่ยนกลุ่มเป็น " &amp; H18)</f>
        <v/>
      </c>
    </row>
    <row r="19">
      <c r="A19" s="8" t="inlineStr">
        <is>
          <t>P9</t>
        </is>
      </c>
      <c r="B19" s="9" t="inlineStr">
        <is>
          <t>ชูศักดิ์</t>
        </is>
      </c>
      <c r="C19" s="21">
        <f>'01_MinMax_Scaling'!G14</f>
        <v/>
      </c>
      <c r="D19" s="21">
        <f>'01_MinMax_Scaling'!H14</f>
        <v/>
      </c>
      <c r="E19" s="12">
        <f>SQRT((C19-$B$5)^2 + (D19-$C$5)^2)</f>
        <v/>
      </c>
      <c r="F19" s="12">
        <f>SQRT((C19-$B$6)^2 + (D19-$C$6)^2)</f>
        <v/>
      </c>
      <c r="G19" s="12">
        <f>SQRT((C19-$B$7)^2 + (D19-$C$7)^2)</f>
        <v/>
      </c>
      <c r="H19" s="22">
        <f>IF(AND(E19&lt;=F19, E19&lt;=G19), 1, IF(F19&lt;=G19, 2, 3))</f>
        <v/>
      </c>
      <c r="I19" s="12">
        <f>MIN(E19:G19)^2</f>
        <v/>
      </c>
      <c r="J19" s="23">
        <f>IF(H19='02_KMeans_Iteration_1'!H19, "✓ คงเดิม (กลุ่ม " &amp; H19 &amp; ")", "⚠️ เปลี่ยนกลุ่มเป็น " &amp; H19)</f>
        <v/>
      </c>
    </row>
    <row r="20">
      <c r="A20" s="24" t="inlineStr">
        <is>
          <t>ผลรวม WCSS รอบที่ 2 (Inertia = ∑ d_min²):</t>
        </is>
      </c>
      <c r="B20" s="25" t="n"/>
      <c r="C20" s="25" t="n"/>
      <c r="D20" s="25" t="n"/>
      <c r="E20" s="25" t="n"/>
      <c r="F20" s="25" t="n"/>
      <c r="G20" s="25" t="n"/>
      <c r="H20" s="25" t="n"/>
      <c r="I20" s="26">
        <f>SUM(I11:I19)</f>
        <v/>
      </c>
      <c r="J20" s="30">
        <f>'02_KMeans_Iteration_1'!I20 - I20</f>
        <v/>
      </c>
    </row>
    <row r="22">
      <c r="A22" s="5" t="inlineStr">
        <is>
          <t>【ตารางที่ 2.3: การคำนวณจุดศูนย์กลางใหม่หลังจบรอบที่ 2 (Update Centroids: หาค่าเฉลี่ย AVERAGEIF)】</t>
        </is>
      </c>
    </row>
    <row r="23" ht="28" customHeight="1">
      <c r="A23" s="7" t="inlineStr">
        <is>
          <t>Centroid ใหม่</t>
        </is>
      </c>
      <c r="B23" s="7" t="inlineStr">
        <is>
          <t>จำนวนสมาชิก (N)</t>
        </is>
      </c>
      <c r="C23" s="7" t="inlineStr">
        <is>
          <t>X1_norm ใหม่ (เฉลี่ย)</t>
        </is>
      </c>
      <c r="D23" s="7" t="inlineStr">
        <is>
          <t>X2_norm ใหม่ (เฉลี่ย)</t>
        </is>
      </c>
      <c r="E23" s="7" t="inlineStr">
        <is>
          <t>สูตร Excel ที่ใช้</t>
        </is>
      </c>
      <c r="F23" s="7" t="inlineStr">
        <is>
          <t>การเคลื่อนที่ (Shift)</t>
        </is>
      </c>
    </row>
    <row r="24">
      <c r="A24" s="8" t="inlineStr">
        <is>
          <t>C1 (ใหม่)</t>
        </is>
      </c>
      <c r="B24" s="16">
        <f>COUNTIF($H$11:$H$19, 1)</f>
        <v/>
      </c>
      <c r="C24" s="28">
        <f>AVERAGEIF($H$11:$H$19, 1, C$11:C$19)</f>
        <v/>
      </c>
      <c r="D24" s="28">
        <f>AVERAGEIF($H$11:$H$19, 1, D$11:D$19)</f>
        <v/>
      </c>
      <c r="E24" s="13">
        <f>AVERAGEIF($H$11:$H$19, 1, C$11:C$19)</f>
        <v/>
      </c>
      <c r="F24" s="29">
        <f>SQRT((C24-$B$5)^2 + (D24-$C$5)^2)</f>
        <v/>
      </c>
    </row>
    <row r="25">
      <c r="A25" s="8" t="inlineStr">
        <is>
          <t>C2 (ใหม่)</t>
        </is>
      </c>
      <c r="B25" s="16">
        <f>COUNTIF($H$11:$H$19, 2)</f>
        <v/>
      </c>
      <c r="C25" s="28">
        <f>AVERAGEIF($H$11:$H$19, 2, C$11:C$19)</f>
        <v/>
      </c>
      <c r="D25" s="28">
        <f>AVERAGEIF($H$11:$H$19, 2, D$11:D$19)</f>
        <v/>
      </c>
      <c r="E25" s="13">
        <f>AVERAGEIF($H$11:$H$19, 2, C$11:C$19)</f>
        <v/>
      </c>
      <c r="F25" s="29">
        <f>SQRT((C25-$B$6)^2 + (D25-$C$6)^2)</f>
        <v/>
      </c>
    </row>
    <row r="26">
      <c r="A26" s="8" t="inlineStr">
        <is>
          <t>C3 (ใหม่)</t>
        </is>
      </c>
      <c r="B26" s="16">
        <f>COUNTIF($H$11:$H$19, 3)</f>
        <v/>
      </c>
      <c r="C26" s="28">
        <f>AVERAGEIF($H$11:$H$19, 3, C$11:C$19)</f>
        <v/>
      </c>
      <c r="D26" s="28">
        <f>AVERAGEIF($H$11:$H$19, 3, D$11:D$19)</f>
        <v/>
      </c>
      <c r="E26" s="13">
        <f>AVERAGEIF($H$11:$H$19, 3, C$11:C$19)</f>
        <v/>
      </c>
      <c r="F26" s="29">
        <f>SQRT((C26-$B$7)^2 + (D26-$C$7)^2)</f>
        <v/>
      </c>
    </row>
  </sheetData>
  <mergeCells count="5">
    <mergeCell ref="A1:J1"/>
    <mergeCell ref="A20:H20"/>
    <mergeCell ref="A9:J9"/>
    <mergeCell ref="A22:F22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8" customWidth="1" min="8" max="8"/>
    <col width="15" customWidth="1" min="9" max="9"/>
    <col width="26" customWidth="1" min="10" max="10"/>
  </cols>
  <sheetData>
    <row r="1">
      <c r="A1" s="1" t="inlineStr">
        <is>
          <t>ตอนที่ 4: การคำนวณ K-Means รอบที่ 3 (Iteration 3) (เฉลย)</t>
        </is>
      </c>
    </row>
    <row r="3">
      <c r="A3" s="5" t="inlineStr">
        <is>
          <t>【ตารางที่ 3.1: จุดศูนย์กลาง Centroids ที่ใช้ในรอบที่ 3 (Updated Centroids จาก New C1, C2, C3 ของรอบที่ 2)】</t>
        </is>
      </c>
    </row>
    <row r="4" ht="28" customHeight="1">
      <c r="A4" s="6" t="inlineStr">
        <is>
          <t>Centroid</t>
        </is>
      </c>
      <c r="B4" s="6" t="inlineStr">
        <is>
          <t>X1_norm (แกนอายุ)</t>
        </is>
      </c>
      <c r="C4" s="6" t="inlineStr">
        <is>
          <t>X2_norm (แกนรายได้)</t>
        </is>
      </c>
      <c r="D4" s="6" t="inlineStr">
        <is>
          <t>แหล่งที่มาของค่าพิกัด</t>
        </is>
      </c>
    </row>
    <row r="5">
      <c r="A5" s="8" t="inlineStr">
        <is>
          <t>C1</t>
        </is>
      </c>
      <c r="B5" s="20">
        <f>'03_KMeans_Iteration_2'!C24</f>
        <v/>
      </c>
      <c r="C5" s="20">
        <f>'03_KMeans_Iteration_2'!D24</f>
        <v/>
      </c>
      <c r="D5" s="13" t="inlineStr">
        <is>
          <t>พิกัด C1 ต้นรอบที่ 3 (อ้างอิง: ='03_KMeans_Iteration_2'!C24)</t>
        </is>
      </c>
    </row>
    <row r="6">
      <c r="A6" s="8" t="inlineStr">
        <is>
          <t>C2</t>
        </is>
      </c>
      <c r="B6" s="20">
        <f>'03_KMeans_Iteration_2'!C25</f>
        <v/>
      </c>
      <c r="C6" s="20">
        <f>'03_KMeans_Iteration_2'!D25</f>
        <v/>
      </c>
      <c r="D6" s="13" t="inlineStr">
        <is>
          <t>พิกัด C2 ต้นรอบที่ 3 (อ้างอิง: ='03_KMeans_Iteration_2'!C25)</t>
        </is>
      </c>
    </row>
    <row r="7">
      <c r="A7" s="8" t="inlineStr">
        <is>
          <t>C3</t>
        </is>
      </c>
      <c r="B7" s="20">
        <f>'03_KMeans_Iteration_2'!C26</f>
        <v/>
      </c>
      <c r="C7" s="20">
        <f>'03_KMeans_Iteration_2'!D26</f>
        <v/>
      </c>
      <c r="D7" s="13" t="inlineStr">
        <is>
          <t>พิกัด C3 ต้นรอบที่ 3 (อ้างอิง: ='03_KMeans_Iteration_2'!C26)</t>
        </is>
      </c>
    </row>
    <row r="9">
      <c r="A9" s="5" t="inlineStr">
        <is>
          <t>【ตารางที่ 3.2: คำนวณระยะทาง Euclidean สู่ Centroid, การจัดกลุ่ม (Assignment), และ WCSS】</t>
        </is>
      </c>
    </row>
    <row r="10" ht="28" customHeight="1">
      <c r="A10" s="14" t="inlineStr">
        <is>
          <t>รหัส</t>
        </is>
      </c>
      <c r="B10" s="14" t="inlineStr">
        <is>
          <t>ชื่อลูกค้า</t>
        </is>
      </c>
      <c r="C10" s="14" t="inlineStr">
        <is>
          <t>Age_Norm (X1)</t>
        </is>
      </c>
      <c r="D10" s="14" t="inlineStr">
        <is>
          <t>Income_Norm (X2)</t>
        </is>
      </c>
      <c r="E10" s="14" t="inlineStr">
        <is>
          <t>d(P, C1)</t>
        </is>
      </c>
      <c r="F10" s="14" t="inlineStr">
        <is>
          <t>d(P, C2)</t>
        </is>
      </c>
      <c r="G10" s="14" t="inlineStr">
        <is>
          <t>d(P, C3)</t>
        </is>
      </c>
      <c r="H10" s="14" t="inlineStr">
        <is>
          <t>กลุ่มที่ได้ (Cluster)</t>
        </is>
      </c>
      <c r="I10" s="14" t="inlineStr">
        <is>
          <t>d_min²</t>
        </is>
      </c>
      <c r="J10" s="14" t="inlineStr">
        <is>
          <t>สถานะกลุ่ม / คำอธิบาย</t>
        </is>
      </c>
    </row>
    <row r="11">
      <c r="A11" s="8" t="inlineStr">
        <is>
          <t>P1</t>
        </is>
      </c>
      <c r="B11" s="9" t="inlineStr">
        <is>
          <t>สมคิด</t>
        </is>
      </c>
      <c r="C11" s="21">
        <f>'01_MinMax_Scaling'!G6</f>
        <v/>
      </c>
      <c r="D11" s="21">
        <f>'01_MinMax_Scaling'!H6</f>
        <v/>
      </c>
      <c r="E11" s="12">
        <f>SQRT((C11-$B$5)^2 + (D11-$C$5)^2)</f>
        <v/>
      </c>
      <c r="F11" s="12">
        <f>SQRT((C11-$B$6)^2 + (D11-$C$6)^2)</f>
        <v/>
      </c>
      <c r="G11" s="12">
        <f>SQRT((C11-$B$7)^2 + (D11-$C$7)^2)</f>
        <v/>
      </c>
      <c r="H11" s="22">
        <f>IF(AND(E11&lt;=F11, E11&lt;=G11), 1, IF(F11&lt;=G11, 2, 3))</f>
        <v/>
      </c>
      <c r="I11" s="12">
        <f>MIN(E11:G11)^2</f>
        <v/>
      </c>
      <c r="J11" s="23">
        <f>IF(H11='03_KMeans_Iteration_2'!H11, "✓ คงเดิม (กลุ่ม " &amp; H11 &amp; ")", "⚠️ เปลี่ยนกลุ่มเป็น " &amp; H11)</f>
        <v/>
      </c>
    </row>
    <row r="12">
      <c r="A12" s="8" t="inlineStr">
        <is>
          <t>P2</t>
        </is>
      </c>
      <c r="B12" s="9" t="inlineStr">
        <is>
          <t>สมชาย</t>
        </is>
      </c>
      <c r="C12" s="21">
        <f>'01_MinMax_Scaling'!G7</f>
        <v/>
      </c>
      <c r="D12" s="21">
        <f>'01_MinMax_Scaling'!H7</f>
        <v/>
      </c>
      <c r="E12" s="12">
        <f>SQRT((C12-$B$5)^2 + (D12-$C$5)^2)</f>
        <v/>
      </c>
      <c r="F12" s="12">
        <f>SQRT((C12-$B$6)^2 + (D12-$C$6)^2)</f>
        <v/>
      </c>
      <c r="G12" s="12">
        <f>SQRT((C12-$B$7)^2 + (D12-$C$7)^2)</f>
        <v/>
      </c>
      <c r="H12" s="22">
        <f>IF(AND(E12&lt;=F12, E12&lt;=G12), 1, IF(F12&lt;=G12, 2, 3))</f>
        <v/>
      </c>
      <c r="I12" s="12">
        <f>MIN(E12:G12)^2</f>
        <v/>
      </c>
      <c r="J12" s="23">
        <f>IF(H12='03_KMeans_Iteration_2'!H12, "✓ คงเดิม (กลุ่ม " &amp; H12 &amp; ")", "⚠️ เปลี่ยนกลุ่มเป็น " &amp; H12)</f>
        <v/>
      </c>
    </row>
    <row r="13">
      <c r="A13" s="8" t="inlineStr">
        <is>
          <t>P3</t>
        </is>
      </c>
      <c r="B13" s="9" t="inlineStr">
        <is>
          <t>สมหมาย</t>
        </is>
      </c>
      <c r="C13" s="21">
        <f>'01_MinMax_Scaling'!G8</f>
        <v/>
      </c>
      <c r="D13" s="21">
        <f>'01_MinMax_Scaling'!H8</f>
        <v/>
      </c>
      <c r="E13" s="12">
        <f>SQRT((C13-$B$5)^2 + (D13-$C$5)^2)</f>
        <v/>
      </c>
      <c r="F13" s="12">
        <f>SQRT((C13-$B$6)^2 + (D13-$C$6)^2)</f>
        <v/>
      </c>
      <c r="G13" s="12">
        <f>SQRT((C13-$B$7)^2 + (D13-$C$7)^2)</f>
        <v/>
      </c>
      <c r="H13" s="22">
        <f>IF(AND(E13&lt;=F13, E13&lt;=G13), 1, IF(F13&lt;=G13, 2, 3))</f>
        <v/>
      </c>
      <c r="I13" s="12">
        <f>MIN(E13:G13)^2</f>
        <v/>
      </c>
      <c r="J13" s="23">
        <f>IF(H13='03_KMeans_Iteration_2'!H13, "✓ คงเดิม (กลุ่ม " &amp; H13 &amp; ")", "⚠️ เปลี่ยนกลุ่มเป็น " &amp; H13)</f>
        <v/>
      </c>
    </row>
    <row r="14">
      <c r="A14" s="8" t="inlineStr">
        <is>
          <t>P4</t>
        </is>
      </c>
      <c r="B14" s="9" t="inlineStr">
        <is>
          <t>กานดา</t>
        </is>
      </c>
      <c r="C14" s="21">
        <f>'01_MinMax_Scaling'!G9</f>
        <v/>
      </c>
      <c r="D14" s="21">
        <f>'01_MinMax_Scaling'!H9</f>
        <v/>
      </c>
      <c r="E14" s="12">
        <f>SQRT((C14-$B$5)^2 + (D14-$C$5)^2)</f>
        <v/>
      </c>
      <c r="F14" s="12">
        <f>SQRT((C14-$B$6)^2 + (D14-$C$6)^2)</f>
        <v/>
      </c>
      <c r="G14" s="12">
        <f>SQRT((C14-$B$7)^2 + (D14-$C$7)^2)</f>
        <v/>
      </c>
      <c r="H14" s="22">
        <f>IF(AND(E14&lt;=F14, E14&lt;=G14), 1, IF(F14&lt;=G14, 2, 3))</f>
        <v/>
      </c>
      <c r="I14" s="12">
        <f>MIN(E14:G14)^2</f>
        <v/>
      </c>
      <c r="J14" s="23">
        <f>IF(H14='03_KMeans_Iteration_2'!H14, "✓ คงเดิม (กลุ่ม " &amp; H14 &amp; ")", "⚠️ เปลี่ยนกลุ่มเป็น " &amp; H14)</f>
        <v/>
      </c>
    </row>
    <row r="15">
      <c r="A15" s="8" t="inlineStr">
        <is>
          <t>P5</t>
        </is>
      </c>
      <c r="B15" s="9" t="inlineStr">
        <is>
          <t>เกศรา</t>
        </is>
      </c>
      <c r="C15" s="21">
        <f>'01_MinMax_Scaling'!G10</f>
        <v/>
      </c>
      <c r="D15" s="21">
        <f>'01_MinMax_Scaling'!H10</f>
        <v/>
      </c>
      <c r="E15" s="12">
        <f>SQRT((C15-$B$5)^2 + (D15-$C$5)^2)</f>
        <v/>
      </c>
      <c r="F15" s="12">
        <f>SQRT((C15-$B$6)^2 + (D15-$C$6)^2)</f>
        <v/>
      </c>
      <c r="G15" s="12">
        <f>SQRT((C15-$B$7)^2 + (D15-$C$7)^2)</f>
        <v/>
      </c>
      <c r="H15" s="22">
        <f>IF(AND(E15&lt;=F15, E15&lt;=G15), 1, IF(F15&lt;=G15, 2, 3))</f>
        <v/>
      </c>
      <c r="I15" s="12">
        <f>MIN(E15:G15)^2</f>
        <v/>
      </c>
      <c r="J15" s="23">
        <f>IF(H15='03_KMeans_Iteration_2'!H15, "✓ คงเดิม (กลุ่ม " &amp; H15 &amp; ")", "⚠️ เปลี่ยนกลุ่มเป็น " &amp; H15)</f>
        <v/>
      </c>
    </row>
    <row r="16">
      <c r="A16" s="8" t="inlineStr">
        <is>
          <t>P6</t>
        </is>
      </c>
      <c r="B16" s="9" t="inlineStr">
        <is>
          <t>ขวัญใจ</t>
        </is>
      </c>
      <c r="C16" s="21">
        <f>'01_MinMax_Scaling'!G11</f>
        <v/>
      </c>
      <c r="D16" s="21">
        <f>'01_MinMax_Scaling'!H11</f>
        <v/>
      </c>
      <c r="E16" s="12">
        <f>SQRT((C16-$B$5)^2 + (D16-$C$5)^2)</f>
        <v/>
      </c>
      <c r="F16" s="12">
        <f>SQRT((C16-$B$6)^2 + (D16-$C$6)^2)</f>
        <v/>
      </c>
      <c r="G16" s="12">
        <f>SQRT((C16-$B$7)^2 + (D16-$C$7)^2)</f>
        <v/>
      </c>
      <c r="H16" s="22">
        <f>IF(AND(E16&lt;=F16, E16&lt;=G16), 1, IF(F16&lt;=G16, 2, 3))</f>
        <v/>
      </c>
      <c r="I16" s="12">
        <f>MIN(E16:G16)^2</f>
        <v/>
      </c>
      <c r="J16" s="23">
        <f>IF(H16='03_KMeans_Iteration_2'!H16, "✓ คงเดิม (กลุ่ม " &amp; H16 &amp; ")", "⚠️ เปลี่ยนกลุ่มเป็น " &amp; H16)</f>
        <v/>
      </c>
    </row>
    <row r="17">
      <c r="A17" s="8" t="inlineStr">
        <is>
          <t>P7</t>
        </is>
      </c>
      <c r="B17" s="9" t="inlineStr">
        <is>
          <t>ฉัตรชัย</t>
        </is>
      </c>
      <c r="C17" s="21">
        <f>'01_MinMax_Scaling'!G12</f>
        <v/>
      </c>
      <c r="D17" s="21">
        <f>'01_MinMax_Scaling'!H12</f>
        <v/>
      </c>
      <c r="E17" s="12">
        <f>SQRT((C17-$B$5)^2 + (D17-$C$5)^2)</f>
        <v/>
      </c>
      <c r="F17" s="12">
        <f>SQRT((C17-$B$6)^2 + (D17-$C$6)^2)</f>
        <v/>
      </c>
      <c r="G17" s="12">
        <f>SQRT((C17-$B$7)^2 + (D17-$C$7)^2)</f>
        <v/>
      </c>
      <c r="H17" s="22">
        <f>IF(AND(E17&lt;=F17, E17&lt;=G17), 1, IF(F17&lt;=G17, 2, 3))</f>
        <v/>
      </c>
      <c r="I17" s="12">
        <f>MIN(E17:G17)^2</f>
        <v/>
      </c>
      <c r="J17" s="23">
        <f>IF(H17='03_KMeans_Iteration_2'!H17, "✓ คงเดิม (กลุ่ม " &amp; H17 &amp; ")", "⚠️ เปลี่ยนกลุ่มเป็น " &amp; H17)</f>
        <v/>
      </c>
    </row>
    <row r="18">
      <c r="A18" s="8" t="inlineStr">
        <is>
          <t>P8</t>
        </is>
      </c>
      <c r="B18" s="9" t="inlineStr">
        <is>
          <t>ชัยวัฒน์</t>
        </is>
      </c>
      <c r="C18" s="21">
        <f>'01_MinMax_Scaling'!G13</f>
        <v/>
      </c>
      <c r="D18" s="21">
        <f>'01_MinMax_Scaling'!H13</f>
        <v/>
      </c>
      <c r="E18" s="12">
        <f>SQRT((C18-$B$5)^2 + (D18-$C$5)^2)</f>
        <v/>
      </c>
      <c r="F18" s="12">
        <f>SQRT((C18-$B$6)^2 + (D18-$C$6)^2)</f>
        <v/>
      </c>
      <c r="G18" s="12">
        <f>SQRT((C18-$B$7)^2 + (D18-$C$7)^2)</f>
        <v/>
      </c>
      <c r="H18" s="22">
        <f>IF(AND(E18&lt;=F18, E18&lt;=G18), 1, IF(F18&lt;=G18, 2, 3))</f>
        <v/>
      </c>
      <c r="I18" s="12">
        <f>MIN(E18:G18)^2</f>
        <v/>
      </c>
      <c r="J18" s="23">
        <f>IF(H18='03_KMeans_Iteration_2'!H18, "✓ คงเดิม (กลุ่ม " &amp; H18 &amp; ")", "⚠️ เปลี่ยนกลุ่มเป็น " &amp; H18)</f>
        <v/>
      </c>
    </row>
    <row r="19">
      <c r="A19" s="8" t="inlineStr">
        <is>
          <t>P9</t>
        </is>
      </c>
      <c r="B19" s="9" t="inlineStr">
        <is>
          <t>ชูศักดิ์</t>
        </is>
      </c>
      <c r="C19" s="21">
        <f>'01_MinMax_Scaling'!G14</f>
        <v/>
      </c>
      <c r="D19" s="21">
        <f>'01_MinMax_Scaling'!H14</f>
        <v/>
      </c>
      <c r="E19" s="12">
        <f>SQRT((C19-$B$5)^2 + (D19-$C$5)^2)</f>
        <v/>
      </c>
      <c r="F19" s="12">
        <f>SQRT((C19-$B$6)^2 + (D19-$C$6)^2)</f>
        <v/>
      </c>
      <c r="G19" s="12">
        <f>SQRT((C19-$B$7)^2 + (D19-$C$7)^2)</f>
        <v/>
      </c>
      <c r="H19" s="22">
        <f>IF(AND(E19&lt;=F19, E19&lt;=G19), 1, IF(F19&lt;=G19, 2, 3))</f>
        <v/>
      </c>
      <c r="I19" s="12">
        <f>MIN(E19:G19)^2</f>
        <v/>
      </c>
      <c r="J19" s="23">
        <f>IF(H19='03_KMeans_Iteration_2'!H19, "✓ คงเดิม (กลุ่ม " &amp; H19 &amp; ")", "⚠️ เปลี่ยนกลุ่มเป็น " &amp; H19)</f>
        <v/>
      </c>
    </row>
    <row r="20">
      <c r="A20" s="24" t="inlineStr">
        <is>
          <t>ผลรวม WCSS รอบที่ 3 (Inertia = ∑ d_min²):</t>
        </is>
      </c>
      <c r="B20" s="25" t="n"/>
      <c r="C20" s="25" t="n"/>
      <c r="D20" s="25" t="n"/>
      <c r="E20" s="25" t="n"/>
      <c r="F20" s="25" t="n"/>
      <c r="G20" s="25" t="n"/>
      <c r="H20" s="25" t="n"/>
      <c r="I20" s="26">
        <f>SUM(I11:I19)</f>
        <v/>
      </c>
      <c r="J20" s="30">
        <f>'03_KMeans_Iteration_2'!I20 - I20</f>
        <v/>
      </c>
    </row>
    <row r="22">
      <c r="A22" s="5" t="inlineStr">
        <is>
          <t>【ตารางที่ 3.3: การคำนวณจุดศูนย์กลางใหม่หลังจบรอบที่ 3 (Update Centroids: หาค่าเฉลี่ย AVERAGEIF)】</t>
        </is>
      </c>
    </row>
    <row r="23" ht="28" customHeight="1">
      <c r="A23" s="7" t="inlineStr">
        <is>
          <t>Centroid ใหม่</t>
        </is>
      </c>
      <c r="B23" s="7" t="inlineStr">
        <is>
          <t>จำนวนสมาชิก (N)</t>
        </is>
      </c>
      <c r="C23" s="7" t="inlineStr">
        <is>
          <t>X1_norm ใหม่ (เฉลี่ย)</t>
        </is>
      </c>
      <c r="D23" s="7" t="inlineStr">
        <is>
          <t>X2_norm ใหม่ (เฉลี่ย)</t>
        </is>
      </c>
      <c r="E23" s="7" t="inlineStr">
        <is>
          <t>สูตร Excel ที่ใช้</t>
        </is>
      </c>
      <c r="F23" s="7" t="inlineStr">
        <is>
          <t>การเคลื่อนที่ (Shift)</t>
        </is>
      </c>
    </row>
    <row r="24">
      <c r="A24" s="8" t="inlineStr">
        <is>
          <t>C1 (ใหม่)</t>
        </is>
      </c>
      <c r="B24" s="16">
        <f>COUNTIF($H$11:$H$19, 1)</f>
        <v/>
      </c>
      <c r="C24" s="28">
        <f>AVERAGEIF($H$11:$H$19, 1, C$11:C$19)</f>
        <v/>
      </c>
      <c r="D24" s="28">
        <f>AVERAGEIF($H$11:$H$19, 1, D$11:D$19)</f>
        <v/>
      </c>
      <c r="E24" s="13">
        <f>AVERAGEIF($H$11:$H$19, 1, C$11:C$19)</f>
        <v/>
      </c>
      <c r="F24" s="29">
        <f>SQRT((C24-$B$5)^2 + (D24-$C$5)^2)</f>
        <v/>
      </c>
    </row>
    <row r="25">
      <c r="A25" s="8" t="inlineStr">
        <is>
          <t>C2 (ใหม่)</t>
        </is>
      </c>
      <c r="B25" s="16">
        <f>COUNTIF($H$11:$H$19, 2)</f>
        <v/>
      </c>
      <c r="C25" s="28">
        <f>AVERAGEIF($H$11:$H$19, 2, C$11:C$19)</f>
        <v/>
      </c>
      <c r="D25" s="28">
        <f>AVERAGEIF($H$11:$H$19, 2, D$11:D$19)</f>
        <v/>
      </c>
      <c r="E25" s="13">
        <f>AVERAGEIF($H$11:$H$19, 2, C$11:C$19)</f>
        <v/>
      </c>
      <c r="F25" s="29">
        <f>SQRT((C25-$B$6)^2 + (D25-$C$6)^2)</f>
        <v/>
      </c>
    </row>
    <row r="26">
      <c r="A26" s="8" t="inlineStr">
        <is>
          <t>C3 (ใหม่)</t>
        </is>
      </c>
      <c r="B26" s="16">
        <f>COUNTIF($H$11:$H$19, 3)</f>
        <v/>
      </c>
      <c r="C26" s="28">
        <f>AVERAGEIF($H$11:$H$19, 3, C$11:C$19)</f>
        <v/>
      </c>
      <c r="D26" s="28">
        <f>AVERAGEIF($H$11:$H$19, 3, D$11:D$19)</f>
        <v/>
      </c>
      <c r="E26" s="13">
        <f>AVERAGEIF($H$11:$H$19, 3, C$11:C$19)</f>
        <v/>
      </c>
      <c r="F26" s="29">
        <f>SQRT((C26-$B$7)^2 + (D26-$C$7)^2)</f>
        <v/>
      </c>
    </row>
    <row r="28">
      <c r="A28" s="5" t="inlineStr">
        <is>
          <t>【ตารางที่ 3.4: การตรวจสอบและสรุปผลการลู่เข้าของอัลกอริทึม (Convergence Assessment)】</t>
        </is>
      </c>
    </row>
    <row r="29" ht="28" customHeight="1">
      <c r="A29" s="6" t="inlineStr">
        <is>
          <t>เกณฑ์การตรวจสอบ (Convergence Criteria)</t>
        </is>
      </c>
      <c r="B29" s="6" t="inlineStr">
        <is>
          <t>ค่าที่ได้จากการคำนวณ</t>
        </is>
      </c>
      <c r="C29" s="6" t="inlineStr">
        <is>
          <t>เกณฑ์การตัดสิน</t>
        </is>
      </c>
      <c r="D29" s="6" t="inlineStr">
        <is>
          <t>ผลการประเมิน</t>
        </is>
      </c>
      <c r="E29" s="6" t="inlineStr">
        <is>
          <t>ความหมาย</t>
        </is>
      </c>
    </row>
    <row r="30">
      <c r="A30" s="15" t="inlineStr">
        <is>
          <t>1. การเปลี่ยนกลุ่มของข้อมูล (Reassignments)</t>
        </is>
      </c>
      <c r="B30" s="20">
        <f>COUNTIF(J11:J19, "*เปลี่ยนกลุ่ม*") &amp; " จุด"</f>
        <v/>
      </c>
      <c r="C30" s="31" t="inlineStr">
        <is>
          <t>ต้องเท่ากับ 0 จุด</t>
        </is>
      </c>
      <c r="D30" s="32" t="inlineStr">
        <is>
          <t>ผ่าน (ไม่มีจุดใดย้ายกลุ่ม)</t>
        </is>
      </c>
      <c r="E30" s="13" t="inlineStr">
        <is>
          <t>คลัสเตอร์คงที่ 100%</t>
        </is>
      </c>
    </row>
    <row r="31">
      <c r="A31" s="15" t="inlineStr">
        <is>
          <t>2. การเคลื่อนที่ของ Centroids (Total Shift ΔC)</t>
        </is>
      </c>
      <c r="B31" s="20">
        <f>F24+F25+F26</f>
        <v/>
      </c>
      <c r="C31" s="31" t="inlineStr">
        <is>
          <t>ΔC = 0.0000</t>
        </is>
      </c>
      <c r="D31" s="32" t="inlineStr">
        <is>
          <t>ผ่าน (Centroids หยุดการเคลื่อนที่)</t>
        </is>
      </c>
      <c r="E31" s="13" t="inlineStr">
        <is>
          <t>จุดศูนย์กลางนิ่งสนิท</t>
        </is>
      </c>
    </row>
    <row r="32">
      <c r="A32" s="15" t="inlineStr">
        <is>
          <t>3. การเปลี่ยนแปลงของ WCSS (ΔWCSS)</t>
        </is>
      </c>
      <c r="B32" s="20">
        <f>'03_KMeans_Iteration_2'!I20 - I20</f>
        <v/>
      </c>
      <c r="C32" s="31" t="inlineStr">
        <is>
          <t>ΔWCSS = 0.0000</t>
        </is>
      </c>
      <c r="D32" s="32" t="inlineStr">
        <is>
          <t>ผ่าน (WCSS คงที่)</t>
        </is>
      </c>
      <c r="E32" s="13" t="inlineStr">
        <is>
          <t>ฟังก์ชันเป้าหมายลู่เข้าสู่จุดต่ำสุด</t>
        </is>
      </c>
    </row>
    <row r="34">
      <c r="A34" s="33" t="inlineStr">
        <is>
          <t>★ สรุปผลการทดสอบ: อัลกอริทึม K-Means บรรลุภาวะการลู่เข้า (Convergence) โดยสมบูรณ์ในรอบที่ 3 ไม่จำเป็นต้องทำรอบต่อไป</t>
        </is>
      </c>
    </row>
  </sheetData>
  <mergeCells count="7">
    <mergeCell ref="A1:J1"/>
    <mergeCell ref="A28:F28"/>
    <mergeCell ref="A20:H20"/>
    <mergeCell ref="A9:J9"/>
    <mergeCell ref="A22:F22"/>
    <mergeCell ref="A34:F34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50" customWidth="1" min="4" max="4"/>
    <col width="45" customWidth="1" min="5" max="5"/>
    <col width="15" customWidth="1" min="6" max="6"/>
    <col width="15" customWidth="1" min="7" max="7"/>
  </cols>
  <sheetData>
    <row r="1">
      <c r="A1" s="1" t="inlineStr">
        <is>
          <t>ตอนที่ 5: คำถามเชิงคิดวิเคราะห์และการประยุกต์ใช้จริง (Conceptual &amp; Business Questions)</t>
        </is>
      </c>
    </row>
    <row r="3">
      <c r="A3" s="5" t="inlineStr">
        <is>
          <t>【ข้อที่ 1】 ปัญหาของสเกลข้อมูล (The Scale Dominance Problem) [5 คะแนน]</t>
        </is>
      </c>
    </row>
    <row r="4" ht="36" customHeight="1">
      <c r="A4" s="34" t="inlineStr">
        <is>
          <t>คำถาม: หากนำข้อมูลดิบของลูกค้าทั้ง 9 คน (อายุ 20-60 ปี และ รายได้ 15,000-65,000 บาท) ไปคำนวณ K-Means โดย 'ไม่ทำ Feature Scaling' จะส่งผลเสียอย่างไรต่อการวัดระยะทางและการจัดกลุ่ม? อธิบายเชิงคณิตศาสตร์อย่างชัดเจน</t>
        </is>
      </c>
    </row>
    <row r="5">
      <c r="A5" s="35" t="inlineStr">
        <is>
          <t>แนวคำตอบเฉลย:</t>
        </is>
      </c>
    </row>
    <row r="6" ht="95" customHeight="1">
      <c r="A6" s="36" t="inlineStr">
        <is>
          <t>แนวคำตอบที่สมบูรณ์ (5/5 คะแนน):
1. ในสูตร Euclidean Distance: d = √[(X_age - C_age)² + (X_income - C_income)²]
2. ตัวแปร 'อายุ' มีผลต่างยกกำลังสองสูงสุดเพียง (60 - 20)² = 1,600
3. ในขณะที่ตัวแปร 'รายได้' มีผลต่างยกกำลังสองสูงสุดถึง (65,000 - 15,000)² = 2,500,000,000 (ต่างกันกว่า 1.5 ล้านเท่า!)
4. ผลลัพธ์: ตัวแปรรายได้จะครอบงำ (Dominate) ระยะทางทั้งหมด ทำให้ K-Means จัดกลุ่มตามรายได้เพียงอย่างเดียว และมองไม่เห็นความแตกต่างของอายุเลย
5. การทำ Min-Max Normalization จึงจำเป็นอย่างยิ่งในการปรับทั้งสองแกนให้อยู่ในช่วง [0, 1] เท่ากัน เพื่อให้ทั้งสองฟีเจอร์มีน้ำหนักในการตัดสินใจอย่างยุติธรรม</t>
        </is>
      </c>
      <c r="B6" s="37" t="n"/>
      <c r="C6" s="37" t="n"/>
      <c r="D6" s="37" t="n"/>
      <c r="E6" s="37" t="n"/>
      <c r="F6" s="37" t="n"/>
      <c r="G6" s="38" t="n"/>
    </row>
    <row r="8">
      <c r="A8" s="5" t="inlineStr">
        <is>
          <t>【ข้อที่ 2】 การแปลความหมายกลุ่มลูกค้าและกลยุทธ์ทางธุรกิจ (Customer Segmentation Insights) [5 คะแนน]</t>
        </is>
      </c>
    </row>
    <row r="9" ht="36" customHeight="1">
      <c r="A9" s="34" t="inlineStr">
        <is>
          <t>คำถาม: จากผลลัพธ์การจัดกลุ่มทั้ง 3 กลุ่ม (Cluster 1, 2, 3) ในรอบที่ 3 จงอธิบายคุณลักษณะเด่นของลูกค้าแต่ละกลุ่ม (Customer Persona) พร้อมเสนอแนะผลิตภัณฑ์หรือกลยุทธ์ทางการตลาดที่เหมาะสม 1 กลยุทธ์ต่อกลุ่ม</t>
        </is>
      </c>
    </row>
    <row r="10">
      <c r="A10" s="35" t="inlineStr">
        <is>
          <t>แนวคำตอบเฉลย:</t>
        </is>
      </c>
    </row>
    <row r="11" ht="105" customHeight="1">
      <c r="A11" s="36" t="inlineStr">
        <is>
          <t>แนวคำตอบที่สมบูรณ์ (5/5 คะแนน):
• กลุ่มที่ 1 (P1, P2, P3): 'First Jobber / วัยเริ่มทำงาน รายได้เริ่มต้น' (อายุเฉลี่ย 24 ปี, รายได้เฉลี่ย 20,000 บ.)
   → กลยุทธ์: บัตรเครดิตใบแรกค่าธรรมเนียมฟรี, สินเชื่อดิจิทัลผ่อนสินค้าดอกเบี้ยต่ำ, แอปออมเงินอัตโนมัติ
• กลุ่มที่ 2 (P4, P5, P6): 'Mid-Career / วัยสร้างครอบครัว รายได้ปานกลาง' (อายุเฉลี่ย 40 ปี, รายได้เฉลี่ย 41,667 บ.)
   → กลยุทธ์: สินเชื่อบ้าน/รถยนต์, ประกันชีวิตคุ้มครองครอบครัว, กองทุนรวมเพื่อการลดหย่อนภาษี (SSF/RMF)
• กลุ่มที่ 3 (P7, P8, P9): 'Senior Wealth / วัยผู้ใหญ่มั่นคง รายได้สูง' (อายุเฉลี่ย 56 ปี, รายได้เฉลี่ย 60,000 บ.)
   → กลยุทธ์: บริการ Wealth Management / Private Banking, ประกันสุขภาพเหมาจ่ายพรีเมียม, วางแผนส่งต่อมรดก</t>
        </is>
      </c>
      <c r="B11" s="37" t="n"/>
      <c r="C11" s="37" t="n"/>
      <c r="D11" s="37" t="n"/>
      <c r="E11" s="37" t="n"/>
      <c r="F11" s="37" t="n"/>
      <c r="G11" s="38" t="n"/>
    </row>
    <row r="13">
      <c r="A13" s="5" t="inlineStr">
        <is>
          <t>【ข้อที่ 3】 ภาวะการลู่เข้าและเงื่อนไขการหยุด (Convergence &amp; Stopping Criteria) [5 คะแนน]</t>
        </is>
      </c>
    </row>
    <row r="14" ht="36" customHeight="1">
      <c r="A14" s="34" t="inlineStr">
        <is>
          <t>คำถาม: ในการรัน K-Means รอบที่ 3 พบว่าค่า Centroids และการจัดกลุ่มเหมือนกับรอบที่ 2 ทุกประการ จงอธิบายว่าทำไมอัลกอริทึมจึงหยุดทำงาน และหากเขียนโค้ดภาษา Python เอง จะตั้งเงื่อนไขการหยุด (Stopping Criteria) อย่างไรได้บ้าง?</t>
        </is>
      </c>
    </row>
    <row r="15">
      <c r="A15" s="35" t="inlineStr">
        <is>
          <t>แนวคำตอบเฉลย:</t>
        </is>
      </c>
    </row>
    <row r="16" ht="95" customHeight="1">
      <c r="A16" s="36" t="inlineStr">
        <is>
          <t>แนวคำตอบที่สมบูรณ์ (5/5 คะแนน):
1. เหตุผลที่หยุด: เมื่อการจัดกลุ่มไม่เปลี่ยน จุดศูนย์กลางใหม่ที่คำนวณได้ก็จะอยู่ที่เดิม (ΔC = 0) และ WCSS จะคงที่ หากทำรอบต่อไปผลลัพธ์ก็จะเหมือนเดิม 100% จึงถือว่าเข้าสู่ภาวะเสถียร (Convergence)
2. เงื่อนไขการหยุด (Stopping Criteria) 3 ข้อที่นิยมใช้ในการเขียนโปรแกรม:
   • No Reassignment: สมาชิกในทุกคลัสเตอร์ไม่มีการย้ายกลุ่มเลย (np.array_equal(prev_labels, current_labels))
   • Centroid Tolerance: การขยับของ Centroid น้อยกว่าค่าพิกัดความคลาดเคลื่อนที่กำหนด เช่น ||C_new - C_old|| &lt; 1e-4 (tol)
   • Max Iterations: กำหนดรอบสูงสุดป้องกัน Infinite Loop เช่น max_iter=300 กรณีข้อมูลแกว่งตัว</t>
        </is>
      </c>
      <c r="B16" s="37" t="n"/>
      <c r="C16" s="37" t="n"/>
      <c r="D16" s="37" t="n"/>
      <c r="E16" s="37" t="n"/>
      <c r="F16" s="37" t="n"/>
      <c r="G16" s="38" t="n"/>
    </row>
    <row r="18">
      <c r="A18" s="5" t="inlineStr">
        <is>
          <t>【ตารางเกณฑ์การให้คะแนนอย่างละเอียด (Grading Rubric รวม 100 คะแนน)】</t>
        </is>
      </c>
    </row>
    <row r="19" ht="28" customHeight="1">
      <c r="A19" s="6" t="inlineStr">
        <is>
          <t>ส่วนของข้อสอบ</t>
        </is>
      </c>
      <c r="B19" s="6" t="inlineStr">
        <is>
          <t>หัวข้อประเมิน</t>
        </is>
      </c>
      <c r="C19" s="6" t="inlineStr">
        <is>
          <t>คะแนนเต็ม</t>
        </is>
      </c>
      <c r="D19" s="6" t="inlineStr">
        <is>
          <t>เกณฑ์การได้คะแนนเต็ม</t>
        </is>
      </c>
      <c r="E19" s="6" t="inlineStr">
        <is>
          <t>ข้อผิดพลาดที่มักถูกหักคะแนน</t>
        </is>
      </c>
    </row>
    <row r="20">
      <c r="A20" s="15" t="inlineStr">
        <is>
          <t>ตอนที่ 1 (Scaling)</t>
        </is>
      </c>
      <c r="B20" s="39" t="inlineStr">
        <is>
          <t>สถิติ Min, Max, Range</t>
        </is>
      </c>
      <c r="C20" s="8" t="n">
        <v>6</v>
      </c>
      <c r="D20" s="13" t="inlineStr">
        <is>
          <t>ใช้สูตร MIN, MAX, และผลต่างได้ถูกต้องทั้ง 2 ตัวแปร</t>
        </is>
      </c>
      <c r="E20" s="40" t="inlineStr">
        <is>
          <t>พิมพ์ตัวเลขตรงๆ โดยไม่ใช้สูตร (-2)</t>
        </is>
      </c>
    </row>
    <row r="21">
      <c r="A21" s="15" t="inlineStr">
        <is>
          <t>ตอนที่ 1 (Scaling)</t>
        </is>
      </c>
      <c r="B21" s="39" t="inlineStr">
        <is>
          <t>สูตร Min-Max Normalization</t>
        </is>
      </c>
      <c r="C21" s="8" t="n">
        <v>10</v>
      </c>
      <c r="D21" s="13" t="inlineStr">
        <is>
          <t>ใช้สูตร =(X-Min)/Range และตรึง $ เซลล์ Min/Range ถูกต้อง</t>
        </is>
      </c>
      <c r="E21" s="40" t="inlineStr">
        <is>
          <t>ไม่ตรึง $ เซลล์ทำให้ลากสูตรแล้วเพี้ยน (-5)</t>
        </is>
      </c>
    </row>
    <row r="22">
      <c r="A22" s="15" t="inlineStr">
        <is>
          <t>ตอนที่ 1 (Scaling)</t>
        </is>
      </c>
      <c r="B22" s="39" t="inlineStr">
        <is>
          <t>พิกัด Initial Centroids (t=0)</t>
        </is>
      </c>
      <c r="C22" s="8" t="n">
        <v>4</v>
      </c>
      <c r="D22" s="13" t="inlineStr">
        <is>
          <t>อ้างอิงค่าพิกัดจาก P1, P5, P9 ในตารางที่ทำ Scaling แล้วได้ถูกต้อง</t>
        </is>
      </c>
      <c r="E22" s="40" t="inlineStr">
        <is>
          <t>ดึงค่าจากข้อมูลดิบมาใส่โดยไม่ได้ดึงจากสเกล 0-1 (-3)</t>
        </is>
      </c>
    </row>
    <row r="23">
      <c r="A23" s="15" t="inlineStr">
        <is>
          <t>ตอนที่ 2 (Round 1)</t>
        </is>
      </c>
      <c r="B23" s="39" t="inlineStr">
        <is>
          <t>ระยะทาง Euclidean สู่ C1, C2, C3</t>
        </is>
      </c>
      <c r="C23" s="8" t="n">
        <v>10</v>
      </c>
      <c r="D23" s="13" t="inlineStr">
        <is>
          <t>ใช้สูตร =SQRT((X1-$Bx)^2+(X2-$By)^2) ตรึง Centroid ถูกต้อง</t>
        </is>
      </c>
      <c r="E23" s="40" t="inlineStr">
        <is>
          <t>ลืมยกกำลังสอง หรือตรึงแถว/หลัก Centroid ผิด (-4)</t>
        </is>
      </c>
    </row>
    <row r="24">
      <c r="A24" s="15" t="inlineStr">
        <is>
          <t>ตอนที่ 2 (Round 1)</t>
        </is>
      </c>
      <c r="B24" s="39" t="inlineStr">
        <is>
          <t>การจัดกลุ่ม Cluster Assignment</t>
        </is>
      </c>
      <c r="C24" s="8" t="n">
        <v>5</v>
      </c>
      <c r="D24" s="13" t="inlineStr">
        <is>
          <t>ใช้สูตร IF/AND หรือ MATCH/MIN เพื่อเลือกกลุ่มระยะทางต่ำสุด</t>
        </is>
      </c>
      <c r="E24" s="40" t="inlineStr">
        <is>
          <t>จัดกลุ่มผิด หรือไม่ได้ใช้สูตรอัตโนมัติ (-3)</t>
        </is>
      </c>
    </row>
    <row r="25">
      <c r="A25" s="15" t="inlineStr">
        <is>
          <t>ตอนที่ 2 (Round 1)</t>
        </is>
      </c>
      <c r="B25" s="39" t="inlineStr">
        <is>
          <t>การคำนวณ WCSS และ New Centroids</t>
        </is>
      </c>
      <c r="C25" s="8" t="n">
        <v>10</v>
      </c>
      <c r="D25" s="13" t="inlineStr">
        <is>
          <t>คำนวณ d_min² และ SUM ถูกต้อง (0.2300) พร้อมเฉลี่ยจุดใหม่ด้วย AVERAGEIF</t>
        </is>
      </c>
      <c r="E25" s="40" t="inlineStr">
        <is>
          <t>ลืมยกกำลังสองระยะทางก่อนรวม WCSS (-4)</t>
        </is>
      </c>
    </row>
    <row r="26">
      <c r="A26" s="15" t="inlineStr">
        <is>
          <t>ตอนที่ 3 (Round 2)</t>
        </is>
      </c>
      <c r="B26" s="39" t="inlineStr">
        <is>
          <t>การนำ Centroid ใหม่มาคำนวณต่อ</t>
        </is>
      </c>
      <c r="C26" s="8" t="n">
        <v>10</v>
      </c>
      <c r="D26" s="13" t="inlineStr">
        <is>
          <t>ดึง New Centroids จากรอบ 1 มาเป็น Centroid ตั้งต้นของรอบ 2</t>
        </is>
      </c>
      <c r="E26" s="40" t="inlineStr">
        <is>
          <t>นำ Initial Centroid เดิมมาคำนวณซ้ำ (-8)</t>
        </is>
      </c>
    </row>
    <row r="27">
      <c r="A27" s="15" t="inlineStr">
        <is>
          <t>ตอนที่ 3 (Round 2)</t>
        </is>
      </c>
      <c r="B27" s="39" t="inlineStr">
        <is>
          <t>ระยะทาง, การจัดกลุ่ม, WCSS รอบ 2</t>
        </is>
      </c>
      <c r="C27" s="8" t="n">
        <v>10</v>
      </c>
      <c r="D27" s="13" t="inlineStr">
        <is>
          <t>คำนวณระยะทางใหม่ถูกต้อง ได้ WCSS ลดลงเหลือ 0.1067</t>
        </is>
      </c>
      <c r="E27" s="40" t="inlineStr">
        <is>
          <t>คำนวณระยะทางผิด หรือไม่ได้อัปเดต Centroid (-5)</t>
        </is>
      </c>
    </row>
    <row r="28">
      <c r="A28" s="15" t="inlineStr">
        <is>
          <t>ตอนที่ 3 (Round 2)</t>
        </is>
      </c>
      <c r="B28" s="39" t="inlineStr">
        <is>
          <t>การอัปเดต New Centroids รอบ 2</t>
        </is>
      </c>
      <c r="C28" s="8" t="n">
        <v>5</v>
      </c>
      <c r="D28" s="13" t="inlineStr">
        <is>
          <t>คำนวณ New Centroids รอบ 2 ถูกต้อง (C1: 0.1,0.1 | C2: 0.5,0.5333 | C3: 0.9,0.9)</t>
        </is>
      </c>
      <c r="E28" s="40" t="inlineStr">
        <is>
          <t>คำนวณค่าเฉลี่ยผิด (-3)</t>
        </is>
      </c>
    </row>
    <row r="29">
      <c r="A29" s="15" t="inlineStr">
        <is>
          <t>ตอนที่ 4 (Round 3)</t>
        </is>
      </c>
      <c r="B29" s="39" t="inlineStr">
        <is>
          <t>การคำนวณรอบ 3 และ WCSS</t>
        </is>
      </c>
      <c r="C29" s="8" t="n">
        <v>10</v>
      </c>
      <c r="D29" s="13" t="inlineStr">
        <is>
          <t>คำนวณระยะทางรอบ 3 ถูกต้อง ได้ WCSS = 0.1067 เท่าเดิม</t>
        </is>
      </c>
      <c r="E29" s="40" t="inlineStr">
        <is>
          <t>คำนวณผิดพลาด (-5)</t>
        </is>
      </c>
    </row>
    <row r="30">
      <c r="A30" s="15" t="inlineStr">
        <is>
          <t>ตอนที่ 4 (Round 3)</t>
        </is>
      </c>
      <c r="B30" s="39" t="inlineStr">
        <is>
          <t>การตรวจสอบ Convergence</t>
        </is>
      </c>
      <c r="C30" s="8" t="n">
        <v>5</v>
      </c>
      <c r="D30" s="13" t="inlineStr">
        <is>
          <t>ตรวจสอบและสรุปครบ 3 มิติ: จุดไม่ย้ายกลุ่ม, ΔC=0, ΔWCSS=0</t>
        </is>
      </c>
      <c r="E30" s="40" t="inlineStr">
        <is>
          <t>สรุปเพียงว่ากลุ่มเหมือนเดิมโดยไม่อ้างอิง Centroid (-2)</t>
        </is>
      </c>
    </row>
    <row r="31">
      <c r="A31" s="15" t="inlineStr">
        <is>
          <t>ตอนที่ 5 (วิเคราะห์)</t>
        </is>
      </c>
      <c r="B31" s="39" t="inlineStr">
        <is>
          <t>ข้อ 1: Scale Dominance Problem</t>
        </is>
      </c>
      <c r="C31" s="8" t="n">
        <v>5</v>
      </c>
      <c r="D31" s="13" t="inlineStr">
        <is>
          <t>อธิบายการครอบงำของหน่วยรายได้หลักหมื่นต่ออายุหลักสิบเชิงคณิตศาสตร์</t>
        </is>
      </c>
      <c r="E31" s="40" t="inlineStr">
        <is>
          <t>ตอบไม่ตรงประเด็นหรือไม่พูดถึง Euclidean Distance (-2)</t>
        </is>
      </c>
    </row>
    <row r="32">
      <c r="A32" s="15" t="inlineStr">
        <is>
          <t>ตอนที่ 5 (วิเคราะห์)</t>
        </is>
      </c>
      <c r="B32" s="39" t="inlineStr">
        <is>
          <t>ข้อ 2: Customer Personas &amp; Strategy</t>
        </is>
      </c>
      <c r="C32" s="8" t="n">
        <v>5</v>
      </c>
      <c r="D32" s="13" t="inlineStr">
        <is>
          <t>บรรยายคุณลักษณะของทั้ง 3 กลุ่มได้สอดคล้องกับพฤติกรรมจริง พร้อมเสนอกลยุทธ์</t>
        </is>
      </c>
      <c r="E32" s="40" t="inlineStr">
        <is>
          <t>เสนอแนะกลยุทธ์ไม่ตรงกับกลุ่มเป้าหมาย (-2)</t>
        </is>
      </c>
    </row>
    <row r="33">
      <c r="A33" s="15" t="inlineStr">
        <is>
          <t>ตอนที่ 5 (วิเคราะห์)</t>
        </is>
      </c>
      <c r="B33" s="39" t="inlineStr">
        <is>
          <t>ข้อ 3: Stopping Criteria</t>
        </is>
      </c>
      <c r="C33" s="8" t="n">
        <v>5</v>
      </c>
      <c r="D33" s="13" t="inlineStr">
        <is>
          <t>อธิบายกลไกการลู่เข้าและระบุเงื่อนไขการหยุด 3 ประการได้ชัดเจน</t>
        </is>
      </c>
      <c r="E33" s="40" t="inlineStr">
        <is>
          <t>ระบุเงื่อนไขการหยุดไม่ครบถ้วน (-2)</t>
        </is>
      </c>
    </row>
    <row r="34">
      <c r="A34" s="41" t="inlineStr">
        <is>
          <t>คะแนนรวมทั้งสิ้น:</t>
        </is>
      </c>
      <c r="C34" s="42" t="n">
        <v>100</v>
      </c>
      <c r="D34" s="43" t="inlineStr">
        <is>
          <t>ข้อสอบ 5 ตอน ครอบคลุมทั้งทฤษฎี การปฏิบัติการด้วย Excel และการคิดวิเคราะห์เชิงธุรกิจ</t>
        </is>
      </c>
    </row>
  </sheetData>
  <mergeCells count="13">
    <mergeCell ref="A13:G13"/>
    <mergeCell ref="A14:G14"/>
    <mergeCell ref="A1:G1"/>
    <mergeCell ref="A9:G9"/>
    <mergeCell ref="A18:G18"/>
    <mergeCell ref="A8:G8"/>
    <mergeCell ref="A3:G3"/>
    <mergeCell ref="A6:G6"/>
    <mergeCell ref="D34:E34"/>
    <mergeCell ref="A4:G4"/>
    <mergeCell ref="A16:G16"/>
    <mergeCell ref="A11:G11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2026-09-16T12:54:54Z</dcterms:created>
  <dcterms:modified xmlns:dcterms="http://purl.org/dc/terms/" xmlns:xsi="http://www.w3.org/2001/XMLSchema-instance" xsi:type="dcterms:W3CDTF">2026-09-16T12:54:54Z</dcterms:modified>
</cp:coreProperties>
</file>