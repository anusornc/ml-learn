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0_Guide" sheetId="1" state="visible" r:id="rId3"/>
    <sheet name="01_Step_by_Step_Tutorial" sheetId="2" state="visible" r:id="rId4"/>
    <sheet name="02_Scaling_Calculation" sheetId="3" state="visible" r:id="rId5"/>
    <sheet name="03_KMeans_Unscaled" sheetId="4" state="visible" r:id="rId6"/>
    <sheet name="04_KMeans_Scaled" sheetId="5" state="visible" r:id="rId7"/>
    <sheet name="05_Comparison_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<sst xmlns="http://schemas.openxmlformats.org/spreadsheetml/2006/main" count="324" uniqueCount="194">
  <si>
    <t xml:space="preserve">แบบฝึกหัดการทำ Feature Scaling กับ K-Means Clustering</t>
  </si>
  <si>
    <t xml:space="preserve">วัตถุประสงค์: ศึกษาผลกระทบของการไม่ทำ Scaling vs การทำ Scaling ต่ออัลกอริทึม K-Means ผ่านโจทย์ตัวเลขจริง</t>
  </si>
  <si>
    <t xml:space="preserve">ปัญหาเมื่อไม่ทำ Feature Scaling (The Scale Dominance Problem):</t>
  </si>
  <si>
    <t xml:space="preserve">    • สูตร Euclidean Distance: d = √[(X₁ - C₁)² + (X₂ - C₂)²]</t>
  </si>
  <si>
    <t xml:space="preserve">    • หาก X₁ มีค่า 20-50 (อายุ) แต่ X₂ มีค่า 20,000-80,000 (เงินเดือน)</t>
  </si>
  <si>
    <t xml:space="preserve">    • ผลต่างของ X₂ ยกกำลังสองจะมีค่าหลัก 100,000,000 ในขณะที่ X₁ ยกกำลังสองมีค่าเพียงหลัก 10-100</t>
  </si>
  <si>
    <t xml:space="preserve">    • ผลลัพธ์: K-Means จะจัดกลุ่มโดยดูเฉพาะ 'เงินเดือน' เพียงอย่างเดียว และละเลย 'อายุ' ไปโดยสิ้นเชิง!</t>
  </si>
  <si>
    <t xml:space="preserve">สองวิธีทำ Scaling ที่นิยมใช้ใน Machine Learning:</t>
  </si>
  <si>
    <t xml:space="preserve">    1. Min-Max Normalization (ช่วง 0 ถึง 1): X_scaled = (X - Min) / (Max - Min)  → เหมาะเมื่อต้องการขอบเขตแน่นอน</t>
  </si>
  <si>
    <t xml:space="preserve">    2. Z-Score Standardization (StandardScaler): Z = (X - Mean) / Stdev  (Excel: =STANDARDIZE(X, Mean, Stdev))</t>
  </si>
  <si>
    <t xml:space="preserve">คำชี้แจงและลำดับการทำแบบฝึกหัด:</t>
  </si>
  <si>
    <t xml:space="preserve">    • แผ่นงาน 01 (01_Step_by_Step_Tutorial): ชีตสอนและทดลองทำตามทีละขั้นตอน (Step 1-7) มีสูตรคณิตศาสตร์และสูตร Excel อธิบายกำกับชัดเจน</t>
  </si>
  <si>
    <t xml:space="preserve">    • แผ่นงาน 02 (02_Scaling_Calculation): แบบฝึกหัดคำนวณสถิติและแปลงค่า Min-Max / Z-Score ด้วยตนเองบนชุดข้อมูล 8 ตัวอย่าง (ไม่บอก Step)</t>
  </si>
  <si>
    <t xml:space="preserve">    • แผ่นงาน 03 (03_KMeans_Unscaled): สาธิตการรัน K-Means บนข้อมูลดิบ (Unscaled) เพื่อเห็นความผิดพลาดจากตัวแปรเงินเดือนที่ครอบงำอายุ</t>
  </si>
  <si>
    <t xml:space="preserve">    • แผ่นงาน 04 (04_KMeans_Scaled): คำนวณ K-Means บนข้อมูลที่ผ่านการทำ Min-Max Scaling ด้วยตนเอง (ไม่บอก Step) และหาค่า WCSS</t>
  </si>
  <si>
    <t xml:space="preserve">    • แผ่นงาน 05 (05_Comparison_Summary): สรุปเปรียบเทียบผลลัพธ์แบบจุดต่อจุด (Unscaled vs Scaled) และ 3 ประเด็นสำคัญสำหรับห้องสอบ</t>
  </si>
  <si>
    <t xml:space="preserve">ชีตทดลองทำตามทีละขั้นตอน (Step-by-Step Guided Tutorial): Feature Scaling และ K-Means</t>
  </si>
  <si>
    <t xml:space="preserve">★ คำแนะนำ: ให้นักศึกษาฝึกพิมพ์สูตรตามคำแนะนำในคอลัมน์ขวาลงในเซลล์สีเหลือง (Step 1 ถึง Step 7) เพื่อสร้างความเข้าใจก่อนไปทำแบบฝึกหัดจริงในแผ่นงาน 02 - 04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</si>
  <si>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ส่วนที่ 1: ขั้นตอนการคำนวณ Feature Scaling (Min-Max และ Z-Score)</t>
    </r>
    <r>
      <rPr>
        <b val="true"/>
        <sz val="11"/>
        <rFont val="Arial Unicode MS"/>
        <family val="2"/>
        <charset val="1"/>
      </rPr>
      <t xml:space="preserve">】</t>
    </r>
  </si>
  <si>
    <t xml:space="preserve">📌 STEP 1: เตรียมข้อมูลดิบและหาค่าสถิติพื้นฐาน (Min, Max, Range, Mean, Stdev)</t>
  </si>
  <si>
    <t xml:space="preserve">📌 STEP 2: Min-Max Scaling: สูตร =(X - Min) / Range (ช่วง 0 ถึง 1)</t>
  </si>
  <si>
    <t xml:space="preserve">รหัส</t>
  </si>
  <si>
    <t xml:space="preserve">ชื่อตัวอย่าง</t>
  </si>
  <si>
    <t xml:space="preserve">อายุ (X1)</t>
  </si>
  <si>
    <t xml:space="preserve">เงินเดือน (X2)</t>
  </si>
  <si>
    <t xml:space="preserve">Age_Norm (0-1)</t>
  </si>
  <si>
    <t xml:space="preserve">Salary_Norm (0-1)</t>
  </si>
  <si>
    <t xml:space="preserve">สูตร Excel ที่ต้องพิมพ์ (สังเกตเครื่องหมาย $)</t>
  </si>
  <si>
    <t xml:space="preserve">S1</t>
  </si>
  <si>
    <t xml:space="preserve">สมชาย (จุด Min)</t>
  </si>
  <si>
    <t xml:space="preserve">พิมพ์: =(C7-$C$13)/$C$15  |  =(D7-$D$13)/$D$15</t>
  </si>
  <si>
    <t xml:space="preserve">S2</t>
  </si>
  <si>
    <t xml:space="preserve">สมศักดิ์ (จุดกลางล่าง)</t>
  </si>
  <si>
    <t xml:space="preserve">พิมพ์: =(C8-$C$13)/$C$15  |  =(D8-$D$13)/$D$15</t>
  </si>
  <si>
    <t xml:space="preserve">S3</t>
  </si>
  <si>
    <t xml:space="preserve">ประเสริฐ (จุดเปลี่ยนผ่าน)</t>
  </si>
  <si>
    <t xml:space="preserve">พิมพ์: =(C9-$C$13)/$C$15  |  =(D9-$D$13)/$D$15</t>
  </si>
  <si>
    <t xml:space="preserve">S4</t>
  </si>
  <si>
    <t xml:space="preserve">วิภา (จุด Max)</t>
  </si>
  <si>
    <t xml:space="preserve">พิมพ์: =(C10-$C$13)/$C$15  |  =(D10-$D$13)/$D$15</t>
  </si>
  <si>
    <t xml:space="preserve">ค่าทางสถิติ</t>
  </si>
  <si>
    <t xml:space="preserve">สูตร Excel ที่ใช้</t>
  </si>
  <si>
    <t xml:space="preserve">📌 STEP 3: Z-Score Standardization: สูตร =(X - Mean) / Stdev</t>
  </si>
  <si>
    <t xml:space="preserve">Min (ค่าน้อยสุด)</t>
  </si>
  <si>
    <t xml:space="preserve">=MIN(C7:C10)</t>
  </si>
  <si>
    <t xml:space="preserve">Z_Age (Mean=0, SD=1)</t>
  </si>
  <si>
    <t xml:space="preserve">Z_Salary (Mean=0, SD=1)</t>
  </si>
  <si>
    <t xml:space="preserve">สูตรทางเลือก: ฟังก์ชัน =STANDARDIZE(...)</t>
  </si>
  <si>
    <t xml:space="preserve">Max (ค่ามากสุด)</t>
  </si>
  <si>
    <t xml:space="preserve">=MAX(C7:C10)</t>
  </si>
  <si>
    <t xml:space="preserve">สูตร: =(C7-$C$16)/$C$17  หรือใช้  =STANDARDIZE(C7, $C$16, $C$17)</t>
  </si>
  <si>
    <t xml:space="preserve">Range (พิสัย = Max-Min)</t>
  </si>
  <si>
    <t xml:space="preserve">=C14-C13</t>
  </si>
  <si>
    <t xml:space="preserve">สูตร: =(C8-$C$16)/$C$17  หรือใช้  =STANDARDIZE(C8, $C$16, $C$17)</t>
  </si>
  <si>
    <t xml:space="preserve">Mean (ค่าเฉลี่ย)</t>
  </si>
  <si>
    <t xml:space="preserve">=AVERAGE(C7:C10)</t>
  </si>
  <si>
    <t xml:space="preserve">สูตร: =(C9-$C$16)/$C$17  หรือใช้  =STANDARDIZE(C9, $C$16, $C$17)</t>
  </si>
  <si>
    <t xml:space="preserve">Stdev (ส่วนเบี่ยงเบน)</t>
  </si>
  <si>
    <t xml:space="preserve">=stdev.s(C7:C10)</t>
  </si>
  <si>
    <t xml:space="preserve">สูตร: =(C10-$C$16)/$C$17  หรือใช้  =STANDARDIZE(C10, $C$16, $C$17)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</si>
  <si>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ส่วนที่ 2: ขั้นตอนการรัน K-Means บนข้อมูลที่ทำ Min-Max Scaling แล้ว (Step 4 ถึง Step 7)</t>
    </r>
    <r>
      <rPr>
        <b val="true"/>
        <sz val="11"/>
        <rFont val="Arial Unicode MS"/>
        <family val="2"/>
        <charset val="1"/>
      </rPr>
      <t xml:space="preserve">】</t>
    </r>
  </si>
  <si>
    <t xml:space="preserve">📌 STEP 4: กำหนด Centroid เริ่มต้น (C1 = S1, C2 = S4 ในพิกัดที่สเกลแล้ว)</t>
  </si>
  <si>
    <t xml:space="preserve">Centroid</t>
  </si>
  <si>
    <t xml:space="preserve">เลือกจากจุด</t>
  </si>
  <si>
    <t xml:space="preserve">สูตร Excel ที่ดึงพิกัดมาใช้</t>
  </si>
  <si>
    <t xml:space="preserve">C1 (กลุ่ม 1)</t>
  </si>
  <si>
    <t xml:space="preserve">สูตร: =G7 และ =H7 (ดึงพิกัด Min-Max ของจุด S1: 0, 0)</t>
  </si>
  <si>
    <t xml:space="preserve">C2 (กลุ่ม 2)</t>
  </si>
  <si>
    <t xml:space="preserve">สูตร: =G10 และ =H10 (ดึงพิกัด Min-Max ของจุด S4: 1, 1)</t>
  </si>
  <si>
    <t xml:space="preserve">📌 STEP 5 &amp; 6: คำนวณระยะทาง Euclidean (SQRT), เลือกลุ่มที่ใกล้ที่สุด (IF), หา d_min² และ WCSS</t>
  </si>
  <si>
    <t xml:space="preserve">Age_Norm</t>
  </si>
  <si>
    <t xml:space="preserve">Salary_Norm</t>
  </si>
  <si>
    <t xml:space="preserve">d(P, C1)</t>
  </si>
  <si>
    <t xml:space="preserve">d(P, C2)</t>
  </si>
  <si>
    <t xml:space="preserve">กลุ่มที่ได้</t>
  </si>
  <si>
    <t xml:space="preserve">d_min²</t>
  </si>
  <si>
    <t xml:space="preserve">สูตรคำนวณระยะ d(P, C1)</t>
  </si>
  <si>
    <t xml:space="preserve">สูตรกำหนดกลุ่ม (IF) &amp; d_min²</t>
  </si>
  <si>
    <t xml:space="preserve">=SQRT((B27-$C$22)^2 + (C27-$D$22)^2)  |  ไปยัง C2 ใช้ $C$23, $D$23</t>
  </si>
  <si>
    <t xml:space="preserve">กลุ่ม: =IF(D27&lt;=E27, 1, 2)  |  d_min²: =IF(F27=1, D27^2, E27^2)</t>
  </si>
  <si>
    <t xml:space="preserve">=SQRT((B28-$C$22)^2 + (C28-$D$22)^2)  |  ไปยัง C2 ใช้ $C$23, $D$23</t>
  </si>
  <si>
    <t xml:space="preserve">กลุ่ม: =IF(D28&lt;=E28, 1, 2)  |  d_min²: =IF(F28=1, D28^2, E28^2)</t>
  </si>
  <si>
    <t xml:space="preserve">=SQRT((B29-$C$22)^2 + (C29-$D$22)^2)  |  ไปยัง C2 ใช้ $C$23, $D$23</t>
  </si>
  <si>
    <t xml:space="preserve">กลุ่ม: =IF(D29&lt;=E29, 1, 2)  |  d_min²: =IF(F29=1, D29^2, E29^2)</t>
  </si>
  <si>
    <t xml:space="preserve">=SQRT((B30-$C$22)^2 + (C30-$D$22)^2)  |  ไปยัง C2 ใช้ $C$23, $D$23</t>
  </si>
  <si>
    <t xml:space="preserve">กลุ่ม: =IF(D30&lt;=E30, 1, 2)  |  d_min²: =IF(F30=1, D30^2, E30^2)</t>
  </si>
  <si>
    <t xml:space="preserve">รวมค่า WCSS รอบที่ 1 (ผลรวม d_min²):</t>
  </si>
  <si>
    <t xml:space="preserve">สูตร: =SUM(G27:G30)</t>
  </si>
  <si>
    <t xml:space="preserve">ค่ายิ่งน้อย แสดงว่าจุดรวมกลุ่มกันแน่นหนาดี</t>
  </si>
  <si>
    <t xml:space="preserve">📌 STEP 7: คำนวณ Centroid ใหม่ด้วย =AVERAGEIF(...) และแปลงกลับเป็นหน่วยจริง (Inverse Scaling)</t>
  </si>
  <si>
    <t xml:space="preserve">กลุ่ม (Cluster)</t>
  </si>
  <si>
    <t xml:space="preserve">จำนวนสมาชิก</t>
  </si>
  <si>
    <t xml:space="preserve">Centroid Age_Norm</t>
  </si>
  <si>
    <t xml:space="preserve">Centroid Sal_Norm</t>
  </si>
  <si>
    <t xml:space="preserve">แปลงกลับเป็นหน่วยจริง (Inverse)</t>
  </si>
  <si>
    <t xml:space="preserve">สูตร AVERAGEIF และสูตรแปลงกลับหน่วยจริง</t>
  </si>
  <si>
    <t xml:space="preserve">กลุ่ม 1 (อายุน้อย รายได้เริ่มต้น)</t>
  </si>
  <si>
    <t xml:space="preserve">สูตรแปลงกลับหน่วยจริง</t>
  </si>
  <si>
    <t xml:space="preserve">สูตร Centroid: =AVERAGEIF($F$27:$F$30, 1, B27:B30)  |  แปลงกลับ: =$C$13 + C35 * $C$15</t>
  </si>
  <si>
    <t xml:space="preserve">กลุ่ม 2 (อายุมาก รายได้สูง)</t>
  </si>
  <si>
    <t xml:space="preserve">สูตร Centroid: =AVERAGEIF($F$27:$F$30, 2, B27:B30)  |  แปลงกลับ: =$C$13 + C36 * $C$15</t>
  </si>
  <si>
    <t xml:space="preserve">💡 4 ข้อควรระวังและเทคนิคการเขียนสูตร Excel สำหรับห้องสอบ:</t>
  </si>
  <si>
    <t xml:space="preserve">1. การล็อกเซลล์ ($ Absolute Reference): เวลาคำนวณ Min-Max หรือ Z-Score ต้องใส่ $ หน้าเลขแถวของ Min/Range/Mean/Stdev เสมอ เช่น $C$13 หากไม่ใส่ เมื่อลากสูตรลงมา ตำแหน่งเซลล์จะเลื่อนลงตาม ทำให้ผลลัพธ์เป็น #DIV/0! หรือคำนวณผิด</t>
  </si>
  <si>
    <t xml:space="preserve">2. สรุปความต่างของสูตร Scaling: Min-Max = (X - Min) / Range ได้ช่วงแน่นอน [0, 1] ส่วน Z-Score = (X - Mean) / Stdev ได้ค่าเฉลี่ย 0 ส่วนเบี่ยงเบน 1 (Excel มีฟังก์ชัน =STANDARDIZE(X, Mean, Stdev))</t>
  </si>
  <si>
    <t xml:space="preserve">3. การเลือกกลุ่มด้วย =IF(d1 &lt;= d2, 1, 2): ตรวจสอบว่าระยะทางไปยัง C1 น้อยกว่าหรือเท่ากับ C2 หรือไม่ ถ้าใช่ให้อยู่กลุ่ม 1 ถ้าไม่ใช่ให้อยู่กลุ่ม 2 (หากระยะทางเท่ากัน ให้เลือกกลุ่มแรก)</t>
  </si>
  <si>
    <t xml:space="preserve">4. การแปลง Centroid กลับเป็นหน่วยจริง (Inverse Formula): นำพิกัดที่ได้คูณด้วยพิสัยเดิม แล้วบวกด้วยค่าน้อยสุด: Real = Min + (Scaled_Centroid * Range) เพื่อให้สื่อสารกับผู้บริหารหรือลูกค้าเข้าใจในหน่วยจริง (ปี, บาท)</t>
  </si>
  <si>
    <t xml:space="preserve">การคำนวณ Feature Scaling: แปลงข้อมูลดิบ (อายุ &amp; เงินเดือน) ด้วย Min-Max และ Z-Score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</si>
  <si>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ตารางข้อมูลดิบ (Raw Data)</t>
    </r>
    <r>
      <rPr>
        <b val="true"/>
        <sz val="11"/>
        <rFont val="Arial Unicode MS"/>
        <family val="2"/>
        <charset val="1"/>
      </rPr>
      <t xml:space="preserve">】</t>
    </r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</si>
  <si>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1: Min-Max Scaling (ช่วง 0 ถึง 1)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สูตร =(X - Min) / Range</t>
    </r>
  </si>
  <si>
    <t xml:space="preserve">ชื่อตัวแทน</t>
  </si>
  <si>
    <t xml:space="preserve">อายุ X1 (ปี)</t>
  </si>
  <si>
    <t xml:space="preserve">เงินเดือน X2 (บาท)</t>
  </si>
  <si>
    <t xml:space="preserve">คำอธิบายพิกัดสเกล</t>
  </si>
  <si>
    <t xml:space="preserve">P1</t>
  </si>
  <si>
    <t xml:space="preserve">สมชาย (วัยรุ่น รายได้เริ่มต้น)</t>
  </si>
  <si>
    <t xml:space="preserve">สูตรแสดง Persona</t>
  </si>
  <si>
    <t xml:space="preserve">P2</t>
  </si>
  <si>
    <t xml:space="preserve">สมศักดิ์ (วัยรุ่น รายได้เริ่มต้น)</t>
  </si>
  <si>
    <t xml:space="preserve">P3</t>
  </si>
  <si>
    <t xml:space="preserve">สมหญิง (วัยรุ่น รายได้เริ่มต้น)</t>
  </si>
  <si>
    <t xml:space="preserve">P4</t>
  </si>
  <si>
    <t xml:space="preserve">วิชัย (คนรุ่นใหม่ รายได้สูง)</t>
  </si>
  <si>
    <t xml:space="preserve">P5</t>
  </si>
  <si>
    <t xml:space="preserve">ประเสริฐ (วัยกลางคน รายได้ปานกลาง)</t>
  </si>
  <si>
    <t xml:space="preserve">P6</t>
  </si>
  <si>
    <t xml:space="preserve">มานะ (วัยทำงาน รายได้สูง)</t>
  </si>
  <si>
    <t xml:space="preserve">P7</t>
  </si>
  <si>
    <t xml:space="preserve">กมล (ผู้บริหาร รายได้สูงมาก)</t>
  </si>
  <si>
    <t xml:space="preserve">P8</t>
  </si>
  <si>
    <t xml:space="preserve">วิภา (ผู้บริหาร รายได้สูงสุด)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</si>
  <si>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สรุปค่าทางสถิติสำหรับใช้ในการสเกล</t>
    </r>
    <r>
      <rPr>
        <b val="true"/>
        <sz val="11"/>
        <rFont val="Arial Unicode MS"/>
        <family val="2"/>
        <charset val="1"/>
      </rPr>
      <t xml:space="preserve">】</t>
    </r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</si>
  <si>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2: Z-Score Standardization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สูตร =(X - Mean) / Stdev</t>
    </r>
  </si>
  <si>
    <t xml:space="preserve">สูตร Excel</t>
  </si>
  <si>
    <t xml:space="preserve">ฟังก์ชัน Excel ทางเลือก</t>
  </si>
  <si>
    <t xml:space="preserve">ค่าน้อยสุด (Minimum)</t>
  </si>
  <si>
    <t xml:space="preserve">ค่ามากสุด (Maximum)</t>
  </si>
  <si>
    <t xml:space="preserve">พิสัย (Range = Max - Min)</t>
  </si>
  <si>
    <t xml:space="preserve">ค่าเฉลี่ย (Mean)</t>
  </si>
  <si>
    <t xml:space="preserve">ส่วนเบี่ยงเบนมาตรฐาน (Stdev.s)</t>
  </si>
  <si>
    <t xml:space="preserve">การรัน K-Means บนข้อมูลดิบ (Unscaled) — แสดงข้อผิดพลาดจากแกนเงินเดือนที่ครอบงำอายุ</t>
  </si>
  <si>
    <t xml:space="preserve">กำหนด Centroid เริ่มต้นจากข้อมูลดิบ: C1 = P1 (20 ปี, 25,000 บาท) และ C2 = P8 (50 ปี, 80,000 บาท)</t>
  </si>
  <si>
    <t xml:space="preserve">คำอธิบาย</t>
  </si>
  <si>
    <t xml:space="preserve">จุดเริ่มต้นกลุ่มที่ 1 (อายุน้อย รายได้น้อย)</t>
  </si>
  <si>
    <t xml:space="preserve">จุดเริ่มต้นกลุ่มที่ 2 (อายุมาก รายได้สูง)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</si>
  <si>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รอบที่ 1 (Iteration 1: Unscaled)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สังเกตระยะห่างของจุด P5 (อายุ 44 ปี แต่เงินเดือน 50,000 บาท)</t>
    </r>
  </si>
  <si>
    <t xml:space="preserve">อายุ X1</t>
  </si>
  <si>
    <t xml:space="preserve">เงินเดือน X2</t>
  </si>
  <si>
    <t xml:space="preserve">(Δ Age)² เทียบ C1</t>
  </si>
  <si>
    <t xml:space="preserve">(Δ Salary)² เทียบ C1</t>
  </si>
  <si>
    <t xml:space="preserve">ข้อสังเกตการครอบงำ</t>
  </si>
  <si>
    <t xml:space="preserve">เงินเดือนเป็นตัวตัดสิน</t>
  </si>
  <si>
    <t xml:space="preserve">⚠️ ถูกดึงเข้ากลุ่ม 1 เพราะเงินเดือนใกล้กว่า ทั้งที่อายุ 44 ปี!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</si>
  <si>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Centroid ใหม่หลังรอบที่ 1 (Unscaled)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สังเกตพิกัดกลุ่มที่ 1 มีอายุเฉลี่ยโดดขึ้นเป็น 27.2 ปี</t>
    </r>
  </si>
  <si>
    <t xml:space="preserve">Centroid อายุ (ปี)</t>
  </si>
  <si>
    <t xml:space="preserve">Centroid เงินเดือน (บาท)</t>
  </si>
  <si>
    <t xml:space="preserve">สมาชิกในกลุ่ม</t>
  </si>
  <si>
    <t xml:space="preserve">กลุ่ม 1 (Cluster 1)</t>
  </si>
  <si>
    <t xml:space="preserve">P1, P2, P3, P4, P5 (มี P5 วัย 44 ปีปนอยู่ด้วย!)</t>
  </si>
  <si>
    <t xml:space="preserve">กลุ่ม 2 (Cluster 2)</t>
  </si>
  <si>
    <t xml:space="preserve">P6, P7, P8 (มีเฉพาะคนเงินเดือน 70,000+)</t>
  </si>
  <si>
    <t xml:space="preserve">📌 บทสรุปข้อผิดพลาดของการไม่ทำ Scaling:</t>
  </si>
  <si>
    <t xml:space="preserve">1. ดูคอลัมน์ G เทียบกับ H: (Δ Age)² มีค่าสูงสุดเพียง 576 แต่ (Δ Salary)² มีค่าสูงถึง 625,000,000 (ต่างกันกว่า 1,000,000 เท่า!)</t>
  </si>
  <si>
    <t xml:space="preserve">2. อายุจึงแทบไม่มีผลใดๆ ต่อการคำนวณระยะทาง ราวกับว่าเราตัดคอลัมน์อายุทิ้งไปจากการวิเคราะห์</t>
  </si>
  <si>
    <t xml:space="preserve">3. จุด P5 (อายุ 44 ปี) จึงถูกจับไปรวมกับเด็กจบใหม่อายุ 20-24 ปี เพียงเพราะเงินเดือน 50,000 ใกล้ 25,000 มากกว่า 80,000</t>
  </si>
  <si>
    <t xml:space="preserve">การรัน K-Means บนข้อมูลที่ทำ Scaling แล้ว (Min-Max: 0 ถึง 1) — ทั้งอายุและเงินเดือนมีน้ำหนักสมดุล</t>
  </si>
  <si>
    <t xml:space="preserve">กำหนด Centroid เริ่มต้นในสเกลปกติ: C1 = P1 (0.00, 0.00) และ C2 = P8 (1.00, 1.00)</t>
  </si>
  <si>
    <t xml:space="preserve">ความหมายในโลกจริง</t>
  </si>
  <si>
    <t xml:space="preserve">ตัวแทนกลุ่มอายุน้อย รายได้น้อย (อายุ 20, เงินเดือน 25,000)</t>
  </si>
  <si>
    <t xml:space="preserve">ตัวแทนกลุ่มอายุมาก รายได้สูง (อายุ 50, เงินเดือน 80,000)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</si>
  <si>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รอบที่ 1 (Iteration 1: Scaled)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ทั้งแกนอายุและเงินเดือนอยู่ในช่วง 0-1 ทำให้คำนวณระยะทางได้อย่างยุติธรรม</t>
    </r>
  </si>
  <si>
    <t xml:space="preserve">การเปรียบเทียบ P5</t>
  </si>
  <si>
    <t xml:space="preserve">กลุ่มปกติ</t>
  </si>
  <si>
    <t xml:space="preserve">★ ถูกจัดอยู่กลุ่ม 2 อย่างสมเหตุผล (ใกล้ C2 มากกว่า)</t>
  </si>
  <si>
    <t xml:space="preserve">รวม WCSS รอบที่ 1 (Scaled):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</si>
  <si>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Centroid ใหม่หลังรอบที่ 1 (Scaled)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กลุ่มที่ 1 มีสมาชิก 4 คน (P1-P4) และกลุ่มที่ 2 มี 4 คน (P5-P8)</t>
    </r>
  </si>
  <si>
    <t xml:space="preserve">กลุ่ม 1 (วัยรุ่นและคนรุ่นใหม่)</t>
  </si>
  <si>
    <t xml:space="preserve">กลุ่ม 2 (วัยกลางคนและผู้บริหาร)</t>
  </si>
  <si>
    <t xml:space="preserve">สรุปเปรียบเทียบผลลัพธ์: Unscaled vs Scaled K-Means และประเด็นข้อสอบ</t>
  </si>
  <si>
    <t xml:space="preserve">อายุ (ปี)</t>
  </si>
  <si>
    <t xml:space="preserve">เงินเดือน (บาท)</t>
  </si>
  <si>
    <t xml:space="preserve">กลุ่มเมื่อไม่ทำ Scaling</t>
  </si>
  <si>
    <t xml:space="preserve">กลุ่มเมื่อทำ Min-Max Scaling</t>
  </si>
  <si>
    <t xml:space="preserve">การเปลี่ยนแปลง</t>
  </si>
  <si>
    <t xml:space="preserve">คำอธิบายเชิงธุรกิจ</t>
  </si>
  <si>
    <t xml:space="preserve">วัยรุ่น รายได้เริ่มต้น</t>
  </si>
  <si>
    <t xml:space="preserve">คนรุ่นใหม่ รายได้เติบโตเร็ว</t>
  </si>
  <si>
    <t xml:space="preserve">วัยกลางคน: เมื่อสเกลแล้วความใกล้เคียงด้านอายุพาไปอยู่กลุ่ม 2</t>
  </si>
  <si>
    <t xml:space="preserve">ผู้บริหาร/วัยทำงาน รายได้สูง</t>
  </si>
  <si>
    <t xml:space="preserve">ผู้บริหาร รายได้สูงมาก</t>
  </si>
  <si>
    <t xml:space="preserve">ผู้บริหาร รายได้สูงสุด</t>
  </si>
  <si>
    <t xml:space="preserve">🎓 3 ประเด็นสำคัญที่ต้องจำสำหรับห้องสอบ:</t>
  </si>
  <si>
    <t xml:space="preserve">1. เหตุผลที่ K-Means ต้องทำ Feature Scaling เสมอ: เพราะการวัดระยะทางแบบ Euclidean เป็น isotropic (ให้น้ำหนักทุกมิติเท่ากันในทางคณิตศาสตร์) หากมิติใดมีสเกลตัวเลขที่ใหญ่กว่า (เช่น เงินเดือน vs อายุ) มิตินั้นจะครอบงำผลการตัดสินใจทั้งหมด</t>
  </si>
  <si>
    <t xml:space="preserve">2. จุดที่เปลี่ยนกลุ่มชัดเจนที่สุดคือ P5 (นายประเสริฐ): ในแบบไม่สเกล P5 ถูกจัดเข้ากลุ่มคนหนุ่มสาวเพราะเงินเดือน 50,000 ใกล้ 25,000 มากกว่า แต่ในแบบสเกล P5 ถูกย้ายไปอยู่กลุ่มคนสูงวัยอย่างถูกต้อง เพราะอายุ 44 ปีสะท้อนพฤติกรรมในชีวิตจริงได้ดีกว่า</t>
  </si>
  <si>
    <t xml:space="preserve">3. ข้อสอบมักถามว่า 'อัลกอริทึมใดต้องทำ Feature Scaling บ้าง?': คำตอบคือ โมเดลที่อาศัยระยะทาง (Distance-based) ทั้งหมด เช่น K-Means, k-NN, SVM, PCA ส่วนโมเดลประเภท Decision Tree และ Random Forest ไม่จำเป็นต้องทำ Scaling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</si>
</sst>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.0000"/>
    <numFmt numFmtId="168" formatCode="0.0"/>
    <numFmt numFmtId="169" formatCode="0.00"/>
    <numFmt numFmtId="170" formatCode="#,##0.00"/>
    <numFmt numFmtId="171" formatCode="#,##0.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10"/>
      <color rgb="FF047857"/>
      <name val="Arial"/>
      <family val="0"/>
      <charset val="1"/>
    </font>
    <font>
      <b val="true"/>
      <sz val="11"/>
      <name val="Arial Unicode MS"/>
      <family val="2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334155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047857"/>
      <name val="Arial"/>
      <family val="0"/>
      <charset val="1"/>
    </font>
    <font>
      <b val="true"/>
      <sz val="11"/>
      <color rgb="FF4338CA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11"/>
      <color rgb="FF991B1B"/>
      <name val="Arial"/>
      <family val="0"/>
      <charset val="1"/>
    </font>
    <font>
      <sz val="9"/>
      <color rgb="FF475569"/>
      <name val="Arial"/>
      <family val="0"/>
      <charset val="1"/>
    </font>
    <font>
      <sz val="9"/>
      <color rgb="FF7F1D1D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047857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475569"/>
      <name val="Arial"/>
      <family val="0"/>
      <charset val="1"/>
    </font>
    <font>
      <b val="true"/>
      <sz val="11"/>
      <color rgb="FFB91C1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4338CA"/>
        <bgColor rgb="FF475569"/>
      </patternFill>
    </fill>
    <fill>
      <patternFill patternType="solid">
        <fgColor rgb="FFFFF3BF"/>
        <bgColor rgb="FFFEF3C7"/>
      </patternFill>
    </fill>
    <fill>
      <patternFill patternType="solid">
        <fgColor rgb="FF0F766E"/>
        <bgColor rgb="FF047857"/>
      </patternFill>
    </fill>
    <fill>
      <patternFill patternType="solid">
        <fgColor rgb="FFE0F2FE"/>
        <bgColor rgb="FFDCFCE7"/>
      </patternFill>
    </fill>
    <fill>
      <patternFill patternType="solid">
        <fgColor rgb="FFD97706"/>
        <bgColor rgb="FFFF9900"/>
      </patternFill>
    </fill>
    <fill>
      <patternFill patternType="solid">
        <fgColor rgb="FFDCFCE7"/>
        <bgColor rgb="FFE0F2FE"/>
      </patternFill>
    </fill>
    <fill>
      <patternFill patternType="solid">
        <fgColor rgb="FFF3E8FF"/>
        <bgColor rgb="FFFFE4E6"/>
      </patternFill>
    </fill>
    <fill>
      <patternFill patternType="solid">
        <fgColor rgb="FFFFE4E6"/>
        <bgColor rgb="FFF3E8FF"/>
      </patternFill>
    </fill>
    <fill>
      <patternFill patternType="solid">
        <fgColor rgb="FFFEF3C7"/>
        <bgColor rgb="FFFFF3B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1E29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8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808000"/>
      <rgbColor rgb="FF800080"/>
      <rgbColor rgb="FF0F766E"/>
      <rgbColor rgb="FFC0C0C0"/>
      <rgbColor rgb="FF475569"/>
      <rgbColor rgb="FF9999FF"/>
      <rgbColor rgb="FFB91C1C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0F2FE"/>
      <rgbColor rgb="FFF3E8FF"/>
      <rgbColor rgb="FFFFF3BF"/>
      <rgbColor rgb="FF99CCFF"/>
      <rgbColor rgb="FFFF99CC"/>
      <rgbColor rgb="FFCC99FF"/>
      <rgbColor rgb="FFFFE4E6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1E3A5F"/>
      <rgbColor rgb="FF339966"/>
      <rgbColor rgb="FF003300"/>
      <rgbColor rgb="FF334155"/>
      <rgbColor rgb="FF991B1B"/>
      <rgbColor rgb="FF993366"/>
      <rgbColor rgb="FF4338C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5" colorId="64" zoomScale="90" zoomScaleNormal="9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105"/>
    <col collapsed="false" customWidth="true" hidden="false" outlineLevel="0" max="7" min="2" style="1" width="15"/>
  </cols>
  <sheetData>
    <row r="1" customFormat="false" ht="15.9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24" hidden="false" customHeight="tru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4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24" hidden="false" customHeight="true" outlineLevel="0" collapsed="false">
      <c r="A6" s="5" t="s">
        <v>4</v>
      </c>
      <c r="B6" s="5"/>
      <c r="C6" s="5"/>
      <c r="D6" s="5"/>
      <c r="E6" s="5"/>
      <c r="F6" s="5"/>
      <c r="G6" s="5"/>
    </row>
    <row r="7" customFormat="false" ht="24" hidden="false" customHeight="true" outlineLevel="0" collapsed="false">
      <c r="A7" s="5" t="s">
        <v>5</v>
      </c>
      <c r="B7" s="5"/>
      <c r="C7" s="5"/>
      <c r="D7" s="5"/>
      <c r="E7" s="5"/>
      <c r="F7" s="5"/>
      <c r="G7" s="5"/>
    </row>
    <row r="8" customFormat="false" ht="24" hidden="false" customHeight="true" outlineLevel="0" collapsed="false">
      <c r="A8" s="4" t="s">
        <v>6</v>
      </c>
      <c r="B8" s="4"/>
      <c r="C8" s="4"/>
      <c r="D8" s="4"/>
      <c r="E8" s="4"/>
      <c r="F8" s="4"/>
      <c r="G8" s="4"/>
    </row>
    <row r="9" customFormat="false" ht="24" hidden="false" customHeight="true" outlineLevel="0" collapsed="false">
      <c r="A9" s="4" t="s">
        <v>7</v>
      </c>
      <c r="B9" s="4"/>
      <c r="C9" s="4"/>
      <c r="D9" s="4"/>
      <c r="E9" s="4"/>
      <c r="F9" s="4"/>
      <c r="G9" s="4"/>
    </row>
    <row r="10" customFormat="false" ht="27.75" hidden="false" customHeight="true" outlineLevel="0" collapsed="false">
      <c r="A10" s="3" t="s">
        <v>8</v>
      </c>
      <c r="B10" s="3"/>
      <c r="C10" s="3"/>
      <c r="D10" s="3"/>
      <c r="E10" s="3"/>
      <c r="F10" s="3"/>
      <c r="G10" s="3"/>
    </row>
    <row r="11" customFormat="false" ht="24" hidden="false" customHeight="true" outlineLevel="0" collapsed="false">
      <c r="A11" s="4" t="s">
        <v>9</v>
      </c>
      <c r="B11" s="4"/>
      <c r="C11" s="4"/>
      <c r="D11" s="4"/>
      <c r="E11" s="4"/>
      <c r="F11" s="4"/>
      <c r="G11" s="4"/>
    </row>
    <row r="12" customFormat="false" ht="24" hidden="false" customHeight="true" outlineLevel="0" collapsed="false">
      <c r="A12" s="4" t="s">
        <v>10</v>
      </c>
      <c r="B12" s="4"/>
      <c r="C12" s="4"/>
      <c r="D12" s="4"/>
      <c r="E12" s="4"/>
      <c r="F12" s="4"/>
      <c r="G12" s="4"/>
    </row>
    <row r="13" customFormat="false" ht="24" hidden="false" customHeight="true" outlineLevel="0" collapsed="false">
      <c r="A13" s="4" t="s">
        <v>11</v>
      </c>
      <c r="B13" s="4"/>
      <c r="C13" s="4"/>
      <c r="D13" s="4"/>
      <c r="E13" s="4"/>
      <c r="F13" s="4"/>
      <c r="G13" s="4"/>
    </row>
    <row r="14" customFormat="false" ht="27.75" hidden="false" customHeight="true" outlineLevel="0" collapsed="false">
      <c r="A14" s="3" t="s">
        <v>12</v>
      </c>
      <c r="B14" s="3"/>
      <c r="C14" s="3"/>
      <c r="D14" s="3"/>
      <c r="E14" s="3"/>
      <c r="F14" s="3"/>
      <c r="G14" s="3"/>
    </row>
    <row r="15" customFormat="false" ht="24" hidden="false" customHeight="true" outlineLevel="0" collapsed="false">
      <c r="A15" s="4" t="s">
        <v>13</v>
      </c>
      <c r="B15" s="4"/>
      <c r="C15" s="4"/>
      <c r="D15" s="4"/>
      <c r="E15" s="4"/>
      <c r="F15" s="4"/>
      <c r="G15" s="4"/>
    </row>
    <row r="16" customFormat="false" ht="24" hidden="false" customHeight="true" outlineLevel="0" collapsed="false">
      <c r="A16" s="4" t="s">
        <v>14</v>
      </c>
      <c r="B16" s="4"/>
      <c r="C16" s="4"/>
      <c r="D16" s="4"/>
      <c r="E16" s="4"/>
      <c r="F16" s="4"/>
      <c r="G16" s="4"/>
    </row>
    <row r="17" customFormat="false" ht="24" hidden="false" customHeight="true" outlineLevel="0" collapsed="false">
      <c r="A17" s="4" t="s">
        <v>15</v>
      </c>
      <c r="B17" s="4"/>
      <c r="C17" s="4"/>
      <c r="D17" s="4"/>
      <c r="E17" s="4"/>
      <c r="F17" s="4"/>
      <c r="G17" s="4"/>
    </row>
  </sheetData>
  <mergeCells count="16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29" colorId="64" zoomScale="90" zoomScaleNormal="90" zoomScalePageLayoutView="100" workbookViewId="0">
      <selection pane="topLeft" activeCell="F35" activeCellId="0" sqref="F35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18.52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25.04"/>
    <col collapsed="false" customWidth="true" hidden="false" outlineLevel="0" max="6" min="6" style="1" width="30.71"/>
    <col collapsed="false" customWidth="true" hidden="false" outlineLevel="0" max="7" min="7" style="1" width="15.52"/>
    <col collapsed="false" customWidth="true" hidden="false" outlineLevel="0" max="8" min="8" style="1" width="52.96"/>
    <col collapsed="false" customWidth="true" hidden="false" outlineLevel="0" max="9" min="9" style="1" width="42"/>
  </cols>
  <sheetData>
    <row r="1" customFormat="false" ht="15.9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</row>
    <row r="2" customFormat="false" ht="12.5" hidden="false" customHeight="false" outlineLevel="0" collapsed="false">
      <c r="A2" s="6" t="s">
        <v>17</v>
      </c>
      <c r="B2" s="6"/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A4" s="7" t="s">
        <v>18</v>
      </c>
      <c r="B4" s="7"/>
      <c r="C4" s="7"/>
      <c r="D4" s="7"/>
      <c r="E4" s="7"/>
      <c r="F4" s="7"/>
      <c r="G4" s="7"/>
      <c r="H4" s="7"/>
      <c r="I4" s="7"/>
    </row>
    <row r="5" customFormat="false" ht="15" hidden="false" customHeight="false" outlineLevel="0" collapsed="false">
      <c r="A5" s="8" t="s">
        <v>19</v>
      </c>
      <c r="B5" s="8"/>
      <c r="C5" s="8"/>
      <c r="D5" s="8"/>
      <c r="F5" s="8" t="s">
        <v>20</v>
      </c>
      <c r="G5" s="8"/>
      <c r="H5" s="8"/>
      <c r="I5" s="8"/>
    </row>
    <row r="6" customFormat="false" ht="27.75" hidden="false" customHeight="true" outlineLevel="0" collapsed="false">
      <c r="A6" s="9" t="s">
        <v>21</v>
      </c>
      <c r="B6" s="9" t="s">
        <v>22</v>
      </c>
      <c r="C6" s="9" t="s">
        <v>23</v>
      </c>
      <c r="D6" s="9" t="s">
        <v>24</v>
      </c>
      <c r="F6" s="10" t="s">
        <v>21</v>
      </c>
      <c r="G6" s="10" t="s">
        <v>25</v>
      </c>
      <c r="H6" s="10" t="s">
        <v>26</v>
      </c>
      <c r="I6" s="10" t="s">
        <v>27</v>
      </c>
    </row>
    <row r="7" customFormat="false" ht="15" hidden="false" customHeight="false" outlineLevel="0" collapsed="false">
      <c r="A7" s="11" t="s">
        <v>28</v>
      </c>
      <c r="B7" s="12" t="s">
        <v>29</v>
      </c>
      <c r="C7" s="13" t="n">
        <v>20</v>
      </c>
      <c r="D7" s="14" t="n">
        <v>30000</v>
      </c>
      <c r="F7" s="11" t="s">
        <v>28</v>
      </c>
      <c r="G7" s="15" t="n">
        <f aca="false">(C7-$C$13)/$C$15</f>
        <v>0</v>
      </c>
      <c r="H7" s="15" t="n">
        <f aca="false">(D7-$D$13)/$D$15</f>
        <v>0</v>
      </c>
      <c r="I7" s="16" t="s">
        <v>30</v>
      </c>
    </row>
    <row r="8" customFormat="false" ht="15" hidden="false" customHeight="false" outlineLevel="0" collapsed="false">
      <c r="A8" s="11" t="s">
        <v>31</v>
      </c>
      <c r="B8" s="12" t="s">
        <v>32</v>
      </c>
      <c r="C8" s="13" t="n">
        <v>25</v>
      </c>
      <c r="D8" s="14" t="n">
        <v>40000</v>
      </c>
      <c r="F8" s="11" t="s">
        <v>31</v>
      </c>
      <c r="G8" s="15" t="n">
        <f aca="false">(C8-$C$13)/$C$15</f>
        <v>0.166666666666667</v>
      </c>
      <c r="H8" s="15" t="n">
        <f aca="false">(D8-$D$13)/$D$15</f>
        <v>0.166666666666667</v>
      </c>
      <c r="I8" s="16" t="s">
        <v>33</v>
      </c>
    </row>
    <row r="9" customFormat="false" ht="15" hidden="false" customHeight="false" outlineLevel="0" collapsed="false">
      <c r="A9" s="11" t="s">
        <v>34</v>
      </c>
      <c r="B9" s="12" t="s">
        <v>35</v>
      </c>
      <c r="C9" s="13" t="n">
        <v>45</v>
      </c>
      <c r="D9" s="14" t="n">
        <v>60000</v>
      </c>
      <c r="F9" s="11" t="s">
        <v>34</v>
      </c>
      <c r="G9" s="15" t="n">
        <f aca="false">(C9-$C$13)/$C$15</f>
        <v>0.833333333333333</v>
      </c>
      <c r="H9" s="15" t="n">
        <f aca="false">(D9-$D$13)/$D$15</f>
        <v>0.5</v>
      </c>
      <c r="I9" s="16" t="s">
        <v>36</v>
      </c>
    </row>
    <row r="10" customFormat="false" ht="15" hidden="false" customHeight="false" outlineLevel="0" collapsed="false">
      <c r="A10" s="11" t="s">
        <v>37</v>
      </c>
      <c r="B10" s="12" t="s">
        <v>38</v>
      </c>
      <c r="C10" s="13" t="n">
        <v>50</v>
      </c>
      <c r="D10" s="14" t="n">
        <v>90000</v>
      </c>
      <c r="F10" s="11" t="s">
        <v>37</v>
      </c>
      <c r="G10" s="15" t="n">
        <f aca="false">(C10-$C$13)/$C$15</f>
        <v>1</v>
      </c>
      <c r="H10" s="15" t="n">
        <f aca="false">(D10-$D$13)/$D$15</f>
        <v>1</v>
      </c>
      <c r="I10" s="16" t="s">
        <v>39</v>
      </c>
    </row>
    <row r="12" customFormat="false" ht="27.75" hidden="false" customHeight="true" outlineLevel="0" collapsed="false">
      <c r="A12" s="17" t="s">
        <v>40</v>
      </c>
      <c r="B12" s="17" t="s">
        <v>41</v>
      </c>
      <c r="C12" s="17" t="s">
        <v>23</v>
      </c>
      <c r="D12" s="17" t="s">
        <v>24</v>
      </c>
      <c r="F12" s="8" t="s">
        <v>42</v>
      </c>
      <c r="G12" s="8"/>
      <c r="H12" s="8"/>
      <c r="I12" s="8"/>
    </row>
    <row r="13" customFormat="false" ht="27.75" hidden="false" customHeight="true" outlineLevel="0" collapsed="false">
      <c r="A13" s="18" t="s">
        <v>43</v>
      </c>
      <c r="B13" s="16" t="s">
        <v>44</v>
      </c>
      <c r="C13" s="19" t="n">
        <f aca="false">MIN(C7:C10)</f>
        <v>20</v>
      </c>
      <c r="D13" s="19" t="n">
        <f aca="false">MIN(D7:D10)</f>
        <v>30000</v>
      </c>
      <c r="F13" s="20" t="s">
        <v>21</v>
      </c>
      <c r="G13" s="20" t="s">
        <v>45</v>
      </c>
      <c r="H13" s="20" t="s">
        <v>46</v>
      </c>
      <c r="I13" s="20" t="s">
        <v>47</v>
      </c>
    </row>
    <row r="14" customFormat="false" ht="15" hidden="false" customHeight="false" outlineLevel="0" collapsed="false">
      <c r="A14" s="18" t="s">
        <v>48</v>
      </c>
      <c r="B14" s="16" t="s">
        <v>49</v>
      </c>
      <c r="C14" s="19" t="n">
        <f aca="false">MAX(C7:C10)</f>
        <v>50</v>
      </c>
      <c r="D14" s="19" t="n">
        <f aca="false">MAX(D7:D10)</f>
        <v>90000</v>
      </c>
      <c r="F14" s="11" t="s">
        <v>28</v>
      </c>
      <c r="G14" s="15" t="n">
        <f aca="false">(C7-$C$16)/$C$17</f>
        <v>-1.01904933073014</v>
      </c>
      <c r="H14" s="15" t="n">
        <f aca="false">STANDARDIZE(D7,$D$16,$D$17)</f>
        <v>-0.944911182523068</v>
      </c>
      <c r="I14" s="16" t="s">
        <v>50</v>
      </c>
    </row>
    <row r="15" customFormat="false" ht="15" hidden="false" customHeight="false" outlineLevel="0" collapsed="false">
      <c r="A15" s="18" t="s">
        <v>51</v>
      </c>
      <c r="B15" s="16" t="s">
        <v>52</v>
      </c>
      <c r="C15" s="19" t="n">
        <f aca="false">C14-C13</f>
        <v>30</v>
      </c>
      <c r="D15" s="19" t="n">
        <f aca="false">D14-D13</f>
        <v>60000</v>
      </c>
      <c r="F15" s="11" t="s">
        <v>31</v>
      </c>
      <c r="G15" s="15" t="n">
        <f aca="false">(C8-$C$16)/$C$17</f>
        <v>-0.679366220486757</v>
      </c>
      <c r="H15" s="15" t="n">
        <f aca="false">STANDARDIZE(D8,$D$16,$D$17)</f>
        <v>-0.566946709513841</v>
      </c>
      <c r="I15" s="16" t="s">
        <v>53</v>
      </c>
    </row>
    <row r="16" customFormat="false" ht="15" hidden="false" customHeight="false" outlineLevel="0" collapsed="false">
      <c r="A16" s="18" t="s">
        <v>54</v>
      </c>
      <c r="B16" s="16" t="s">
        <v>55</v>
      </c>
      <c r="C16" s="21" t="n">
        <f aca="false">AVERAGE(C7:C10)</f>
        <v>35</v>
      </c>
      <c r="D16" s="21" t="n">
        <f aca="false">AVERAGE(D7:D10)</f>
        <v>55000</v>
      </c>
      <c r="F16" s="11" t="s">
        <v>34</v>
      </c>
      <c r="G16" s="15" t="n">
        <f aca="false">(C9-$C$16)/$C$17</f>
        <v>0.679366220486757</v>
      </c>
      <c r="H16" s="15" t="n">
        <f aca="false">STANDARDIZE(D9,$D$16,$D$17)</f>
        <v>0.188982236504614</v>
      </c>
      <c r="I16" s="16" t="s">
        <v>56</v>
      </c>
    </row>
    <row r="17" customFormat="false" ht="15" hidden="false" customHeight="false" outlineLevel="0" collapsed="false">
      <c r="A17" s="18" t="s">
        <v>57</v>
      </c>
      <c r="B17" s="16" t="s">
        <v>58</v>
      </c>
      <c r="C17" s="22" t="n">
        <f aca="false">_xlfn.STDEV.S(C7:C10)</f>
        <v>14.7196014438797</v>
      </c>
      <c r="D17" s="22" t="n">
        <f aca="false">_xlfn.STDEV.S(D7:D10)</f>
        <v>26457.5131106459</v>
      </c>
      <c r="F17" s="11" t="s">
        <v>37</v>
      </c>
      <c r="G17" s="15" t="n">
        <f aca="false">(C10-$C$16)/$C$17</f>
        <v>1.01904933073014</v>
      </c>
      <c r="H17" s="15" t="n">
        <f aca="false">STANDARDIZE(D10,$D$16,$D$17)</f>
        <v>1.3228756555323</v>
      </c>
      <c r="I17" s="16" t="s">
        <v>59</v>
      </c>
    </row>
    <row r="19" customFormat="false" ht="15" hidden="false" customHeight="false" outlineLevel="0" collapsed="false">
      <c r="A19" s="7" t="s">
        <v>60</v>
      </c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8" t="s">
        <v>61</v>
      </c>
      <c r="B20" s="8"/>
      <c r="C20" s="8"/>
      <c r="D20" s="8"/>
      <c r="E20" s="8"/>
    </row>
    <row r="21" customFormat="false" ht="27.75" hidden="false" customHeight="true" outlineLevel="0" collapsed="false">
      <c r="A21" s="9" t="s">
        <v>62</v>
      </c>
      <c r="B21" s="9" t="s">
        <v>63</v>
      </c>
      <c r="C21" s="9" t="s">
        <v>25</v>
      </c>
      <c r="D21" s="9" t="s">
        <v>26</v>
      </c>
      <c r="E21" s="9" t="s">
        <v>64</v>
      </c>
    </row>
    <row r="22" customFormat="false" ht="15" hidden="false" customHeight="false" outlineLevel="0" collapsed="false">
      <c r="A22" s="23" t="s">
        <v>65</v>
      </c>
      <c r="B22" s="24" t="s">
        <v>28</v>
      </c>
      <c r="C22" s="15" t="n">
        <f aca="false">G7</f>
        <v>0</v>
      </c>
      <c r="D22" s="15" t="n">
        <f aca="false">H7</f>
        <v>0</v>
      </c>
      <c r="E22" s="16" t="s">
        <v>66</v>
      </c>
    </row>
    <row r="23" customFormat="false" ht="15" hidden="false" customHeight="false" outlineLevel="0" collapsed="false">
      <c r="A23" s="23" t="s">
        <v>67</v>
      </c>
      <c r="B23" s="24" t="s">
        <v>37</v>
      </c>
      <c r="C23" s="15" t="n">
        <f aca="false">G10</f>
        <v>1</v>
      </c>
      <c r="D23" s="15" t="n">
        <f aca="false">H10</f>
        <v>1</v>
      </c>
      <c r="E23" s="16" t="s">
        <v>68</v>
      </c>
    </row>
    <row r="25" customFormat="false" ht="12.5" hidden="false" customHeight="false" outlineLevel="0" collapsed="false">
      <c r="A25" s="8" t="s">
        <v>69</v>
      </c>
      <c r="B25" s="8"/>
      <c r="C25" s="8"/>
      <c r="D25" s="8"/>
      <c r="E25" s="8"/>
      <c r="F25" s="8"/>
      <c r="G25" s="8"/>
      <c r="H25" s="8"/>
      <c r="I25" s="8"/>
    </row>
    <row r="26" customFormat="false" ht="27.75" hidden="false" customHeight="true" outlineLevel="0" collapsed="false">
      <c r="A26" s="17" t="s">
        <v>21</v>
      </c>
      <c r="B26" s="17" t="s">
        <v>70</v>
      </c>
      <c r="C26" s="17" t="s">
        <v>71</v>
      </c>
      <c r="D26" s="17" t="s">
        <v>72</v>
      </c>
      <c r="E26" s="17" t="s">
        <v>73</v>
      </c>
      <c r="F26" s="17" t="s">
        <v>74</v>
      </c>
      <c r="G26" s="17" t="s">
        <v>75</v>
      </c>
      <c r="H26" s="17" t="s">
        <v>76</v>
      </c>
      <c r="I26" s="17" t="s">
        <v>77</v>
      </c>
    </row>
    <row r="27" customFormat="false" ht="15" hidden="false" customHeight="false" outlineLevel="0" collapsed="false">
      <c r="A27" s="11" t="s">
        <v>28</v>
      </c>
      <c r="B27" s="25" t="n">
        <f aca="false">G7</f>
        <v>0</v>
      </c>
      <c r="C27" s="25" t="n">
        <f aca="false">H7</f>
        <v>0</v>
      </c>
      <c r="D27" s="15" t="n">
        <f aca="false">SQRT((B27-$C$22)^2 + (C27-$D$22)^2)</f>
        <v>0</v>
      </c>
      <c r="E27" s="15"/>
      <c r="F27" s="26"/>
      <c r="G27" s="27"/>
      <c r="H27" s="16" t="s">
        <v>78</v>
      </c>
      <c r="I27" s="16" t="s">
        <v>79</v>
      </c>
    </row>
    <row r="28" customFormat="false" ht="15" hidden="false" customHeight="false" outlineLevel="0" collapsed="false">
      <c r="A28" s="11" t="s">
        <v>31</v>
      </c>
      <c r="B28" s="25" t="n">
        <f aca="false">G8</f>
        <v>0.166666666666667</v>
      </c>
      <c r="C28" s="25" t="n">
        <f aca="false">H8</f>
        <v>0.166666666666667</v>
      </c>
      <c r="D28" s="15" t="n">
        <f aca="false">SQRT((B28-$C$22)^2 + (C28-$D$22)^2)</f>
        <v>0.235702260395516</v>
      </c>
      <c r="E28" s="15"/>
      <c r="F28" s="26"/>
      <c r="G28" s="27"/>
      <c r="H28" s="16" t="s">
        <v>80</v>
      </c>
      <c r="I28" s="16" t="s">
        <v>81</v>
      </c>
    </row>
    <row r="29" customFormat="false" ht="15" hidden="false" customHeight="false" outlineLevel="0" collapsed="false">
      <c r="A29" s="11" t="s">
        <v>34</v>
      </c>
      <c r="B29" s="25" t="n">
        <f aca="false">G9</f>
        <v>0.833333333333333</v>
      </c>
      <c r="C29" s="25" t="n">
        <f aca="false">H9</f>
        <v>0.5</v>
      </c>
      <c r="D29" s="15" t="n">
        <f aca="false">SQRT((B29-$C$22)^2 + (C29-$D$22)^2)</f>
        <v>0.97182531580755</v>
      </c>
      <c r="E29" s="15"/>
      <c r="F29" s="26"/>
      <c r="G29" s="27"/>
      <c r="H29" s="16" t="s">
        <v>82</v>
      </c>
      <c r="I29" s="16" t="s">
        <v>83</v>
      </c>
    </row>
    <row r="30" customFormat="false" ht="15" hidden="false" customHeight="false" outlineLevel="0" collapsed="false">
      <c r="A30" s="11" t="s">
        <v>37</v>
      </c>
      <c r="B30" s="25" t="n">
        <f aca="false">G10</f>
        <v>1</v>
      </c>
      <c r="C30" s="25" t="n">
        <f aca="false">H10</f>
        <v>1</v>
      </c>
      <c r="D30" s="15" t="n">
        <f aca="false">SQRT((B30-$C$22)^2 + (C30-$D$22)^2)</f>
        <v>1.4142135623731</v>
      </c>
      <c r="E30" s="15"/>
      <c r="F30" s="26"/>
      <c r="G30" s="27"/>
      <c r="H30" s="16" t="s">
        <v>84</v>
      </c>
      <c r="I30" s="16" t="s">
        <v>85</v>
      </c>
    </row>
    <row r="31" customFormat="false" ht="15" hidden="false" customHeight="false" outlineLevel="0" collapsed="false">
      <c r="A31" s="28" t="s">
        <v>86</v>
      </c>
      <c r="B31" s="28"/>
      <c r="C31" s="28"/>
      <c r="D31" s="28"/>
      <c r="E31" s="28"/>
      <c r="F31" s="28"/>
      <c r="G31" s="29"/>
      <c r="H31" s="16" t="s">
        <v>87</v>
      </c>
      <c r="I31" s="16" t="s">
        <v>88</v>
      </c>
    </row>
    <row r="33" customFormat="false" ht="12.5" hidden="false" customHeight="false" outlineLevel="0" collapsed="false">
      <c r="A33" s="8" t="s">
        <v>89</v>
      </c>
      <c r="B33" s="8"/>
      <c r="C33" s="8"/>
      <c r="D33" s="8"/>
      <c r="E33" s="8"/>
      <c r="F33" s="8"/>
      <c r="G33" s="8"/>
      <c r="H33" s="8"/>
      <c r="I33" s="8"/>
    </row>
    <row r="34" customFormat="false" ht="27.75" hidden="false" customHeight="true" outlineLevel="0" collapsed="false">
      <c r="A34" s="10" t="s">
        <v>90</v>
      </c>
      <c r="B34" s="10" t="s">
        <v>91</v>
      </c>
      <c r="C34" s="10" t="s">
        <v>92</v>
      </c>
      <c r="D34" s="10" t="s">
        <v>93</v>
      </c>
      <c r="E34" s="10" t="s">
        <v>94</v>
      </c>
      <c r="F34" s="10" t="s">
        <v>95</v>
      </c>
    </row>
    <row r="35" customFormat="false" ht="15" hidden="false" customHeight="false" outlineLevel="0" collapsed="false">
      <c r="A35" s="23" t="s">
        <v>96</v>
      </c>
      <c r="B35" s="19"/>
      <c r="C35" s="30"/>
      <c r="D35" s="30"/>
      <c r="E35" s="16" t="s">
        <v>97</v>
      </c>
      <c r="F35" s="16" t="s">
        <v>98</v>
      </c>
    </row>
    <row r="36" customFormat="false" ht="15" hidden="false" customHeight="false" outlineLevel="0" collapsed="false">
      <c r="A36" s="23" t="s">
        <v>99</v>
      </c>
      <c r="B36" s="19"/>
      <c r="C36" s="30"/>
      <c r="D36" s="30"/>
      <c r="E36" s="16" t="s">
        <v>97</v>
      </c>
      <c r="F36" s="16" t="s">
        <v>100</v>
      </c>
    </row>
    <row r="38" customFormat="false" ht="15" hidden="false" customHeight="false" outlineLevel="0" collapsed="false">
      <c r="A38" s="31" t="s">
        <v>101</v>
      </c>
    </row>
    <row r="39" customFormat="false" ht="27.75" hidden="false" customHeight="true" outlineLevel="0" collapsed="false">
      <c r="A39" s="32" t="s">
        <v>102</v>
      </c>
      <c r="B39" s="32"/>
      <c r="C39" s="32"/>
      <c r="D39" s="32"/>
      <c r="E39" s="32"/>
      <c r="F39" s="32"/>
      <c r="G39" s="32"/>
      <c r="H39" s="32"/>
      <c r="I39" s="32"/>
    </row>
    <row r="40" customFormat="false" ht="27.75" hidden="false" customHeight="true" outlineLevel="0" collapsed="false">
      <c r="A40" s="32" t="s">
        <v>103</v>
      </c>
      <c r="B40" s="32"/>
      <c r="C40" s="32"/>
      <c r="D40" s="32"/>
      <c r="E40" s="32"/>
      <c r="F40" s="32"/>
      <c r="G40" s="32"/>
      <c r="H40" s="32"/>
      <c r="I40" s="32"/>
    </row>
    <row r="41" customFormat="false" ht="27.75" hidden="false" customHeight="true" outlineLevel="0" collapsed="false">
      <c r="A41" s="32" t="s">
        <v>104</v>
      </c>
      <c r="B41" s="32"/>
      <c r="C41" s="32"/>
      <c r="D41" s="32"/>
      <c r="E41" s="32"/>
      <c r="F41" s="32"/>
      <c r="G41" s="32"/>
      <c r="H41" s="32"/>
      <c r="I41" s="32"/>
    </row>
    <row r="42" customFormat="false" ht="27.75" hidden="false" customHeight="true" outlineLevel="0" collapsed="false">
      <c r="A42" s="32" t="s">
        <v>105</v>
      </c>
      <c r="B42" s="32"/>
      <c r="C42" s="32"/>
      <c r="D42" s="32"/>
      <c r="E42" s="32"/>
      <c r="F42" s="32"/>
      <c r="G42" s="32"/>
      <c r="H42" s="32"/>
      <c r="I42" s="32"/>
    </row>
  </sheetData>
  <mergeCells count="15">
    <mergeCell ref="A1:I1"/>
    <mergeCell ref="A2:I2"/>
    <mergeCell ref="A4:I4"/>
    <mergeCell ref="A5:D5"/>
    <mergeCell ref="F5:I5"/>
    <mergeCell ref="F12:I12"/>
    <mergeCell ref="A19:I19"/>
    <mergeCell ref="A20:E20"/>
    <mergeCell ref="A25:I25"/>
    <mergeCell ref="A31:F31"/>
    <mergeCell ref="A33:I33"/>
    <mergeCell ref="A39:I39"/>
    <mergeCell ref="A40:I40"/>
    <mergeCell ref="A41:I41"/>
    <mergeCell ref="A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4"/>
    <col collapsed="false" customWidth="true" hidden="false" outlineLevel="0" max="6" min="6" style="1" width="8"/>
    <col collapsed="false" customWidth="true" hidden="false" outlineLevel="0" max="8" min="7" style="1" width="22"/>
    <col collapsed="false" customWidth="true" hidden="false" outlineLevel="0" max="9" min="9" style="1" width="36"/>
  </cols>
  <sheetData>
    <row r="1" customFormat="false" ht="15.9" hidden="false" customHeight="false" outlineLevel="0" collapsed="false">
      <c r="A1" s="2" t="s">
        <v>106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3" t="s">
        <v>107</v>
      </c>
      <c r="F3" s="33" t="s">
        <v>108</v>
      </c>
    </row>
    <row r="4" customFormat="false" ht="27.75" hidden="false" customHeight="true" outlineLevel="0" collapsed="false">
      <c r="A4" s="9" t="s">
        <v>21</v>
      </c>
      <c r="B4" s="9" t="s">
        <v>109</v>
      </c>
      <c r="C4" s="9" t="s">
        <v>110</v>
      </c>
      <c r="D4" s="9" t="s">
        <v>111</v>
      </c>
      <c r="F4" s="10" t="s">
        <v>21</v>
      </c>
      <c r="G4" s="10" t="s">
        <v>25</v>
      </c>
      <c r="H4" s="10" t="s">
        <v>26</v>
      </c>
      <c r="I4" s="10" t="s">
        <v>112</v>
      </c>
    </row>
    <row r="5" customFormat="false" ht="15" hidden="false" customHeight="false" outlineLevel="0" collapsed="false">
      <c r="A5" s="11" t="s">
        <v>113</v>
      </c>
      <c r="B5" s="12" t="s">
        <v>114</v>
      </c>
      <c r="C5" s="13" t="n">
        <v>20</v>
      </c>
      <c r="D5" s="14" t="n">
        <v>25000</v>
      </c>
      <c r="F5" s="11" t="s">
        <v>113</v>
      </c>
      <c r="G5" s="15"/>
      <c r="H5" s="15"/>
      <c r="I5" s="16" t="s">
        <v>115</v>
      </c>
    </row>
    <row r="6" customFormat="false" ht="15" hidden="false" customHeight="false" outlineLevel="0" collapsed="false">
      <c r="A6" s="11" t="s">
        <v>116</v>
      </c>
      <c r="B6" s="12" t="s">
        <v>117</v>
      </c>
      <c r="C6" s="13" t="n">
        <v>22</v>
      </c>
      <c r="D6" s="14" t="n">
        <v>30000</v>
      </c>
      <c r="F6" s="11" t="s">
        <v>116</v>
      </c>
      <c r="G6" s="15"/>
      <c r="H6" s="15"/>
      <c r="I6" s="16" t="s">
        <v>115</v>
      </c>
    </row>
    <row r="7" customFormat="false" ht="15" hidden="false" customHeight="false" outlineLevel="0" collapsed="false">
      <c r="A7" s="11" t="s">
        <v>118</v>
      </c>
      <c r="B7" s="12" t="s">
        <v>119</v>
      </c>
      <c r="C7" s="13" t="n">
        <v>24</v>
      </c>
      <c r="D7" s="14" t="n">
        <v>28000</v>
      </c>
      <c r="F7" s="11" t="s">
        <v>118</v>
      </c>
      <c r="G7" s="15"/>
      <c r="H7" s="15"/>
      <c r="I7" s="16" t="s">
        <v>115</v>
      </c>
    </row>
    <row r="8" customFormat="false" ht="15" hidden="false" customHeight="false" outlineLevel="0" collapsed="false">
      <c r="A8" s="11" t="s">
        <v>120</v>
      </c>
      <c r="B8" s="12" t="s">
        <v>121</v>
      </c>
      <c r="C8" s="13" t="n">
        <v>26</v>
      </c>
      <c r="D8" s="14" t="n">
        <v>52000</v>
      </c>
      <c r="F8" s="11" t="s">
        <v>120</v>
      </c>
      <c r="G8" s="15"/>
      <c r="H8" s="15"/>
      <c r="I8" s="16" t="s">
        <v>115</v>
      </c>
    </row>
    <row r="9" customFormat="false" ht="15" hidden="false" customHeight="false" outlineLevel="0" collapsed="false">
      <c r="A9" s="11" t="s">
        <v>122</v>
      </c>
      <c r="B9" s="12" t="s">
        <v>123</v>
      </c>
      <c r="C9" s="13" t="n">
        <v>44</v>
      </c>
      <c r="D9" s="14" t="n">
        <v>50000</v>
      </c>
      <c r="F9" s="11" t="s">
        <v>122</v>
      </c>
      <c r="G9" s="15"/>
      <c r="H9" s="15"/>
      <c r="I9" s="16" t="s">
        <v>115</v>
      </c>
    </row>
    <row r="10" customFormat="false" ht="15" hidden="false" customHeight="false" outlineLevel="0" collapsed="false">
      <c r="A10" s="11" t="s">
        <v>124</v>
      </c>
      <c r="B10" s="12" t="s">
        <v>125</v>
      </c>
      <c r="C10" s="13" t="n">
        <v>46</v>
      </c>
      <c r="D10" s="14" t="n">
        <v>70000</v>
      </c>
      <c r="F10" s="11" t="s">
        <v>124</v>
      </c>
      <c r="G10" s="15"/>
      <c r="H10" s="15"/>
      <c r="I10" s="16" t="s">
        <v>115</v>
      </c>
    </row>
    <row r="11" customFormat="false" ht="15" hidden="false" customHeight="false" outlineLevel="0" collapsed="false">
      <c r="A11" s="11" t="s">
        <v>126</v>
      </c>
      <c r="B11" s="12" t="s">
        <v>127</v>
      </c>
      <c r="C11" s="13" t="n">
        <v>48</v>
      </c>
      <c r="D11" s="14" t="n">
        <v>75000</v>
      </c>
      <c r="F11" s="11" t="s">
        <v>126</v>
      </c>
      <c r="G11" s="15"/>
      <c r="H11" s="15"/>
      <c r="I11" s="16" t="s">
        <v>115</v>
      </c>
    </row>
    <row r="12" customFormat="false" ht="15" hidden="false" customHeight="false" outlineLevel="0" collapsed="false">
      <c r="A12" s="11" t="s">
        <v>128</v>
      </c>
      <c r="B12" s="12" t="s">
        <v>129</v>
      </c>
      <c r="C12" s="13" t="n">
        <v>50</v>
      </c>
      <c r="D12" s="14" t="n">
        <v>80000</v>
      </c>
      <c r="F12" s="11" t="s">
        <v>128</v>
      </c>
      <c r="G12" s="15"/>
      <c r="H12" s="15"/>
      <c r="I12" s="16" t="s">
        <v>115</v>
      </c>
    </row>
    <row r="14" customFormat="false" ht="15" hidden="false" customHeight="false" outlineLevel="0" collapsed="false">
      <c r="A14" s="33" t="s">
        <v>130</v>
      </c>
      <c r="F14" s="33" t="s">
        <v>131</v>
      </c>
    </row>
    <row r="15" customFormat="false" ht="27.75" hidden="false" customHeight="true" outlineLevel="0" collapsed="false">
      <c r="A15" s="17" t="s">
        <v>40</v>
      </c>
      <c r="B15" s="17" t="s">
        <v>132</v>
      </c>
      <c r="C15" s="17" t="s">
        <v>23</v>
      </c>
      <c r="D15" s="17" t="s">
        <v>24</v>
      </c>
      <c r="F15" s="20" t="s">
        <v>21</v>
      </c>
      <c r="G15" s="20" t="s">
        <v>45</v>
      </c>
      <c r="H15" s="20" t="s">
        <v>46</v>
      </c>
      <c r="I15" s="20" t="s">
        <v>133</v>
      </c>
    </row>
    <row r="16" customFormat="false" ht="15" hidden="false" customHeight="false" outlineLevel="0" collapsed="false">
      <c r="A16" s="18" t="s">
        <v>134</v>
      </c>
      <c r="B16" s="16" t="e">
        <f aca="false">MIN(...)</f>
        <v>#VALUE!</v>
      </c>
      <c r="C16" s="19"/>
      <c r="D16" s="34"/>
      <c r="F16" s="11" t="s">
        <v>113</v>
      </c>
      <c r="G16" s="15"/>
      <c r="H16" s="15"/>
      <c r="I16" s="16" t="e">
        <f aca="false">STANDARDIZE(x, mean, stdev)</f>
        <v>#NAME?</v>
      </c>
    </row>
    <row r="17" customFormat="false" ht="15" hidden="false" customHeight="false" outlineLevel="0" collapsed="false">
      <c r="A17" s="18" t="s">
        <v>135</v>
      </c>
      <c r="B17" s="16" t="e">
        <f aca="false">MAX(...)</f>
        <v>#VALUE!</v>
      </c>
      <c r="C17" s="19"/>
      <c r="D17" s="34"/>
      <c r="F17" s="11" t="s">
        <v>116</v>
      </c>
      <c r="G17" s="15"/>
      <c r="H17" s="15"/>
      <c r="I17" s="16" t="e">
        <f aca="false">STANDARDIZE(x, mean, stdev)</f>
        <v>#NAME?</v>
      </c>
    </row>
    <row r="18" customFormat="false" ht="15" hidden="false" customHeight="false" outlineLevel="0" collapsed="false">
      <c r="A18" s="18" t="s">
        <v>136</v>
      </c>
      <c r="B18" s="16" t="e">
        <f aca="false">max - min</f>
        <v>#NAME?</v>
      </c>
      <c r="C18" s="19"/>
      <c r="D18" s="34"/>
      <c r="F18" s="11" t="s">
        <v>118</v>
      </c>
      <c r="G18" s="15"/>
      <c r="H18" s="15"/>
      <c r="I18" s="16" t="e">
        <f aca="false">STANDARDIZE(x, mean, stdev)</f>
        <v>#NAME?</v>
      </c>
    </row>
    <row r="19" customFormat="false" ht="15" hidden="false" customHeight="false" outlineLevel="0" collapsed="false">
      <c r="A19" s="18" t="s">
        <v>137</v>
      </c>
      <c r="B19" s="16" t="e">
        <f aca="false">AVERAGE(...)</f>
        <v>#VALUE!</v>
      </c>
      <c r="C19" s="22"/>
      <c r="D19" s="35"/>
      <c r="F19" s="11" t="s">
        <v>120</v>
      </c>
      <c r="G19" s="15"/>
      <c r="H19" s="15"/>
      <c r="I19" s="16" t="e">
        <f aca="false">STANDARDIZE(x, mean, stdev)</f>
        <v>#NAME?</v>
      </c>
    </row>
    <row r="20" customFormat="false" ht="15" hidden="false" customHeight="false" outlineLevel="0" collapsed="false">
      <c r="A20" s="18" t="s">
        <v>138</v>
      </c>
      <c r="B20" s="16" t="e">
        <f aca="false">stdev.s(...)</f>
        <v>#VALUE!</v>
      </c>
      <c r="C20" s="36"/>
      <c r="D20" s="35"/>
      <c r="F20" s="11" t="s">
        <v>122</v>
      </c>
      <c r="G20" s="15"/>
      <c r="H20" s="15"/>
      <c r="I20" s="16" t="e">
        <f aca="false">STANDARDIZE(x, mean, stdev)</f>
        <v>#NAME?</v>
      </c>
    </row>
    <row r="21" customFormat="false" ht="15" hidden="false" customHeight="false" outlineLevel="0" collapsed="false">
      <c r="F21" s="11" t="s">
        <v>124</v>
      </c>
      <c r="G21" s="15"/>
      <c r="H21" s="15"/>
      <c r="I21" s="16" t="e">
        <f aca="false">STANDARDIZE(x, mean, stdev)</f>
        <v>#NAME?</v>
      </c>
    </row>
    <row r="22" customFormat="false" ht="15" hidden="false" customHeight="false" outlineLevel="0" collapsed="false">
      <c r="F22" s="11" t="s">
        <v>126</v>
      </c>
      <c r="G22" s="15"/>
      <c r="H22" s="15"/>
      <c r="I22" s="16" t="e">
        <f aca="false">STANDARDIZE(x, mean, stdev)</f>
        <v>#NAME?</v>
      </c>
    </row>
    <row r="23" customFormat="false" ht="15" hidden="false" customHeight="false" outlineLevel="0" collapsed="false">
      <c r="F23" s="11" t="s">
        <v>128</v>
      </c>
      <c r="G23" s="15"/>
      <c r="H23" s="15"/>
      <c r="I23" s="16" t="e">
        <f aca="false">STANDARDIZE(x, mean, stdev)</f>
        <v>#NAME?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5" min="3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46"/>
  </cols>
  <sheetData>
    <row r="1" customFormat="false" ht="15.9" hidden="false" customHeight="false" outlineLevel="0" collapsed="false">
      <c r="A1" s="2" t="s">
        <v>139</v>
      </c>
      <c r="B1" s="2"/>
      <c r="C1" s="2"/>
      <c r="D1" s="2"/>
      <c r="E1" s="2"/>
      <c r="F1" s="2"/>
      <c r="G1" s="2"/>
      <c r="H1" s="2"/>
      <c r="I1" s="2"/>
    </row>
    <row r="3" customFormat="false" ht="13.05" hidden="false" customHeight="false" outlineLevel="0" collapsed="false">
      <c r="A3" s="37" t="s">
        <v>140</v>
      </c>
      <c r="B3" s="37"/>
      <c r="C3" s="37"/>
      <c r="D3" s="37"/>
      <c r="E3" s="37"/>
      <c r="F3" s="37"/>
      <c r="G3" s="37"/>
      <c r="H3" s="37"/>
      <c r="I3" s="37"/>
    </row>
    <row r="4" customFormat="false" ht="27.75" hidden="false" customHeight="true" outlineLevel="0" collapsed="false">
      <c r="A4" s="9" t="s">
        <v>62</v>
      </c>
      <c r="B4" s="9" t="s">
        <v>63</v>
      </c>
      <c r="C4" s="9" t="s">
        <v>110</v>
      </c>
      <c r="D4" s="9" t="s">
        <v>111</v>
      </c>
      <c r="E4" s="9" t="s">
        <v>141</v>
      </c>
    </row>
    <row r="5" customFormat="false" ht="15" hidden="false" customHeight="false" outlineLevel="0" collapsed="false">
      <c r="A5" s="38" t="s">
        <v>65</v>
      </c>
      <c r="B5" s="39" t="s">
        <v>113</v>
      </c>
      <c r="C5" s="39" t="n">
        <v>20</v>
      </c>
      <c r="D5" s="14" t="n">
        <v>25000</v>
      </c>
      <c r="E5" s="16" t="s">
        <v>142</v>
      </c>
    </row>
    <row r="6" customFormat="false" ht="15" hidden="false" customHeight="false" outlineLevel="0" collapsed="false">
      <c r="A6" s="38" t="s">
        <v>67</v>
      </c>
      <c r="B6" s="39" t="s">
        <v>128</v>
      </c>
      <c r="C6" s="39" t="n">
        <v>50</v>
      </c>
      <c r="D6" s="14" t="n">
        <v>80000</v>
      </c>
      <c r="E6" s="16" t="s">
        <v>143</v>
      </c>
    </row>
    <row r="8" customFormat="false" ht="15" hidden="false" customHeight="false" outlineLevel="0" collapsed="false">
      <c r="A8" s="33" t="s">
        <v>144</v>
      </c>
    </row>
    <row r="9" customFormat="false" ht="27.75" hidden="false" customHeight="true" outlineLevel="0" collapsed="false">
      <c r="A9" s="40" t="s">
        <v>21</v>
      </c>
      <c r="B9" s="40" t="s">
        <v>145</v>
      </c>
      <c r="C9" s="40" t="s">
        <v>146</v>
      </c>
      <c r="D9" s="40" t="s">
        <v>72</v>
      </c>
      <c r="E9" s="40" t="s">
        <v>73</v>
      </c>
      <c r="F9" s="40" t="s">
        <v>74</v>
      </c>
      <c r="G9" s="40" t="s">
        <v>147</v>
      </c>
      <c r="H9" s="40" t="s">
        <v>148</v>
      </c>
      <c r="I9" s="40" t="s">
        <v>149</v>
      </c>
    </row>
    <row r="10" customFormat="false" ht="15" hidden="false" customHeight="false" outlineLevel="0" collapsed="false">
      <c r="A10" s="11" t="s">
        <v>113</v>
      </c>
      <c r="B10" s="13" t="n">
        <v>20</v>
      </c>
      <c r="C10" s="14" t="n">
        <v>25000</v>
      </c>
      <c r="D10" s="41"/>
      <c r="E10" s="41"/>
      <c r="F10" s="42"/>
      <c r="G10" s="19"/>
      <c r="H10" s="43"/>
      <c r="I10" s="44" t="s">
        <v>150</v>
      </c>
    </row>
    <row r="11" customFormat="false" ht="15" hidden="false" customHeight="false" outlineLevel="0" collapsed="false">
      <c r="A11" s="11" t="s">
        <v>116</v>
      </c>
      <c r="B11" s="13" t="n">
        <v>22</v>
      </c>
      <c r="C11" s="14" t="n">
        <v>30000</v>
      </c>
      <c r="D11" s="41"/>
      <c r="E11" s="41"/>
      <c r="F11" s="42"/>
      <c r="G11" s="19"/>
      <c r="H11" s="43"/>
      <c r="I11" s="44" t="s">
        <v>150</v>
      </c>
    </row>
    <row r="12" customFormat="false" ht="15" hidden="false" customHeight="false" outlineLevel="0" collapsed="false">
      <c r="A12" s="11" t="s">
        <v>118</v>
      </c>
      <c r="B12" s="13" t="n">
        <v>24</v>
      </c>
      <c r="C12" s="14" t="n">
        <v>28000</v>
      </c>
      <c r="D12" s="41"/>
      <c r="E12" s="41"/>
      <c r="F12" s="42"/>
      <c r="G12" s="19"/>
      <c r="H12" s="43"/>
      <c r="I12" s="44" t="s">
        <v>150</v>
      </c>
    </row>
    <row r="13" customFormat="false" ht="15" hidden="false" customHeight="false" outlineLevel="0" collapsed="false">
      <c r="A13" s="11" t="s">
        <v>120</v>
      </c>
      <c r="B13" s="13" t="n">
        <v>26</v>
      </c>
      <c r="C13" s="14" t="n">
        <v>52000</v>
      </c>
      <c r="D13" s="41"/>
      <c r="E13" s="41"/>
      <c r="F13" s="42"/>
      <c r="G13" s="19"/>
      <c r="H13" s="43"/>
      <c r="I13" s="44" t="s">
        <v>150</v>
      </c>
    </row>
    <row r="14" customFormat="false" ht="15" hidden="false" customHeight="false" outlineLevel="0" collapsed="false">
      <c r="A14" s="11" t="s">
        <v>122</v>
      </c>
      <c r="B14" s="13" t="n">
        <v>44</v>
      </c>
      <c r="C14" s="14" t="n">
        <v>50000</v>
      </c>
      <c r="D14" s="41"/>
      <c r="E14" s="41"/>
      <c r="F14" s="42"/>
      <c r="G14" s="19"/>
      <c r="H14" s="43"/>
      <c r="I14" s="45" t="s">
        <v>151</v>
      </c>
    </row>
    <row r="15" customFormat="false" ht="15" hidden="false" customHeight="false" outlineLevel="0" collapsed="false">
      <c r="A15" s="11" t="s">
        <v>124</v>
      </c>
      <c r="B15" s="13" t="n">
        <v>46</v>
      </c>
      <c r="C15" s="14" t="n">
        <v>70000</v>
      </c>
      <c r="D15" s="41"/>
      <c r="E15" s="41"/>
      <c r="F15" s="42"/>
      <c r="G15" s="19"/>
      <c r="H15" s="43"/>
      <c r="I15" s="44" t="s">
        <v>150</v>
      </c>
    </row>
    <row r="16" customFormat="false" ht="15" hidden="false" customHeight="false" outlineLevel="0" collapsed="false">
      <c r="A16" s="11" t="s">
        <v>126</v>
      </c>
      <c r="B16" s="13" t="n">
        <v>48</v>
      </c>
      <c r="C16" s="14" t="n">
        <v>75000</v>
      </c>
      <c r="D16" s="41"/>
      <c r="E16" s="41"/>
      <c r="F16" s="42"/>
      <c r="G16" s="19"/>
      <c r="H16" s="43"/>
      <c r="I16" s="44" t="s">
        <v>150</v>
      </c>
    </row>
    <row r="17" customFormat="false" ht="15" hidden="false" customHeight="false" outlineLevel="0" collapsed="false">
      <c r="A17" s="11" t="s">
        <v>128</v>
      </c>
      <c r="B17" s="13" t="n">
        <v>50</v>
      </c>
      <c r="C17" s="14" t="n">
        <v>80000</v>
      </c>
      <c r="D17" s="41"/>
      <c r="E17" s="41"/>
      <c r="F17" s="42"/>
      <c r="G17" s="19"/>
      <c r="H17" s="43"/>
      <c r="I17" s="44" t="s">
        <v>150</v>
      </c>
    </row>
    <row r="19" customFormat="false" ht="15" hidden="false" customHeight="false" outlineLevel="0" collapsed="false">
      <c r="A19" s="33" t="s">
        <v>152</v>
      </c>
    </row>
    <row r="20" customFormat="false" ht="27.75" hidden="false" customHeight="true" outlineLevel="0" collapsed="false">
      <c r="A20" s="9" t="s">
        <v>90</v>
      </c>
      <c r="B20" s="9" t="s">
        <v>91</v>
      </c>
      <c r="C20" s="9" t="s">
        <v>153</v>
      </c>
      <c r="D20" s="9" t="s">
        <v>154</v>
      </c>
      <c r="E20" s="9" t="s">
        <v>155</v>
      </c>
    </row>
    <row r="21" customFormat="false" ht="15" hidden="false" customHeight="false" outlineLevel="0" collapsed="false">
      <c r="A21" s="23" t="s">
        <v>156</v>
      </c>
      <c r="B21" s="19"/>
      <c r="C21" s="46"/>
      <c r="D21" s="47"/>
      <c r="E21" s="45" t="s">
        <v>157</v>
      </c>
    </row>
    <row r="22" customFormat="false" ht="15" hidden="false" customHeight="false" outlineLevel="0" collapsed="false">
      <c r="A22" s="23" t="s">
        <v>158</v>
      </c>
      <c r="B22" s="19"/>
      <c r="C22" s="46"/>
      <c r="D22" s="47"/>
      <c r="E22" s="16" t="s">
        <v>159</v>
      </c>
    </row>
    <row r="24" customFormat="false" ht="15" hidden="false" customHeight="false" outlineLevel="0" collapsed="false">
      <c r="A24" s="48" t="s">
        <v>160</v>
      </c>
    </row>
    <row r="25" customFormat="false" ht="10.75" hidden="false" customHeight="false" outlineLevel="0" collapsed="false">
      <c r="A25" s="49" t="s">
        <v>161</v>
      </c>
      <c r="B25" s="49"/>
      <c r="C25" s="49"/>
      <c r="D25" s="49"/>
      <c r="E25" s="49"/>
      <c r="F25" s="49"/>
      <c r="G25" s="49"/>
      <c r="H25" s="49"/>
      <c r="I25" s="49"/>
    </row>
    <row r="26" customFormat="false" ht="10.75" hidden="false" customHeight="false" outlineLevel="0" collapsed="false">
      <c r="A26" s="49" t="s">
        <v>162</v>
      </c>
      <c r="B26" s="49"/>
      <c r="C26" s="49"/>
      <c r="D26" s="49"/>
      <c r="E26" s="49"/>
      <c r="F26" s="49"/>
      <c r="G26" s="49"/>
      <c r="H26" s="49"/>
      <c r="I26" s="49"/>
    </row>
    <row r="27" customFormat="false" ht="10.75" hidden="false" customHeight="false" outlineLevel="0" collapsed="false">
      <c r="A27" s="49" t="s">
        <v>163</v>
      </c>
      <c r="B27" s="49"/>
      <c r="C27" s="49"/>
      <c r="D27" s="49"/>
      <c r="E27" s="49"/>
      <c r="F27" s="49"/>
      <c r="G27" s="49"/>
      <c r="H27" s="49"/>
      <c r="I27" s="49"/>
    </row>
  </sheetData>
  <mergeCells count="5">
    <mergeCell ref="A1:I1"/>
    <mergeCell ref="A3:I3"/>
    <mergeCell ref="A25:I25"/>
    <mergeCell ref="A26:I26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36"/>
  </cols>
  <sheetData>
    <row r="1" customFormat="false" ht="15.9" hidden="false" customHeight="false" outlineLevel="0" collapsed="false">
      <c r="A1" s="2" t="s">
        <v>164</v>
      </c>
      <c r="B1" s="2"/>
      <c r="C1" s="2"/>
      <c r="D1" s="2"/>
      <c r="E1" s="2"/>
      <c r="F1" s="2"/>
      <c r="G1" s="2"/>
      <c r="H1" s="2"/>
      <c r="I1" s="2"/>
    </row>
    <row r="3" customFormat="false" ht="13.05" hidden="false" customHeight="false" outlineLevel="0" collapsed="false">
      <c r="A3" s="37" t="s">
        <v>165</v>
      </c>
      <c r="B3" s="37"/>
      <c r="C3" s="37"/>
      <c r="D3" s="37"/>
      <c r="E3" s="37"/>
      <c r="F3" s="37"/>
      <c r="G3" s="37"/>
      <c r="H3" s="37"/>
      <c r="I3" s="37"/>
    </row>
    <row r="4" customFormat="false" ht="27.75" hidden="false" customHeight="true" outlineLevel="0" collapsed="false">
      <c r="A4" s="9" t="s">
        <v>62</v>
      </c>
      <c r="B4" s="9" t="s">
        <v>63</v>
      </c>
      <c r="C4" s="9" t="s">
        <v>25</v>
      </c>
      <c r="D4" s="9" t="s">
        <v>26</v>
      </c>
      <c r="E4" s="9" t="s">
        <v>166</v>
      </c>
    </row>
    <row r="5" customFormat="false" ht="15" hidden="false" customHeight="false" outlineLevel="0" collapsed="false">
      <c r="A5" s="38" t="s">
        <v>65</v>
      </c>
      <c r="B5" s="39" t="s">
        <v>113</v>
      </c>
      <c r="C5" s="50" t="n">
        <v>0</v>
      </c>
      <c r="D5" s="50" t="n">
        <v>0</v>
      </c>
      <c r="E5" s="16" t="s">
        <v>167</v>
      </c>
    </row>
    <row r="6" customFormat="false" ht="15" hidden="false" customHeight="false" outlineLevel="0" collapsed="false">
      <c r="A6" s="38" t="s">
        <v>67</v>
      </c>
      <c r="B6" s="39" t="s">
        <v>128</v>
      </c>
      <c r="C6" s="50" t="n">
        <v>1</v>
      </c>
      <c r="D6" s="50" t="n">
        <v>1</v>
      </c>
      <c r="E6" s="16" t="s">
        <v>168</v>
      </c>
    </row>
    <row r="8" customFormat="false" ht="15" hidden="false" customHeight="false" outlineLevel="0" collapsed="false">
      <c r="A8" s="33" t="s">
        <v>169</v>
      </c>
    </row>
    <row r="9" customFormat="false" ht="27.75" hidden="false" customHeight="true" outlineLevel="0" collapsed="false">
      <c r="A9" s="17" t="s">
        <v>21</v>
      </c>
      <c r="B9" s="17" t="s">
        <v>70</v>
      </c>
      <c r="C9" s="17" t="s">
        <v>71</v>
      </c>
      <c r="D9" s="17" t="s">
        <v>72</v>
      </c>
      <c r="E9" s="17" t="s">
        <v>73</v>
      </c>
      <c r="F9" s="17" t="s">
        <v>74</v>
      </c>
      <c r="G9" s="17" t="s">
        <v>75</v>
      </c>
      <c r="H9" s="17" t="s">
        <v>170</v>
      </c>
    </row>
    <row r="10" customFormat="false" ht="15" hidden="false" customHeight="false" outlineLevel="0" collapsed="false">
      <c r="A10" s="11" t="s">
        <v>113</v>
      </c>
      <c r="B10" s="51" t="n">
        <f aca="false">02_Scaling_Calculation!G5</f>
        <v>0</v>
      </c>
      <c r="C10" s="51" t="n">
        <f aca="false">02_Scaling_Calculation!H5</f>
        <v>0</v>
      </c>
      <c r="D10" s="15"/>
      <c r="E10" s="15"/>
      <c r="F10" s="26"/>
      <c r="G10" s="27"/>
      <c r="H10" s="52" t="s">
        <v>171</v>
      </c>
    </row>
    <row r="11" customFormat="false" ht="15" hidden="false" customHeight="false" outlineLevel="0" collapsed="false">
      <c r="A11" s="11" t="s">
        <v>116</v>
      </c>
      <c r="B11" s="51" t="n">
        <f aca="false">02_Scaling_Calculation!G6</f>
        <v>0</v>
      </c>
      <c r="C11" s="51" t="n">
        <f aca="false">02_Scaling_Calculation!H6</f>
        <v>0</v>
      </c>
      <c r="D11" s="15"/>
      <c r="E11" s="15"/>
      <c r="F11" s="26"/>
      <c r="G11" s="27"/>
      <c r="H11" s="52" t="s">
        <v>171</v>
      </c>
    </row>
    <row r="12" customFormat="false" ht="15" hidden="false" customHeight="false" outlineLevel="0" collapsed="false">
      <c r="A12" s="11" t="s">
        <v>118</v>
      </c>
      <c r="B12" s="51" t="n">
        <f aca="false">02_Scaling_Calculation!G7</f>
        <v>0</v>
      </c>
      <c r="C12" s="51" t="n">
        <f aca="false">02_Scaling_Calculation!H7</f>
        <v>0</v>
      </c>
      <c r="D12" s="15"/>
      <c r="E12" s="15"/>
      <c r="F12" s="26"/>
      <c r="G12" s="27"/>
      <c r="H12" s="52" t="s">
        <v>171</v>
      </c>
    </row>
    <row r="13" customFormat="false" ht="15" hidden="false" customHeight="false" outlineLevel="0" collapsed="false">
      <c r="A13" s="11" t="s">
        <v>120</v>
      </c>
      <c r="B13" s="51" t="n">
        <f aca="false">02_Scaling_Calculation!G8</f>
        <v>0</v>
      </c>
      <c r="C13" s="51" t="n">
        <f aca="false">02_Scaling_Calculation!H8</f>
        <v>0</v>
      </c>
      <c r="D13" s="15"/>
      <c r="E13" s="15"/>
      <c r="F13" s="26"/>
      <c r="G13" s="27"/>
      <c r="H13" s="52" t="s">
        <v>171</v>
      </c>
    </row>
    <row r="14" customFormat="false" ht="15" hidden="false" customHeight="false" outlineLevel="0" collapsed="false">
      <c r="A14" s="11" t="s">
        <v>122</v>
      </c>
      <c r="B14" s="51" t="n">
        <f aca="false">02_Scaling_Calculation!G9</f>
        <v>0</v>
      </c>
      <c r="C14" s="51" t="n">
        <f aca="false">02_Scaling_Calculation!H9</f>
        <v>0</v>
      </c>
      <c r="D14" s="15"/>
      <c r="E14" s="15"/>
      <c r="F14" s="26"/>
      <c r="G14" s="27"/>
      <c r="H14" s="53" t="s">
        <v>172</v>
      </c>
    </row>
    <row r="15" customFormat="false" ht="15" hidden="false" customHeight="false" outlineLevel="0" collapsed="false">
      <c r="A15" s="11" t="s">
        <v>124</v>
      </c>
      <c r="B15" s="51" t="n">
        <f aca="false">02_Scaling_Calculation!G10</f>
        <v>0</v>
      </c>
      <c r="C15" s="51" t="n">
        <f aca="false">02_Scaling_Calculation!H10</f>
        <v>0</v>
      </c>
      <c r="D15" s="15"/>
      <c r="E15" s="15"/>
      <c r="F15" s="26"/>
      <c r="G15" s="27"/>
      <c r="H15" s="52" t="s">
        <v>171</v>
      </c>
    </row>
    <row r="16" customFormat="false" ht="15" hidden="false" customHeight="false" outlineLevel="0" collapsed="false">
      <c r="A16" s="11" t="s">
        <v>126</v>
      </c>
      <c r="B16" s="51" t="n">
        <f aca="false">02_Scaling_Calculation!G11</f>
        <v>0</v>
      </c>
      <c r="C16" s="51" t="n">
        <f aca="false">02_Scaling_Calculation!H11</f>
        <v>0</v>
      </c>
      <c r="D16" s="15"/>
      <c r="E16" s="15"/>
      <c r="F16" s="26"/>
      <c r="G16" s="27"/>
      <c r="H16" s="52" t="s">
        <v>171</v>
      </c>
    </row>
    <row r="17" customFormat="false" ht="15" hidden="false" customHeight="false" outlineLevel="0" collapsed="false">
      <c r="A17" s="11" t="s">
        <v>128</v>
      </c>
      <c r="B17" s="51" t="n">
        <f aca="false">02_Scaling_Calculation!G12</f>
        <v>0</v>
      </c>
      <c r="C17" s="51" t="n">
        <f aca="false">02_Scaling_Calculation!H12</f>
        <v>0</v>
      </c>
      <c r="D17" s="15"/>
      <c r="E17" s="15"/>
      <c r="F17" s="26"/>
      <c r="G17" s="27"/>
      <c r="H17" s="52" t="s">
        <v>171</v>
      </c>
    </row>
    <row r="18" customFormat="false" ht="15" hidden="false" customHeight="false" outlineLevel="0" collapsed="false">
      <c r="A18" s="28" t="s">
        <v>173</v>
      </c>
      <c r="B18" s="28"/>
      <c r="C18" s="28"/>
      <c r="D18" s="28"/>
      <c r="E18" s="28"/>
      <c r="F18" s="28"/>
      <c r="G18" s="29"/>
    </row>
    <row r="20" customFormat="false" ht="15" hidden="false" customHeight="false" outlineLevel="0" collapsed="false">
      <c r="A20" s="33" t="s">
        <v>174</v>
      </c>
    </row>
    <row r="21" customFormat="false" ht="27.75" hidden="false" customHeight="true" outlineLevel="0" collapsed="false">
      <c r="A21" s="10" t="s">
        <v>90</v>
      </c>
      <c r="B21" s="10" t="s">
        <v>91</v>
      </c>
      <c r="C21" s="10" t="s">
        <v>92</v>
      </c>
      <c r="D21" s="10" t="s">
        <v>93</v>
      </c>
      <c r="E21" s="10" t="s">
        <v>94</v>
      </c>
    </row>
    <row r="22" customFormat="false" ht="15" hidden="false" customHeight="false" outlineLevel="0" collapsed="false">
      <c r="A22" s="23" t="s">
        <v>175</v>
      </c>
      <c r="B22" s="19"/>
      <c r="C22" s="30"/>
      <c r="D22" s="30"/>
      <c r="E22" s="16" t="s">
        <v>97</v>
      </c>
    </row>
    <row r="23" customFormat="false" ht="15" hidden="false" customHeight="false" outlineLevel="0" collapsed="false">
      <c r="A23" s="23" t="s">
        <v>176</v>
      </c>
      <c r="B23" s="19"/>
      <c r="C23" s="30"/>
      <c r="D23" s="30"/>
      <c r="E23" s="16" t="s">
        <v>97</v>
      </c>
    </row>
  </sheetData>
  <mergeCells count="3">
    <mergeCell ref="A1:I1"/>
    <mergeCell ref="A3:I3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6" min="6" style="1" width="18"/>
    <col collapsed="false" customWidth="true" hidden="false" outlineLevel="0" max="7" min="7" style="1" width="48"/>
  </cols>
  <sheetData>
    <row r="1" customFormat="false" ht="15.9" hidden="false" customHeight="false" outlineLevel="0" collapsed="false">
      <c r="A1" s="2" t="s">
        <v>177</v>
      </c>
      <c r="B1" s="2"/>
      <c r="C1" s="2"/>
      <c r="D1" s="2"/>
      <c r="E1" s="2"/>
      <c r="F1" s="2"/>
      <c r="G1" s="2"/>
    </row>
    <row r="3" customFormat="false" ht="27.75" hidden="false" customHeight="true" outlineLevel="0" collapsed="false">
      <c r="A3" s="10" t="s">
        <v>21</v>
      </c>
      <c r="B3" s="10" t="s">
        <v>178</v>
      </c>
      <c r="C3" s="10" t="s">
        <v>179</v>
      </c>
      <c r="D3" s="10" t="s">
        <v>180</v>
      </c>
      <c r="E3" s="10" t="s">
        <v>181</v>
      </c>
      <c r="F3" s="10" t="s">
        <v>182</v>
      </c>
      <c r="G3" s="10" t="s">
        <v>183</v>
      </c>
    </row>
    <row r="4" customFormat="false" ht="15" hidden="false" customHeight="false" outlineLevel="0" collapsed="false">
      <c r="A4" s="11" t="s">
        <v>113</v>
      </c>
      <c r="B4" s="54" t="n">
        <v>20</v>
      </c>
      <c r="C4" s="55" t="n">
        <v>25000</v>
      </c>
      <c r="D4" s="56" t="str">
        <f aca="false">IF(03_KMeans_Unscaled!F10="","-", "กลุ่ม " &amp; 03_KMeans_Unscaled!F10)</f>
        <v>-</v>
      </c>
      <c r="E4" s="56" t="str">
        <f aca="false">IF(04_KMeans_Scaled!F10="","-", "กลุ่ม " &amp; 04_KMeans_Scaled!F10)</f>
        <v>-</v>
      </c>
      <c r="F4" s="57" t="str">
        <f aca="false">IF(OR(03_KMeans_Unscaled!F10="", 04_KMeans_Scaled!F10=""), "-", IF(03_KMeans_Unscaled!F10=04_KMeans_Scaled!F10, "คงเดิม", "★ ย้ายไปกลุ่ม " &amp; 04_KMeans_Scaled!F10 &amp; "!"))</f>
        <v>-</v>
      </c>
      <c r="G4" s="16" t="s">
        <v>184</v>
      </c>
    </row>
    <row r="5" customFormat="false" ht="15" hidden="false" customHeight="false" outlineLevel="0" collapsed="false">
      <c r="A5" s="11" t="s">
        <v>116</v>
      </c>
      <c r="B5" s="54" t="n">
        <v>22</v>
      </c>
      <c r="C5" s="55" t="n">
        <v>30000</v>
      </c>
      <c r="D5" s="56" t="str">
        <f aca="false">IF(03_KMeans_Unscaled!F11="","-", "กลุ่ม " &amp; 03_KMeans_Unscaled!F11)</f>
        <v>-</v>
      </c>
      <c r="E5" s="56" t="str">
        <f aca="false">IF(04_KMeans_Scaled!F11="","-", "กลุ่ม " &amp; 04_KMeans_Scaled!F11)</f>
        <v>-</v>
      </c>
      <c r="F5" s="57" t="str">
        <f aca="false">IF(OR(03_KMeans_Unscaled!F11="", 04_KMeans_Scaled!F11=""), "-", IF(03_KMeans_Unscaled!F11=04_KMeans_Scaled!F11, "คงเดิม", "★ ย้ายไปกลุ่ม " &amp; 04_KMeans_Scaled!F11 &amp; "!"))</f>
        <v>-</v>
      </c>
      <c r="G5" s="16" t="s">
        <v>184</v>
      </c>
    </row>
    <row r="6" customFormat="false" ht="15" hidden="false" customHeight="false" outlineLevel="0" collapsed="false">
      <c r="A6" s="11" t="s">
        <v>118</v>
      </c>
      <c r="B6" s="54" t="n">
        <v>24</v>
      </c>
      <c r="C6" s="55" t="n">
        <v>28000</v>
      </c>
      <c r="D6" s="56" t="str">
        <f aca="false">IF(03_KMeans_Unscaled!F12="","-", "กลุ่ม " &amp; 03_KMeans_Unscaled!F12)</f>
        <v>-</v>
      </c>
      <c r="E6" s="56" t="str">
        <f aca="false">IF(04_KMeans_Scaled!F12="","-", "กลุ่ม " &amp; 04_KMeans_Scaled!F12)</f>
        <v>-</v>
      </c>
      <c r="F6" s="57" t="str">
        <f aca="false">IF(OR(03_KMeans_Unscaled!F12="", 04_KMeans_Scaled!F12=""), "-", IF(03_KMeans_Unscaled!F12=04_KMeans_Scaled!F12, "คงเดิม", "★ ย้ายไปกลุ่ม " &amp; 04_KMeans_Scaled!F12 &amp; "!"))</f>
        <v>-</v>
      </c>
      <c r="G6" s="16" t="s">
        <v>184</v>
      </c>
    </row>
    <row r="7" customFormat="false" ht="15" hidden="false" customHeight="false" outlineLevel="0" collapsed="false">
      <c r="A7" s="11" t="s">
        <v>120</v>
      </c>
      <c r="B7" s="54" t="n">
        <v>26</v>
      </c>
      <c r="C7" s="55" t="n">
        <v>52000</v>
      </c>
      <c r="D7" s="56" t="str">
        <f aca="false">IF(03_KMeans_Unscaled!F13="","-", "กลุ่ม " &amp; 03_KMeans_Unscaled!F13)</f>
        <v>-</v>
      </c>
      <c r="E7" s="56" t="str">
        <f aca="false">IF(04_KMeans_Scaled!F13="","-", "กลุ่ม " &amp; 04_KMeans_Scaled!F13)</f>
        <v>-</v>
      </c>
      <c r="F7" s="57" t="str">
        <f aca="false">IF(OR(03_KMeans_Unscaled!F13="", 04_KMeans_Scaled!F13=""), "-", IF(03_KMeans_Unscaled!F13=04_KMeans_Scaled!F13, "คงเดิม", "★ ย้ายไปกลุ่ม " &amp; 04_KMeans_Scaled!F13 &amp; "!"))</f>
        <v>-</v>
      </c>
      <c r="G7" s="16" t="s">
        <v>185</v>
      </c>
    </row>
    <row r="8" customFormat="false" ht="15" hidden="false" customHeight="false" outlineLevel="0" collapsed="false">
      <c r="A8" s="11" t="s">
        <v>122</v>
      </c>
      <c r="B8" s="54" t="n">
        <v>44</v>
      </c>
      <c r="C8" s="55" t="n">
        <v>50000</v>
      </c>
      <c r="D8" s="58" t="str">
        <f aca="false">IF(03_KMeans_Unscaled!F14="","-", "กลุ่ม " &amp; 03_KMeans_Unscaled!F14)</f>
        <v>-</v>
      </c>
      <c r="E8" s="59" t="str">
        <f aca="false">IF(04_KMeans_Scaled!F14="","-", "กลุ่ม " &amp; 04_KMeans_Scaled!F14)</f>
        <v>-</v>
      </c>
      <c r="F8" s="60" t="str">
        <f aca="false">IF(OR(03_KMeans_Unscaled!F14="", 04_KMeans_Scaled!F14=""), "-", IF(03_KMeans_Unscaled!F14=04_KMeans_Scaled!F14, "คงเดิม", "★ ย้ายไปกลุ่ม " &amp; 04_KMeans_Scaled!F14 &amp; "!"))</f>
        <v>-</v>
      </c>
      <c r="G8" s="16" t="s">
        <v>186</v>
      </c>
    </row>
    <row r="9" customFormat="false" ht="15" hidden="false" customHeight="false" outlineLevel="0" collapsed="false">
      <c r="A9" s="11" t="s">
        <v>124</v>
      </c>
      <c r="B9" s="54" t="n">
        <v>46</v>
      </c>
      <c r="C9" s="55" t="n">
        <v>70000</v>
      </c>
      <c r="D9" s="56" t="str">
        <f aca="false">IF(03_KMeans_Unscaled!F15="","-", "กลุ่ม " &amp; 03_KMeans_Unscaled!F15)</f>
        <v>-</v>
      </c>
      <c r="E9" s="56" t="str">
        <f aca="false">IF(04_KMeans_Scaled!F15="","-", "กลุ่ม " &amp; 04_KMeans_Scaled!F15)</f>
        <v>-</v>
      </c>
      <c r="F9" s="57" t="str">
        <f aca="false">IF(OR(03_KMeans_Unscaled!F15="", 04_KMeans_Scaled!F15=""), "-", IF(03_KMeans_Unscaled!F15=04_KMeans_Scaled!F15, "คงเดิม", "★ ย้ายไปกลุ่ม " &amp; 04_KMeans_Scaled!F15 &amp; "!"))</f>
        <v>-</v>
      </c>
      <c r="G9" s="16" t="s">
        <v>187</v>
      </c>
    </row>
    <row r="10" customFormat="false" ht="15" hidden="false" customHeight="false" outlineLevel="0" collapsed="false">
      <c r="A10" s="11" t="s">
        <v>126</v>
      </c>
      <c r="B10" s="54" t="n">
        <v>48</v>
      </c>
      <c r="C10" s="55" t="n">
        <v>75000</v>
      </c>
      <c r="D10" s="56" t="str">
        <f aca="false">IF(03_KMeans_Unscaled!F16="","-", "กลุ่ม " &amp; 03_KMeans_Unscaled!F16)</f>
        <v>-</v>
      </c>
      <c r="E10" s="56" t="str">
        <f aca="false">IF(04_KMeans_Scaled!F16="","-", "กลุ่ม " &amp; 04_KMeans_Scaled!F16)</f>
        <v>-</v>
      </c>
      <c r="F10" s="57" t="str">
        <f aca="false">IF(OR(03_KMeans_Unscaled!F16="", 04_KMeans_Scaled!F16=""), "-", IF(03_KMeans_Unscaled!F16=04_KMeans_Scaled!F16, "คงเดิม", "★ ย้ายไปกลุ่ม " &amp; 04_KMeans_Scaled!F16 &amp; "!"))</f>
        <v>-</v>
      </c>
      <c r="G10" s="16" t="s">
        <v>188</v>
      </c>
    </row>
    <row r="11" customFormat="false" ht="15" hidden="false" customHeight="false" outlineLevel="0" collapsed="false">
      <c r="A11" s="11" t="s">
        <v>128</v>
      </c>
      <c r="B11" s="54" t="n">
        <v>50</v>
      </c>
      <c r="C11" s="55" t="n">
        <v>80000</v>
      </c>
      <c r="D11" s="56" t="str">
        <f aca="false">IF(03_KMeans_Unscaled!F17="","-", "กลุ่ม " &amp; 03_KMeans_Unscaled!F17)</f>
        <v>-</v>
      </c>
      <c r="E11" s="56" t="str">
        <f aca="false">IF(04_KMeans_Scaled!F17="","-", "กลุ่ม " &amp; 04_KMeans_Scaled!F17)</f>
        <v>-</v>
      </c>
      <c r="F11" s="57" t="str">
        <f aca="false">IF(OR(03_KMeans_Unscaled!F17="", 04_KMeans_Scaled!F17=""), "-", IF(03_KMeans_Unscaled!F17=04_KMeans_Scaled!F17, "คงเดิม", "★ ย้ายไปกลุ่ม " &amp; 04_KMeans_Scaled!F17 &amp; "!"))</f>
        <v>-</v>
      </c>
      <c r="G11" s="16" t="s">
        <v>189</v>
      </c>
    </row>
    <row r="14" customFormat="false" ht="15" hidden="false" customHeight="false" outlineLevel="0" collapsed="false">
      <c r="A14" s="31" t="s">
        <v>190</v>
      </c>
    </row>
    <row r="15" customFormat="false" ht="36" hidden="false" customHeight="true" outlineLevel="0" collapsed="false">
      <c r="A15" s="32" t="s">
        <v>191</v>
      </c>
      <c r="B15" s="32"/>
      <c r="C15" s="32"/>
      <c r="D15" s="32"/>
      <c r="E15" s="32"/>
      <c r="F15" s="32"/>
      <c r="G15" s="32"/>
    </row>
    <row r="16" customFormat="false" ht="36" hidden="false" customHeight="true" outlineLevel="0" collapsed="false">
      <c r="A16" s="32" t="s">
        <v>192</v>
      </c>
      <c r="B16" s="32"/>
      <c r="C16" s="32"/>
      <c r="D16" s="32"/>
      <c r="E16" s="32"/>
      <c r="F16" s="32"/>
      <c r="G16" s="32"/>
    </row>
    <row r="17" customFormat="false" ht="36" hidden="false" customHeight="true" outlineLevel="0" collapsed="false">
      <c r="A17" s="32" t="s">
        <v>193</v>
      </c>
      <c r="B17" s="32"/>
      <c r="C17" s="32"/>
      <c r="D17" s="32"/>
      <c r="E17" s="32"/>
      <c r="F17" s="32"/>
      <c r="G17" s="32"/>
    </row>
  </sheetData>
  <mergeCells count="4">
    <mergeCell ref="A1:G1"/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3538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2026-09-13T15:57:49Z</dcterms:created>
  <dc:creator>openpyxl</dc:creator>
  <dc:description/>
  <dc:language>en-US</dc:language>
  <cp:lastModifiedBy/>
  <dcterms:modified xsi:type="dcterms:W3CDTF">2026-09-16T21:23:42Z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