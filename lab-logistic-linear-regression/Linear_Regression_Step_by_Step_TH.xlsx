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00_Guide" sheetId="1" state="visible" r:id="rId3"/>
    <sheet name="01_Data" sheetId="2" state="visible" r:id="rId4"/>
    <sheet name="02_Training_Detail" sheetId="3" state="visible" r:id="rId5"/>
    <sheet name="03_Model_Path" sheetId="4" state="visible" r:id="rId6"/>
    <sheet name="04_Test_Prediction" sheetId="5" state="visible" r:id="rId7"/>
    <sheet name="05_Evaluation" sheetId="6" state="visible" r:id="rId8"/>
    <sheet name="06_Key_Concepts" sheetId="7" state="visible" r:id="rId9"/>
    <sheet name="07_Exercises" sheetId="8" state="visible" r:id="rId10"/>
  </sheets>
  <definedNames>
    <definedName function="false" hidden="false" localSheetId="0" name="_xlnm.Print_Area" vbProcedure="false">00_Guide!$A$1:$H$30</definedName>
    <definedName function="false" hidden="false" localSheetId="1" name="_xlnm.Print_Area" vbProcedure="false">01_Data!$A$1:$Q$37</definedName>
    <definedName function="false" hidden="false" localSheetId="1" name="_xlnm.Print_Titles" vbProcedure="false">01_Data!$1:$5</definedName>
    <definedName function="false" hidden="true" localSheetId="1" name="_xlnm._FilterDatabase" vbProcedure="false">01_Data!$A$5:$H$35</definedName>
    <definedName function="false" hidden="false" localSheetId="2" name="_xlnm.Print_Area" vbProcedure="false">02_Training_Detail!$A$1:$K$399</definedName>
    <definedName function="false" hidden="false" localSheetId="2" name="_xlnm.Print_Titles" vbProcedure="false">02_Training_Detail!$1:$10</definedName>
    <definedName function="false" hidden="false" localSheetId="3" name="_xlnm.Print_Area" vbProcedure="false">03_Model_Path!$A$1:$U$36</definedName>
    <definedName function="false" hidden="false" localSheetId="4" name="_xlnm.Print_Area" vbProcedure="false">04_Test_Prediction!$A$1:$Y$37</definedName>
    <definedName function="false" hidden="true" localSheetId="4" name="_xlnm._FilterDatabase" vbProcedure="false">04_Test_Prediction!$A$7:$O$17</definedName>
    <definedName function="false" hidden="false" localSheetId="5" name="_xlnm.Print_Area" vbProcedure="false">05_Evaluation!$A$1:$J$24</definedName>
    <definedName function="false" hidden="false" localSheetId="6" name="_xlnm.Print_Area" vbProcedure="false">06_Key_Concepts!$A$1:$J$32</definedName>
    <definedName function="false" hidden="false" localSheetId="7" name="_xlnm.Print_Area" vbProcedure="false">07_Exercises!$A$1:$L$28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K6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  <charset val="1"/>
          </rPr>
          <t xml:space="preserve">Hours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Train = 5.00 </t>
        </r>
        <r>
          <rPr>
            <sz val="10"/>
            <rFont val="Arial Unicode MS"/>
            <family val="2"/>
            <charset val="1"/>
          </rPr>
          <t xml:space="preserve">จึงใช้เป็น </t>
        </r>
        <r>
          <rPr>
            <sz val="10"/>
            <rFont val="Arial"/>
            <family val="2"/>
            <charset val="1"/>
          </rPr>
          <t xml:space="preserve">center</t>
        </r>
      </text>
    </comment>
    <comment ref="K7" authorId="0">
      <text>
        <r>
          <rPr>
            <sz val="10"/>
            <rFont val="Arial"/>
            <family val="2"/>
          </rPr>
          <t xml:space="preserve">Standard deviation </t>
        </r>
        <r>
          <rPr>
            <sz val="10"/>
            <rFont val="Arial Unicode MS"/>
            <family val="2"/>
            <charset val="1"/>
          </rPr>
          <t xml:space="preserve">จริง ≈ </t>
        </r>
        <r>
          <rPr>
            <sz val="10"/>
            <rFont val="Arial"/>
            <family val="2"/>
            <charset val="1"/>
          </rPr>
          <t xml:space="preserve">2.35 </t>
        </r>
        <r>
          <rPr>
            <sz val="10"/>
            <rFont val="Arial Unicode MS"/>
            <family val="2"/>
            <charset val="1"/>
          </rPr>
          <t xml:space="preserve">ปัดเป็น </t>
        </r>
        <r>
          <rPr>
            <sz val="10"/>
            <rFont val="Arial"/>
            <family val="2"/>
            <charset val="1"/>
          </rPr>
          <t xml:space="preserve">2.5 </t>
        </r>
        <r>
          <rPr>
            <sz val="10"/>
            <rFont val="Arial Unicode MS"/>
            <family val="2"/>
            <charset val="1"/>
          </rPr>
          <t xml:space="preserve">เพื่อคำนวณมือได้ง่าย</t>
        </r>
      </text>
    </comment>
    <comment ref="K8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  <charset val="1"/>
          </rPr>
          <t xml:space="preserve">Attendance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Train = 74.5% </t>
        </r>
        <r>
          <rPr>
            <sz val="10"/>
            <rFont val="Arial Unicode MS"/>
            <family val="2"/>
            <charset val="1"/>
          </rPr>
          <t xml:space="preserve">ปัดเป็น </t>
        </r>
        <r>
          <rPr>
            <sz val="10"/>
            <rFont val="Arial"/>
            <family val="2"/>
            <charset val="1"/>
          </rPr>
          <t xml:space="preserve">75%</t>
        </r>
      </text>
    </comment>
    <comment ref="K9" authorId="0">
      <text>
        <r>
          <rPr>
            <sz val="10"/>
            <rFont val="Arial Unicode MS"/>
            <family val="2"/>
          </rPr>
          <t xml:space="preserve">เลือก </t>
        </r>
        <r>
          <rPr>
            <sz val="10"/>
            <rFont val="Arial"/>
            <family val="2"/>
            <charset val="1"/>
          </rPr>
          <t xml:space="preserve">15 </t>
        </r>
        <r>
          <rPr>
            <sz val="10"/>
            <rFont val="Arial Unicode MS"/>
            <family val="2"/>
            <charset val="1"/>
          </rPr>
          <t xml:space="preserve">จุดเปอร์เซ็นต์เพื่อให้ </t>
        </r>
        <r>
          <rPr>
            <sz val="10"/>
            <rFont val="Arial"/>
            <family val="2"/>
            <charset val="1"/>
          </rPr>
          <t xml:space="preserve">60/75/90% </t>
        </r>
        <r>
          <rPr>
            <sz val="10"/>
            <rFont val="Arial Unicode MS"/>
            <family val="2"/>
            <charset val="1"/>
          </rPr>
          <t xml:space="preserve">แปลงเป็น </t>
        </r>
        <r>
          <rPr>
            <sz val="10"/>
            <rFont val="Arial"/>
            <family val="2"/>
            <charset val="1"/>
          </rPr>
          <t xml:space="preserve">-1/0/+1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ลองปรับ </t>
        </r>
        <r>
          <rPr>
            <sz val="10"/>
            <rFont val="Arial"/>
            <family val="2"/>
            <charset val="1"/>
          </rPr>
          <t xml:space="preserve">0.10, 0.40 </t>
        </r>
        <r>
          <rPr>
            <sz val="10"/>
            <rFont val="Arial Unicode MS"/>
            <family val="2"/>
            <charset val="1"/>
          </rPr>
          <t xml:space="preserve">และ </t>
        </r>
        <r>
          <rPr>
            <sz val="10"/>
            <rFont val="Arial"/>
            <family val="2"/>
            <charset val="1"/>
          </rPr>
          <t xml:space="preserve">0.80 </t>
        </r>
        <r>
          <rPr>
            <sz val="10"/>
            <rFont val="Arial Unicode MS"/>
            <family val="2"/>
            <charset val="1"/>
          </rPr>
          <t xml:space="preserve">แล้วดูกราฟ </t>
        </r>
        <r>
          <rPr>
            <sz val="10"/>
            <rFont val="Arial"/>
            <family val="2"/>
            <charset val="1"/>
          </rPr>
          <t xml:space="preserve">Loss</t>
        </r>
      </text>
    </comment>
    <comment ref="G34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60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86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112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138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164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190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216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242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268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294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320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346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372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G398" authorId="0">
      <text>
        <r>
          <rPr>
            <sz val="10"/>
            <rFont val="Arial"/>
            <family val="2"/>
          </rPr>
          <t xml:space="preserve">Average residual = gradient </t>
        </r>
        <r>
          <rPr>
            <sz val="10"/>
            <rFont val="Arial Unicode MS"/>
            <family val="2"/>
            <charset val="1"/>
          </rPr>
          <t xml:space="preserve">ของ </t>
        </r>
        <r>
          <rPr>
            <sz val="10"/>
            <rFont val="Arial"/>
            <family val="2"/>
            <charset val="1"/>
          </rPr>
          <t xml:space="preserve">bias b</t>
        </r>
      </text>
    </comment>
    <comment ref="J34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60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86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112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138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164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190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216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242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268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294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320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346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372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J398" authorId="0">
      <text>
        <r>
          <rPr>
            <sz val="10"/>
            <rFont val="Arial"/>
            <family val="2"/>
          </rPr>
          <t xml:space="preserve">Mean Squared Error </t>
        </r>
        <r>
          <rPr>
            <sz val="10"/>
            <rFont val="Arial Unicode MS"/>
            <family val="2"/>
            <charset val="1"/>
          </rPr>
          <t xml:space="preserve">ของรอบนี้</t>
        </r>
      </text>
    </comment>
    <comment ref="K34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60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86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112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138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164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190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216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242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268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294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320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346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372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  <comment ref="K398" authorId="0">
      <text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  <charset val="1"/>
          </rPr>
          <t xml:space="preserve">ที่ใช้ฝึก </t>
        </r>
        <r>
          <rPr>
            <sz val="10"/>
            <rFont val="Arial"/>
            <family val="2"/>
            <charset val="1"/>
          </rPr>
          <t xml:space="preserve">= 0.5 × MSE </t>
        </r>
        <r>
          <rPr>
            <sz val="10"/>
            <rFont val="Arial Unicode MS"/>
            <family val="2"/>
            <charset val="1"/>
          </rPr>
          <t xml:space="preserve">เพื่อให้ </t>
        </r>
        <r>
          <rPr>
            <sz val="10"/>
            <rFont val="Arial"/>
            <family val="2"/>
            <charset val="1"/>
          </rPr>
          <t xml:space="preserve">derivative </t>
        </r>
        <r>
          <rPr>
            <sz val="10"/>
            <rFont val="Arial Unicode MS"/>
            <family val="2"/>
            <charset val="1"/>
          </rPr>
          <t xml:space="preserve">ไม่มีตัวคูณ </t>
        </r>
        <r>
          <rPr>
            <sz val="10"/>
            <rFont val="Arial"/>
            <family val="2"/>
            <charset val="1"/>
          </rPr>
          <t xml:space="preserve">2</t>
        </r>
      </text>
    </comment>
  </commentList>
</comments>
</file>

<file path=xl/sharedStrings.xml><?xml version="1.0" encoding="utf-8"?>
<sst xmlns="http://schemas.openxmlformats.org/spreadsheetml/2006/main" count="665" uniqueCount="292">
  <si>
    <t xml:space="preserve">Linear Regression — คำนวณทีละขั้นใน Excel</t>
  </si>
  <si>
    <t xml:space="preserve">จากข้อมูลดิบ → Gradient Descent → Prediction → Residual → MAE / MSE / RMSE / R²</t>
  </si>
  <si>
    <t xml:space="preserve">เป้าหมายการเรียนรู้</t>
  </si>
  <si>
    <t xml:space="preserve">1. อธิบายสมการ ŷ = w1x1 + w2x2 + b และความหมายของ weights กับ bias ได้</t>
  </si>
  <si>
    <t xml:space="preserve">2. คำนวณ Prediction, Residual, Squared Error และ Loss ทีละแถวได้</t>
  </si>
  <si>
    <t xml:space="preserve">3. เห็นว่า Gradient Descent ปรับ w1, w2 และ b อย่างไรในแต่ละรอบ</t>
  </si>
  <si>
    <t xml:space="preserve">4. คำนวณและตีความ MAE, MSE, RMSE และ R² บนข้อมูล Test ได้</t>
  </si>
  <si>
    <t xml:space="preserve">เส้นทางการเรียนใน Workbook</t>
  </si>
  <si>
    <t xml:space="preserve">01_Data</t>
  </si>
  <si>
    <t xml:space="preserve">ข้อมูล 30 คน การแบ่ง Train/Test และการปรับสเกล x1, x2</t>
  </si>
  <si>
    <t xml:space="preserve">02_Training_Detail</t>
  </si>
  <si>
    <t xml:space="preserve">คำนวณ ŷ, residual, gradient, squared error และอัปเดต w1, w2, b ทีละรอบ</t>
  </si>
  <si>
    <t xml:space="preserve">03_Model_Path</t>
  </si>
  <si>
    <t xml:space="preserve">ดูเส้นทางของค่าน้ำหนักและกราฟ Loss ตลอด 15 รอบ</t>
  </si>
  <si>
    <t xml:space="preserve">04_Test_Prediction</t>
  </si>
  <si>
    <t xml:space="preserve">ทำนายคะแนนชุด Test และวิเคราะห์ residual รายคน</t>
  </si>
  <si>
    <t xml:space="preserve">05_Evaluation</t>
  </si>
  <si>
    <t xml:space="preserve">คำนวณ MAE, MSE, RMSE, R² และ Mean Residual</t>
  </si>
  <si>
    <t xml:space="preserve">06_Key_Concepts</t>
  </si>
  <si>
    <t xml:space="preserve">อ่านคำอธิบายแนวคิดสำคัญและการตีความ coefficient</t>
  </si>
  <si>
    <t xml:space="preserve">07_Exercises</t>
  </si>
  <si>
    <t xml:space="preserve">ทดลองทำนายนักศึกษาใหม่และเปลี่ยน Learning rate</t>
  </si>
  <si>
    <t xml:space="preserve">สูตรหลัก</t>
  </si>
  <si>
    <t xml:space="preserve">Prediction</t>
  </si>
  <si>
    <t xml:space="preserve">ŷ = w1x1 + w2x2 + b</t>
  </si>
  <si>
    <t xml:space="preserve">Residual</t>
  </si>
  <si>
    <t xml:space="preserve">error = ŷ - y</t>
  </si>
  <si>
    <t xml:space="preserve">Loss ต่อแถว</t>
  </si>
  <si>
    <t xml:space="preserve">0.5 × error²</t>
  </si>
  <si>
    <t xml:space="preserve">Gradient</t>
  </si>
  <si>
    <t xml:space="preserve">grad b = AVERAGE(error); grad w1 = AVERAGE(error×x1); grad w2 = AVERAGE(error×x2)</t>
  </si>
  <si>
    <t xml:space="preserve">Update</t>
  </si>
  <si>
    <t xml:space="preserve">พารามิเตอร์ใหม่ = พารามิเตอร์เดิม - learning rate × gradient</t>
  </si>
  <si>
    <t xml:space="preserve">R²</t>
  </si>
  <si>
    <t xml:space="preserve">1 - SSE / SST</t>
  </si>
  <si>
    <t xml:space="preserve">จุดต่างสำคัญจาก Logistic Regression: Linear Regression ทำนายค่าต่อเนื่องโดยตรง จึงไม่มี Sigmoid, Threshold หรือ Confusion Matrix และประเมินด้วยขนาดของ Residual แทน</t>
  </si>
  <si>
    <t xml:space="preserve">01 • ข้อมูลและการเตรียมฟีเจอร์</t>
  </si>
  <si>
    <t xml:space="preserve">ทำนายคะแนนสอบจากชั่วโมงอ่านและอัตราเข้าเรียน • Train 20 คน / Test 10 คน</t>
  </si>
  <si>
    <t xml:space="preserve">ข้อมูลหลัก</t>
  </si>
  <si>
    <t xml:space="preserve">ค่าที่ใช้ปรับสเกล</t>
  </si>
  <si>
    <t xml:space="preserve">เหตุผลของการเตรียมข้อมูล</t>
  </si>
  <si>
    <t xml:space="preserve">Student ID</t>
  </si>
  <si>
    <t xml:space="preserve">ชั่วโมงอ่าน/วัน</t>
  </si>
  <si>
    <t xml:space="preserve">เข้าเรียน (%)</t>
  </si>
  <si>
    <t xml:space="preserve">คะแนนจริง y</t>
  </si>
  <si>
    <t xml:space="preserve">Split</t>
  </si>
  <si>
    <t xml:space="preserve">x1
(Centered &amp; scaled hours)</t>
  </si>
  <si>
    <t xml:space="preserve">x2
(Centered &amp; scaled attendance)</t>
  </si>
  <si>
    <t xml:space="preserve">คำอธิบาย</t>
  </si>
  <si>
    <t xml:space="preserve">ทำไมต้องปรับสเกล x?
Hours อยู่ประมาณ 1–9 แต่ Attendance อยู่ประมาณ 55–95 การทำให้ทั้งสองฟีเจอร์มีขนาดใกล้กันช่วยให้ Gradient Descent เสถียร และค่าน้ำหนักไม่ถูกเปรียบเทียบผ่านหน่วยที่ต่างกัน</t>
  </si>
  <si>
    <t xml:space="preserve">S01</t>
  </si>
  <si>
    <t xml:space="preserve">Train</t>
  </si>
  <si>
    <t xml:space="preserve">Hours center</t>
  </si>
  <si>
    <t xml:space="preserve">S02</t>
  </si>
  <si>
    <t xml:space="preserve">Hours scale</t>
  </si>
  <si>
    <t xml:space="preserve">S03</t>
  </si>
  <si>
    <t xml:space="preserve">Attendance center</t>
  </si>
  <si>
    <t xml:space="preserve">ทำไมไม่ปรับสเกล y?
คะแนน y คงไว้ในหน่วยคะแนน 0–100 เพื่อให้ Prediction, Residual, MAE และ RMSE ตีความเป็น “คะแนน” ได้โดยตรง แม้จะปรับ y ได้ในงานจริง แต่ต้องแปลงกลับก่อนรายงานผล</t>
  </si>
  <si>
    <t xml:space="preserve">S04</t>
  </si>
  <si>
    <t xml:space="preserve">Attendance scale</t>
  </si>
  <si>
    <t xml:space="preserve">S05</t>
  </si>
  <si>
    <t xml:space="preserve">S06</t>
  </si>
  <si>
    <t xml:space="preserve">สูตร</t>
  </si>
  <si>
    <t xml:space="preserve">x = (ค่าดิบ - center) / scale</t>
  </si>
  <si>
    <t xml:space="preserve">S07</t>
  </si>
  <si>
    <t xml:space="preserve">Hours center = 5
มาจากค่าเฉลี่ย Hours ของ Train = 5.00 เมื่ออ่าน 5 ชั่วโมง จะได้ x1 = 0</t>
  </si>
  <si>
    <t xml:space="preserve">S08</t>
  </si>
  <si>
    <t xml:space="preserve">S09</t>
  </si>
  <si>
    <t xml:space="preserve">S10</t>
  </si>
  <si>
    <t xml:space="preserve">Hours scale = 2.5
Standard deviation จริง ≈ 2.35 จึงปัดเป็น 2.5: 2.5/5/7.5 ชั่วโมง → -1/0/+1</t>
  </si>
  <si>
    <t xml:space="preserve">S11</t>
  </si>
  <si>
    <t xml:space="preserve">S12</t>
  </si>
  <si>
    <t xml:space="preserve">S13</t>
  </si>
  <si>
    <t xml:space="preserve">Attendance center = 75
ค่าเฉลี่ยจริง = 74.5% จึงปัดเป็น 75% เมื่อเข้าเรียน 75% จะได้ x2 = 0</t>
  </si>
  <si>
    <t xml:space="preserve">S14</t>
  </si>
  <si>
    <t xml:space="preserve">S15</t>
  </si>
  <si>
    <t xml:space="preserve">S16</t>
  </si>
  <si>
    <t xml:space="preserve">Attendance scale = 15
เลือกเพื่อให้ 60/75/90% → -1/0/+1 และทำให้การคำนวณมือจำง่าย</t>
  </si>
  <si>
    <t xml:space="preserve">S17</t>
  </si>
  <si>
    <t xml:space="preserve">S18</t>
  </si>
  <si>
    <t xml:space="preserve">S19</t>
  </si>
  <si>
    <t xml:space="preserve">S20</t>
  </si>
  <si>
    <t xml:space="preserve">คะแนนจริงมี Noise
ข้อมูลจำลองไม่ได้อยู่บนเส้นตรงสมบูรณ์ เพราะข้อมูลจริงมักมีปัจจัยอื่น เช่น พื้นฐานเดิม การพักผ่อน และความยากของข้อสอบ Residual จึงไม่ควรเป็นศูนย์ทุกคน</t>
  </si>
  <si>
    <t xml:space="preserve">T01</t>
  </si>
  <si>
    <t xml:space="preserve">Test</t>
  </si>
  <si>
    <t xml:space="preserve">T02</t>
  </si>
  <si>
    <t xml:space="preserve">T03</t>
  </si>
  <si>
    <t xml:space="preserve">T04</t>
  </si>
  <si>
    <t xml:space="preserve">เปรียบเทียบค่าที่ใช้กับสถิติจริงของ Train</t>
  </si>
  <si>
    <t xml:space="preserve">T05</t>
  </si>
  <si>
    <t xml:space="preserve">รายการ</t>
  </si>
  <si>
    <t xml:space="preserve">ค่าในไฟล์</t>
  </si>
  <si>
    <t xml:space="preserve">ค่าสถิติจริง</t>
  </si>
  <si>
    <t xml:space="preserve">เหตุผลที่เลือก</t>
  </si>
  <si>
    <t xml:space="preserve">T06</t>
  </si>
  <si>
    <t xml:space="preserve">ใช้ค่าเฉลี่ย Train</t>
  </si>
  <si>
    <t xml:space="preserve">T07</t>
  </si>
  <si>
    <t xml:space="preserve">ปัดจาก 2.35 เป็น 2.5</t>
  </si>
  <si>
    <t xml:space="preserve">T08</t>
  </si>
  <si>
    <t xml:space="preserve">ปัดจาก 74.5 เป็น 75</t>
  </si>
  <si>
    <t xml:space="preserve">T09</t>
  </si>
  <si>
    <t xml:space="preserve">ใช้ 15 เพื่อแปลง 60/75/90 เป็น -1/0/+1</t>
  </si>
  <si>
    <t xml:space="preserve">T10</t>
  </si>
  <si>
    <t xml:space="preserve">Center-and-Scale ในไฟล์นี้ใช้ค่าที่ใกล้สถิติจริงแต่ปัดให้คำนวณง่าย หากต้องการ z-score มาตรฐาน ให้ใช้ Mean และ Standard Deviation จริงโดยไม่ปัด</t>
  </si>
  <si>
    <t xml:space="preserve">แหล่งข้อมูล</t>
  </si>
  <si>
    <t xml:space="preserve">Synthetic dataset สำหรับสอน Linear Regression (16 กรกฎาคม 2026)</t>
  </si>
  <si>
    <t xml:space="preserve">02 • ฝึก Linear Regression แบบ Step by Step</t>
  </si>
  <si>
    <t xml:space="preserve">Batch Gradient Descent 15 รอบ • ใช้ Loss = 0.5 × Mean Squared Error</t>
  </si>
  <si>
    <t xml:space="preserve">ค่าตั้งต้นที่ปรับทดลองได้</t>
  </si>
  <si>
    <t xml:space="preserve">Learning rate (α)</t>
  </si>
  <si>
    <t xml:space="preserve">ทำไมเริ่มที่ 0?</t>
  </si>
  <si>
    <t xml:space="preserve">เป็นจุดเริ่มต้นที่เป็นกลาง โมเดลจะค่อย ๆ เรียนรู้ bias b และ weights w1, w2 จาก Gradient</t>
  </si>
  <si>
    <t xml:space="preserve">จำนวนรอบ</t>
  </si>
  <si>
    <t xml:space="preserve">จำนวน Train</t>
  </si>
  <si>
    <t xml:space="preserve">b เริ่มต้น</t>
  </si>
  <si>
    <t xml:space="preserve">w1 เริ่มต้น</t>
  </si>
  <si>
    <t xml:space="preserve">w2 เริ่มต้น</t>
  </si>
  <si>
    <t xml:space="preserve">รอบที่ 01 • พารามิเตอร์ปัจจุบัน → ŷ → residual → gradient → squared error → พารามิเตอร์ใหม่</t>
  </si>
  <si>
    <t xml:space="preserve">Iteration</t>
  </si>
  <si>
    <t xml:space="preserve">b</t>
  </si>
  <si>
    <t xml:space="preserve">w1</t>
  </si>
  <si>
    <t xml:space="preserve">w2</t>
  </si>
  <si>
    <t xml:space="preserve">ใช้ค่าน้ำหนักนี้คำนวณทุกแถวในรอบ</t>
  </si>
  <si>
    <t xml:space="preserve">ID</t>
  </si>
  <si>
    <t xml:space="preserve">x1</t>
  </si>
  <si>
    <t xml:space="preserve">x2</t>
  </si>
  <si>
    <t xml:space="preserve">Actual y</t>
  </si>
  <si>
    <t xml:space="preserve">Prediction ŷ</t>
  </si>
  <si>
    <t xml:space="preserve">Residual ŷ-y</t>
  </si>
  <si>
    <t xml:space="preserve">grad b = error</t>
  </si>
  <si>
    <t xml:space="preserve">grad w1 = error×x1</t>
  </si>
  <si>
    <t xml:space="preserve">grad w2 = error×x2</t>
  </si>
  <si>
    <t xml:space="preserve">Squared Error</t>
  </si>
  <si>
    <t xml:space="preserve">0.5×Error²</t>
  </si>
  <si>
    <t xml:space="preserve">สรุป Gradient และ Error</t>
  </si>
  <si>
    <t xml:space="preserve">Update: พารามิเตอร์ใหม่ = ค่าเดิม - α × gradient</t>
  </si>
  <si>
    <t xml:space="preserve">b ใหม่</t>
  </si>
  <si>
    <t xml:space="preserve">w1 ใหม่</t>
  </si>
  <si>
    <t xml:space="preserve">w2 ใหม่</t>
  </si>
  <si>
    <t xml:space="preserve">ค่าชุดนี้ใช้ในรอบถัดไป</t>
  </si>
  <si>
    <t xml:space="preserve">รอบที่ 02 • พารามิเตอร์ปัจจุบัน → ŷ → residual → gradient → squared error → พารามิเตอร์ใหม่</t>
  </si>
  <si>
    <t xml:space="preserve">รอบที่ 03 • พารามิเตอร์ปัจจุบัน → ŷ → residual → gradient → squared error → พารามิเตอร์ใหม่</t>
  </si>
  <si>
    <t xml:space="preserve">รอบที่ 04 • พารามิเตอร์ปัจจุบัน → ŷ → residual → gradient → squared error → พารามิเตอร์ใหม่</t>
  </si>
  <si>
    <t xml:space="preserve">รอบที่ 05 • พารามิเตอร์ปัจจุบัน → ŷ → residual → gradient → squared error → พารามิเตอร์ใหม่</t>
  </si>
  <si>
    <t xml:space="preserve">รอบที่ 06 • พารามิเตอร์ปัจจุบัน → ŷ → residual → gradient → squared error → พารามิเตอร์ใหม่</t>
  </si>
  <si>
    <t xml:space="preserve">รอบที่ 07 • พารามิเตอร์ปัจจุบัน → ŷ → residual → gradient → squared error → พารามิเตอร์ใหม่</t>
  </si>
  <si>
    <t xml:space="preserve">รอบที่ 08 • พารามิเตอร์ปัจจุบัน → ŷ → residual → gradient → squared error → พารามิเตอร์ใหม่</t>
  </si>
  <si>
    <t xml:space="preserve">รอบที่ 09 • พารามิเตอร์ปัจจุบัน → ŷ → residual → gradient → squared error → พารามิเตอร์ใหม่</t>
  </si>
  <si>
    <t xml:space="preserve">รอบที่ 10 • พารามิเตอร์ปัจจุบัน → ŷ → residual → gradient → squared error → พารามิเตอร์ใหม่</t>
  </si>
  <si>
    <t xml:space="preserve">รอบที่ 11 • พารามิเตอร์ปัจจุบัน → ŷ → residual → gradient → squared error → พารามิเตอร์ใหม่</t>
  </si>
  <si>
    <t xml:space="preserve">รอบที่ 12 • พารามิเตอร์ปัจจุบัน → ŷ → residual → gradient → squared error → พารามิเตอร์ใหม่</t>
  </si>
  <si>
    <t xml:space="preserve">รอบที่ 13 • พารามิเตอร์ปัจจุบัน → ŷ → residual → gradient → squared error → พารามิเตอร์ใหม่</t>
  </si>
  <si>
    <t xml:space="preserve">รอบที่ 14 • พารามิเตอร์ปัจจุบัน → ŷ → residual → gradient → squared error → พารามิเตอร์ใหม่</t>
  </si>
  <si>
    <t xml:space="preserve">รอบที่ 15 • พารามิเตอร์ปัจจุบัน → ŷ → residual → gradient → squared error → พารามิเตอร์ใหม่</t>
  </si>
  <si>
    <t xml:space="preserve">03 • เส้นทางการเรียนรู้ของโมเดล</t>
  </si>
  <si>
    <t xml:space="preserve">ติดตาม Weight, Gradient, MSE และ Loss ตลอด 15 รอบ</t>
  </si>
  <si>
    <t xml:space="preserve">b ก่อน</t>
  </si>
  <si>
    <t xml:space="preserve">w1 ก่อน</t>
  </si>
  <si>
    <t xml:space="preserve">w2 ก่อน</t>
  </si>
  <si>
    <t xml:space="preserve">0.5×MSE</t>
  </si>
  <si>
    <t xml:space="preserve">MSE</t>
  </si>
  <si>
    <t xml:space="preserve">grad b</t>
  </si>
  <si>
    <t xml:space="preserve">grad w1</t>
  </si>
  <si>
    <t xml:space="preserve">grad w2</t>
  </si>
  <si>
    <t xml:space="preserve">b หลัง</t>
  </si>
  <si>
    <t xml:space="preserve">w1 หลัง</t>
  </si>
  <si>
    <t xml:space="preserve">w2 หลัง</t>
  </si>
  <si>
    <t xml:space="preserve">โมเดลสุดท้าย</t>
  </si>
  <si>
    <t xml:space="preserve">Final b</t>
  </si>
  <si>
    <t xml:space="preserve">สมการบนข้อมูลที่ปรับสเกล: ŷ = w1x1 + w2x2 + b</t>
  </si>
  <si>
    <t xml:space="preserve">Final w1</t>
  </si>
  <si>
    <t xml:space="preserve">การตีความ: เมื่อ x1 เพิ่ม 1 หน่วย โดย x2 คงที่ คะแนนที่ทำนายเปลี่ยนประมาณ w1 คะแนน ส่วน w2 ตีความแบบเดียวกันกับ Attendance</t>
  </si>
  <si>
    <t xml:space="preserve">Final w2</t>
  </si>
  <si>
    <t xml:space="preserve">04 • ทำนายข้อมูล Test และวิเคราะห์ Residual</t>
  </si>
  <si>
    <t xml:space="preserve">แยก contribution ของแต่ละ coefficient และคำนวณ error รายคน</t>
  </si>
  <si>
    <t xml:space="preserve">Hours</t>
  </si>
  <si>
    <t xml:space="preserve">Attend %</t>
  </si>
  <si>
    <t xml:space="preserve">w1×x1</t>
  </si>
  <si>
    <t xml:space="preserve">w2×x2</t>
  </si>
  <si>
    <t xml:space="preserve">Absolute Error</t>
  </si>
  <si>
    <t xml:space="preserve">y-Mean(y)</t>
  </si>
  <si>
    <t xml:space="preserve">Squared Deviation</t>
  </si>
  <si>
    <t xml:space="preserve">Residual &gt; 0 หมายถึงโมเดลทำนายสูงกว่าคะแนนจริง; Residual &lt; 0 หมายถึงทำนายต่ำกว่าคะแนนจริง; ค่าที่ใกล้ 0 คือทำนายใกล้เคียง</t>
  </si>
  <si>
    <t xml:space="preserve">05 • ประเมินประสิทธิภาพ Linear Regression</t>
  </si>
  <si>
    <t xml:space="preserve">MAE, MSE, RMSE, R² และ Mean Residual จากข้อมูล Test</t>
  </si>
  <si>
    <t xml:space="preserve">ค่ารวมที่ใช้คำนวณ</t>
  </si>
  <si>
    <t xml:space="preserve">n (จำนวน Test)</t>
  </si>
  <si>
    <t xml:space="preserve">จำนวนตัวอย่างที่ใช้วัดผล</t>
  </si>
  <si>
    <t xml:space="preserve">SSE</t>
  </si>
  <si>
    <t xml:space="preserve">ผลรวม Squared Error ของโมเดล</t>
  </si>
  <si>
    <t xml:space="preserve">SST</t>
  </si>
  <si>
    <t xml:space="preserve">ความแปรปรวนรวมเมื่อเทียบกับการทายค่าเฉลี่ย</t>
  </si>
  <si>
    <t xml:space="preserve">Metrics</t>
  </si>
  <si>
    <t xml:space="preserve">Metric</t>
  </si>
  <si>
    <t xml:space="preserve">ค่า</t>
  </si>
  <si>
    <t xml:space="preserve">ความหมาย</t>
  </si>
  <si>
    <t xml:space="preserve">MAE</t>
  </si>
  <si>
    <t xml:space="preserve">AVERAGE(|ŷ-y|)</t>
  </si>
  <si>
    <t xml:space="preserve">ผิดเฉลี่ยกี่คะแนน โดยให้น้ำหนักทุก error เท่ากัน</t>
  </si>
  <si>
    <t xml:space="preserve">AVERAGE((ŷ-y)²)</t>
  </si>
  <si>
    <t xml:space="preserve">ยกกำลังสองจึงลงโทษ error ขนาดใหญ่มากขึ้น</t>
  </si>
  <si>
    <t xml:space="preserve">RMSE</t>
  </si>
  <si>
    <t xml:space="preserve">SQRT(MSE)</t>
  </si>
  <si>
    <t xml:space="preserve">ขนาด error ในหน่วยคะแนน และไวต่อ error ใหญ่กว่า MAE</t>
  </si>
  <si>
    <t xml:space="preserve">1-SSE/SST</t>
  </si>
  <si>
    <t xml:space="preserve">สัดส่วนความแปรปรวนของคะแนนที่โมเดลอธิบายได้; 1 คือสมบูรณ์</t>
  </si>
  <si>
    <t xml:space="preserve">Mean Residual</t>
  </si>
  <si>
    <t xml:space="preserve">AVERAGE(ŷ-y)</t>
  </si>
  <si>
    <t xml:space="preserve">ตรวจ bias โดยรวม: บวกคือทำนายสูงไป ลบคือทำนายต่ำไป</t>
  </si>
  <si>
    <t xml:space="preserve">ข้อควรระวัง: ค่า R² สูงไม่ได้ยืนยันว่าโมเดลมีเหตุและผลหรือเหมาะกับข้อมูลใหม่เสมอ ต้องตรวจ Train/Test split, residual pattern, outlier และความสมเหตุสมผลของข้อมูลด้วย</t>
  </si>
  <si>
    <t xml:space="preserve">06 • แนวคิดสำคัญที่ต้องเข้าใจ</t>
  </si>
  <si>
    <t xml:space="preserve">คำอธิบายว่า Linear Regression ทำอะไร ทำไปทำไม และควรตีความอย่างไร</t>
  </si>
  <si>
    <t xml:space="preserve">ภาพรวม: โมเดลหาเส้นหรือระนาบที่ทำให้ผลรวมความคลาดเคลื่อนกำลังสองต่ำ โดยใช้ข้อมูล Train เรียนรู้ค่าน้ำหนัก แล้วใช้ Test ตรวจความสามารถกับข้อมูลที่ไม่เคยใช้ฝึก</t>
  </si>
  <si>
    <t xml:space="preserve">คำอธิบายแต่ละแนวคิด</t>
  </si>
  <si>
    <t xml:space="preserve">ขั้น</t>
  </si>
  <si>
    <t xml:space="preserve">แนวคิด</t>
  </si>
  <si>
    <t xml:space="preserve">ทำไมสำคัญ / ข้อควรจำ</t>
  </si>
  <si>
    <t xml:space="preserve">1</t>
  </si>
  <si>
    <t xml:space="preserve">Continuous target</t>
  </si>
  <si>
    <t xml:space="preserve">Linear Regression ใช้ทำนายค่าต่อเนื่อง เช่น คะแนน ราคา หรืออุณหภูมิ</t>
  </si>
  <si>
    <t xml:space="preserve">ถ้าเป้าหมายเป็น class 0/1 มักใช้ Logistic Regression แทน</t>
  </si>
  <si>
    <t xml:space="preserve">2</t>
  </si>
  <si>
    <t xml:space="preserve">Train / Test split</t>
  </si>
  <si>
    <t xml:space="preserve">Train ใช้เรียนรู้ weight ส่วน Test ใช้ประเมินหลังฝึก</t>
  </si>
  <si>
    <t xml:space="preserve">ช่วยตรวจว่าโมเดลใช้กับข้อมูลใหม่ได้ ไม่ใช่จำข้อมูล Train</t>
  </si>
  <si>
    <t xml:space="preserve">3</t>
  </si>
  <si>
    <t xml:space="preserve">Feature scaling</t>
  </si>
  <si>
    <t xml:space="preserve">ทำให้ฟีเจอร์ที่มีหน่วยต่างกันมีขนาดใกล้กัน</t>
  </si>
  <si>
    <t xml:space="preserve">ช่วยให้ Gradient Descent เสถียรและ coefficient หลัง scaling เปรียบเทียบง่ายขึ้น</t>
  </si>
  <si>
    <t xml:space="preserve">4</t>
  </si>
  <si>
    <t xml:space="preserve">Bias/Intercept b</t>
  </si>
  <si>
    <t xml:space="preserve">ค่าทำนายเมื่อ x1 และ x2 เท่ากับ 0</t>
  </si>
  <si>
    <t xml:space="preserve">เพราะ center ทำให้ x=0 แทนค่าทั่วไป b จึงใกล้คะแนนของนักศึกษาทั่วไป</t>
  </si>
  <si>
    <t xml:space="preserve">5</t>
  </si>
  <si>
    <t xml:space="preserve">Weights w1/w2</t>
  </si>
  <si>
    <t xml:space="preserve">คะแนนที่คาดว่าจะเปลี่ยนเมื่อฟีเจอร์เพิ่ม 1 scaled unit โดยอีกฟีเจอร์คงที่</t>
  </si>
  <si>
    <t xml:space="preserve">เป็น association ภายในข้อมูล ไม่ได้ยืนยันเหตุและผลโดยอัตโนมัติ</t>
  </si>
  <si>
    <t xml:space="preserve">6</t>
  </si>
  <si>
    <t xml:space="preserve">ค่าที่โมเดลประมาณจาก ŷ = w1x1 + w2x2 + b</t>
  </si>
  <si>
    <t xml:space="preserve">ŷ เป็นค่าต่อเนื่องและอาจเกินช่วงข้อมูลได้ เพราะไม่มี Sigmoid จำกัดค่า</t>
  </si>
  <si>
    <t xml:space="preserve">7</t>
  </si>
  <si>
    <t xml:space="preserve">ŷ-y; ระยะห่างพร้อมเครื่องหมายระหว่างค่าทำนายกับค่าจริง</t>
  </si>
  <si>
    <t xml:space="preserve">ควรกระจายรอบ 0 โดยไม่มี pattern ชัดเจน</t>
  </si>
  <si>
    <t xml:space="preserve">8</t>
  </si>
  <si>
    <t xml:space="preserve">Residual² ทำให้ error ทุกค่าบวกและลงโทษ error ใหญ่</t>
  </si>
  <si>
    <t xml:space="preserve">Outlier มีอิทธิพลสูงเพราะ error ถูกยกกำลังสอง</t>
  </si>
  <si>
    <t xml:space="preserve">9</t>
  </si>
  <si>
    <t xml:space="preserve">0.5×MSE Loss</t>
  </si>
  <si>
    <t xml:space="preserve">ค่าเฉลี่ย 0.5×Residual² ที่ใช้ฝึก</t>
  </si>
  <si>
    <t xml:space="preserve">ตัวคูณ 0.5 ทำให้ derivative ง่ายขึ้น แต่ตำแหน่งค่าต่ำสุดไม่เปลี่ยน</t>
  </si>
  <si>
    <t xml:space="preserve">10</t>
  </si>
  <si>
    <t xml:space="preserve">บอกทิศทางและขนาดที่ควรปรับ coefficient</t>
  </si>
  <si>
    <t xml:space="preserve">เมื่อ gradient เข้าใกล้ 0 แปลว่าอยู่ใกล้จุดต่ำสุดของ Loss</t>
  </si>
  <si>
    <t xml:space="preserve">11</t>
  </si>
  <si>
    <t xml:space="preserve">Learning rate</t>
  </si>
  <si>
    <t xml:space="preserve">กำหนดขนาดก้าวของการอัปเดต weight</t>
  </si>
  <si>
    <t xml:space="preserve">เล็กเกินไปเรียนช้า ใหญ่เกินไปอาจแกว่งหรือ Loss เพิ่ม</t>
  </si>
  <si>
    <t xml:space="preserve">12</t>
  </si>
  <si>
    <t xml:space="preserve">ค่าเฉลี่ย Absolute Error</t>
  </si>
  <si>
    <t xml:space="preserve">ตีความง่ายเป็นคะแนนและไม่ลงโทษ error ใหญ่แรงเท่า RMSE</t>
  </si>
  <si>
    <t xml:space="preserve">13</t>
  </si>
  <si>
    <t xml:space="preserve">MSE / RMSE</t>
  </si>
  <si>
    <t xml:space="preserve">MSE เฉลี่ย error²; RMSE ถอดรากให้กลับเป็นหน่วยคะแนน</t>
  </si>
  <si>
    <t xml:space="preserve">เหมาะเมื่ออยากลงโทษ error ขนาดใหญ่มากขึ้น</t>
  </si>
  <si>
    <t xml:space="preserve">14</t>
  </si>
  <si>
    <t xml:space="preserve">เทียบโมเดลกับ baseline ที่ทายค่าเฉลี่ยทุกคน</t>
  </si>
  <si>
    <t xml:space="preserve">R² อาจติดลบได้หากโมเดลแย่กว่าการทายค่าเฉลี่ย</t>
  </si>
  <si>
    <t xml:space="preserve">15</t>
  </si>
  <si>
    <t xml:space="preserve">Overfitting</t>
  </si>
  <si>
    <t xml:space="preserve">โมเดลทำดีบน Train แต่แย่บนข้อมูลใหม่</t>
  </si>
  <si>
    <t xml:space="preserve">ต้องดู Test metrics และ residual ไม่ใช่ Training Loss อย่างเดียว</t>
  </si>
  <si>
    <t xml:space="preserve">แปลง coefficient จาก scaled unit เป็นหน่วยดิบ</t>
  </si>
  <si>
    <t xml:space="preserve">เพราะ x1=(Hours-5)/2.5 ผลของ Hours ต่อ 1 ชั่วโมง ≈ w1/2.5 คะแนน และผลของ Attendance ต่อ 1 จุดเปอร์เซ็นต์ ≈ w2/15 คะแนน ส่วน bias/intercept b ในหน่วยดิบต้องปรับ center กลับด้วย</t>
  </si>
  <si>
    <t xml:space="preserve">การตีความ coefficient ต้องสมมติว่าอีกฟีเจอร์คงที่ และสะท้อนความสัมพันธ์ในข้อมูลชุดนี้ ไม่ใช่หลักฐานเชิงสาเหตุ</t>
  </si>
  <si>
    <t xml:space="preserve">07 • แบบฝึกหัดและทดลองโมเดล</t>
  </si>
  <si>
    <t xml:space="preserve">ทำนายนักศึกษาใหม่ ทดลอง Learning rate และอภิปรายการตีความ</t>
  </si>
  <si>
    <t xml:space="preserve">ทดลองทำนายนักศึกษาใหม่</t>
  </si>
  <si>
    <t xml:space="preserve">วิธีทดลอง Learning rate
กลับไปแก้ 02_Training_Detail!B4 แล้วจด Final Loss และ Test metrics ลงตาราง เปรียบเทียบว่า α เล็กทำให้เรียนช้าเพียงใด และ α ใหญ่ทำให้ Loss แกว่งหรือไม่</t>
  </si>
  <si>
    <t xml:space="preserve">ขั้นตอน
1) กรอก Hours และ Attendance ในช่องสีเหลือง
2) Excel ปรับสเกลเป็น x1, x2
3) นำค่าน้ำหนักสุดท้ายมาคำนวณ ŷ
4) ทดลองเปลี่ยนข้อมูลและอธิบายว่าทำไมคะแนนเปลี่ยน</t>
  </si>
  <si>
    <t xml:space="preserve">Attendance (%)</t>
  </si>
  <si>
    <t xml:space="preserve">Predicted score</t>
  </si>
  <si>
    <t xml:space="preserve">บันทึกผลเมื่อเปลี่ยน Learning rate</t>
  </si>
  <si>
    <t xml:space="preserve">Final Loss</t>
  </si>
  <si>
    <t xml:space="preserve">Loss ลดต่อเนื่อง?</t>
  </si>
  <si>
    <t xml:space="preserve">ข้อสังเกต</t>
  </si>
  <si>
    <t xml:space="preserve">คำถามสำหรับอภิปราย</t>
  </si>
  <si>
    <t xml:space="preserve">1. b, w1 และ w2 มีเครื่องหมายอย่างไร และสอดคล้องกับบริบทหรือไม่?</t>
  </si>
  <si>
    <t xml:space="preserve">บันทึกคำตอบ:</t>
  </si>
  <si>
    <t xml:space="preserve">2. MAE กับ RMSE ต่างกันอย่างไร และเหตุใด RMSE มักสูงกว่า MAE?</t>
  </si>
  <si>
    <t xml:space="preserve">3. นักศึกษาคนใดมี Absolute Error สูงที่สุด? มีลักษณะข้อมูลอย่างไร?</t>
  </si>
  <si>
    <t xml:space="preserve">4. หากเพิ่มฟีเจอร์คุณภาพการนอน โมเดลอาจดีขึ้นอย่างไร และต้องระวังอะไร?</t>
  </si>
  <si>
    <t xml:space="preserve">5. เหตุใด R² สูงจึงไม่ใช่หลักฐานว่าการอ่านหนังสือเป็นสาเหตุโดยตรงของคะแนน?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</si>
</sst>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%"/>
    <numFmt numFmtId="166" formatCode="0.000"/>
    <numFmt numFmtId="167" formatCode="0.00"/>
    <numFmt numFmtId="168" formatCode="0.0000"/>
    <numFmt numFmtId="169" formatCode="0.00%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7324D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b val="true"/>
      <sz val="10"/>
      <color rgb="FF17324D"/>
      <name val="Arial"/>
      <family val="0"/>
      <charset val="1"/>
    </font>
    <font>
      <sz val="10"/>
      <color rgb="FF7048E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7324D"/>
      <name val="Arial"/>
      <family val="0"/>
      <charset val="1"/>
    </font>
    <font>
      <sz val="10"/>
      <color rgb="FF1971C2"/>
      <name val="Arial"/>
      <family val="0"/>
      <charset val="1"/>
    </font>
    <font>
      <b val="true"/>
      <sz val="10"/>
      <color rgb="FF1971C2"/>
      <name val="Arial"/>
      <family val="0"/>
      <charset val="1"/>
    </font>
    <font>
      <sz val="9"/>
      <color rgb="FF7048E8"/>
      <name val="Arial"/>
      <family val="0"/>
      <charset val="1"/>
    </font>
    <font>
      <sz val="9"/>
      <color rgb="FF2B8A3E"/>
      <name val="Arial"/>
      <family val="0"/>
      <charset val="1"/>
    </font>
    <font>
      <sz val="9"/>
      <color rgb="FF17324D"/>
      <name val="Arial"/>
      <family val="0"/>
      <charset val="1"/>
    </font>
    <font>
      <i val="true"/>
      <sz val="9"/>
      <color rgb="FF495057"/>
      <name val="Arial"/>
      <family val="0"/>
      <charset val="1"/>
    </font>
    <font>
      <sz val="10"/>
      <name val="Arial Unicode MS"/>
      <family val="2"/>
    </font>
    <font>
      <sz val="10"/>
      <name val="Arial"/>
      <family val="2"/>
      <charset val="1"/>
    </font>
    <font>
      <sz val="10"/>
      <name val="Arial Unicode MS"/>
      <family val="2"/>
      <charset val="1"/>
    </font>
    <font>
      <sz val="10"/>
      <name val="Arial"/>
      <family val="2"/>
    </font>
    <font>
      <b val="true"/>
      <sz val="10"/>
      <color rgb="FF2B8A3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048E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7048E8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Arial Unicode M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 Unicode MS"/>
      <family val="2"/>
    </font>
    <font>
      <sz val="10"/>
      <color rgb="FF2B8A3E"/>
      <name val="Arial"/>
      <family val="0"/>
      <charset val="1"/>
    </font>
    <font>
      <b val="true"/>
      <sz val="12"/>
      <color rgb="FF0B7285"/>
      <name val="Arial"/>
      <family val="0"/>
      <charset val="1"/>
    </font>
    <font>
      <b val="true"/>
      <sz val="11"/>
      <color rgb="FF2B8A3E"/>
      <name val="Arial"/>
      <family val="0"/>
      <charset val="1"/>
    </font>
    <font>
      <b val="true"/>
      <sz val="9"/>
      <color rgb="FF0B7285"/>
      <name val="Arial"/>
      <family val="0"/>
      <charset val="1"/>
    </font>
    <font>
      <sz val="10"/>
      <color rgb="FF49505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7324D"/>
        <bgColor rgb="FF003300"/>
      </patternFill>
    </fill>
    <fill>
      <patternFill patternType="solid">
        <fgColor rgb="FF0B7285"/>
        <bgColor rgb="FF008080"/>
      </patternFill>
    </fill>
    <fill>
      <patternFill patternType="solid">
        <fgColor rgb="FFE7F5FF"/>
        <bgColor rgb="FFF1F3F5"/>
      </patternFill>
    </fill>
    <fill>
      <patternFill patternType="solid">
        <fgColor rgb="FFF1F3F5"/>
        <bgColor rgb="FFF9F9F9"/>
      </patternFill>
    </fill>
    <fill>
      <patternFill patternType="solid">
        <fgColor rgb="FFD0EBFF"/>
        <bgColor rgb="FFE7F5FF"/>
      </patternFill>
    </fill>
    <fill>
      <patternFill patternType="solid">
        <fgColor rgb="FFE5DBFF"/>
        <bgColor rgb="FFD9D9D9"/>
      </patternFill>
    </fill>
    <fill>
      <patternFill patternType="solid">
        <fgColor rgb="FFFFF3BF"/>
        <bgColor rgb="FFFFE3E3"/>
      </patternFill>
    </fill>
    <fill>
      <patternFill patternType="solid">
        <fgColor rgb="FFF59F00"/>
        <bgColor rgb="FFFFCC00"/>
      </patternFill>
    </fill>
    <fill>
      <patternFill patternType="solid">
        <fgColor rgb="FFD3F9D8"/>
        <bgColor rgb="FFD0EBFF"/>
      </patternFill>
    </fill>
    <fill>
      <patternFill patternType="solid">
        <fgColor rgb="FFFFFFFF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 diagonalUp="false" diagonalDown="false">
      <left style="medium">
        <color rgb="FF17324D"/>
      </left>
      <right/>
      <top style="thin">
        <color rgb="FFCED4DA"/>
      </top>
      <bottom/>
      <diagonal/>
    </border>
    <border diagonalUp="false" diagonalDown="false">
      <left style="thin">
        <color rgb="FFCED4DA"/>
      </left>
      <right/>
      <top style="thin">
        <color rgb="FFCED4D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2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4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33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33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34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34" fillId="11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5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3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971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0EB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F5FF"/>
          <bgColor rgb="FF000000"/>
        </patternFill>
      </fill>
    </dxf>
    <dxf>
      <fill>
        <patternFill patternType="solid">
          <fgColor rgb="FF2B8A3E"/>
          <bgColor rgb="FF000000"/>
        </patternFill>
      </fill>
    </dxf>
    <dxf>
      <fill>
        <patternFill patternType="solid">
          <fgColor rgb="FFD3F9D8"/>
          <bgColor rgb="FF000000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>
          <bgColor rgb="FFD3F9D8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3F5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3C992"/>
      <rgbColor rgb="FF878787"/>
      <rgbColor rgb="FF9999FF"/>
      <rgbColor rgb="FF9D3E3B"/>
      <rgbColor rgb="FFFFF3BF"/>
      <rgbColor rgb="FFD0EBFF"/>
      <rgbColor rgb="FF660066"/>
      <rgbColor rgb="FFFF8080"/>
      <rgbColor rgb="FF1971C2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F"/>
      <rgbColor rgb="FFD3F9D8"/>
      <rgbColor rgb="FFF9F9F9"/>
      <rgbColor rgb="FFD9D9D9"/>
      <rgbColor rgb="FFD4A5A4"/>
      <rgbColor rgb="FFE5DBFF"/>
      <rgbColor rgb="FFFFE3E3"/>
      <rgbColor rgb="FF3366FF"/>
      <rgbColor rgb="FF33CCCC"/>
      <rgbColor rgb="FF98B855"/>
      <rgbColor rgb="FFFFCC00"/>
      <rgbColor rgb="FFF59F00"/>
      <rgbColor rgb="FFFF6600"/>
      <rgbColor rgb="FF7048E8"/>
      <rgbColor rgb="FF87A44B"/>
      <rgbColor rgb="FF17324D"/>
      <rgbColor rgb="FF2B8A3E"/>
      <rgbColor rgb="FF003300"/>
      <rgbColor rgb="FF333300"/>
      <rgbColor rgb="FFC0504D"/>
      <rgbColor rgb="FFBE4B48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Training Loss ลดลงในแต่ละรอบ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03_Model_Path!E5</c:f>
              <c:strCache>
                <c:ptCount val="1"/>
                <c:pt idx="0">
                  <c:v>0.5×MSE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03_Model_Path!$E$6:$E$20</c:f>
              <c:numCache>
                <c:formatCode>0.0000</c:formatCode>
                <c:ptCount val="15"/>
                <c:pt idx="0">
                  <c:v>2680.975</c:v>
                </c:pt>
                <c:pt idx="1">
                  <c:v>955.674747531852</c:v>
                </c:pt>
                <c:pt idx="2">
                  <c:v>342.641352551863</c:v>
                </c:pt>
                <c:pt idx="3">
                  <c:v>123.493636130193</c:v>
                </c:pt>
                <c:pt idx="4">
                  <c:v>44.8850138048695</c:v>
                </c:pt>
                <c:pt idx="5">
                  <c:v>16.6331227772423</c:v>
                </c:pt>
                <c:pt idx="6">
                  <c:v>6.46714760403611</c:v>
                </c:pt>
                <c:pt idx="7">
                  <c:v>2.80542880554348</c:v>
                </c:pt>
                <c:pt idx="8">
                  <c:v>1.48466535603103</c:v>
                </c:pt>
                <c:pt idx="9">
                  <c:v>1.00690541946893</c:v>
                </c:pt>
                <c:pt idx="10">
                  <c:v>0.832908490063469</c:v>
                </c:pt>
                <c:pt idx="11">
                  <c:v>0.768491590806321</c:v>
                </c:pt>
                <c:pt idx="12">
                  <c:v>0.743707546363707</c:v>
                </c:pt>
                <c:pt idx="13">
                  <c:v>0.733348879151493</c:v>
                </c:pt>
                <c:pt idx="14">
                  <c:v>0.728322303001217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340396"/>
        <c:axId val="88306729"/>
      </c:lineChart>
      <c:catAx>
        <c:axId val="57340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06729"/>
        <c:crosses val="autoZero"/>
        <c:auto val="1"/>
        <c:lblAlgn val="ctr"/>
        <c:lblOffset val="100"/>
        <c:noMultiLvlLbl val="0"/>
      </c:catAx>
      <c:valAx>
        <c:axId val="88306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0.5 × 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3403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การเปลี่ยนแปลงของ b, w1, w2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03_Model_Path!J5</c:f>
              <c:strCache>
                <c:ptCount val="1"/>
                <c:pt idx="0">
                  <c:v>b หลัง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03_Model_Path!$J$6:$J$20</c:f>
              <c:numCache>
                <c:formatCode>0.0000</c:formatCode>
                <c:ptCount val="15"/>
                <c:pt idx="0">
                  <c:v>28.58</c:v>
                </c:pt>
                <c:pt idx="1">
                  <c:v>45.7783111111111</c:v>
                </c:pt>
                <c:pt idx="2">
                  <c:v>56.1206817754074</c:v>
                </c:pt>
                <c:pt idx="3">
                  <c:v>62.3372125250522</c:v>
                </c:pt>
                <c:pt idx="4">
                  <c:v>66.072595353577</c:v>
                </c:pt>
                <c:pt idx="5">
                  <c:v>68.3166640583302</c:v>
                </c:pt>
                <c:pt idx="6">
                  <c:v>69.6647030249366</c:v>
                </c:pt>
                <c:pt idx="7">
                  <c:v>70.4745235767753</c:v>
                </c:pt>
                <c:pt idx="8">
                  <c:v>70.9611127079237</c:v>
                </c:pt>
                <c:pt idx="9">
                  <c:v>71.2536054720278</c:v>
                </c:pt>
                <c:pt idx="10">
                  <c:v>71.4295522318461</c:v>
                </c:pt>
                <c:pt idx="11">
                  <c:v>71.5355176991017</c:v>
                </c:pt>
                <c:pt idx="12">
                  <c:v>71.5994584122765</c:v>
                </c:pt>
                <c:pt idx="13">
                  <c:v>71.6381577603224</c:v>
                </c:pt>
                <c:pt idx="14">
                  <c:v>71.6616910983896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03_Model_Path!K5</c:f>
              <c:strCache>
                <c:ptCount val="1"/>
                <c:pt idx="0">
                  <c:v>w1 หลัง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03_Model_Path!$K$6:$K$20</c:f>
              <c:numCache>
                <c:formatCode>0.0000</c:formatCode>
                <c:ptCount val="15"/>
                <c:pt idx="0">
                  <c:v>5.856</c:v>
                </c:pt>
                <c:pt idx="1">
                  <c:v>8.71590755555556</c:v>
                </c:pt>
                <c:pt idx="2">
                  <c:v>10.134652975597</c:v>
                </c:pt>
                <c:pt idx="3">
                  <c:v>10.8476068449586</c:v>
                </c:pt>
                <c:pt idx="4">
                  <c:v>11.2080727953537</c:v>
                </c:pt>
                <c:pt idx="5">
                  <c:v>11.3889059692916</c:v>
                </c:pt>
                <c:pt idx="6">
                  <c:v>11.4763997870434</c:v>
                </c:pt>
                <c:pt idx="7">
                  <c:v>11.5145683275122</c:v>
                </c:pt>
                <c:pt idx="8">
                  <c:v>11.526354996897</c:v>
                </c:pt>
                <c:pt idx="9">
                  <c:v>11.5239728356457</c:v>
                </c:pt>
                <c:pt idx="10">
                  <c:v>11.5140477319649</c:v>
                </c:pt>
                <c:pt idx="11">
                  <c:v>11.5002323616231</c:v>
                </c:pt>
                <c:pt idx="12">
                  <c:v>11.4845645798203</c:v>
                </c:pt>
                <c:pt idx="13">
                  <c:v>11.4681890409913</c:v>
                </c:pt>
                <c:pt idx="14">
                  <c:v>11.4517486025582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03_Model_Path!L5</c:f>
              <c:strCache>
                <c:ptCount val="1"/>
                <c:pt idx="0">
                  <c:v>w2 หลัง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03_Model_Path!$L$6:$L$20</c:f>
              <c:numCache>
                <c:formatCode>0.0000</c:formatCode>
                <c:ptCount val="15"/>
                <c:pt idx="0">
                  <c:v>3.77333333333333</c:v>
                </c:pt>
                <c:pt idx="1">
                  <c:v>5.52713315555556</c:v>
                </c:pt>
                <c:pt idx="2">
                  <c:v>6.36025948558222</c:v>
                </c:pt>
                <c:pt idx="3">
                  <c:v>6.77008789092918</c:v>
                </c:pt>
                <c:pt idx="4">
                  <c:v>6.98301346379555</c:v>
                </c:pt>
                <c:pt idx="5">
                  <c:v>7.10284424538816</c:v>
                </c:pt>
                <c:pt idx="6">
                  <c:v>7.17763213600102</c:v>
                </c:pt>
                <c:pt idx="7">
                  <c:v>7.22989213938729</c:v>
                </c:pt>
                <c:pt idx="8">
                  <c:v>7.27033854552019</c:v>
                </c:pt>
                <c:pt idx="9">
                  <c:v>7.30417114720227</c:v>
                </c:pt>
                <c:pt idx="10">
                  <c:v>7.33397699955629</c:v>
                </c:pt>
                <c:pt idx="11">
                  <c:v>7.36108446116051</c:v>
                </c:pt>
                <c:pt idx="12">
                  <c:v>7.38620347173962</c:v>
                </c:pt>
                <c:pt idx="13">
                  <c:v>7.4097331647099</c:v>
                </c:pt>
                <c:pt idx="14">
                  <c:v>7.43191240776299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289218"/>
        <c:axId val="57262139"/>
      </c:lineChart>
      <c:catAx>
        <c:axId val="71289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62139"/>
        <c:crosses val="autoZero"/>
        <c:auto val="1"/>
        <c:lblAlgn val="ctr"/>
        <c:lblOffset val="100"/>
        <c:noMultiLvlLbl val="0"/>
      </c:catAx>
      <c:valAx>
        <c:axId val="57262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892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Actual เทียบกับ Prediction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04_Test_Prediction!F7</c:f>
              <c:strCache>
                <c:ptCount val="1"/>
                <c:pt idx="0">
                  <c:v>Actual y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04_Test_Prediction!$F$8:$F$17</c:f>
              <c:numCache>
                <c:formatCode>0.0000</c:formatCode>
                <c:ptCount val="10"/>
                <c:pt idx="0">
                  <c:v>50</c:v>
                </c:pt>
                <c:pt idx="1">
                  <c:v>60</c:v>
                </c:pt>
                <c:pt idx="2">
                  <c:v>72</c:v>
                </c:pt>
                <c:pt idx="3">
                  <c:v>67</c:v>
                </c:pt>
                <c:pt idx="4">
                  <c:v>80</c:v>
                </c:pt>
                <c:pt idx="5">
                  <c:v>73</c:v>
                </c:pt>
                <c:pt idx="6">
                  <c:v>71</c:v>
                </c:pt>
                <c:pt idx="7">
                  <c:v>72</c:v>
                </c:pt>
                <c:pt idx="8">
                  <c:v>88</c:v>
                </c:pt>
                <c:pt idx="9">
                  <c:v>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04_Test_Prediction!J7</c:f>
              <c:strCache>
                <c:ptCount val="1"/>
                <c:pt idx="0">
                  <c:v>Prediction ŷ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04_Test_Prediction!$J$8:$J$17</c:f>
              <c:numCache>
                <c:formatCode>0.0000</c:formatCode>
                <c:ptCount val="10"/>
                <c:pt idx="0">
                  <c:v>48.0103762316357</c:v>
                </c:pt>
                <c:pt idx="1">
                  <c:v>62.500292216343</c:v>
                </c:pt>
                <c:pt idx="2">
                  <c:v>70.5492174476557</c:v>
                </c:pt>
                <c:pt idx="3">
                  <c:v>66.7070828265476</c:v>
                </c:pt>
                <c:pt idx="4">
                  <c:v>79.0936035061526</c:v>
                </c:pt>
                <c:pt idx="5">
                  <c:v>74.7560080578603</c:v>
                </c:pt>
                <c:pt idx="6">
                  <c:v>73.3911775726732</c:v>
                </c:pt>
                <c:pt idx="7">
                  <c:v>70.1191590395154</c:v>
                </c:pt>
                <c:pt idx="8">
                  <c:v>87.8810935573804</c:v>
                </c:pt>
                <c:pt idx="9">
                  <c:v>66.8940372419569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19044"/>
        <c:axId val="20871633"/>
      </c:lineChart>
      <c:catAx>
        <c:axId val="3919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71633"/>
        <c:crosses val="autoZero"/>
        <c:auto val="1"/>
        <c:lblAlgn val="ctr"/>
        <c:lblOffset val="100"/>
        <c:noMultiLvlLbl val="0"/>
      </c:catAx>
      <c:valAx>
        <c:axId val="20871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คะแนน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190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Residual รายคน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04_Test_Prediction!K7</c:f>
              <c:strCache>
                <c:ptCount val="1"/>
                <c:pt idx="0">
                  <c:v>Residual ŷ-y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04_Test_Prediction!$K$8:$K$17</c:f>
              <c:numCache>
                <c:formatCode>0.0000</c:formatCode>
                <c:ptCount val="10"/>
                <c:pt idx="0">
                  <c:v>-1.98962376836425</c:v>
                </c:pt>
                <c:pt idx="1">
                  <c:v>2.50029221634301</c:v>
                </c:pt>
                <c:pt idx="2">
                  <c:v>-1.45078255234431</c:v>
                </c:pt>
                <c:pt idx="3">
                  <c:v>-0.292917173452409</c:v>
                </c:pt>
                <c:pt idx="4">
                  <c:v>-0.906396493847424</c:v>
                </c:pt>
                <c:pt idx="5">
                  <c:v>1.75600805786027</c:v>
                </c:pt>
                <c:pt idx="6">
                  <c:v>2.39117757267316</c:v>
                </c:pt>
                <c:pt idx="7">
                  <c:v>-1.88084096048463</c:v>
                </c:pt>
                <c:pt idx="8">
                  <c:v>-0.118906442619576</c:v>
                </c:pt>
                <c:pt idx="9">
                  <c:v>1.89403724195694</c:v>
                </c:pt>
              </c:numCache>
            </c:numRef>
          </c:val>
        </c:ser>
        <c:gapWidth val="150"/>
        <c:overlap val="0"/>
        <c:axId val="39007406"/>
        <c:axId val="2250106"/>
      </c:barChart>
      <c:catAx>
        <c:axId val="39007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0106"/>
        <c:crosses val="autoZero"/>
        <c:auto val="1"/>
        <c:lblAlgn val="ctr"/>
        <c:lblOffset val="100"/>
        <c:noMultiLvlLbl val="0"/>
      </c:catAx>
      <c:valAx>
        <c:axId val="2250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Prediction - Actual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0074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4</xdr:row>
      <xdr:rowOff>0</xdr:rowOff>
    </xdr:from>
    <xdr:to>
      <xdr:col>21</xdr:col>
      <xdr:colOff>507240</xdr:colOff>
      <xdr:row>12</xdr:row>
      <xdr:rowOff>270360</xdr:rowOff>
    </xdr:to>
    <xdr:graphicFrame>
      <xdr:nvGraphicFramePr>
        <xdr:cNvPr id="1" name="Chart 1"/>
        <xdr:cNvGraphicFramePr/>
      </xdr:nvGraphicFramePr>
      <xdr:xfrm>
        <a:off x="11607120" y="11239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0</xdr:rowOff>
    </xdr:from>
    <xdr:to>
      <xdr:col>21</xdr:col>
      <xdr:colOff>507240</xdr:colOff>
      <xdr:row>33</xdr:row>
      <xdr:rowOff>127440</xdr:rowOff>
    </xdr:to>
    <xdr:graphicFrame>
      <xdr:nvGraphicFramePr>
        <xdr:cNvPr id="2" name="Chart 2"/>
        <xdr:cNvGraphicFramePr/>
      </xdr:nvGraphicFramePr>
      <xdr:xfrm>
        <a:off x="11607120" y="58388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0</xdr:rowOff>
    </xdr:from>
    <xdr:to>
      <xdr:col>25</xdr:col>
      <xdr:colOff>255600</xdr:colOff>
      <xdr:row>14</xdr:row>
      <xdr:rowOff>183600</xdr:rowOff>
    </xdr:to>
    <xdr:graphicFrame>
      <xdr:nvGraphicFramePr>
        <xdr:cNvPr id="3" name="Chart 1"/>
        <xdr:cNvGraphicFramePr/>
      </xdr:nvGraphicFramePr>
      <xdr:xfrm>
        <a:off x="13721760" y="15048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21</xdr:row>
      <xdr:rowOff>0</xdr:rowOff>
    </xdr:from>
    <xdr:to>
      <xdr:col>25</xdr:col>
      <xdr:colOff>255600</xdr:colOff>
      <xdr:row>36</xdr:row>
      <xdr:rowOff>21600</xdr:rowOff>
    </xdr:to>
    <xdr:graphicFrame>
      <xdr:nvGraphicFramePr>
        <xdr:cNvPr id="4" name="Chart 2"/>
        <xdr:cNvGraphicFramePr/>
      </xdr:nvGraphicFramePr>
      <xdr:xfrm>
        <a:off x="13721760" y="61815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24"/>
    <col collapsed="false" customWidth="true" hidden="false" outlineLevel="0" max="8" min="8" style="1" width="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2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27.75" hidden="false" customHeight="true" outlineLevel="0" collapsed="false">
      <c r="B6" s="6" t="s">
        <v>4</v>
      </c>
      <c r="C6" s="6"/>
      <c r="D6" s="6"/>
      <c r="E6" s="6"/>
      <c r="F6" s="6"/>
      <c r="G6" s="6"/>
    </row>
    <row r="7" customFormat="false" ht="27.75" hidden="false" customHeight="true" outlineLevel="0" collapsed="false">
      <c r="B7" s="5" t="s">
        <v>5</v>
      </c>
      <c r="C7" s="5"/>
      <c r="D7" s="5"/>
      <c r="E7" s="5"/>
      <c r="F7" s="5"/>
      <c r="G7" s="5"/>
    </row>
    <row r="8" customFormat="false" ht="27.75" hidden="false" customHeight="true" outlineLevel="0" collapsed="false">
      <c r="B8" s="6" t="s">
        <v>6</v>
      </c>
      <c r="C8" s="6"/>
      <c r="D8" s="6"/>
      <c r="E8" s="6"/>
      <c r="F8" s="6"/>
      <c r="G8" s="6"/>
    </row>
    <row r="10" customFormat="false" ht="22.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25.5" hidden="false" customHeight="true" outlineLevel="0" collapsed="false">
      <c r="B11" s="7" t="s">
        <v>8</v>
      </c>
      <c r="C11" s="8" t="s">
        <v>9</v>
      </c>
      <c r="D11" s="8"/>
      <c r="E11" s="8"/>
      <c r="F11" s="8"/>
      <c r="G11" s="8"/>
    </row>
    <row r="12" customFormat="false" ht="25.5" hidden="false" customHeight="true" outlineLevel="0" collapsed="false">
      <c r="B12" s="7" t="s">
        <v>10</v>
      </c>
      <c r="C12" s="8" t="s">
        <v>11</v>
      </c>
      <c r="D12" s="8"/>
      <c r="E12" s="8"/>
      <c r="F12" s="8"/>
      <c r="G12" s="8"/>
    </row>
    <row r="13" customFormat="false" ht="25.5" hidden="false" customHeight="true" outlineLevel="0" collapsed="false">
      <c r="B13" s="7" t="s">
        <v>12</v>
      </c>
      <c r="C13" s="8" t="s">
        <v>13</v>
      </c>
      <c r="D13" s="8"/>
      <c r="E13" s="8"/>
      <c r="F13" s="8"/>
      <c r="G13" s="8"/>
    </row>
    <row r="14" customFormat="false" ht="25.5" hidden="false" customHeight="true" outlineLevel="0" collapsed="false">
      <c r="B14" s="7" t="s">
        <v>14</v>
      </c>
      <c r="C14" s="8" t="s">
        <v>15</v>
      </c>
      <c r="D14" s="8"/>
      <c r="E14" s="8"/>
      <c r="F14" s="8"/>
      <c r="G14" s="8"/>
    </row>
    <row r="15" customFormat="false" ht="25.5" hidden="false" customHeight="true" outlineLevel="0" collapsed="false">
      <c r="B15" s="7" t="s">
        <v>16</v>
      </c>
      <c r="C15" s="8" t="s">
        <v>17</v>
      </c>
      <c r="D15" s="8"/>
      <c r="E15" s="8"/>
      <c r="F15" s="8"/>
      <c r="G15" s="8"/>
    </row>
    <row r="16" customFormat="false" ht="25.5" hidden="false" customHeight="true" outlineLevel="0" collapsed="false">
      <c r="B16" s="7" t="s">
        <v>18</v>
      </c>
      <c r="C16" s="8" t="s">
        <v>19</v>
      </c>
      <c r="D16" s="8"/>
      <c r="E16" s="8"/>
      <c r="F16" s="8"/>
      <c r="G16" s="8"/>
    </row>
    <row r="17" customFormat="false" ht="25.5" hidden="false" customHeight="true" outlineLevel="0" collapsed="false">
      <c r="B17" s="7" t="s">
        <v>20</v>
      </c>
      <c r="C17" s="8" t="s">
        <v>21</v>
      </c>
      <c r="D17" s="8"/>
      <c r="E17" s="8"/>
      <c r="F17" s="8"/>
      <c r="G17" s="8"/>
    </row>
    <row r="19" customFormat="false" ht="22.5" hidden="false" customHeight="true" outlineLevel="0" collapsed="false">
      <c r="B19" s="4" t="s">
        <v>22</v>
      </c>
      <c r="C19" s="4"/>
      <c r="D19" s="4"/>
      <c r="E19" s="4"/>
      <c r="F19" s="4"/>
      <c r="G19" s="4"/>
    </row>
    <row r="20" customFormat="false" ht="24.75" hidden="false" customHeight="true" outlineLevel="0" collapsed="false">
      <c r="B20" s="9" t="s">
        <v>23</v>
      </c>
      <c r="C20" s="10" t="s">
        <v>24</v>
      </c>
      <c r="D20" s="10"/>
      <c r="E20" s="10"/>
      <c r="F20" s="10"/>
      <c r="G20" s="10"/>
    </row>
    <row r="21" customFormat="false" ht="24.75" hidden="false" customHeight="true" outlineLevel="0" collapsed="false">
      <c r="B21" s="9" t="s">
        <v>25</v>
      </c>
      <c r="C21" s="10" t="s">
        <v>26</v>
      </c>
      <c r="D21" s="10"/>
      <c r="E21" s="10"/>
      <c r="F21" s="10"/>
      <c r="G21" s="10"/>
    </row>
    <row r="22" customFormat="false" ht="24.75" hidden="false" customHeight="true" outlineLevel="0" collapsed="false">
      <c r="B22" s="9" t="s">
        <v>27</v>
      </c>
      <c r="C22" s="10" t="s">
        <v>28</v>
      </c>
      <c r="D22" s="10"/>
      <c r="E22" s="10"/>
      <c r="F22" s="10"/>
      <c r="G22" s="10"/>
    </row>
    <row r="23" customFormat="false" ht="24.75" hidden="false" customHeight="true" outlineLevel="0" collapsed="false">
      <c r="B23" s="9" t="s">
        <v>29</v>
      </c>
      <c r="C23" s="10" t="s">
        <v>30</v>
      </c>
      <c r="D23" s="10"/>
      <c r="E23" s="10"/>
      <c r="F23" s="10"/>
      <c r="G23" s="10"/>
    </row>
    <row r="24" customFormat="false" ht="24.75" hidden="false" customHeight="true" outlineLevel="0" collapsed="false">
      <c r="B24" s="9" t="s">
        <v>31</v>
      </c>
      <c r="C24" s="10" t="s">
        <v>32</v>
      </c>
      <c r="D24" s="10"/>
      <c r="E24" s="10"/>
      <c r="F24" s="10"/>
      <c r="G24" s="10"/>
    </row>
    <row r="25" customFormat="false" ht="24.75" hidden="false" customHeight="true" outlineLevel="0" collapsed="false">
      <c r="B25" s="9" t="s">
        <v>33</v>
      </c>
      <c r="C25" s="10" t="s">
        <v>34</v>
      </c>
      <c r="D25" s="10"/>
      <c r="E25" s="10"/>
      <c r="F25" s="10"/>
      <c r="G25" s="10"/>
    </row>
    <row r="28" customFormat="false" ht="24.75" hidden="false" customHeight="true" outlineLevel="0" collapsed="false">
      <c r="B28" s="11" t="s">
        <v>35</v>
      </c>
      <c r="C28" s="11"/>
      <c r="D28" s="11"/>
      <c r="E28" s="11"/>
      <c r="F28" s="11"/>
      <c r="G28" s="11"/>
    </row>
    <row r="29" customFormat="false" ht="24.75" hidden="false" customHeight="true" outlineLevel="0" collapsed="false">
      <c r="B29" s="11"/>
      <c r="C29" s="11"/>
      <c r="D29" s="11"/>
      <c r="E29" s="11"/>
      <c r="F29" s="11"/>
      <c r="G29" s="11"/>
    </row>
  </sheetData>
  <mergeCells count="23">
    <mergeCell ref="A1:H1"/>
    <mergeCell ref="A2:H2"/>
    <mergeCell ref="B4:G4"/>
    <mergeCell ref="B5:G5"/>
    <mergeCell ref="B6:G6"/>
    <mergeCell ref="B7:G7"/>
    <mergeCell ref="B8:G8"/>
    <mergeCell ref="B10:G10"/>
    <mergeCell ref="C11:G11"/>
    <mergeCell ref="C12:G12"/>
    <mergeCell ref="C13:G13"/>
    <mergeCell ref="C14:G14"/>
    <mergeCell ref="C15:G15"/>
    <mergeCell ref="C16:G16"/>
    <mergeCell ref="C17:G17"/>
    <mergeCell ref="B19:G19"/>
    <mergeCell ref="C20:G20"/>
    <mergeCell ref="C21:G21"/>
    <mergeCell ref="C22:G22"/>
    <mergeCell ref="C23:G23"/>
    <mergeCell ref="C24:G24"/>
    <mergeCell ref="C25:G25"/>
    <mergeCell ref="B28:G29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5" topLeftCell="A6" activePane="bottomLeft" state="frozen"/>
      <selection pane="topLeft" activeCell="A1" activeCellId="0" sqref="A1"/>
      <selection pane="bottomLeft" activeCell="D6" activeCellId="0" sqref="D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5"/>
    <col collapsed="false" customWidth="true" hidden="false" outlineLevel="0" max="12" min="12" style="1" width="3"/>
    <col collapsed="false" customWidth="true" hidden="false" outlineLevel="0" max="13" min="13" style="1" width="21"/>
    <col collapsed="false" customWidth="true" hidden="false" outlineLevel="0" max="15" min="14" style="1" width="16"/>
    <col collapsed="false" customWidth="true" hidden="false" outlineLevel="0" max="17" min="16" style="1" width="22"/>
  </cols>
  <sheetData>
    <row r="1" customFormat="false" ht="33.7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7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2.5" hidden="false" customHeight="true" outlineLevel="0" collapsed="false">
      <c r="A4" s="4" t="s">
        <v>38</v>
      </c>
      <c r="B4" s="4"/>
      <c r="C4" s="4"/>
      <c r="D4" s="4"/>
      <c r="E4" s="4"/>
      <c r="F4" s="4"/>
      <c r="G4" s="4"/>
      <c r="H4" s="4"/>
      <c r="J4" s="12" t="s">
        <v>39</v>
      </c>
      <c r="K4" s="12"/>
      <c r="M4" s="12" t="s">
        <v>40</v>
      </c>
      <c r="N4" s="12"/>
      <c r="O4" s="12"/>
      <c r="P4" s="12"/>
      <c r="Q4" s="12"/>
    </row>
    <row r="5" customFormat="false" ht="33.75" hidden="false" customHeight="true" outlineLevel="0" collapsed="false">
      <c r="A5" s="13" t="s">
        <v>41</v>
      </c>
      <c r="B5" s="13" t="s">
        <v>42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M5" s="14" t="s">
        <v>49</v>
      </c>
      <c r="N5" s="14"/>
      <c r="O5" s="14"/>
      <c r="P5" s="14"/>
      <c r="Q5" s="14"/>
    </row>
    <row r="6" customFormat="false" ht="22.5" hidden="false" customHeight="true" outlineLevel="0" collapsed="false">
      <c r="A6" s="15" t="s">
        <v>50</v>
      </c>
      <c r="B6" s="15" t="n">
        <v>1</v>
      </c>
      <c r="C6" s="16" t="n">
        <v>55</v>
      </c>
      <c r="D6" s="15" t="n">
        <v>43</v>
      </c>
      <c r="E6" s="17" t="s">
        <v>51</v>
      </c>
      <c r="F6" s="18" t="n">
        <f aca="false">(B6-$K$6)/$K$7</f>
        <v>-1.6</v>
      </c>
      <c r="G6" s="18" t="n">
        <f aca="false">(C6-$K$8)/$K$9</f>
        <v>-1.33333333333333</v>
      </c>
      <c r="H6" s="19" t="str">
        <f aca="false">IF(E6="Train","ใช้ฝึกโมเดล","เก็บไว้ประเมิน")</f>
        <v>ใช้ฝึกโมเดล</v>
      </c>
      <c r="J6" s="20" t="s">
        <v>52</v>
      </c>
      <c r="K6" s="21" t="n">
        <v>5</v>
      </c>
      <c r="M6" s="14"/>
      <c r="N6" s="14"/>
      <c r="O6" s="14"/>
      <c r="P6" s="14"/>
      <c r="Q6" s="14"/>
    </row>
    <row r="7" customFormat="false" ht="22.5" hidden="false" customHeight="true" outlineLevel="0" collapsed="false">
      <c r="A7" s="15" t="s">
        <v>53</v>
      </c>
      <c r="B7" s="15" t="n">
        <v>1.5</v>
      </c>
      <c r="C7" s="16" t="n">
        <v>60</v>
      </c>
      <c r="D7" s="15" t="n">
        <v>47</v>
      </c>
      <c r="E7" s="17" t="s">
        <v>51</v>
      </c>
      <c r="F7" s="18" t="n">
        <f aca="false">(B7-$K$6)/$K$7</f>
        <v>-1.4</v>
      </c>
      <c r="G7" s="18" t="n">
        <f aca="false">(C7-$K$8)/$K$9</f>
        <v>-1</v>
      </c>
      <c r="H7" s="19" t="str">
        <f aca="false">IF(E7="Train","ใช้ฝึกโมเดล","เก็บไว้ประเมิน")</f>
        <v>ใช้ฝึกโมเดล</v>
      </c>
      <c r="J7" s="20" t="s">
        <v>54</v>
      </c>
      <c r="K7" s="21" t="n">
        <v>2.5</v>
      </c>
      <c r="M7" s="14"/>
      <c r="N7" s="14"/>
      <c r="O7" s="14"/>
      <c r="P7" s="14"/>
      <c r="Q7" s="14"/>
    </row>
    <row r="8" customFormat="false" ht="22.5" hidden="false" customHeight="true" outlineLevel="0" collapsed="false">
      <c r="A8" s="15" t="s">
        <v>55</v>
      </c>
      <c r="B8" s="15" t="n">
        <v>2</v>
      </c>
      <c r="C8" s="16" t="n">
        <v>58</v>
      </c>
      <c r="D8" s="15" t="n">
        <v>51</v>
      </c>
      <c r="E8" s="17" t="s">
        <v>51</v>
      </c>
      <c r="F8" s="18" t="n">
        <f aca="false">(B8-$K$6)/$K$7</f>
        <v>-1.2</v>
      </c>
      <c r="G8" s="18" t="n">
        <f aca="false">(C8-$K$8)/$K$9</f>
        <v>-1.13333333333333</v>
      </c>
      <c r="H8" s="19" t="str">
        <f aca="false">IF(E8="Train","ใช้ฝึกโมเดล","เก็บไว้ประเมิน")</f>
        <v>ใช้ฝึกโมเดล</v>
      </c>
      <c r="J8" s="20" t="s">
        <v>56</v>
      </c>
      <c r="K8" s="21" t="n">
        <v>75</v>
      </c>
      <c r="M8" s="22" t="s">
        <v>57</v>
      </c>
      <c r="N8" s="22"/>
      <c r="O8" s="22"/>
      <c r="P8" s="22"/>
      <c r="Q8" s="22"/>
    </row>
    <row r="9" customFormat="false" ht="22.5" hidden="false" customHeight="true" outlineLevel="0" collapsed="false">
      <c r="A9" s="15" t="s">
        <v>58</v>
      </c>
      <c r="B9" s="15" t="n">
        <v>2.5</v>
      </c>
      <c r="C9" s="16" t="n">
        <v>65</v>
      </c>
      <c r="D9" s="15" t="n">
        <v>55</v>
      </c>
      <c r="E9" s="17" t="s">
        <v>51</v>
      </c>
      <c r="F9" s="18" t="n">
        <f aca="false">(B9-$K$6)/$K$7</f>
        <v>-1</v>
      </c>
      <c r="G9" s="18" t="n">
        <f aca="false">(C9-$K$8)/$K$9</f>
        <v>-0.666666666666667</v>
      </c>
      <c r="H9" s="19" t="str">
        <f aca="false">IF(E9="Train","ใช้ฝึกโมเดล","เก็บไว้ประเมิน")</f>
        <v>ใช้ฝึกโมเดล</v>
      </c>
      <c r="J9" s="20" t="s">
        <v>59</v>
      </c>
      <c r="K9" s="21" t="n">
        <v>15</v>
      </c>
      <c r="M9" s="22"/>
      <c r="N9" s="22"/>
      <c r="O9" s="22"/>
      <c r="P9" s="22"/>
      <c r="Q9" s="22"/>
    </row>
    <row r="10" customFormat="false" ht="22.5" hidden="false" customHeight="true" outlineLevel="0" collapsed="false">
      <c r="A10" s="15" t="s">
        <v>60</v>
      </c>
      <c r="B10" s="15" t="n">
        <v>3</v>
      </c>
      <c r="C10" s="16" t="n">
        <v>62</v>
      </c>
      <c r="D10" s="15" t="n">
        <v>56</v>
      </c>
      <c r="E10" s="17" t="s">
        <v>51</v>
      </c>
      <c r="F10" s="18" t="n">
        <f aca="false">(B10-$K$6)/$K$7</f>
        <v>-0.8</v>
      </c>
      <c r="G10" s="18" t="n">
        <f aca="false">(C10-$K$8)/$K$9</f>
        <v>-0.866666666666667</v>
      </c>
      <c r="H10" s="19" t="str">
        <f aca="false">IF(E10="Train","ใช้ฝึกโมเดล","เก็บไว้ประเมิน")</f>
        <v>ใช้ฝึกโมเดล</v>
      </c>
      <c r="M10" s="22"/>
      <c r="N10" s="22"/>
      <c r="O10" s="22"/>
      <c r="P10" s="22"/>
      <c r="Q10" s="22"/>
    </row>
    <row r="11" customFormat="false" ht="22.5" hidden="false" customHeight="true" outlineLevel="0" collapsed="false">
      <c r="A11" s="15" t="s">
        <v>61</v>
      </c>
      <c r="B11" s="15" t="n">
        <v>3.5</v>
      </c>
      <c r="C11" s="16" t="n">
        <v>70</v>
      </c>
      <c r="D11" s="15" t="n">
        <v>63</v>
      </c>
      <c r="E11" s="17" t="s">
        <v>51</v>
      </c>
      <c r="F11" s="18" t="n">
        <f aca="false">(B11-$K$6)/$K$7</f>
        <v>-0.6</v>
      </c>
      <c r="G11" s="18" t="n">
        <f aca="false">(C11-$K$8)/$K$9</f>
        <v>-0.333333333333333</v>
      </c>
      <c r="H11" s="19" t="str">
        <f aca="false">IF(E11="Train","ใช้ฝึกโมเดล","เก็บไว้ประเมิน")</f>
        <v>ใช้ฝึกโมเดล</v>
      </c>
      <c r="J11" s="23" t="s">
        <v>62</v>
      </c>
      <c r="K11" s="24" t="s">
        <v>63</v>
      </c>
    </row>
    <row r="12" customFormat="false" ht="22.5" hidden="false" customHeight="true" outlineLevel="0" collapsed="false">
      <c r="A12" s="15" t="s">
        <v>64</v>
      </c>
      <c r="B12" s="15" t="n">
        <v>4</v>
      </c>
      <c r="C12" s="16" t="n">
        <v>68</v>
      </c>
      <c r="D12" s="15" t="n">
        <v>61</v>
      </c>
      <c r="E12" s="17" t="s">
        <v>51</v>
      </c>
      <c r="F12" s="18" t="n">
        <f aca="false">(B12-$K$6)/$K$7</f>
        <v>-0.4</v>
      </c>
      <c r="G12" s="18" t="n">
        <f aca="false">(C12-$K$8)/$K$9</f>
        <v>-0.466666666666667</v>
      </c>
      <c r="H12" s="19" t="str">
        <f aca="false">IF(E12="Train","ใช้ฝึกโมเดล","เก็บไว้ประเมิน")</f>
        <v>ใช้ฝึกโมเดล</v>
      </c>
      <c r="M12" s="25" t="s">
        <v>65</v>
      </c>
      <c r="N12" s="25"/>
      <c r="O12" s="25"/>
      <c r="P12" s="25"/>
      <c r="Q12" s="25"/>
    </row>
    <row r="13" customFormat="false" ht="22.5" hidden="false" customHeight="true" outlineLevel="0" collapsed="false">
      <c r="A13" s="15" t="s">
        <v>66</v>
      </c>
      <c r="B13" s="15" t="n">
        <v>4.5</v>
      </c>
      <c r="C13" s="16" t="n">
        <v>72</v>
      </c>
      <c r="D13" s="15" t="n">
        <v>68</v>
      </c>
      <c r="E13" s="17" t="s">
        <v>51</v>
      </c>
      <c r="F13" s="18" t="n">
        <f aca="false">(B13-$K$6)/$K$7</f>
        <v>-0.2</v>
      </c>
      <c r="G13" s="18" t="n">
        <f aca="false">(C13-$K$8)/$K$9</f>
        <v>-0.2</v>
      </c>
      <c r="H13" s="19" t="str">
        <f aca="false">IF(E13="Train","ใช้ฝึกโมเดล","เก็บไว้ประเมิน")</f>
        <v>ใช้ฝึกโมเดล</v>
      </c>
      <c r="M13" s="25"/>
      <c r="N13" s="25"/>
      <c r="O13" s="25"/>
      <c r="P13" s="25"/>
      <c r="Q13" s="25"/>
    </row>
    <row r="14" customFormat="false" ht="22.5" hidden="false" customHeight="true" outlineLevel="0" collapsed="false">
      <c r="A14" s="15" t="s">
        <v>67</v>
      </c>
      <c r="B14" s="15" t="n">
        <v>5</v>
      </c>
      <c r="C14" s="16" t="n">
        <v>75</v>
      </c>
      <c r="D14" s="15" t="n">
        <v>72</v>
      </c>
      <c r="E14" s="17" t="s">
        <v>51</v>
      </c>
      <c r="F14" s="18" t="n">
        <f aca="false">(B14-$K$6)/$K$7</f>
        <v>0</v>
      </c>
      <c r="G14" s="18" t="n">
        <f aca="false">(C14-$K$8)/$K$9</f>
        <v>0</v>
      </c>
      <c r="H14" s="19" t="str">
        <f aca="false">IF(E14="Train","ใช้ฝึกโมเดล","เก็บไว้ประเมิน")</f>
        <v>ใช้ฝึกโมเดล</v>
      </c>
      <c r="M14" s="25"/>
      <c r="N14" s="25"/>
      <c r="O14" s="25"/>
      <c r="P14" s="25"/>
      <c r="Q14" s="25"/>
    </row>
    <row r="15" customFormat="false" ht="22.5" hidden="false" customHeight="true" outlineLevel="0" collapsed="false">
      <c r="A15" s="15" t="s">
        <v>68</v>
      </c>
      <c r="B15" s="15" t="n">
        <v>5.5</v>
      </c>
      <c r="C15" s="16" t="n">
        <v>78</v>
      </c>
      <c r="D15" s="15" t="n">
        <v>76</v>
      </c>
      <c r="E15" s="17" t="s">
        <v>51</v>
      </c>
      <c r="F15" s="18" t="n">
        <f aca="false">(B15-$K$6)/$K$7</f>
        <v>0.2</v>
      </c>
      <c r="G15" s="18" t="n">
        <f aca="false">(C15-$K$8)/$K$9</f>
        <v>0.2</v>
      </c>
      <c r="H15" s="19" t="str">
        <f aca="false">IF(E15="Train","ใช้ฝึกโมเดล","เก็บไว้ประเมิน")</f>
        <v>ใช้ฝึกโมเดล</v>
      </c>
      <c r="M15" s="26" t="s">
        <v>69</v>
      </c>
      <c r="N15" s="26"/>
      <c r="O15" s="26"/>
      <c r="P15" s="26"/>
      <c r="Q15" s="26"/>
    </row>
    <row r="16" customFormat="false" ht="22.5" hidden="false" customHeight="true" outlineLevel="0" collapsed="false">
      <c r="A16" s="15" t="s">
        <v>70</v>
      </c>
      <c r="B16" s="15" t="n">
        <v>6</v>
      </c>
      <c r="C16" s="16" t="n">
        <v>80</v>
      </c>
      <c r="D16" s="15" t="n">
        <v>79</v>
      </c>
      <c r="E16" s="17" t="s">
        <v>51</v>
      </c>
      <c r="F16" s="18" t="n">
        <f aca="false">(B16-$K$6)/$K$7</f>
        <v>0.4</v>
      </c>
      <c r="G16" s="18" t="n">
        <f aca="false">(C16-$K$8)/$K$9</f>
        <v>0.333333333333333</v>
      </c>
      <c r="H16" s="19" t="str">
        <f aca="false">IF(E16="Train","ใช้ฝึกโมเดล","เก็บไว้ประเมิน")</f>
        <v>ใช้ฝึกโมเดล</v>
      </c>
      <c r="M16" s="26"/>
      <c r="N16" s="26"/>
      <c r="O16" s="26"/>
      <c r="P16" s="26"/>
      <c r="Q16" s="26"/>
    </row>
    <row r="17" customFormat="false" ht="22.5" hidden="false" customHeight="true" outlineLevel="0" collapsed="false">
      <c r="A17" s="15" t="s">
        <v>71</v>
      </c>
      <c r="B17" s="15" t="n">
        <v>6.5</v>
      </c>
      <c r="C17" s="16" t="n">
        <v>82</v>
      </c>
      <c r="D17" s="15" t="n">
        <v>82</v>
      </c>
      <c r="E17" s="17" t="s">
        <v>51</v>
      </c>
      <c r="F17" s="18" t="n">
        <f aca="false">(B17-$K$6)/$K$7</f>
        <v>0.6</v>
      </c>
      <c r="G17" s="18" t="n">
        <f aca="false">(C17-$K$8)/$K$9</f>
        <v>0.466666666666667</v>
      </c>
      <c r="H17" s="19" t="str">
        <f aca="false">IF(E17="Train","ใช้ฝึกโมเดล","เก็บไว้ประเมิน")</f>
        <v>ใช้ฝึกโมเดล</v>
      </c>
      <c r="M17" s="26"/>
      <c r="N17" s="26"/>
      <c r="O17" s="26"/>
      <c r="P17" s="26"/>
      <c r="Q17" s="26"/>
    </row>
    <row r="18" customFormat="false" ht="22.5" hidden="false" customHeight="true" outlineLevel="0" collapsed="false">
      <c r="A18" s="15" t="s">
        <v>72</v>
      </c>
      <c r="B18" s="15" t="n">
        <v>7</v>
      </c>
      <c r="C18" s="16" t="n">
        <v>85</v>
      </c>
      <c r="D18" s="15" t="n">
        <v>87</v>
      </c>
      <c r="E18" s="17" t="s">
        <v>51</v>
      </c>
      <c r="F18" s="18" t="n">
        <f aca="false">(B18-$K$6)/$K$7</f>
        <v>0.8</v>
      </c>
      <c r="G18" s="18" t="n">
        <f aca="false">(C18-$K$8)/$K$9</f>
        <v>0.666666666666667</v>
      </c>
      <c r="H18" s="19" t="str">
        <f aca="false">IF(E18="Train","ใช้ฝึกโมเดล","เก็บไว้ประเมิน")</f>
        <v>ใช้ฝึกโมเดล</v>
      </c>
      <c r="M18" s="25" t="s">
        <v>73</v>
      </c>
      <c r="N18" s="25"/>
      <c r="O18" s="25"/>
      <c r="P18" s="25"/>
      <c r="Q18" s="25"/>
    </row>
    <row r="19" customFormat="false" ht="22.5" hidden="false" customHeight="true" outlineLevel="0" collapsed="false">
      <c r="A19" s="15" t="s">
        <v>74</v>
      </c>
      <c r="B19" s="15" t="n">
        <v>7.5</v>
      </c>
      <c r="C19" s="16" t="n">
        <v>88</v>
      </c>
      <c r="D19" s="15" t="n">
        <v>89</v>
      </c>
      <c r="E19" s="17" t="s">
        <v>51</v>
      </c>
      <c r="F19" s="18" t="n">
        <f aca="false">(B19-$K$6)/$K$7</f>
        <v>1</v>
      </c>
      <c r="G19" s="18" t="n">
        <f aca="false">(C19-$K$8)/$K$9</f>
        <v>0.866666666666667</v>
      </c>
      <c r="H19" s="19" t="str">
        <f aca="false">IF(E19="Train","ใช้ฝึกโมเดล","เก็บไว้ประเมิน")</f>
        <v>ใช้ฝึกโมเดล</v>
      </c>
      <c r="M19" s="25"/>
      <c r="N19" s="25"/>
      <c r="O19" s="25"/>
      <c r="P19" s="25"/>
      <c r="Q19" s="25"/>
    </row>
    <row r="20" customFormat="false" ht="22.5" hidden="false" customHeight="true" outlineLevel="0" collapsed="false">
      <c r="A20" s="15" t="s">
        <v>75</v>
      </c>
      <c r="B20" s="15" t="n">
        <v>8</v>
      </c>
      <c r="C20" s="16" t="n">
        <v>90</v>
      </c>
      <c r="D20" s="15" t="n">
        <v>92</v>
      </c>
      <c r="E20" s="17" t="s">
        <v>51</v>
      </c>
      <c r="F20" s="18" t="n">
        <f aca="false">(B20-$K$6)/$K$7</f>
        <v>1.2</v>
      </c>
      <c r="G20" s="18" t="n">
        <f aca="false">(C20-$K$8)/$K$9</f>
        <v>1</v>
      </c>
      <c r="H20" s="19" t="str">
        <f aca="false">IF(E20="Train","ใช้ฝึกโมเดล","เก็บไว้ประเมิน")</f>
        <v>ใช้ฝึกโมเดล</v>
      </c>
      <c r="M20" s="25"/>
      <c r="N20" s="25"/>
      <c r="O20" s="25"/>
      <c r="P20" s="25"/>
      <c r="Q20" s="25"/>
    </row>
    <row r="21" customFormat="false" ht="22.5" hidden="false" customHeight="true" outlineLevel="0" collapsed="false">
      <c r="A21" s="15" t="s">
        <v>76</v>
      </c>
      <c r="B21" s="15" t="n">
        <v>8.5</v>
      </c>
      <c r="C21" s="16" t="n">
        <v>92</v>
      </c>
      <c r="D21" s="15" t="n">
        <v>96</v>
      </c>
      <c r="E21" s="17" t="s">
        <v>51</v>
      </c>
      <c r="F21" s="18" t="n">
        <f aca="false">(B21-$K$6)/$K$7</f>
        <v>1.4</v>
      </c>
      <c r="G21" s="18" t="n">
        <f aca="false">(C21-$K$8)/$K$9</f>
        <v>1.13333333333333</v>
      </c>
      <c r="H21" s="19" t="str">
        <f aca="false">IF(E21="Train","ใช้ฝึกโมเดล","เก็บไว้ประเมิน")</f>
        <v>ใช้ฝึกโมเดล</v>
      </c>
      <c r="M21" s="26" t="s">
        <v>77</v>
      </c>
      <c r="N21" s="26"/>
      <c r="O21" s="26"/>
      <c r="P21" s="26"/>
      <c r="Q21" s="26"/>
    </row>
    <row r="22" customFormat="false" ht="22.5" hidden="false" customHeight="true" outlineLevel="0" collapsed="false">
      <c r="A22" s="15" t="s">
        <v>78</v>
      </c>
      <c r="B22" s="15" t="n">
        <v>9</v>
      </c>
      <c r="C22" s="16" t="n">
        <v>95</v>
      </c>
      <c r="D22" s="15" t="n">
        <v>99</v>
      </c>
      <c r="E22" s="17" t="s">
        <v>51</v>
      </c>
      <c r="F22" s="18" t="n">
        <f aca="false">(B22-$K$6)/$K$7</f>
        <v>1.6</v>
      </c>
      <c r="G22" s="18" t="n">
        <f aca="false">(C22-$K$8)/$K$9</f>
        <v>1.33333333333333</v>
      </c>
      <c r="H22" s="19" t="str">
        <f aca="false">IF(E22="Train","ใช้ฝึกโมเดล","เก็บไว้ประเมิน")</f>
        <v>ใช้ฝึกโมเดล</v>
      </c>
      <c r="M22" s="26"/>
      <c r="N22" s="26"/>
      <c r="O22" s="26"/>
      <c r="P22" s="26"/>
      <c r="Q22" s="26"/>
    </row>
    <row r="23" customFormat="false" ht="22.5" hidden="false" customHeight="true" outlineLevel="0" collapsed="false">
      <c r="A23" s="15" t="s">
        <v>79</v>
      </c>
      <c r="B23" s="15" t="n">
        <v>5</v>
      </c>
      <c r="C23" s="16" t="n">
        <v>65</v>
      </c>
      <c r="D23" s="15" t="n">
        <v>65</v>
      </c>
      <c r="E23" s="17" t="s">
        <v>51</v>
      </c>
      <c r="F23" s="18" t="n">
        <f aca="false">(B23-$K$6)/$K$7</f>
        <v>0</v>
      </c>
      <c r="G23" s="18" t="n">
        <f aca="false">(C23-$K$8)/$K$9</f>
        <v>-0.666666666666667</v>
      </c>
      <c r="H23" s="19" t="str">
        <f aca="false">IF(E23="Train","ใช้ฝึกโมเดล","เก็บไว้ประเมิน")</f>
        <v>ใช้ฝึกโมเดล</v>
      </c>
      <c r="M23" s="26"/>
      <c r="N23" s="26"/>
      <c r="O23" s="26"/>
      <c r="P23" s="26"/>
      <c r="Q23" s="26"/>
    </row>
    <row r="24" customFormat="false" ht="22.5" hidden="false" customHeight="true" outlineLevel="0" collapsed="false">
      <c r="A24" s="15" t="s">
        <v>80</v>
      </c>
      <c r="B24" s="15" t="n">
        <v>3</v>
      </c>
      <c r="C24" s="16" t="n">
        <v>85</v>
      </c>
      <c r="D24" s="15" t="n">
        <v>70</v>
      </c>
      <c r="E24" s="17" t="s">
        <v>51</v>
      </c>
      <c r="F24" s="18" t="n">
        <f aca="false">(B24-$K$6)/$K$7</f>
        <v>-0.8</v>
      </c>
      <c r="G24" s="18" t="n">
        <f aca="false">(C24-$K$8)/$K$9</f>
        <v>0.666666666666667</v>
      </c>
      <c r="H24" s="19" t="str">
        <f aca="false">IF(E24="Train","ใช้ฝึกโมเดล","เก็บไว้ประเมิน")</f>
        <v>ใช้ฝึกโมเดล</v>
      </c>
    </row>
    <row r="25" customFormat="false" ht="22.5" hidden="false" customHeight="true" outlineLevel="0" collapsed="false">
      <c r="A25" s="15" t="s">
        <v>81</v>
      </c>
      <c r="B25" s="15" t="n">
        <v>7</v>
      </c>
      <c r="C25" s="16" t="n">
        <v>65</v>
      </c>
      <c r="D25" s="15" t="n">
        <v>78</v>
      </c>
      <c r="E25" s="17" t="s">
        <v>51</v>
      </c>
      <c r="F25" s="18" t="n">
        <f aca="false">(B25-$K$6)/$K$7</f>
        <v>0.8</v>
      </c>
      <c r="G25" s="18" t="n">
        <f aca="false">(C25-$K$8)/$K$9</f>
        <v>-0.666666666666667</v>
      </c>
      <c r="H25" s="19" t="str">
        <f aca="false">IF(E25="Train","ใช้ฝึกโมเดล","เก็บไว้ประเมิน")</f>
        <v>ใช้ฝึกโมเดล</v>
      </c>
      <c r="M25" s="14" t="s">
        <v>82</v>
      </c>
      <c r="N25" s="14"/>
      <c r="O25" s="14"/>
      <c r="P25" s="14"/>
      <c r="Q25" s="14"/>
    </row>
    <row r="26" customFormat="false" ht="22.5" hidden="false" customHeight="true" outlineLevel="0" collapsed="false">
      <c r="A26" s="15" t="s">
        <v>83</v>
      </c>
      <c r="B26" s="15" t="n">
        <v>2</v>
      </c>
      <c r="C26" s="16" t="n">
        <v>55</v>
      </c>
      <c r="D26" s="15" t="n">
        <v>50</v>
      </c>
      <c r="E26" s="27" t="s">
        <v>84</v>
      </c>
      <c r="F26" s="18" t="n">
        <f aca="false">(B26-$K$6)/$K$7</f>
        <v>-1.2</v>
      </c>
      <c r="G26" s="18" t="n">
        <f aca="false">(C26-$K$8)/$K$9</f>
        <v>-1.33333333333333</v>
      </c>
      <c r="H26" s="19" t="str">
        <f aca="false">IF(E26="Train","ใช้ฝึกโมเดล","เก็บไว้ประเมิน")</f>
        <v>เก็บไว้ประเมิน</v>
      </c>
      <c r="M26" s="14"/>
      <c r="N26" s="14"/>
      <c r="O26" s="14"/>
      <c r="P26" s="14"/>
      <c r="Q26" s="14"/>
    </row>
    <row r="27" customFormat="false" ht="22.5" hidden="false" customHeight="true" outlineLevel="0" collapsed="false">
      <c r="A27" s="15" t="s">
        <v>85</v>
      </c>
      <c r="B27" s="15" t="n">
        <v>3</v>
      </c>
      <c r="C27" s="16" t="n">
        <v>75</v>
      </c>
      <c r="D27" s="15" t="n">
        <v>60</v>
      </c>
      <c r="E27" s="27" t="s">
        <v>84</v>
      </c>
      <c r="F27" s="18" t="n">
        <f aca="false">(B27-$K$6)/$K$7</f>
        <v>-0.8</v>
      </c>
      <c r="G27" s="18" t="n">
        <f aca="false">(C27-$K$8)/$K$9</f>
        <v>0</v>
      </c>
      <c r="H27" s="19" t="str">
        <f aca="false">IF(E27="Train","ใช้ฝึกโมเดล","เก็บไว้ประเมิน")</f>
        <v>เก็บไว้ประเมิน</v>
      </c>
      <c r="M27" s="14"/>
      <c r="N27" s="14"/>
      <c r="O27" s="14"/>
      <c r="P27" s="14"/>
      <c r="Q27" s="14"/>
    </row>
    <row r="28" customFormat="false" ht="22.5" hidden="false" customHeight="true" outlineLevel="0" collapsed="false">
      <c r="A28" s="15" t="s">
        <v>86</v>
      </c>
      <c r="B28" s="15" t="n">
        <v>4</v>
      </c>
      <c r="C28" s="16" t="n">
        <v>82</v>
      </c>
      <c r="D28" s="15" t="n">
        <v>72</v>
      </c>
      <c r="E28" s="27" t="s">
        <v>84</v>
      </c>
      <c r="F28" s="18" t="n">
        <f aca="false">(B28-$K$6)/$K$7</f>
        <v>-0.4</v>
      </c>
      <c r="G28" s="18" t="n">
        <f aca="false">(C28-$K$8)/$K$9</f>
        <v>0.466666666666667</v>
      </c>
      <c r="H28" s="19" t="str">
        <f aca="false">IF(E28="Train","ใช้ฝึกโมเดล","เก็บไว้ประเมิน")</f>
        <v>เก็บไว้ประเมิน</v>
      </c>
    </row>
    <row r="29" customFormat="false" ht="22.5" hidden="false" customHeight="true" outlineLevel="0" collapsed="false">
      <c r="A29" s="15" t="s">
        <v>87</v>
      </c>
      <c r="B29" s="15" t="n">
        <v>5</v>
      </c>
      <c r="C29" s="16" t="n">
        <v>65</v>
      </c>
      <c r="D29" s="15" t="n">
        <v>67</v>
      </c>
      <c r="E29" s="27" t="s">
        <v>84</v>
      </c>
      <c r="F29" s="18" t="n">
        <f aca="false">(B29-$K$6)/$K$7</f>
        <v>0</v>
      </c>
      <c r="G29" s="18" t="n">
        <f aca="false">(C29-$K$8)/$K$9</f>
        <v>-0.666666666666667</v>
      </c>
      <c r="H29" s="19" t="str">
        <f aca="false">IF(E29="Train","ใช้ฝึกโมเดล","เก็บไว้ประเมิน")</f>
        <v>เก็บไว้ประเมิน</v>
      </c>
      <c r="M29" s="4" t="s">
        <v>88</v>
      </c>
      <c r="N29" s="4"/>
      <c r="O29" s="4"/>
      <c r="P29" s="4"/>
      <c r="Q29" s="4"/>
    </row>
    <row r="30" customFormat="false" ht="33.75" hidden="false" customHeight="true" outlineLevel="0" collapsed="false">
      <c r="A30" s="15" t="s">
        <v>89</v>
      </c>
      <c r="B30" s="15" t="n">
        <v>5</v>
      </c>
      <c r="C30" s="16" t="n">
        <v>90</v>
      </c>
      <c r="D30" s="15" t="n">
        <v>80</v>
      </c>
      <c r="E30" s="27" t="s">
        <v>84</v>
      </c>
      <c r="F30" s="18" t="n">
        <f aca="false">(B30-$K$6)/$K$7</f>
        <v>0</v>
      </c>
      <c r="G30" s="18" t="n">
        <f aca="false">(C30-$K$8)/$K$9</f>
        <v>1</v>
      </c>
      <c r="H30" s="19" t="str">
        <f aca="false">IF(E30="Train","ใช้ฝึกโมเดล","เก็บไว้ประเมิน")</f>
        <v>เก็บไว้ประเมิน</v>
      </c>
      <c r="M30" s="13" t="s">
        <v>90</v>
      </c>
      <c r="N30" s="13" t="s">
        <v>91</v>
      </c>
      <c r="O30" s="13" t="s">
        <v>92</v>
      </c>
      <c r="P30" s="13" t="s">
        <v>93</v>
      </c>
      <c r="Q30" s="13"/>
    </row>
    <row r="31" customFormat="false" ht="30" hidden="false" customHeight="true" outlineLevel="0" collapsed="false">
      <c r="A31" s="15" t="s">
        <v>94</v>
      </c>
      <c r="B31" s="15" t="n">
        <v>6</v>
      </c>
      <c r="C31" s="16" t="n">
        <v>72</v>
      </c>
      <c r="D31" s="15" t="n">
        <v>73</v>
      </c>
      <c r="E31" s="27" t="s">
        <v>84</v>
      </c>
      <c r="F31" s="18" t="n">
        <f aca="false">(B31-$K$6)/$K$7</f>
        <v>0.4</v>
      </c>
      <c r="G31" s="18" t="n">
        <f aca="false">(C31-$K$8)/$K$9</f>
        <v>-0.2</v>
      </c>
      <c r="H31" s="19" t="str">
        <f aca="false">IF(E31="Train","ใช้ฝึกโมเดล","เก็บไว้ประเมิน")</f>
        <v>เก็บไว้ประเมิน</v>
      </c>
      <c r="M31" s="28" t="s">
        <v>52</v>
      </c>
      <c r="N31" s="29" t="n">
        <f aca="false">$K$6</f>
        <v>5</v>
      </c>
      <c r="O31" s="29" t="n">
        <f aca="false">AVERAGE($B$6:$B$25)</f>
        <v>5</v>
      </c>
      <c r="P31" s="30" t="s">
        <v>95</v>
      </c>
      <c r="Q31" s="30"/>
    </row>
    <row r="32" customFormat="false" ht="30" hidden="false" customHeight="true" outlineLevel="0" collapsed="false">
      <c r="A32" s="15" t="s">
        <v>96</v>
      </c>
      <c r="B32" s="15" t="n">
        <v>7</v>
      </c>
      <c r="C32" s="16" t="n">
        <v>60</v>
      </c>
      <c r="D32" s="15" t="n">
        <v>71</v>
      </c>
      <c r="E32" s="27" t="s">
        <v>84</v>
      </c>
      <c r="F32" s="18" t="n">
        <f aca="false">(B32-$K$6)/$K$7</f>
        <v>0.8</v>
      </c>
      <c r="G32" s="18" t="n">
        <f aca="false">(C32-$K$8)/$K$9</f>
        <v>-1</v>
      </c>
      <c r="H32" s="19" t="str">
        <f aca="false">IF(E32="Train","ใช้ฝึกโมเดล","เก็บไว้ประเมิน")</f>
        <v>เก็บไว้ประเมิน</v>
      </c>
      <c r="M32" s="31" t="s">
        <v>54</v>
      </c>
      <c r="N32" s="32" t="n">
        <f aca="false">$K$7</f>
        <v>2.5</v>
      </c>
      <c r="O32" s="32" t="n">
        <f aca="false">STDEVP($B$6:$B$25)</f>
        <v>2.34520787991172</v>
      </c>
      <c r="P32" s="33" t="s">
        <v>97</v>
      </c>
      <c r="Q32" s="33"/>
    </row>
    <row r="33" customFormat="false" ht="30" hidden="false" customHeight="true" outlineLevel="0" collapsed="false">
      <c r="A33" s="15" t="s">
        <v>98</v>
      </c>
      <c r="B33" s="15" t="n">
        <v>2.5</v>
      </c>
      <c r="C33" s="16" t="n">
        <v>95</v>
      </c>
      <c r="D33" s="15" t="n">
        <v>72</v>
      </c>
      <c r="E33" s="27" t="s">
        <v>84</v>
      </c>
      <c r="F33" s="18" t="n">
        <f aca="false">(B33-$K$6)/$K$7</f>
        <v>-1</v>
      </c>
      <c r="G33" s="18" t="n">
        <f aca="false">(C33-$K$8)/$K$9</f>
        <v>1.33333333333333</v>
      </c>
      <c r="H33" s="19" t="str">
        <f aca="false">IF(E33="Train","ใช้ฝึกโมเดล","เก็บไว้ประเมิน")</f>
        <v>เก็บไว้ประเมิน</v>
      </c>
      <c r="M33" s="28" t="s">
        <v>56</v>
      </c>
      <c r="N33" s="29" t="n">
        <f aca="false">$K$8</f>
        <v>75</v>
      </c>
      <c r="O33" s="29" t="n">
        <f aca="false">AVERAGE($C$6:$C$25)</f>
        <v>74.5</v>
      </c>
      <c r="P33" s="30" t="s">
        <v>99</v>
      </c>
      <c r="Q33" s="30"/>
    </row>
    <row r="34" customFormat="false" ht="30" hidden="false" customHeight="true" outlineLevel="0" collapsed="false">
      <c r="A34" s="15" t="s">
        <v>100</v>
      </c>
      <c r="B34" s="15" t="n">
        <v>8</v>
      </c>
      <c r="C34" s="16" t="n">
        <v>80</v>
      </c>
      <c r="D34" s="15" t="n">
        <v>88</v>
      </c>
      <c r="E34" s="27" t="s">
        <v>84</v>
      </c>
      <c r="F34" s="18" t="n">
        <f aca="false">(B34-$K$6)/$K$7</f>
        <v>1.2</v>
      </c>
      <c r="G34" s="18" t="n">
        <f aca="false">(C34-$K$8)/$K$9</f>
        <v>0.333333333333333</v>
      </c>
      <c r="H34" s="19" t="str">
        <f aca="false">IF(E34="Train","ใช้ฝึกโมเดล","เก็บไว้ประเมิน")</f>
        <v>เก็บไว้ประเมิน</v>
      </c>
      <c r="M34" s="31" t="s">
        <v>59</v>
      </c>
      <c r="N34" s="32" t="n">
        <f aca="false">$K$9</f>
        <v>15</v>
      </c>
      <c r="O34" s="32" t="n">
        <f aca="false">STDEVP($C$6:$C$25)</f>
        <v>11.8890706112799</v>
      </c>
      <c r="P34" s="33" t="s">
        <v>101</v>
      </c>
      <c r="Q34" s="33"/>
    </row>
    <row r="35" customFormat="false" ht="22.5" hidden="false" customHeight="true" outlineLevel="0" collapsed="false">
      <c r="A35" s="15" t="s">
        <v>102</v>
      </c>
      <c r="B35" s="15" t="n">
        <v>4.5</v>
      </c>
      <c r="C35" s="16" t="n">
        <v>70</v>
      </c>
      <c r="D35" s="15" t="n">
        <v>65</v>
      </c>
      <c r="E35" s="27" t="s">
        <v>84</v>
      </c>
      <c r="F35" s="18" t="n">
        <f aca="false">(B35-$K$6)/$K$7</f>
        <v>-0.2</v>
      </c>
      <c r="G35" s="18" t="n">
        <f aca="false">(C35-$K$8)/$K$9</f>
        <v>-0.333333333333333</v>
      </c>
      <c r="H35" s="19" t="str">
        <f aca="false">IF(E35="Train","ใช้ฝึกโมเดล","เก็บไว้ประเมิน")</f>
        <v>เก็บไว้ประเมิน</v>
      </c>
    </row>
    <row r="36" customFormat="false" ht="15" hidden="false" customHeight="true" outlineLevel="0" collapsed="false">
      <c r="M36" s="22" t="s">
        <v>103</v>
      </c>
      <c r="N36" s="22"/>
      <c r="O36" s="22"/>
      <c r="P36" s="22"/>
      <c r="Q36" s="22"/>
    </row>
    <row r="37" customFormat="false" ht="15" hidden="false" customHeight="false" outlineLevel="0" collapsed="false">
      <c r="A37" s="34" t="s">
        <v>104</v>
      </c>
      <c r="B37" s="35" t="s">
        <v>105</v>
      </c>
      <c r="C37" s="35"/>
      <c r="D37" s="35"/>
      <c r="E37" s="35"/>
      <c r="F37" s="35"/>
      <c r="G37" s="35"/>
      <c r="H37" s="35"/>
      <c r="M37" s="22"/>
      <c r="N37" s="22"/>
      <c r="O37" s="22"/>
      <c r="P37" s="22"/>
      <c r="Q37" s="22"/>
    </row>
  </sheetData>
  <autoFilter ref="A5:H35"/>
  <mergeCells count="20">
    <mergeCell ref="A1:Q1"/>
    <mergeCell ref="A2:Q2"/>
    <mergeCell ref="A4:H4"/>
    <mergeCell ref="J4:K4"/>
    <mergeCell ref="M4:Q4"/>
    <mergeCell ref="M5:Q7"/>
    <mergeCell ref="M8:Q10"/>
    <mergeCell ref="M12:Q14"/>
    <mergeCell ref="M15:Q17"/>
    <mergeCell ref="M18:Q20"/>
    <mergeCell ref="M21:Q23"/>
    <mergeCell ref="M25:Q27"/>
    <mergeCell ref="M29:Q29"/>
    <mergeCell ref="P30:Q30"/>
    <mergeCell ref="P31:Q31"/>
    <mergeCell ref="P32:Q32"/>
    <mergeCell ref="P33:Q33"/>
    <mergeCell ref="P34:Q34"/>
    <mergeCell ref="M36:Q37"/>
    <mergeCell ref="B37:H37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9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0" topLeftCell="A11" activePane="bottomLeft" state="frozen"/>
      <selection pane="topLeft" activeCell="A1" activeCellId="0" sqref="A1"/>
      <selection pane="bottomLeft" activeCell="G14" activeCellId="0" sqref="G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1"/>
    <col collapsed="false" customWidth="true" hidden="false" outlineLevel="0" max="7" min="5" style="1" width="13"/>
    <col collapsed="false" customWidth="true" hidden="false" outlineLevel="0" max="10" min="8" style="1" width="14"/>
    <col collapsed="false" customWidth="true" hidden="false" outlineLevel="0" max="11" min="11" style="1" width="15"/>
  </cols>
  <sheetData>
    <row r="1" customFormat="false" ht="33.75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4.75" hidden="false" customHeight="true" outlineLevel="0" collapsed="false">
      <c r="A2" s="3" t="s">
        <v>107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2.5" hidden="false" customHeight="true" outlineLevel="0" collapsed="false">
      <c r="A3" s="12" t="s">
        <v>108</v>
      </c>
      <c r="B3" s="12"/>
      <c r="C3" s="12"/>
      <c r="D3" s="12"/>
      <c r="E3" s="12"/>
      <c r="F3" s="12"/>
    </row>
    <row r="4" customFormat="false" ht="52" hidden="false" customHeight="false" outlineLevel="0" collapsed="false">
      <c r="A4" s="9" t="s">
        <v>109</v>
      </c>
      <c r="B4" s="36" t="n">
        <v>0.4</v>
      </c>
      <c r="J4" s="37" t="s">
        <v>110</v>
      </c>
      <c r="K4" s="38" t="s">
        <v>111</v>
      </c>
    </row>
    <row r="5" customFormat="false" ht="15" hidden="false" customHeight="false" outlineLevel="0" collapsed="false">
      <c r="A5" s="9" t="s">
        <v>112</v>
      </c>
      <c r="B5" s="39" t="n">
        <v>15</v>
      </c>
    </row>
    <row r="6" customFormat="false" ht="15" hidden="false" customHeight="false" outlineLevel="0" collapsed="false">
      <c r="A6" s="9" t="s">
        <v>113</v>
      </c>
      <c r="B6" s="40" t="n">
        <f aca="false">COUNTIF(01_Data!E6:E35,"Train")</f>
        <v>20</v>
      </c>
    </row>
    <row r="7" customFormat="false" ht="15" hidden="false" customHeight="false" outlineLevel="0" collapsed="false">
      <c r="C7" s="41" t="s">
        <v>114</v>
      </c>
      <c r="D7" s="42" t="n">
        <v>0</v>
      </c>
      <c r="E7" s="41" t="s">
        <v>115</v>
      </c>
      <c r="F7" s="42" t="n">
        <v>0</v>
      </c>
      <c r="G7" s="41" t="s">
        <v>116</v>
      </c>
      <c r="H7" s="42" t="n">
        <v>0</v>
      </c>
    </row>
    <row r="11" customFormat="false" ht="22.5" hidden="false" customHeight="true" outlineLevel="0" collapsed="false">
      <c r="A11" s="4" t="s">
        <v>117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43" t="s">
        <v>118</v>
      </c>
      <c r="B12" s="44" t="n">
        <v>1</v>
      </c>
      <c r="C12" s="43" t="s">
        <v>119</v>
      </c>
      <c r="D12" s="45" t="n">
        <f aca="false">$D$7</f>
        <v>0</v>
      </c>
      <c r="E12" s="43" t="s">
        <v>120</v>
      </c>
      <c r="F12" s="45" t="n">
        <f aca="false">$F$7</f>
        <v>0</v>
      </c>
      <c r="G12" s="43" t="s">
        <v>121</v>
      </c>
      <c r="H12" s="45" t="n">
        <f aca="false">$H$7</f>
        <v>0</v>
      </c>
      <c r="I12" s="44" t="s">
        <v>122</v>
      </c>
      <c r="J12" s="44"/>
      <c r="K12" s="44"/>
    </row>
    <row r="13" customFormat="false" ht="33.75" hidden="false" customHeight="true" outlineLevel="0" collapsed="false">
      <c r="A13" s="13" t="s">
        <v>123</v>
      </c>
      <c r="B13" s="13" t="s">
        <v>124</v>
      </c>
      <c r="C13" s="13" t="s">
        <v>125</v>
      </c>
      <c r="D13" s="13" t="s">
        <v>126</v>
      </c>
      <c r="E13" s="13" t="s">
        <v>127</v>
      </c>
      <c r="F13" s="13" t="s">
        <v>128</v>
      </c>
      <c r="G13" s="13" t="s">
        <v>129</v>
      </c>
      <c r="H13" s="13" t="s">
        <v>130</v>
      </c>
      <c r="I13" s="13" t="s">
        <v>131</v>
      </c>
      <c r="J13" s="13" t="s">
        <v>132</v>
      </c>
      <c r="K13" s="13" t="s">
        <v>133</v>
      </c>
    </row>
    <row r="14" customFormat="false" ht="15" hidden="false" customHeight="false" outlineLevel="0" collapsed="false">
      <c r="A14" s="46" t="str">
        <f aca="false">01_Data!A6</f>
        <v>S01</v>
      </c>
      <c r="B14" s="47" t="n">
        <f aca="false">01_Data!F6</f>
        <v>-1.6</v>
      </c>
      <c r="C14" s="47" t="n">
        <f aca="false">01_Data!G6</f>
        <v>-1.33333333333333</v>
      </c>
      <c r="D14" s="47" t="n">
        <f aca="false">01_Data!D6</f>
        <v>43</v>
      </c>
      <c r="E14" s="48" t="n">
        <f aca="false">$D$12+$F$12*B14+$H$12*C14</f>
        <v>0</v>
      </c>
      <c r="F14" s="49" t="n">
        <f aca="false">E14-D14</f>
        <v>-43</v>
      </c>
      <c r="G14" s="49" t="n">
        <f aca="false">F14</f>
        <v>-43</v>
      </c>
      <c r="H14" s="49" t="n">
        <f aca="false">F14*B14</f>
        <v>68.8</v>
      </c>
      <c r="I14" s="49" t="n">
        <f aca="false">F14*C14</f>
        <v>57.3333333333333</v>
      </c>
      <c r="J14" s="48" t="n">
        <f aca="false">F14^2</f>
        <v>1849</v>
      </c>
      <c r="K14" s="48" t="n">
        <f aca="false">0.5*J14</f>
        <v>924.5</v>
      </c>
    </row>
    <row r="15" customFormat="false" ht="15" hidden="false" customHeight="false" outlineLevel="0" collapsed="false">
      <c r="A15" s="46" t="str">
        <f aca="false">01_Data!A7</f>
        <v>S02</v>
      </c>
      <c r="B15" s="47" t="n">
        <f aca="false">01_Data!F7</f>
        <v>-1.4</v>
      </c>
      <c r="C15" s="47" t="n">
        <f aca="false">01_Data!G7</f>
        <v>-1</v>
      </c>
      <c r="D15" s="47" t="n">
        <f aca="false">01_Data!D7</f>
        <v>47</v>
      </c>
      <c r="E15" s="48" t="n">
        <f aca="false">$D$12+$F$12*B15+$H$12*C15</f>
        <v>0</v>
      </c>
      <c r="F15" s="49" t="n">
        <f aca="false">E15-D15</f>
        <v>-47</v>
      </c>
      <c r="G15" s="49" t="n">
        <f aca="false">F15</f>
        <v>-47</v>
      </c>
      <c r="H15" s="49" t="n">
        <f aca="false">F15*B15</f>
        <v>65.8</v>
      </c>
      <c r="I15" s="49" t="n">
        <f aca="false">F15*C15</f>
        <v>47</v>
      </c>
      <c r="J15" s="48" t="n">
        <f aca="false">F15^2</f>
        <v>2209</v>
      </c>
      <c r="K15" s="48" t="n">
        <f aca="false">0.5*J15</f>
        <v>1104.5</v>
      </c>
    </row>
    <row r="16" customFormat="false" ht="15" hidden="false" customHeight="false" outlineLevel="0" collapsed="false">
      <c r="A16" s="46" t="str">
        <f aca="false">01_Data!A8</f>
        <v>S03</v>
      </c>
      <c r="B16" s="47" t="n">
        <f aca="false">01_Data!F8</f>
        <v>-1.2</v>
      </c>
      <c r="C16" s="47" t="n">
        <f aca="false">01_Data!G8</f>
        <v>-1.13333333333333</v>
      </c>
      <c r="D16" s="47" t="n">
        <f aca="false">01_Data!D8</f>
        <v>51</v>
      </c>
      <c r="E16" s="48" t="n">
        <f aca="false">$D$12+$F$12*B16+$H$12*C16</f>
        <v>0</v>
      </c>
      <c r="F16" s="49" t="n">
        <f aca="false">E16-D16</f>
        <v>-51</v>
      </c>
      <c r="G16" s="49" t="n">
        <f aca="false">F16</f>
        <v>-51</v>
      </c>
      <c r="H16" s="49" t="n">
        <f aca="false">F16*B16</f>
        <v>61.2</v>
      </c>
      <c r="I16" s="49" t="n">
        <f aca="false">F16*C16</f>
        <v>57.8</v>
      </c>
      <c r="J16" s="48" t="n">
        <f aca="false">F16^2</f>
        <v>2601</v>
      </c>
      <c r="K16" s="48" t="n">
        <f aca="false">0.5*J16</f>
        <v>1300.5</v>
      </c>
    </row>
    <row r="17" customFormat="false" ht="15" hidden="false" customHeight="false" outlineLevel="0" collapsed="false">
      <c r="A17" s="46" t="str">
        <f aca="false">01_Data!A9</f>
        <v>S04</v>
      </c>
      <c r="B17" s="47" t="n">
        <f aca="false">01_Data!F9</f>
        <v>-1</v>
      </c>
      <c r="C17" s="47" t="n">
        <f aca="false">01_Data!G9</f>
        <v>-0.666666666666667</v>
      </c>
      <c r="D17" s="47" t="n">
        <f aca="false">01_Data!D9</f>
        <v>55</v>
      </c>
      <c r="E17" s="48" t="n">
        <f aca="false">$D$12+$F$12*B17+$H$12*C17</f>
        <v>0</v>
      </c>
      <c r="F17" s="49" t="n">
        <f aca="false">E17-D17</f>
        <v>-55</v>
      </c>
      <c r="G17" s="49" t="n">
        <f aca="false">F17</f>
        <v>-55</v>
      </c>
      <c r="H17" s="49" t="n">
        <f aca="false">F17*B17</f>
        <v>55</v>
      </c>
      <c r="I17" s="49" t="n">
        <f aca="false">F17*C17</f>
        <v>36.6666666666667</v>
      </c>
      <c r="J17" s="48" t="n">
        <f aca="false">F17^2</f>
        <v>3025</v>
      </c>
      <c r="K17" s="48" t="n">
        <f aca="false">0.5*J17</f>
        <v>1512.5</v>
      </c>
    </row>
    <row r="18" customFormat="false" ht="15" hidden="false" customHeight="false" outlineLevel="0" collapsed="false">
      <c r="A18" s="46" t="str">
        <f aca="false">01_Data!A10</f>
        <v>S05</v>
      </c>
      <c r="B18" s="47" t="n">
        <f aca="false">01_Data!F10</f>
        <v>-0.8</v>
      </c>
      <c r="C18" s="47" t="n">
        <f aca="false">01_Data!G10</f>
        <v>-0.866666666666667</v>
      </c>
      <c r="D18" s="47" t="n">
        <f aca="false">01_Data!D10</f>
        <v>56</v>
      </c>
      <c r="E18" s="48" t="n">
        <f aca="false">$D$12+$F$12*B18+$H$12*C18</f>
        <v>0</v>
      </c>
      <c r="F18" s="49" t="n">
        <f aca="false">E18-D18</f>
        <v>-56</v>
      </c>
      <c r="G18" s="49" t="n">
        <f aca="false">F18</f>
        <v>-56</v>
      </c>
      <c r="H18" s="49" t="n">
        <f aca="false">F18*B18</f>
        <v>44.8</v>
      </c>
      <c r="I18" s="49" t="n">
        <f aca="false">F18*C18</f>
        <v>48.5333333333333</v>
      </c>
      <c r="J18" s="48" t="n">
        <f aca="false">F18^2</f>
        <v>3136</v>
      </c>
      <c r="K18" s="48" t="n">
        <f aca="false">0.5*J18</f>
        <v>1568</v>
      </c>
    </row>
    <row r="19" customFormat="false" ht="15" hidden="false" customHeight="false" outlineLevel="0" collapsed="false">
      <c r="A19" s="46" t="str">
        <f aca="false">01_Data!A11</f>
        <v>S06</v>
      </c>
      <c r="B19" s="47" t="n">
        <f aca="false">01_Data!F11</f>
        <v>-0.6</v>
      </c>
      <c r="C19" s="47" t="n">
        <f aca="false">01_Data!G11</f>
        <v>-0.333333333333333</v>
      </c>
      <c r="D19" s="47" t="n">
        <f aca="false">01_Data!D11</f>
        <v>63</v>
      </c>
      <c r="E19" s="48" t="n">
        <f aca="false">$D$12+$F$12*B19+$H$12*C19</f>
        <v>0</v>
      </c>
      <c r="F19" s="49" t="n">
        <f aca="false">E19-D19</f>
        <v>-63</v>
      </c>
      <c r="G19" s="49" t="n">
        <f aca="false">F19</f>
        <v>-63</v>
      </c>
      <c r="H19" s="49" t="n">
        <f aca="false">F19*B19</f>
        <v>37.8</v>
      </c>
      <c r="I19" s="49" t="n">
        <f aca="false">F19*C19</f>
        <v>21</v>
      </c>
      <c r="J19" s="48" t="n">
        <f aca="false">F19^2</f>
        <v>3969</v>
      </c>
      <c r="K19" s="48" t="n">
        <f aca="false">0.5*J19</f>
        <v>1984.5</v>
      </c>
    </row>
    <row r="20" customFormat="false" ht="15" hidden="false" customHeight="false" outlineLevel="0" collapsed="false">
      <c r="A20" s="46" t="str">
        <f aca="false">01_Data!A12</f>
        <v>S07</v>
      </c>
      <c r="B20" s="47" t="n">
        <f aca="false">01_Data!F12</f>
        <v>-0.4</v>
      </c>
      <c r="C20" s="47" t="n">
        <f aca="false">01_Data!G12</f>
        <v>-0.466666666666667</v>
      </c>
      <c r="D20" s="47" t="n">
        <f aca="false">01_Data!D12</f>
        <v>61</v>
      </c>
      <c r="E20" s="48" t="n">
        <f aca="false">$D$12+$F$12*B20+$H$12*C20</f>
        <v>0</v>
      </c>
      <c r="F20" s="49" t="n">
        <f aca="false">E20-D20</f>
        <v>-61</v>
      </c>
      <c r="G20" s="49" t="n">
        <f aca="false">F20</f>
        <v>-61</v>
      </c>
      <c r="H20" s="49" t="n">
        <f aca="false">F20*B20</f>
        <v>24.4</v>
      </c>
      <c r="I20" s="49" t="n">
        <f aca="false">F20*C20</f>
        <v>28.4666666666667</v>
      </c>
      <c r="J20" s="48" t="n">
        <f aca="false">F20^2</f>
        <v>3721</v>
      </c>
      <c r="K20" s="48" t="n">
        <f aca="false">0.5*J20</f>
        <v>1860.5</v>
      </c>
    </row>
    <row r="21" customFormat="false" ht="15" hidden="false" customHeight="false" outlineLevel="0" collapsed="false">
      <c r="A21" s="46" t="str">
        <f aca="false">01_Data!A13</f>
        <v>S08</v>
      </c>
      <c r="B21" s="47" t="n">
        <f aca="false">01_Data!F13</f>
        <v>-0.2</v>
      </c>
      <c r="C21" s="47" t="n">
        <f aca="false">01_Data!G13</f>
        <v>-0.2</v>
      </c>
      <c r="D21" s="47" t="n">
        <f aca="false">01_Data!D13</f>
        <v>68</v>
      </c>
      <c r="E21" s="48" t="n">
        <f aca="false">$D$12+$F$12*B21+$H$12*C21</f>
        <v>0</v>
      </c>
      <c r="F21" s="49" t="n">
        <f aca="false">E21-D21</f>
        <v>-68</v>
      </c>
      <c r="G21" s="49" t="n">
        <f aca="false">F21</f>
        <v>-68</v>
      </c>
      <c r="H21" s="49" t="n">
        <f aca="false">F21*B21</f>
        <v>13.6</v>
      </c>
      <c r="I21" s="49" t="n">
        <f aca="false">F21*C21</f>
        <v>13.6</v>
      </c>
      <c r="J21" s="48" t="n">
        <f aca="false">F21^2</f>
        <v>4624</v>
      </c>
      <c r="K21" s="48" t="n">
        <f aca="false">0.5*J21</f>
        <v>2312</v>
      </c>
    </row>
    <row r="22" customFormat="false" ht="15" hidden="false" customHeight="false" outlineLevel="0" collapsed="false">
      <c r="A22" s="46" t="str">
        <f aca="false">01_Data!A14</f>
        <v>S09</v>
      </c>
      <c r="B22" s="47" t="n">
        <f aca="false">01_Data!F14</f>
        <v>0</v>
      </c>
      <c r="C22" s="47" t="n">
        <f aca="false">01_Data!G14</f>
        <v>0</v>
      </c>
      <c r="D22" s="47" t="n">
        <f aca="false">01_Data!D14</f>
        <v>72</v>
      </c>
      <c r="E22" s="48" t="n">
        <f aca="false">$D$12+$F$12*B22+$H$12*C22</f>
        <v>0</v>
      </c>
      <c r="F22" s="49" t="n">
        <f aca="false">E22-D22</f>
        <v>-72</v>
      </c>
      <c r="G22" s="49" t="n">
        <f aca="false">F22</f>
        <v>-72</v>
      </c>
      <c r="H22" s="49" t="n">
        <f aca="false">F22*B22</f>
        <v>-0</v>
      </c>
      <c r="I22" s="49" t="n">
        <f aca="false">F22*C22</f>
        <v>-0</v>
      </c>
      <c r="J22" s="48" t="n">
        <f aca="false">F22^2</f>
        <v>5184</v>
      </c>
      <c r="K22" s="48" t="n">
        <f aca="false">0.5*J22</f>
        <v>2592</v>
      </c>
    </row>
    <row r="23" customFormat="false" ht="15" hidden="false" customHeight="false" outlineLevel="0" collapsed="false">
      <c r="A23" s="46" t="str">
        <f aca="false">01_Data!A15</f>
        <v>S10</v>
      </c>
      <c r="B23" s="47" t="n">
        <f aca="false">01_Data!F15</f>
        <v>0.2</v>
      </c>
      <c r="C23" s="47" t="n">
        <f aca="false">01_Data!G15</f>
        <v>0.2</v>
      </c>
      <c r="D23" s="47" t="n">
        <f aca="false">01_Data!D15</f>
        <v>76</v>
      </c>
      <c r="E23" s="48" t="n">
        <f aca="false">$D$12+$F$12*B23+$H$12*C23</f>
        <v>0</v>
      </c>
      <c r="F23" s="49" t="n">
        <f aca="false">E23-D23</f>
        <v>-76</v>
      </c>
      <c r="G23" s="49" t="n">
        <f aca="false">F23</f>
        <v>-76</v>
      </c>
      <c r="H23" s="49" t="n">
        <f aca="false">F23*B23</f>
        <v>-15.2</v>
      </c>
      <c r="I23" s="49" t="n">
        <f aca="false">F23*C23</f>
        <v>-15.2</v>
      </c>
      <c r="J23" s="48" t="n">
        <f aca="false">F23^2</f>
        <v>5776</v>
      </c>
      <c r="K23" s="48" t="n">
        <f aca="false">0.5*J23</f>
        <v>2888</v>
      </c>
    </row>
    <row r="24" customFormat="false" ht="15" hidden="false" customHeight="false" outlineLevel="0" collapsed="false">
      <c r="A24" s="46" t="str">
        <f aca="false">01_Data!A16</f>
        <v>S11</v>
      </c>
      <c r="B24" s="47" t="n">
        <f aca="false">01_Data!F16</f>
        <v>0.4</v>
      </c>
      <c r="C24" s="47" t="n">
        <f aca="false">01_Data!G16</f>
        <v>0.333333333333333</v>
      </c>
      <c r="D24" s="47" t="n">
        <f aca="false">01_Data!D16</f>
        <v>79</v>
      </c>
      <c r="E24" s="48" t="n">
        <f aca="false">$D$12+$F$12*B24+$H$12*C24</f>
        <v>0</v>
      </c>
      <c r="F24" s="49" t="n">
        <f aca="false">E24-D24</f>
        <v>-79</v>
      </c>
      <c r="G24" s="49" t="n">
        <f aca="false">F24</f>
        <v>-79</v>
      </c>
      <c r="H24" s="49" t="n">
        <f aca="false">F24*B24</f>
        <v>-31.6</v>
      </c>
      <c r="I24" s="49" t="n">
        <f aca="false">F24*C24</f>
        <v>-26.3333333333333</v>
      </c>
      <c r="J24" s="48" t="n">
        <f aca="false">F24^2</f>
        <v>6241</v>
      </c>
      <c r="K24" s="48" t="n">
        <f aca="false">0.5*J24</f>
        <v>3120.5</v>
      </c>
    </row>
    <row r="25" customFormat="false" ht="15" hidden="false" customHeight="false" outlineLevel="0" collapsed="false">
      <c r="A25" s="46" t="str">
        <f aca="false">01_Data!A17</f>
        <v>S12</v>
      </c>
      <c r="B25" s="47" t="n">
        <f aca="false">01_Data!F17</f>
        <v>0.6</v>
      </c>
      <c r="C25" s="47" t="n">
        <f aca="false">01_Data!G17</f>
        <v>0.466666666666667</v>
      </c>
      <c r="D25" s="47" t="n">
        <f aca="false">01_Data!D17</f>
        <v>82</v>
      </c>
      <c r="E25" s="48" t="n">
        <f aca="false">$D$12+$F$12*B25+$H$12*C25</f>
        <v>0</v>
      </c>
      <c r="F25" s="49" t="n">
        <f aca="false">E25-D25</f>
        <v>-82</v>
      </c>
      <c r="G25" s="49" t="n">
        <f aca="false">F25</f>
        <v>-82</v>
      </c>
      <c r="H25" s="49" t="n">
        <f aca="false">F25*B25</f>
        <v>-49.2</v>
      </c>
      <c r="I25" s="49" t="n">
        <f aca="false">F25*C25</f>
        <v>-38.2666666666667</v>
      </c>
      <c r="J25" s="48" t="n">
        <f aca="false">F25^2</f>
        <v>6724</v>
      </c>
      <c r="K25" s="48" t="n">
        <f aca="false">0.5*J25</f>
        <v>3362</v>
      </c>
    </row>
    <row r="26" customFormat="false" ht="15" hidden="false" customHeight="false" outlineLevel="0" collapsed="false">
      <c r="A26" s="46" t="str">
        <f aca="false">01_Data!A18</f>
        <v>S13</v>
      </c>
      <c r="B26" s="47" t="n">
        <f aca="false">01_Data!F18</f>
        <v>0.8</v>
      </c>
      <c r="C26" s="47" t="n">
        <f aca="false">01_Data!G18</f>
        <v>0.666666666666667</v>
      </c>
      <c r="D26" s="47" t="n">
        <f aca="false">01_Data!D18</f>
        <v>87</v>
      </c>
      <c r="E26" s="48" t="n">
        <f aca="false">$D$12+$F$12*B26+$H$12*C26</f>
        <v>0</v>
      </c>
      <c r="F26" s="49" t="n">
        <f aca="false">E26-D26</f>
        <v>-87</v>
      </c>
      <c r="G26" s="49" t="n">
        <f aca="false">F26</f>
        <v>-87</v>
      </c>
      <c r="H26" s="49" t="n">
        <f aca="false">F26*B26</f>
        <v>-69.6</v>
      </c>
      <c r="I26" s="49" t="n">
        <f aca="false">F26*C26</f>
        <v>-58</v>
      </c>
      <c r="J26" s="48" t="n">
        <f aca="false">F26^2</f>
        <v>7569</v>
      </c>
      <c r="K26" s="48" t="n">
        <f aca="false">0.5*J26</f>
        <v>3784.5</v>
      </c>
    </row>
    <row r="27" customFormat="false" ht="15" hidden="false" customHeight="false" outlineLevel="0" collapsed="false">
      <c r="A27" s="46" t="str">
        <f aca="false">01_Data!A19</f>
        <v>S14</v>
      </c>
      <c r="B27" s="47" t="n">
        <f aca="false">01_Data!F19</f>
        <v>1</v>
      </c>
      <c r="C27" s="47" t="n">
        <f aca="false">01_Data!G19</f>
        <v>0.866666666666667</v>
      </c>
      <c r="D27" s="47" t="n">
        <f aca="false">01_Data!D19</f>
        <v>89</v>
      </c>
      <c r="E27" s="48" t="n">
        <f aca="false">$D$12+$F$12*B27+$H$12*C27</f>
        <v>0</v>
      </c>
      <c r="F27" s="49" t="n">
        <f aca="false">E27-D27</f>
        <v>-89</v>
      </c>
      <c r="G27" s="49" t="n">
        <f aca="false">F27</f>
        <v>-89</v>
      </c>
      <c r="H27" s="49" t="n">
        <f aca="false">F27*B27</f>
        <v>-89</v>
      </c>
      <c r="I27" s="49" t="n">
        <f aca="false">F27*C27</f>
        <v>-77.1333333333333</v>
      </c>
      <c r="J27" s="48" t="n">
        <f aca="false">F27^2</f>
        <v>7921</v>
      </c>
      <c r="K27" s="48" t="n">
        <f aca="false">0.5*J27</f>
        <v>3960.5</v>
      </c>
    </row>
    <row r="28" customFormat="false" ht="15" hidden="false" customHeight="false" outlineLevel="0" collapsed="false">
      <c r="A28" s="46" t="str">
        <f aca="false">01_Data!A20</f>
        <v>S15</v>
      </c>
      <c r="B28" s="47" t="n">
        <f aca="false">01_Data!F20</f>
        <v>1.2</v>
      </c>
      <c r="C28" s="47" t="n">
        <f aca="false">01_Data!G20</f>
        <v>1</v>
      </c>
      <c r="D28" s="47" t="n">
        <f aca="false">01_Data!D20</f>
        <v>92</v>
      </c>
      <c r="E28" s="48" t="n">
        <f aca="false">$D$12+$F$12*B28+$H$12*C28</f>
        <v>0</v>
      </c>
      <c r="F28" s="49" t="n">
        <f aca="false">E28-D28</f>
        <v>-92</v>
      </c>
      <c r="G28" s="49" t="n">
        <f aca="false">F28</f>
        <v>-92</v>
      </c>
      <c r="H28" s="49" t="n">
        <f aca="false">F28*B28</f>
        <v>-110.4</v>
      </c>
      <c r="I28" s="49" t="n">
        <f aca="false">F28*C28</f>
        <v>-92</v>
      </c>
      <c r="J28" s="48" t="n">
        <f aca="false">F28^2</f>
        <v>8464</v>
      </c>
      <c r="K28" s="48" t="n">
        <f aca="false">0.5*J28</f>
        <v>4232</v>
      </c>
    </row>
    <row r="29" customFormat="false" ht="15" hidden="false" customHeight="false" outlineLevel="0" collapsed="false">
      <c r="A29" s="46" t="str">
        <f aca="false">01_Data!A21</f>
        <v>S16</v>
      </c>
      <c r="B29" s="47" t="n">
        <f aca="false">01_Data!F21</f>
        <v>1.4</v>
      </c>
      <c r="C29" s="47" t="n">
        <f aca="false">01_Data!G21</f>
        <v>1.13333333333333</v>
      </c>
      <c r="D29" s="47" t="n">
        <f aca="false">01_Data!D21</f>
        <v>96</v>
      </c>
      <c r="E29" s="48" t="n">
        <f aca="false">$D$12+$F$12*B29+$H$12*C29</f>
        <v>0</v>
      </c>
      <c r="F29" s="49" t="n">
        <f aca="false">E29-D29</f>
        <v>-96</v>
      </c>
      <c r="G29" s="49" t="n">
        <f aca="false">F29</f>
        <v>-96</v>
      </c>
      <c r="H29" s="49" t="n">
        <f aca="false">F29*B29</f>
        <v>-134.4</v>
      </c>
      <c r="I29" s="49" t="n">
        <f aca="false">F29*C29</f>
        <v>-108.8</v>
      </c>
      <c r="J29" s="48" t="n">
        <f aca="false">F29^2</f>
        <v>9216</v>
      </c>
      <c r="K29" s="48" t="n">
        <f aca="false">0.5*J29</f>
        <v>4608</v>
      </c>
    </row>
    <row r="30" customFormat="false" ht="15" hidden="false" customHeight="false" outlineLevel="0" collapsed="false">
      <c r="A30" s="46" t="str">
        <f aca="false">01_Data!A22</f>
        <v>S17</v>
      </c>
      <c r="B30" s="47" t="n">
        <f aca="false">01_Data!F22</f>
        <v>1.6</v>
      </c>
      <c r="C30" s="47" t="n">
        <f aca="false">01_Data!G22</f>
        <v>1.33333333333333</v>
      </c>
      <c r="D30" s="47" t="n">
        <f aca="false">01_Data!D22</f>
        <v>99</v>
      </c>
      <c r="E30" s="48" t="n">
        <f aca="false">$D$12+$F$12*B30+$H$12*C30</f>
        <v>0</v>
      </c>
      <c r="F30" s="49" t="n">
        <f aca="false">E30-D30</f>
        <v>-99</v>
      </c>
      <c r="G30" s="49" t="n">
        <f aca="false">F30</f>
        <v>-99</v>
      </c>
      <c r="H30" s="49" t="n">
        <f aca="false">F30*B30</f>
        <v>-158.4</v>
      </c>
      <c r="I30" s="49" t="n">
        <f aca="false">F30*C30</f>
        <v>-132</v>
      </c>
      <c r="J30" s="48" t="n">
        <f aca="false">F30^2</f>
        <v>9801</v>
      </c>
      <c r="K30" s="48" t="n">
        <f aca="false">0.5*J30</f>
        <v>4900.5</v>
      </c>
    </row>
    <row r="31" customFormat="false" ht="15" hidden="false" customHeight="false" outlineLevel="0" collapsed="false">
      <c r="A31" s="46" t="str">
        <f aca="false">01_Data!A23</f>
        <v>S18</v>
      </c>
      <c r="B31" s="47" t="n">
        <f aca="false">01_Data!F23</f>
        <v>0</v>
      </c>
      <c r="C31" s="47" t="n">
        <f aca="false">01_Data!G23</f>
        <v>-0.666666666666667</v>
      </c>
      <c r="D31" s="47" t="n">
        <f aca="false">01_Data!D23</f>
        <v>65</v>
      </c>
      <c r="E31" s="48" t="n">
        <f aca="false">$D$12+$F$12*B31+$H$12*C31</f>
        <v>0</v>
      </c>
      <c r="F31" s="49" t="n">
        <f aca="false">E31-D31</f>
        <v>-65</v>
      </c>
      <c r="G31" s="49" t="n">
        <f aca="false">F31</f>
        <v>-65</v>
      </c>
      <c r="H31" s="49" t="n">
        <f aca="false">F31*B31</f>
        <v>-0</v>
      </c>
      <c r="I31" s="49" t="n">
        <f aca="false">F31*C31</f>
        <v>43.3333333333333</v>
      </c>
      <c r="J31" s="48" t="n">
        <f aca="false">F31^2</f>
        <v>4225</v>
      </c>
      <c r="K31" s="48" t="n">
        <f aca="false">0.5*J31</f>
        <v>2112.5</v>
      </c>
    </row>
    <row r="32" customFormat="false" ht="15" hidden="false" customHeight="false" outlineLevel="0" collapsed="false">
      <c r="A32" s="46" t="str">
        <f aca="false">01_Data!A24</f>
        <v>S19</v>
      </c>
      <c r="B32" s="47" t="n">
        <f aca="false">01_Data!F24</f>
        <v>-0.8</v>
      </c>
      <c r="C32" s="47" t="n">
        <f aca="false">01_Data!G24</f>
        <v>0.666666666666667</v>
      </c>
      <c r="D32" s="47" t="n">
        <f aca="false">01_Data!D24</f>
        <v>70</v>
      </c>
      <c r="E32" s="48" t="n">
        <f aca="false">$D$12+$F$12*B32+$H$12*C32</f>
        <v>0</v>
      </c>
      <c r="F32" s="49" t="n">
        <f aca="false">E32-D32</f>
        <v>-70</v>
      </c>
      <c r="G32" s="49" t="n">
        <f aca="false">F32</f>
        <v>-70</v>
      </c>
      <c r="H32" s="49" t="n">
        <f aca="false">F32*B32</f>
        <v>56</v>
      </c>
      <c r="I32" s="49" t="n">
        <f aca="false">F32*C32</f>
        <v>-46.6666666666667</v>
      </c>
      <c r="J32" s="48" t="n">
        <f aca="false">F32^2</f>
        <v>4900</v>
      </c>
      <c r="K32" s="48" t="n">
        <f aca="false">0.5*J32</f>
        <v>2450</v>
      </c>
    </row>
    <row r="33" customFormat="false" ht="15" hidden="false" customHeight="false" outlineLevel="0" collapsed="false">
      <c r="A33" s="46" t="str">
        <f aca="false">01_Data!A25</f>
        <v>S20</v>
      </c>
      <c r="B33" s="47" t="n">
        <f aca="false">01_Data!F25</f>
        <v>0.8</v>
      </c>
      <c r="C33" s="47" t="n">
        <f aca="false">01_Data!G25</f>
        <v>-0.666666666666667</v>
      </c>
      <c r="D33" s="47" t="n">
        <f aca="false">01_Data!D25</f>
        <v>78</v>
      </c>
      <c r="E33" s="48" t="n">
        <f aca="false">$D$12+$F$12*B33+$H$12*C33</f>
        <v>0</v>
      </c>
      <c r="F33" s="49" t="n">
        <f aca="false">E33-D33</f>
        <v>-78</v>
      </c>
      <c r="G33" s="49" t="n">
        <f aca="false">F33</f>
        <v>-78</v>
      </c>
      <c r="H33" s="49" t="n">
        <f aca="false">F33*B33</f>
        <v>-62.4</v>
      </c>
      <c r="I33" s="49" t="n">
        <f aca="false">F33*C33</f>
        <v>52</v>
      </c>
      <c r="J33" s="48" t="n">
        <f aca="false">F33^2</f>
        <v>6084</v>
      </c>
      <c r="K33" s="48" t="n">
        <f aca="false">0.5*J33</f>
        <v>3042</v>
      </c>
    </row>
    <row r="34" customFormat="false" ht="15" hidden="false" customHeight="false" outlineLevel="0" collapsed="false">
      <c r="A34" s="50" t="s">
        <v>134</v>
      </c>
      <c r="B34" s="50"/>
      <c r="C34" s="50"/>
      <c r="D34" s="50"/>
      <c r="E34" s="50"/>
      <c r="F34" s="50"/>
      <c r="G34" s="51" t="n">
        <f aca="false">AVERAGE(G14:G33)</f>
        <v>-71.45</v>
      </c>
      <c r="H34" s="51" t="n">
        <f aca="false">AVERAGE(H14:H33)</f>
        <v>-14.64</v>
      </c>
      <c r="I34" s="51" t="n">
        <f aca="false">AVERAGE(I14:I33)</f>
        <v>-9.43333333333333</v>
      </c>
      <c r="J34" s="51" t="n">
        <f aca="false">AVERAGE(J14:J33)</f>
        <v>5361.95</v>
      </c>
      <c r="K34" s="51" t="n">
        <f aca="false">AVERAGE(K14:K33)</f>
        <v>2680.975</v>
      </c>
    </row>
    <row r="35" customFormat="false" ht="22.35" hidden="false" customHeight="true" outlineLevel="0" collapsed="false">
      <c r="A35" s="43" t="s">
        <v>135</v>
      </c>
      <c r="B35" s="43"/>
      <c r="C35" s="43" t="s">
        <v>136</v>
      </c>
      <c r="D35" s="52" t="n">
        <f aca="false">D12-$B$4*G34</f>
        <v>28.58</v>
      </c>
      <c r="E35" s="43" t="s">
        <v>137</v>
      </c>
      <c r="F35" s="52" t="n">
        <f aca="false">F12-$B$4*H34</f>
        <v>5.856</v>
      </c>
      <c r="G35" s="43" t="s">
        <v>138</v>
      </c>
      <c r="H35" s="52" t="n">
        <f aca="false">H12-$B$4*I34</f>
        <v>3.77333333333333</v>
      </c>
      <c r="I35" s="44" t="s">
        <v>139</v>
      </c>
      <c r="J35" s="44"/>
      <c r="K35" s="44"/>
    </row>
    <row r="37" customFormat="false" ht="22.5" hidden="false" customHeight="true" outlineLevel="0" collapsed="false">
      <c r="A37" s="53" t="s">
        <v>140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</row>
    <row r="38" customFormat="false" ht="15" hidden="false" customHeight="true" outlineLevel="0" collapsed="false">
      <c r="A38" s="43" t="s">
        <v>118</v>
      </c>
      <c r="B38" s="44" t="n">
        <v>2</v>
      </c>
      <c r="C38" s="43" t="s">
        <v>119</v>
      </c>
      <c r="D38" s="54" t="n">
        <f aca="false">D35</f>
        <v>28.58</v>
      </c>
      <c r="E38" s="43" t="s">
        <v>120</v>
      </c>
      <c r="F38" s="54" t="n">
        <f aca="false">F35</f>
        <v>5.856</v>
      </c>
      <c r="G38" s="43" t="s">
        <v>121</v>
      </c>
      <c r="H38" s="54" t="n">
        <f aca="false">H35</f>
        <v>3.77333333333333</v>
      </c>
      <c r="I38" s="44" t="s">
        <v>122</v>
      </c>
      <c r="J38" s="44"/>
      <c r="K38" s="44"/>
    </row>
    <row r="39" customFormat="false" ht="33.75" hidden="false" customHeight="true" outlineLevel="0" collapsed="false">
      <c r="A39" s="13" t="s">
        <v>123</v>
      </c>
      <c r="B39" s="13" t="s">
        <v>124</v>
      </c>
      <c r="C39" s="13" t="s">
        <v>125</v>
      </c>
      <c r="D39" s="13" t="s">
        <v>126</v>
      </c>
      <c r="E39" s="13" t="s">
        <v>127</v>
      </c>
      <c r="F39" s="13" t="s">
        <v>128</v>
      </c>
      <c r="G39" s="13" t="s">
        <v>129</v>
      </c>
      <c r="H39" s="13" t="s">
        <v>130</v>
      </c>
      <c r="I39" s="13" t="s">
        <v>131</v>
      </c>
      <c r="J39" s="13" t="s">
        <v>132</v>
      </c>
      <c r="K39" s="13" t="s">
        <v>133</v>
      </c>
    </row>
    <row r="40" customFormat="false" ht="15" hidden="false" customHeight="false" outlineLevel="0" collapsed="false">
      <c r="A40" s="46" t="str">
        <f aca="false">01_Data!A6</f>
        <v>S01</v>
      </c>
      <c r="B40" s="47" t="n">
        <f aca="false">01_Data!F6</f>
        <v>-1.6</v>
      </c>
      <c r="C40" s="47" t="n">
        <f aca="false">01_Data!G6</f>
        <v>-1.33333333333333</v>
      </c>
      <c r="D40" s="47" t="n">
        <f aca="false">01_Data!D6</f>
        <v>43</v>
      </c>
      <c r="E40" s="48" t="n">
        <f aca="false">$D$38+$F$38*B40+$H$38*C40</f>
        <v>14.1792888888889</v>
      </c>
      <c r="F40" s="49" t="n">
        <f aca="false">E40-D40</f>
        <v>-28.8207111111111</v>
      </c>
      <c r="G40" s="49" t="n">
        <f aca="false">F40</f>
        <v>-28.8207111111111</v>
      </c>
      <c r="H40" s="49" t="n">
        <f aca="false">F40*B40</f>
        <v>46.1131377777778</v>
      </c>
      <c r="I40" s="49" t="n">
        <f aca="false">F40*C40</f>
        <v>38.4276148148148</v>
      </c>
      <c r="J40" s="48" t="n">
        <f aca="false">F40^2</f>
        <v>830.633388950123</v>
      </c>
      <c r="K40" s="48" t="n">
        <f aca="false">0.5*J40</f>
        <v>415.316694475062</v>
      </c>
    </row>
    <row r="41" customFormat="false" ht="15" hidden="false" customHeight="false" outlineLevel="0" collapsed="false">
      <c r="A41" s="46" t="str">
        <f aca="false">01_Data!A7</f>
        <v>S02</v>
      </c>
      <c r="B41" s="47" t="n">
        <f aca="false">01_Data!F7</f>
        <v>-1.4</v>
      </c>
      <c r="C41" s="47" t="n">
        <f aca="false">01_Data!G7</f>
        <v>-1</v>
      </c>
      <c r="D41" s="47" t="n">
        <f aca="false">01_Data!D7</f>
        <v>47</v>
      </c>
      <c r="E41" s="48" t="n">
        <f aca="false">$D$38+$F$38*B41+$H$38*C41</f>
        <v>16.6082666666667</v>
      </c>
      <c r="F41" s="49" t="n">
        <f aca="false">E41-D41</f>
        <v>-30.3917333333333</v>
      </c>
      <c r="G41" s="49" t="n">
        <f aca="false">F41</f>
        <v>-30.3917333333333</v>
      </c>
      <c r="H41" s="49" t="n">
        <f aca="false">F41*B41</f>
        <v>42.5484266666667</v>
      </c>
      <c r="I41" s="49" t="n">
        <f aca="false">F41*C41</f>
        <v>30.3917333333333</v>
      </c>
      <c r="J41" s="48" t="n">
        <f aca="false">F41^2</f>
        <v>923.657455004445</v>
      </c>
      <c r="K41" s="48" t="n">
        <f aca="false">0.5*J41</f>
        <v>461.828727502222</v>
      </c>
    </row>
    <row r="42" customFormat="false" ht="15" hidden="false" customHeight="false" outlineLevel="0" collapsed="false">
      <c r="A42" s="46" t="str">
        <f aca="false">01_Data!A8</f>
        <v>S03</v>
      </c>
      <c r="B42" s="47" t="n">
        <f aca="false">01_Data!F8</f>
        <v>-1.2</v>
      </c>
      <c r="C42" s="47" t="n">
        <f aca="false">01_Data!G8</f>
        <v>-1.13333333333333</v>
      </c>
      <c r="D42" s="47" t="n">
        <f aca="false">01_Data!D8</f>
        <v>51</v>
      </c>
      <c r="E42" s="48" t="n">
        <f aca="false">$D$38+$F$38*B42+$H$38*C42</f>
        <v>17.2763555555556</v>
      </c>
      <c r="F42" s="49" t="n">
        <f aca="false">E42-D42</f>
        <v>-33.7236444444444</v>
      </c>
      <c r="G42" s="49" t="n">
        <f aca="false">F42</f>
        <v>-33.7236444444444</v>
      </c>
      <c r="H42" s="49" t="n">
        <f aca="false">F42*B42</f>
        <v>40.4683733333333</v>
      </c>
      <c r="I42" s="49" t="n">
        <f aca="false">F42*C42</f>
        <v>38.2201303703704</v>
      </c>
      <c r="J42" s="48" t="n">
        <f aca="false">F42^2</f>
        <v>1137.28419461531</v>
      </c>
      <c r="K42" s="48" t="n">
        <f aca="false">0.5*J42</f>
        <v>568.642097307654</v>
      </c>
    </row>
    <row r="43" customFormat="false" ht="15" hidden="false" customHeight="false" outlineLevel="0" collapsed="false">
      <c r="A43" s="46" t="str">
        <f aca="false">01_Data!A9</f>
        <v>S04</v>
      </c>
      <c r="B43" s="47" t="n">
        <f aca="false">01_Data!F9</f>
        <v>-1</v>
      </c>
      <c r="C43" s="47" t="n">
        <f aca="false">01_Data!G9</f>
        <v>-0.666666666666667</v>
      </c>
      <c r="D43" s="47" t="n">
        <f aca="false">01_Data!D9</f>
        <v>55</v>
      </c>
      <c r="E43" s="48" t="n">
        <f aca="false">$D$38+$F$38*B43+$H$38*C43</f>
        <v>20.2084444444444</v>
      </c>
      <c r="F43" s="49" t="n">
        <f aca="false">E43-D43</f>
        <v>-34.7915555555556</v>
      </c>
      <c r="G43" s="49" t="n">
        <f aca="false">F43</f>
        <v>-34.7915555555556</v>
      </c>
      <c r="H43" s="49" t="n">
        <f aca="false">F43*B43</f>
        <v>34.7915555555556</v>
      </c>
      <c r="I43" s="49" t="n">
        <f aca="false">F43*C43</f>
        <v>23.1943703703704</v>
      </c>
      <c r="J43" s="48" t="n">
        <f aca="false">F43^2</f>
        <v>1210.45233797531</v>
      </c>
      <c r="K43" s="48" t="n">
        <f aca="false">0.5*J43</f>
        <v>605.226168987654</v>
      </c>
    </row>
    <row r="44" customFormat="false" ht="15" hidden="false" customHeight="false" outlineLevel="0" collapsed="false">
      <c r="A44" s="46" t="str">
        <f aca="false">01_Data!A10</f>
        <v>S05</v>
      </c>
      <c r="B44" s="47" t="n">
        <f aca="false">01_Data!F10</f>
        <v>-0.8</v>
      </c>
      <c r="C44" s="47" t="n">
        <f aca="false">01_Data!G10</f>
        <v>-0.866666666666667</v>
      </c>
      <c r="D44" s="47" t="n">
        <f aca="false">01_Data!D10</f>
        <v>56</v>
      </c>
      <c r="E44" s="48" t="n">
        <f aca="false">$D$38+$F$38*B44+$H$38*C44</f>
        <v>20.6249777777778</v>
      </c>
      <c r="F44" s="49" t="n">
        <f aca="false">E44-D44</f>
        <v>-35.3750222222222</v>
      </c>
      <c r="G44" s="49" t="n">
        <f aca="false">F44</f>
        <v>-35.3750222222222</v>
      </c>
      <c r="H44" s="49" t="n">
        <f aca="false">F44*B44</f>
        <v>28.3000177777778</v>
      </c>
      <c r="I44" s="49" t="n">
        <f aca="false">F44*C44</f>
        <v>30.6583525925926</v>
      </c>
      <c r="J44" s="48" t="n">
        <f aca="false">F44^2</f>
        <v>1251.39219722272</v>
      </c>
      <c r="K44" s="48" t="n">
        <f aca="false">0.5*J44</f>
        <v>625.696098611358</v>
      </c>
    </row>
    <row r="45" customFormat="false" ht="15" hidden="false" customHeight="false" outlineLevel="0" collapsed="false">
      <c r="A45" s="46" t="str">
        <f aca="false">01_Data!A11</f>
        <v>S06</v>
      </c>
      <c r="B45" s="47" t="n">
        <f aca="false">01_Data!F11</f>
        <v>-0.6</v>
      </c>
      <c r="C45" s="47" t="n">
        <f aca="false">01_Data!G11</f>
        <v>-0.333333333333333</v>
      </c>
      <c r="D45" s="47" t="n">
        <f aca="false">01_Data!D11</f>
        <v>63</v>
      </c>
      <c r="E45" s="48" t="n">
        <f aca="false">$D$38+$F$38*B45+$H$38*C45</f>
        <v>23.8086222222222</v>
      </c>
      <c r="F45" s="49" t="n">
        <f aca="false">E45-D45</f>
        <v>-39.1913777777778</v>
      </c>
      <c r="G45" s="49" t="n">
        <f aca="false">F45</f>
        <v>-39.1913777777778</v>
      </c>
      <c r="H45" s="49" t="n">
        <f aca="false">F45*B45</f>
        <v>23.5148266666667</v>
      </c>
      <c r="I45" s="49" t="n">
        <f aca="false">F45*C45</f>
        <v>13.0637925925926</v>
      </c>
      <c r="J45" s="48" t="n">
        <f aca="false">F45^2</f>
        <v>1535.96409212049</v>
      </c>
      <c r="K45" s="48" t="n">
        <f aca="false">0.5*J45</f>
        <v>767.982046060247</v>
      </c>
    </row>
    <row r="46" customFormat="false" ht="15" hidden="false" customHeight="false" outlineLevel="0" collapsed="false">
      <c r="A46" s="46" t="str">
        <f aca="false">01_Data!A12</f>
        <v>S07</v>
      </c>
      <c r="B46" s="47" t="n">
        <f aca="false">01_Data!F12</f>
        <v>-0.4</v>
      </c>
      <c r="C46" s="47" t="n">
        <f aca="false">01_Data!G12</f>
        <v>-0.466666666666667</v>
      </c>
      <c r="D46" s="47" t="n">
        <f aca="false">01_Data!D12</f>
        <v>61</v>
      </c>
      <c r="E46" s="48" t="n">
        <f aca="false">$D$38+$F$38*B46+$H$38*C46</f>
        <v>24.4767111111111</v>
      </c>
      <c r="F46" s="49" t="n">
        <f aca="false">E46-D46</f>
        <v>-36.5232888888889</v>
      </c>
      <c r="G46" s="49" t="n">
        <f aca="false">F46</f>
        <v>-36.5232888888889</v>
      </c>
      <c r="H46" s="49" t="n">
        <f aca="false">F46*B46</f>
        <v>14.6093155555556</v>
      </c>
      <c r="I46" s="49" t="n">
        <f aca="false">F46*C46</f>
        <v>17.0442014814815</v>
      </c>
      <c r="J46" s="48" t="n">
        <f aca="false">F46^2</f>
        <v>1333.95063126123</v>
      </c>
      <c r="K46" s="48" t="n">
        <f aca="false">0.5*J46</f>
        <v>666.975315630617</v>
      </c>
    </row>
    <row r="47" customFormat="false" ht="15" hidden="false" customHeight="false" outlineLevel="0" collapsed="false">
      <c r="A47" s="46" t="str">
        <f aca="false">01_Data!A13</f>
        <v>S08</v>
      </c>
      <c r="B47" s="47" t="n">
        <f aca="false">01_Data!F13</f>
        <v>-0.2</v>
      </c>
      <c r="C47" s="47" t="n">
        <f aca="false">01_Data!G13</f>
        <v>-0.2</v>
      </c>
      <c r="D47" s="47" t="n">
        <f aca="false">01_Data!D13</f>
        <v>68</v>
      </c>
      <c r="E47" s="48" t="n">
        <f aca="false">$D$38+$F$38*B47+$H$38*C47</f>
        <v>26.6541333333333</v>
      </c>
      <c r="F47" s="49" t="n">
        <f aca="false">E47-D47</f>
        <v>-41.3458666666667</v>
      </c>
      <c r="G47" s="49" t="n">
        <f aca="false">F47</f>
        <v>-41.3458666666667</v>
      </c>
      <c r="H47" s="49" t="n">
        <f aca="false">F47*B47</f>
        <v>8.26917333333333</v>
      </c>
      <c r="I47" s="49" t="n">
        <f aca="false">F47*C47</f>
        <v>8.26917333333333</v>
      </c>
      <c r="J47" s="48" t="n">
        <f aca="false">F47^2</f>
        <v>1709.48069041778</v>
      </c>
      <c r="K47" s="48" t="n">
        <f aca="false">0.5*J47</f>
        <v>854.740345208889</v>
      </c>
    </row>
    <row r="48" customFormat="false" ht="15" hidden="false" customHeight="false" outlineLevel="0" collapsed="false">
      <c r="A48" s="46" t="str">
        <f aca="false">01_Data!A14</f>
        <v>S09</v>
      </c>
      <c r="B48" s="47" t="n">
        <f aca="false">01_Data!F14</f>
        <v>0</v>
      </c>
      <c r="C48" s="47" t="n">
        <f aca="false">01_Data!G14</f>
        <v>0</v>
      </c>
      <c r="D48" s="47" t="n">
        <f aca="false">01_Data!D14</f>
        <v>72</v>
      </c>
      <c r="E48" s="48" t="n">
        <f aca="false">$D$38+$F$38*B48+$H$38*C48</f>
        <v>28.58</v>
      </c>
      <c r="F48" s="49" t="n">
        <f aca="false">E48-D48</f>
        <v>-43.42</v>
      </c>
      <c r="G48" s="49" t="n">
        <f aca="false">F48</f>
        <v>-43.42</v>
      </c>
      <c r="H48" s="49" t="n">
        <f aca="false">F48*B48</f>
        <v>-0</v>
      </c>
      <c r="I48" s="49" t="n">
        <f aca="false">F48*C48</f>
        <v>-0</v>
      </c>
      <c r="J48" s="48" t="n">
        <f aca="false">F48^2</f>
        <v>1885.2964</v>
      </c>
      <c r="K48" s="48" t="n">
        <f aca="false">0.5*J48</f>
        <v>942.6482</v>
      </c>
    </row>
    <row r="49" customFormat="false" ht="15" hidden="false" customHeight="false" outlineLevel="0" collapsed="false">
      <c r="A49" s="46" t="str">
        <f aca="false">01_Data!A15</f>
        <v>S10</v>
      </c>
      <c r="B49" s="47" t="n">
        <f aca="false">01_Data!F15</f>
        <v>0.2</v>
      </c>
      <c r="C49" s="47" t="n">
        <f aca="false">01_Data!G15</f>
        <v>0.2</v>
      </c>
      <c r="D49" s="47" t="n">
        <f aca="false">01_Data!D15</f>
        <v>76</v>
      </c>
      <c r="E49" s="48" t="n">
        <f aca="false">$D$38+$F$38*B49+$H$38*C49</f>
        <v>30.5058666666667</v>
      </c>
      <c r="F49" s="49" t="n">
        <f aca="false">E49-D49</f>
        <v>-45.4941333333333</v>
      </c>
      <c r="G49" s="49" t="n">
        <f aca="false">F49</f>
        <v>-45.4941333333333</v>
      </c>
      <c r="H49" s="49" t="n">
        <f aca="false">F49*B49</f>
        <v>-9.09882666666667</v>
      </c>
      <c r="I49" s="49" t="n">
        <f aca="false">F49*C49</f>
        <v>-9.09882666666667</v>
      </c>
      <c r="J49" s="48" t="n">
        <f aca="false">F49^2</f>
        <v>2069.71616775111</v>
      </c>
      <c r="K49" s="48" t="n">
        <f aca="false">0.5*J49</f>
        <v>1034.85808387556</v>
      </c>
    </row>
    <row r="50" customFormat="false" ht="15" hidden="false" customHeight="false" outlineLevel="0" collapsed="false">
      <c r="A50" s="46" t="str">
        <f aca="false">01_Data!A16</f>
        <v>S11</v>
      </c>
      <c r="B50" s="47" t="n">
        <f aca="false">01_Data!F16</f>
        <v>0.4</v>
      </c>
      <c r="C50" s="47" t="n">
        <f aca="false">01_Data!G16</f>
        <v>0.333333333333333</v>
      </c>
      <c r="D50" s="47" t="n">
        <f aca="false">01_Data!D16</f>
        <v>79</v>
      </c>
      <c r="E50" s="48" t="n">
        <f aca="false">$D$38+$F$38*B50+$H$38*C50</f>
        <v>32.1801777777778</v>
      </c>
      <c r="F50" s="49" t="n">
        <f aca="false">E50-D50</f>
        <v>-46.8198222222222</v>
      </c>
      <c r="G50" s="49" t="n">
        <f aca="false">F50</f>
        <v>-46.8198222222222</v>
      </c>
      <c r="H50" s="49" t="n">
        <f aca="false">F50*B50</f>
        <v>-18.7279288888889</v>
      </c>
      <c r="I50" s="49" t="n">
        <f aca="false">F50*C50</f>
        <v>-15.6066074074074</v>
      </c>
      <c r="J50" s="48" t="n">
        <f aca="false">F50^2</f>
        <v>2192.09575292049</v>
      </c>
      <c r="K50" s="48" t="n">
        <f aca="false">0.5*J50</f>
        <v>1096.04787646025</v>
      </c>
    </row>
    <row r="51" customFormat="false" ht="15" hidden="false" customHeight="false" outlineLevel="0" collapsed="false">
      <c r="A51" s="46" t="str">
        <f aca="false">01_Data!A17</f>
        <v>S12</v>
      </c>
      <c r="B51" s="47" t="n">
        <f aca="false">01_Data!F17</f>
        <v>0.6</v>
      </c>
      <c r="C51" s="47" t="n">
        <f aca="false">01_Data!G17</f>
        <v>0.466666666666667</v>
      </c>
      <c r="D51" s="47" t="n">
        <f aca="false">01_Data!D17</f>
        <v>82</v>
      </c>
      <c r="E51" s="48" t="n">
        <f aca="false">$D$38+$F$38*B51+$H$38*C51</f>
        <v>33.8544888888889</v>
      </c>
      <c r="F51" s="49" t="n">
        <f aca="false">E51-D51</f>
        <v>-48.1455111111111</v>
      </c>
      <c r="G51" s="49" t="n">
        <f aca="false">F51</f>
        <v>-48.1455111111111</v>
      </c>
      <c r="H51" s="49" t="n">
        <f aca="false">F51*B51</f>
        <v>-28.8873066666667</v>
      </c>
      <c r="I51" s="49" t="n">
        <f aca="false">F51*C51</f>
        <v>-22.4679051851852</v>
      </c>
      <c r="J51" s="48" t="n">
        <f aca="false">F51^2</f>
        <v>2317.99024015012</v>
      </c>
      <c r="K51" s="48" t="n">
        <f aca="false">0.5*J51</f>
        <v>1158.99512007506</v>
      </c>
    </row>
    <row r="52" customFormat="false" ht="15" hidden="false" customHeight="false" outlineLevel="0" collapsed="false">
      <c r="A52" s="46" t="str">
        <f aca="false">01_Data!A18</f>
        <v>S13</v>
      </c>
      <c r="B52" s="47" t="n">
        <f aca="false">01_Data!F18</f>
        <v>0.8</v>
      </c>
      <c r="C52" s="47" t="n">
        <f aca="false">01_Data!G18</f>
        <v>0.666666666666667</v>
      </c>
      <c r="D52" s="47" t="n">
        <f aca="false">01_Data!D18</f>
        <v>87</v>
      </c>
      <c r="E52" s="48" t="n">
        <f aca="false">$D$38+$F$38*B52+$H$38*C52</f>
        <v>35.7803555555556</v>
      </c>
      <c r="F52" s="49" t="n">
        <f aca="false">E52-D52</f>
        <v>-51.2196444444444</v>
      </c>
      <c r="G52" s="49" t="n">
        <f aca="false">F52</f>
        <v>-51.2196444444444</v>
      </c>
      <c r="H52" s="49" t="n">
        <f aca="false">F52*B52</f>
        <v>-40.9757155555556</v>
      </c>
      <c r="I52" s="49" t="n">
        <f aca="false">F52*C52</f>
        <v>-34.1464296296296</v>
      </c>
      <c r="J52" s="48" t="n">
        <f aca="false">F52^2</f>
        <v>2623.45197701531</v>
      </c>
      <c r="K52" s="48" t="n">
        <f aca="false">0.5*J52</f>
        <v>1311.72598850765</v>
      </c>
    </row>
    <row r="53" customFormat="false" ht="15" hidden="false" customHeight="false" outlineLevel="0" collapsed="false">
      <c r="A53" s="46" t="str">
        <f aca="false">01_Data!A19</f>
        <v>S14</v>
      </c>
      <c r="B53" s="47" t="n">
        <f aca="false">01_Data!F19</f>
        <v>1</v>
      </c>
      <c r="C53" s="47" t="n">
        <f aca="false">01_Data!G19</f>
        <v>0.866666666666667</v>
      </c>
      <c r="D53" s="47" t="n">
        <f aca="false">01_Data!D19</f>
        <v>89</v>
      </c>
      <c r="E53" s="48" t="n">
        <f aca="false">$D$38+$F$38*B53+$H$38*C53</f>
        <v>37.7062222222222</v>
      </c>
      <c r="F53" s="49" t="n">
        <f aca="false">E53-D53</f>
        <v>-51.2937777777778</v>
      </c>
      <c r="G53" s="49" t="n">
        <f aca="false">F53</f>
        <v>-51.2937777777778</v>
      </c>
      <c r="H53" s="49" t="n">
        <f aca="false">F53*B53</f>
        <v>-51.2937777777778</v>
      </c>
      <c r="I53" s="49" t="n">
        <f aca="false">F53*C53</f>
        <v>-44.4546074074074</v>
      </c>
      <c r="J53" s="48" t="n">
        <f aca="false">F53^2</f>
        <v>2631.05163871605</v>
      </c>
      <c r="K53" s="48" t="n">
        <f aca="false">0.5*J53</f>
        <v>1315.52581935802</v>
      </c>
    </row>
    <row r="54" customFormat="false" ht="15" hidden="false" customHeight="false" outlineLevel="0" collapsed="false">
      <c r="A54" s="46" t="str">
        <f aca="false">01_Data!A20</f>
        <v>S15</v>
      </c>
      <c r="B54" s="47" t="n">
        <f aca="false">01_Data!F20</f>
        <v>1.2</v>
      </c>
      <c r="C54" s="47" t="n">
        <f aca="false">01_Data!G20</f>
        <v>1</v>
      </c>
      <c r="D54" s="47" t="n">
        <f aca="false">01_Data!D20</f>
        <v>92</v>
      </c>
      <c r="E54" s="48" t="n">
        <f aca="false">$D$38+$F$38*B54+$H$38*C54</f>
        <v>39.3805333333333</v>
      </c>
      <c r="F54" s="49" t="n">
        <f aca="false">E54-D54</f>
        <v>-52.6194666666667</v>
      </c>
      <c r="G54" s="49" t="n">
        <f aca="false">F54</f>
        <v>-52.6194666666667</v>
      </c>
      <c r="H54" s="49" t="n">
        <f aca="false">F54*B54</f>
        <v>-63.14336</v>
      </c>
      <c r="I54" s="49" t="n">
        <f aca="false">F54*C54</f>
        <v>-52.6194666666667</v>
      </c>
      <c r="J54" s="48" t="n">
        <f aca="false">F54^2</f>
        <v>2768.80827228444</v>
      </c>
      <c r="K54" s="48" t="n">
        <f aca="false">0.5*J54</f>
        <v>1384.40413614222</v>
      </c>
    </row>
    <row r="55" customFormat="false" ht="15" hidden="false" customHeight="false" outlineLevel="0" collapsed="false">
      <c r="A55" s="46" t="str">
        <f aca="false">01_Data!A21</f>
        <v>S16</v>
      </c>
      <c r="B55" s="47" t="n">
        <f aca="false">01_Data!F21</f>
        <v>1.4</v>
      </c>
      <c r="C55" s="47" t="n">
        <f aca="false">01_Data!G21</f>
        <v>1.13333333333333</v>
      </c>
      <c r="D55" s="47" t="n">
        <f aca="false">01_Data!D21</f>
        <v>96</v>
      </c>
      <c r="E55" s="48" t="n">
        <f aca="false">$D$38+$F$38*B55+$H$38*C55</f>
        <v>41.0548444444445</v>
      </c>
      <c r="F55" s="49" t="n">
        <f aca="false">E55-D55</f>
        <v>-54.9451555555556</v>
      </c>
      <c r="G55" s="49" t="n">
        <f aca="false">F55</f>
        <v>-54.9451555555556</v>
      </c>
      <c r="H55" s="49" t="n">
        <f aca="false">F55*B55</f>
        <v>-76.9232177777778</v>
      </c>
      <c r="I55" s="49" t="n">
        <f aca="false">F55*C55</f>
        <v>-62.2711762962963</v>
      </c>
      <c r="J55" s="48" t="n">
        <f aca="false">F55^2</f>
        <v>3018.9701190242</v>
      </c>
      <c r="K55" s="48" t="n">
        <f aca="false">0.5*J55</f>
        <v>1509.4850595121</v>
      </c>
    </row>
    <row r="56" customFormat="false" ht="15" hidden="false" customHeight="false" outlineLevel="0" collapsed="false">
      <c r="A56" s="46" t="str">
        <f aca="false">01_Data!A22</f>
        <v>S17</v>
      </c>
      <c r="B56" s="47" t="n">
        <f aca="false">01_Data!F22</f>
        <v>1.6</v>
      </c>
      <c r="C56" s="47" t="n">
        <f aca="false">01_Data!G22</f>
        <v>1.33333333333333</v>
      </c>
      <c r="D56" s="47" t="n">
        <f aca="false">01_Data!D22</f>
        <v>99</v>
      </c>
      <c r="E56" s="48" t="n">
        <f aca="false">$D$38+$F$38*B56+$H$38*C56</f>
        <v>42.9807111111111</v>
      </c>
      <c r="F56" s="49" t="n">
        <f aca="false">E56-D56</f>
        <v>-56.0192888888889</v>
      </c>
      <c r="G56" s="49" t="n">
        <f aca="false">F56</f>
        <v>-56.0192888888889</v>
      </c>
      <c r="H56" s="49" t="n">
        <f aca="false">F56*B56</f>
        <v>-89.6308622222222</v>
      </c>
      <c r="I56" s="49" t="n">
        <f aca="false">F56*C56</f>
        <v>-74.6923851851852</v>
      </c>
      <c r="J56" s="48" t="n">
        <f aca="false">F56^2</f>
        <v>3138.16072761679</v>
      </c>
      <c r="K56" s="48" t="n">
        <f aca="false">0.5*J56</f>
        <v>1569.0803638084</v>
      </c>
    </row>
    <row r="57" customFormat="false" ht="15" hidden="false" customHeight="false" outlineLevel="0" collapsed="false">
      <c r="A57" s="46" t="str">
        <f aca="false">01_Data!A23</f>
        <v>S18</v>
      </c>
      <c r="B57" s="47" t="n">
        <f aca="false">01_Data!F23</f>
        <v>0</v>
      </c>
      <c r="C57" s="47" t="n">
        <f aca="false">01_Data!G23</f>
        <v>-0.666666666666667</v>
      </c>
      <c r="D57" s="47" t="n">
        <f aca="false">01_Data!D23</f>
        <v>65</v>
      </c>
      <c r="E57" s="48" t="n">
        <f aca="false">$D$38+$F$38*B57+$H$38*C57</f>
        <v>26.0644444444444</v>
      </c>
      <c r="F57" s="49" t="n">
        <f aca="false">E57-D57</f>
        <v>-38.9355555555556</v>
      </c>
      <c r="G57" s="49" t="n">
        <f aca="false">F57</f>
        <v>-38.9355555555556</v>
      </c>
      <c r="H57" s="49" t="n">
        <f aca="false">F57*B57</f>
        <v>-0</v>
      </c>
      <c r="I57" s="49" t="n">
        <f aca="false">F57*C57</f>
        <v>25.957037037037</v>
      </c>
      <c r="J57" s="48" t="n">
        <f aca="false">F57^2</f>
        <v>1515.97748641975</v>
      </c>
      <c r="K57" s="48" t="n">
        <f aca="false">0.5*J57</f>
        <v>757.988743209877</v>
      </c>
    </row>
    <row r="58" customFormat="false" ht="15" hidden="false" customHeight="false" outlineLevel="0" collapsed="false">
      <c r="A58" s="46" t="str">
        <f aca="false">01_Data!A24</f>
        <v>S19</v>
      </c>
      <c r="B58" s="47" t="n">
        <f aca="false">01_Data!F24</f>
        <v>-0.8</v>
      </c>
      <c r="C58" s="47" t="n">
        <f aca="false">01_Data!G24</f>
        <v>0.666666666666667</v>
      </c>
      <c r="D58" s="47" t="n">
        <f aca="false">01_Data!D24</f>
        <v>70</v>
      </c>
      <c r="E58" s="48" t="n">
        <f aca="false">$D$38+$F$38*B58+$H$38*C58</f>
        <v>26.4107555555556</v>
      </c>
      <c r="F58" s="49" t="n">
        <f aca="false">E58-D58</f>
        <v>-43.5892444444445</v>
      </c>
      <c r="G58" s="49" t="n">
        <f aca="false">F58</f>
        <v>-43.5892444444445</v>
      </c>
      <c r="H58" s="49" t="n">
        <f aca="false">F58*B58</f>
        <v>34.8713955555556</v>
      </c>
      <c r="I58" s="49" t="n">
        <f aca="false">F58*C58</f>
        <v>-29.0594962962963</v>
      </c>
      <c r="J58" s="48" t="n">
        <f aca="false">F58^2</f>
        <v>1900.02223123753</v>
      </c>
      <c r="K58" s="48" t="n">
        <f aca="false">0.5*J58</f>
        <v>950.011115618766</v>
      </c>
    </row>
    <row r="59" customFormat="false" ht="15" hidden="false" customHeight="false" outlineLevel="0" collapsed="false">
      <c r="A59" s="46" t="str">
        <f aca="false">01_Data!A25</f>
        <v>S20</v>
      </c>
      <c r="B59" s="47" t="n">
        <f aca="false">01_Data!F25</f>
        <v>0.8</v>
      </c>
      <c r="C59" s="47" t="n">
        <f aca="false">01_Data!G25</f>
        <v>-0.666666666666667</v>
      </c>
      <c r="D59" s="47" t="n">
        <f aca="false">01_Data!D25</f>
        <v>78</v>
      </c>
      <c r="E59" s="48" t="n">
        <f aca="false">$D$38+$F$38*B59+$H$38*C59</f>
        <v>30.7492444444444</v>
      </c>
      <c r="F59" s="49" t="n">
        <f aca="false">E59-D59</f>
        <v>-47.2507555555556</v>
      </c>
      <c r="G59" s="49" t="n">
        <f aca="false">F59</f>
        <v>-47.2507555555556</v>
      </c>
      <c r="H59" s="49" t="n">
        <f aca="false">F59*B59</f>
        <v>-37.8006044444444</v>
      </c>
      <c r="I59" s="49" t="n">
        <f aca="false">F59*C59</f>
        <v>31.5005037037037</v>
      </c>
      <c r="J59" s="48" t="n">
        <f aca="false">F59^2</f>
        <v>2232.63390057086</v>
      </c>
      <c r="K59" s="48" t="n">
        <f aca="false">0.5*J59</f>
        <v>1116.31695028543</v>
      </c>
    </row>
    <row r="60" customFormat="false" ht="15" hidden="false" customHeight="false" outlineLevel="0" collapsed="false">
      <c r="A60" s="50" t="s">
        <v>134</v>
      </c>
      <c r="B60" s="50"/>
      <c r="C60" s="50"/>
      <c r="D60" s="50"/>
      <c r="E60" s="50"/>
      <c r="F60" s="50"/>
      <c r="G60" s="51" t="n">
        <f aca="false">AVERAGE(G40:G59)</f>
        <v>-42.9957777777778</v>
      </c>
      <c r="H60" s="51" t="n">
        <f aca="false">AVERAGE(H40:H59)</f>
        <v>-7.14976888888889</v>
      </c>
      <c r="I60" s="51" t="n">
        <f aca="false">AVERAGE(I40:I59)</f>
        <v>-4.38449955555556</v>
      </c>
      <c r="J60" s="51" t="n">
        <f aca="false">AVERAGE(J40:J59)</f>
        <v>1911.3494950637</v>
      </c>
      <c r="K60" s="51" t="n">
        <f aca="false">AVERAGE(K40:K59)</f>
        <v>955.674747531852</v>
      </c>
    </row>
    <row r="61" customFormat="false" ht="22.35" hidden="false" customHeight="true" outlineLevel="0" collapsed="false">
      <c r="A61" s="43" t="s">
        <v>135</v>
      </c>
      <c r="B61" s="43"/>
      <c r="C61" s="43" t="s">
        <v>136</v>
      </c>
      <c r="D61" s="52" t="n">
        <f aca="false">D38-$B$4*G60</f>
        <v>45.7783111111111</v>
      </c>
      <c r="E61" s="43" t="s">
        <v>137</v>
      </c>
      <c r="F61" s="52" t="n">
        <f aca="false">F38-$B$4*H60</f>
        <v>8.71590755555556</v>
      </c>
      <c r="G61" s="43" t="s">
        <v>138</v>
      </c>
      <c r="H61" s="52" t="n">
        <f aca="false">H38-$B$4*I60</f>
        <v>5.52713315555556</v>
      </c>
      <c r="I61" s="44" t="s">
        <v>139</v>
      </c>
      <c r="J61" s="44"/>
      <c r="K61" s="44"/>
    </row>
    <row r="63" customFormat="false" ht="22.5" hidden="false" customHeight="true" outlineLevel="0" collapsed="false">
      <c r="A63" s="4" t="s">
        <v>141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true" outlineLevel="0" collapsed="false">
      <c r="A64" s="43" t="s">
        <v>118</v>
      </c>
      <c r="B64" s="44" t="n">
        <v>3</v>
      </c>
      <c r="C64" s="43" t="s">
        <v>119</v>
      </c>
      <c r="D64" s="54" t="n">
        <f aca="false">D61</f>
        <v>45.7783111111111</v>
      </c>
      <c r="E64" s="43" t="s">
        <v>120</v>
      </c>
      <c r="F64" s="54" t="n">
        <f aca="false">F61</f>
        <v>8.71590755555556</v>
      </c>
      <c r="G64" s="43" t="s">
        <v>121</v>
      </c>
      <c r="H64" s="54" t="n">
        <f aca="false">H61</f>
        <v>5.52713315555556</v>
      </c>
      <c r="I64" s="44" t="s">
        <v>122</v>
      </c>
      <c r="J64" s="44"/>
      <c r="K64" s="44"/>
    </row>
    <row r="65" customFormat="false" ht="33.75" hidden="false" customHeight="true" outlineLevel="0" collapsed="false">
      <c r="A65" s="13" t="s">
        <v>123</v>
      </c>
      <c r="B65" s="13" t="s">
        <v>124</v>
      </c>
      <c r="C65" s="13" t="s">
        <v>125</v>
      </c>
      <c r="D65" s="13" t="s">
        <v>126</v>
      </c>
      <c r="E65" s="13" t="s">
        <v>127</v>
      </c>
      <c r="F65" s="13" t="s">
        <v>128</v>
      </c>
      <c r="G65" s="13" t="s">
        <v>129</v>
      </c>
      <c r="H65" s="13" t="s">
        <v>130</v>
      </c>
      <c r="I65" s="13" t="s">
        <v>131</v>
      </c>
      <c r="J65" s="13" t="s">
        <v>132</v>
      </c>
      <c r="K65" s="13" t="s">
        <v>133</v>
      </c>
    </row>
    <row r="66" customFormat="false" ht="15" hidden="false" customHeight="false" outlineLevel="0" collapsed="false">
      <c r="A66" s="46" t="str">
        <f aca="false">01_Data!A6</f>
        <v>S01</v>
      </c>
      <c r="B66" s="47" t="n">
        <f aca="false">01_Data!F6</f>
        <v>-1.6</v>
      </c>
      <c r="C66" s="47" t="n">
        <f aca="false">01_Data!G6</f>
        <v>-1.33333333333333</v>
      </c>
      <c r="D66" s="47" t="n">
        <f aca="false">01_Data!D6</f>
        <v>43</v>
      </c>
      <c r="E66" s="48" t="n">
        <f aca="false">$D$64+$F$64*B66+$H$64*C66</f>
        <v>24.4633481481481</v>
      </c>
      <c r="F66" s="49" t="n">
        <f aca="false">E66-D66</f>
        <v>-18.5366518518519</v>
      </c>
      <c r="G66" s="49" t="n">
        <f aca="false">F66</f>
        <v>-18.5366518518519</v>
      </c>
      <c r="H66" s="49" t="n">
        <f aca="false">F66*B66</f>
        <v>29.658642962963</v>
      </c>
      <c r="I66" s="49" t="n">
        <f aca="false">F66*C66</f>
        <v>24.7155358024691</v>
      </c>
      <c r="J66" s="48" t="n">
        <f aca="false">F66^2</f>
        <v>343.607461876763</v>
      </c>
      <c r="K66" s="48" t="n">
        <f aca="false">0.5*J66</f>
        <v>171.803730938381</v>
      </c>
    </row>
    <row r="67" customFormat="false" ht="15" hidden="false" customHeight="false" outlineLevel="0" collapsed="false">
      <c r="A67" s="46" t="str">
        <f aca="false">01_Data!A7</f>
        <v>S02</v>
      </c>
      <c r="B67" s="47" t="n">
        <f aca="false">01_Data!F7</f>
        <v>-1.4</v>
      </c>
      <c r="C67" s="47" t="n">
        <f aca="false">01_Data!G7</f>
        <v>-1</v>
      </c>
      <c r="D67" s="47" t="n">
        <f aca="false">01_Data!D7</f>
        <v>47</v>
      </c>
      <c r="E67" s="48" t="n">
        <f aca="false">$D$64+$F$64*B67+$H$64*C67</f>
        <v>28.0489073777778</v>
      </c>
      <c r="F67" s="49" t="n">
        <f aca="false">E67-D67</f>
        <v>-18.9510926222222</v>
      </c>
      <c r="G67" s="49" t="n">
        <f aca="false">F67</f>
        <v>-18.9510926222222</v>
      </c>
      <c r="H67" s="49" t="n">
        <f aca="false">F67*B67</f>
        <v>26.5315296711111</v>
      </c>
      <c r="I67" s="49" t="n">
        <f aca="false">F67*C67</f>
        <v>18.9510926222222</v>
      </c>
      <c r="J67" s="48" t="n">
        <f aca="false">F67^2</f>
        <v>359.143911576046</v>
      </c>
      <c r="K67" s="48" t="n">
        <f aca="false">0.5*J67</f>
        <v>179.571955788023</v>
      </c>
    </row>
    <row r="68" customFormat="false" ht="15" hidden="false" customHeight="false" outlineLevel="0" collapsed="false">
      <c r="A68" s="46" t="str">
        <f aca="false">01_Data!A8</f>
        <v>S03</v>
      </c>
      <c r="B68" s="47" t="n">
        <f aca="false">01_Data!F8</f>
        <v>-1.2</v>
      </c>
      <c r="C68" s="47" t="n">
        <f aca="false">01_Data!G8</f>
        <v>-1.13333333333333</v>
      </c>
      <c r="D68" s="47" t="n">
        <f aca="false">01_Data!D8</f>
        <v>51</v>
      </c>
      <c r="E68" s="48" t="n">
        <f aca="false">$D$64+$F$64*B68+$H$64*C68</f>
        <v>29.0551378014815</v>
      </c>
      <c r="F68" s="49" t="n">
        <f aca="false">E68-D68</f>
        <v>-21.9448621985185</v>
      </c>
      <c r="G68" s="49" t="n">
        <f aca="false">F68</f>
        <v>-21.9448621985185</v>
      </c>
      <c r="H68" s="49" t="n">
        <f aca="false">F68*B68</f>
        <v>26.3338346382222</v>
      </c>
      <c r="I68" s="49" t="n">
        <f aca="false">F68*C68</f>
        <v>24.8708438249877</v>
      </c>
      <c r="J68" s="48" t="n">
        <f aca="false">F68^2</f>
        <v>481.576976911967</v>
      </c>
      <c r="K68" s="48" t="n">
        <f aca="false">0.5*J68</f>
        <v>240.788488455984</v>
      </c>
    </row>
    <row r="69" customFormat="false" ht="15" hidden="false" customHeight="false" outlineLevel="0" collapsed="false">
      <c r="A69" s="46" t="str">
        <f aca="false">01_Data!A9</f>
        <v>S04</v>
      </c>
      <c r="B69" s="47" t="n">
        <f aca="false">01_Data!F9</f>
        <v>-1</v>
      </c>
      <c r="C69" s="47" t="n">
        <f aca="false">01_Data!G9</f>
        <v>-0.666666666666667</v>
      </c>
      <c r="D69" s="47" t="n">
        <f aca="false">01_Data!D9</f>
        <v>55</v>
      </c>
      <c r="E69" s="48" t="n">
        <f aca="false">$D$64+$F$64*B69+$H$64*C69</f>
        <v>33.3776481185185</v>
      </c>
      <c r="F69" s="49" t="n">
        <f aca="false">E69-D69</f>
        <v>-21.6223518814815</v>
      </c>
      <c r="G69" s="49" t="n">
        <f aca="false">F69</f>
        <v>-21.6223518814815</v>
      </c>
      <c r="H69" s="49" t="n">
        <f aca="false">F69*B69</f>
        <v>21.6223518814815</v>
      </c>
      <c r="I69" s="49" t="n">
        <f aca="false">F69*C69</f>
        <v>14.414901254321</v>
      </c>
      <c r="J69" s="48" t="n">
        <f aca="false">F69^2</f>
        <v>467.526100886606</v>
      </c>
      <c r="K69" s="48" t="n">
        <f aca="false">0.5*J69</f>
        <v>233.763050443303</v>
      </c>
    </row>
    <row r="70" customFormat="false" ht="15" hidden="false" customHeight="false" outlineLevel="0" collapsed="false">
      <c r="A70" s="46" t="str">
        <f aca="false">01_Data!A10</f>
        <v>S05</v>
      </c>
      <c r="B70" s="47" t="n">
        <f aca="false">01_Data!F10</f>
        <v>-0.8</v>
      </c>
      <c r="C70" s="47" t="n">
        <f aca="false">01_Data!G10</f>
        <v>-0.866666666666667</v>
      </c>
      <c r="D70" s="47" t="n">
        <f aca="false">01_Data!D10</f>
        <v>56</v>
      </c>
      <c r="E70" s="48" t="n">
        <f aca="false">$D$64+$F$64*B70+$H$64*C70</f>
        <v>34.0154029985185</v>
      </c>
      <c r="F70" s="49" t="n">
        <f aca="false">E70-D70</f>
        <v>-21.9845970014815</v>
      </c>
      <c r="G70" s="49" t="n">
        <f aca="false">F70</f>
        <v>-21.9845970014815</v>
      </c>
      <c r="H70" s="49" t="n">
        <f aca="false">F70*B70</f>
        <v>17.5876776011852</v>
      </c>
      <c r="I70" s="49" t="n">
        <f aca="false">F70*C70</f>
        <v>19.053317401284</v>
      </c>
      <c r="J70" s="48" t="n">
        <f aca="false">F70^2</f>
        <v>483.322505317549</v>
      </c>
      <c r="K70" s="48" t="n">
        <f aca="false">0.5*J70</f>
        <v>241.661252658774</v>
      </c>
    </row>
    <row r="71" customFormat="false" ht="15" hidden="false" customHeight="false" outlineLevel="0" collapsed="false">
      <c r="A71" s="46" t="str">
        <f aca="false">01_Data!A11</f>
        <v>S06</v>
      </c>
      <c r="B71" s="47" t="n">
        <f aca="false">01_Data!F11</f>
        <v>-0.6</v>
      </c>
      <c r="C71" s="47" t="n">
        <f aca="false">01_Data!G11</f>
        <v>-0.333333333333333</v>
      </c>
      <c r="D71" s="47" t="n">
        <f aca="false">01_Data!D11</f>
        <v>63</v>
      </c>
      <c r="E71" s="48" t="n">
        <f aca="false">$D$64+$F$64*B71+$H$64*C71</f>
        <v>38.7063888592593</v>
      </c>
      <c r="F71" s="49" t="n">
        <f aca="false">E71-D71</f>
        <v>-24.2936111407407</v>
      </c>
      <c r="G71" s="49" t="n">
        <f aca="false">F71</f>
        <v>-24.2936111407407</v>
      </c>
      <c r="H71" s="49" t="n">
        <f aca="false">F71*B71</f>
        <v>14.5761666844444</v>
      </c>
      <c r="I71" s="49" t="n">
        <f aca="false">F71*C71</f>
        <v>8.09787038024691</v>
      </c>
      <c r="J71" s="48" t="n">
        <f aca="false">F71^2</f>
        <v>590.179542257523</v>
      </c>
      <c r="K71" s="48" t="n">
        <f aca="false">0.5*J71</f>
        <v>295.089771128761</v>
      </c>
    </row>
    <row r="72" customFormat="false" ht="15" hidden="false" customHeight="false" outlineLevel="0" collapsed="false">
      <c r="A72" s="46" t="str">
        <f aca="false">01_Data!A12</f>
        <v>S07</v>
      </c>
      <c r="B72" s="47" t="n">
        <f aca="false">01_Data!F12</f>
        <v>-0.4</v>
      </c>
      <c r="C72" s="47" t="n">
        <f aca="false">01_Data!G12</f>
        <v>-0.466666666666667</v>
      </c>
      <c r="D72" s="47" t="n">
        <f aca="false">01_Data!D12</f>
        <v>61</v>
      </c>
      <c r="E72" s="48" t="n">
        <f aca="false">$D$64+$F$64*B72+$H$64*C72</f>
        <v>39.712619282963</v>
      </c>
      <c r="F72" s="49" t="n">
        <f aca="false">E72-D72</f>
        <v>-21.287380717037</v>
      </c>
      <c r="G72" s="49" t="n">
        <f aca="false">F72</f>
        <v>-21.287380717037</v>
      </c>
      <c r="H72" s="49" t="n">
        <f aca="false">F72*B72</f>
        <v>8.51495228681482</v>
      </c>
      <c r="I72" s="49" t="n">
        <f aca="false">F72*C72</f>
        <v>9.93411100128395</v>
      </c>
      <c r="J72" s="48" t="n">
        <f aca="false">F72^2</f>
        <v>453.15257779208</v>
      </c>
      <c r="K72" s="48" t="n">
        <f aca="false">0.5*J72</f>
        <v>226.57628889604</v>
      </c>
    </row>
    <row r="73" customFormat="false" ht="15" hidden="false" customHeight="false" outlineLevel="0" collapsed="false">
      <c r="A73" s="46" t="str">
        <f aca="false">01_Data!A13</f>
        <v>S08</v>
      </c>
      <c r="B73" s="47" t="n">
        <f aca="false">01_Data!F13</f>
        <v>-0.2</v>
      </c>
      <c r="C73" s="47" t="n">
        <f aca="false">01_Data!G13</f>
        <v>-0.2</v>
      </c>
      <c r="D73" s="47" t="n">
        <f aca="false">01_Data!D13</f>
        <v>68</v>
      </c>
      <c r="E73" s="48" t="n">
        <f aca="false">$D$64+$F$64*B73+$H$64*C73</f>
        <v>42.9297029688889</v>
      </c>
      <c r="F73" s="49" t="n">
        <f aca="false">E73-D73</f>
        <v>-25.0702970311111</v>
      </c>
      <c r="G73" s="49" t="n">
        <f aca="false">F73</f>
        <v>-25.0702970311111</v>
      </c>
      <c r="H73" s="49" t="n">
        <f aca="false">F73*B73</f>
        <v>5.01405940622222</v>
      </c>
      <c r="I73" s="49" t="n">
        <f aca="false">F73*C73</f>
        <v>5.01405940622222</v>
      </c>
      <c r="J73" s="48" t="n">
        <f aca="false">F73^2</f>
        <v>628.519793228139</v>
      </c>
      <c r="K73" s="48" t="n">
        <f aca="false">0.5*J73</f>
        <v>314.259896614069</v>
      </c>
    </row>
    <row r="74" customFormat="false" ht="15" hidden="false" customHeight="false" outlineLevel="0" collapsed="false">
      <c r="A74" s="46" t="str">
        <f aca="false">01_Data!A14</f>
        <v>S09</v>
      </c>
      <c r="B74" s="47" t="n">
        <f aca="false">01_Data!F14</f>
        <v>0</v>
      </c>
      <c r="C74" s="47" t="n">
        <f aca="false">01_Data!G14</f>
        <v>0</v>
      </c>
      <c r="D74" s="47" t="n">
        <f aca="false">01_Data!D14</f>
        <v>72</v>
      </c>
      <c r="E74" s="48" t="n">
        <f aca="false">$D$64+$F$64*B74+$H$64*C74</f>
        <v>45.7783111111111</v>
      </c>
      <c r="F74" s="49" t="n">
        <f aca="false">E74-D74</f>
        <v>-26.2216888888889</v>
      </c>
      <c r="G74" s="49" t="n">
        <f aca="false">F74</f>
        <v>-26.2216888888889</v>
      </c>
      <c r="H74" s="49" t="n">
        <f aca="false">F74*B74</f>
        <v>-0</v>
      </c>
      <c r="I74" s="49" t="n">
        <f aca="false">F74*C74</f>
        <v>-0</v>
      </c>
      <c r="J74" s="48" t="n">
        <f aca="false">F74^2</f>
        <v>687.576968185679</v>
      </c>
      <c r="K74" s="48" t="n">
        <f aca="false">0.5*J74</f>
        <v>343.78848409284</v>
      </c>
    </row>
    <row r="75" customFormat="false" ht="15" hidden="false" customHeight="false" outlineLevel="0" collapsed="false">
      <c r="A75" s="46" t="str">
        <f aca="false">01_Data!A15</f>
        <v>S10</v>
      </c>
      <c r="B75" s="47" t="n">
        <f aca="false">01_Data!F15</f>
        <v>0.2</v>
      </c>
      <c r="C75" s="47" t="n">
        <f aca="false">01_Data!G15</f>
        <v>0.2</v>
      </c>
      <c r="D75" s="47" t="n">
        <f aca="false">01_Data!D15</f>
        <v>76</v>
      </c>
      <c r="E75" s="48" t="n">
        <f aca="false">$D$64+$F$64*B75+$H$64*C75</f>
        <v>48.6269192533333</v>
      </c>
      <c r="F75" s="49" t="n">
        <f aca="false">E75-D75</f>
        <v>-27.3730807466667</v>
      </c>
      <c r="G75" s="49" t="n">
        <f aca="false">F75</f>
        <v>-27.3730807466667</v>
      </c>
      <c r="H75" s="49" t="n">
        <f aca="false">F75*B75</f>
        <v>-5.47461614933334</v>
      </c>
      <c r="I75" s="49" t="n">
        <f aca="false">F75*C75</f>
        <v>-5.47461614933334</v>
      </c>
      <c r="J75" s="48" t="n">
        <f aca="false">F75^2</f>
        <v>749.285549563534</v>
      </c>
      <c r="K75" s="48" t="n">
        <f aca="false">0.5*J75</f>
        <v>374.642774781767</v>
      </c>
    </row>
    <row r="76" customFormat="false" ht="15" hidden="false" customHeight="false" outlineLevel="0" collapsed="false">
      <c r="A76" s="46" t="str">
        <f aca="false">01_Data!A16</f>
        <v>S11</v>
      </c>
      <c r="B76" s="47" t="n">
        <f aca="false">01_Data!F16</f>
        <v>0.4</v>
      </c>
      <c r="C76" s="47" t="n">
        <f aca="false">01_Data!G16</f>
        <v>0.333333333333333</v>
      </c>
      <c r="D76" s="47" t="n">
        <f aca="false">01_Data!D16</f>
        <v>79</v>
      </c>
      <c r="E76" s="48" t="n">
        <f aca="false">$D$64+$F$64*B76+$H$64*C76</f>
        <v>51.1070518518519</v>
      </c>
      <c r="F76" s="49" t="n">
        <f aca="false">E76-D76</f>
        <v>-27.8929481481482</v>
      </c>
      <c r="G76" s="49" t="n">
        <f aca="false">F76</f>
        <v>-27.8929481481482</v>
      </c>
      <c r="H76" s="49" t="n">
        <f aca="false">F76*B76</f>
        <v>-11.1571792592593</v>
      </c>
      <c r="I76" s="49" t="n">
        <f aca="false">F76*C76</f>
        <v>-9.29764938271605</v>
      </c>
      <c r="J76" s="48" t="n">
        <f aca="false">F76^2</f>
        <v>778.016556395281</v>
      </c>
      <c r="K76" s="48" t="n">
        <f aca="false">0.5*J76</f>
        <v>389.008278197641</v>
      </c>
    </row>
    <row r="77" customFormat="false" ht="15" hidden="false" customHeight="false" outlineLevel="0" collapsed="false">
      <c r="A77" s="46" t="str">
        <f aca="false">01_Data!A17</f>
        <v>S12</v>
      </c>
      <c r="B77" s="47" t="n">
        <f aca="false">01_Data!F17</f>
        <v>0.6</v>
      </c>
      <c r="C77" s="47" t="n">
        <f aca="false">01_Data!G17</f>
        <v>0.466666666666667</v>
      </c>
      <c r="D77" s="47" t="n">
        <f aca="false">01_Data!D17</f>
        <v>82</v>
      </c>
      <c r="E77" s="48" t="n">
        <f aca="false">$D$64+$F$64*B77+$H$64*C77</f>
        <v>53.5871844503704</v>
      </c>
      <c r="F77" s="49" t="n">
        <f aca="false">E77-D77</f>
        <v>-28.4128155496296</v>
      </c>
      <c r="G77" s="49" t="n">
        <f aca="false">F77</f>
        <v>-28.4128155496296</v>
      </c>
      <c r="H77" s="49" t="n">
        <f aca="false">F77*B77</f>
        <v>-17.0476893297778</v>
      </c>
      <c r="I77" s="49" t="n">
        <f aca="false">F77*C77</f>
        <v>-13.2593139231605</v>
      </c>
      <c r="J77" s="48" t="n">
        <f aca="false">F77^2</f>
        <v>807.288087457276</v>
      </c>
      <c r="K77" s="48" t="n">
        <f aca="false">0.5*J77</f>
        <v>403.644043728638</v>
      </c>
    </row>
    <row r="78" customFormat="false" ht="15" hidden="false" customHeight="false" outlineLevel="0" collapsed="false">
      <c r="A78" s="46" t="str">
        <f aca="false">01_Data!A18</f>
        <v>S13</v>
      </c>
      <c r="B78" s="47" t="n">
        <f aca="false">01_Data!F18</f>
        <v>0.8</v>
      </c>
      <c r="C78" s="47" t="n">
        <f aca="false">01_Data!G18</f>
        <v>0.666666666666667</v>
      </c>
      <c r="D78" s="47" t="n">
        <f aca="false">01_Data!D18</f>
        <v>87</v>
      </c>
      <c r="E78" s="48" t="n">
        <f aca="false">$D$64+$F$64*B78+$H$64*C78</f>
        <v>56.4357925925926</v>
      </c>
      <c r="F78" s="49" t="n">
        <f aca="false">E78-D78</f>
        <v>-30.5642074074074</v>
      </c>
      <c r="G78" s="49" t="n">
        <f aca="false">F78</f>
        <v>-30.5642074074074</v>
      </c>
      <c r="H78" s="49" t="n">
        <f aca="false">F78*B78</f>
        <v>-24.4513659259259</v>
      </c>
      <c r="I78" s="49" t="n">
        <f aca="false">F78*C78</f>
        <v>-20.3761382716049</v>
      </c>
      <c r="J78" s="48" t="n">
        <f aca="false">F78^2</f>
        <v>934.170774443018</v>
      </c>
      <c r="K78" s="48" t="n">
        <f aca="false">0.5*J78</f>
        <v>467.085387221509</v>
      </c>
    </row>
    <row r="79" customFormat="false" ht="15" hidden="false" customHeight="false" outlineLevel="0" collapsed="false">
      <c r="A79" s="46" t="str">
        <f aca="false">01_Data!A19</f>
        <v>S14</v>
      </c>
      <c r="B79" s="47" t="n">
        <f aca="false">01_Data!F19</f>
        <v>1</v>
      </c>
      <c r="C79" s="47" t="n">
        <f aca="false">01_Data!G19</f>
        <v>0.866666666666667</v>
      </c>
      <c r="D79" s="47" t="n">
        <f aca="false">01_Data!D19</f>
        <v>89</v>
      </c>
      <c r="E79" s="48" t="n">
        <f aca="false">$D$64+$F$64*B79+$H$64*C79</f>
        <v>59.2844007348148</v>
      </c>
      <c r="F79" s="49" t="n">
        <f aca="false">E79-D79</f>
        <v>-29.7155992651852</v>
      </c>
      <c r="G79" s="49" t="n">
        <f aca="false">F79</f>
        <v>-29.7155992651852</v>
      </c>
      <c r="H79" s="49" t="n">
        <f aca="false">F79*B79</f>
        <v>-29.7155992651852</v>
      </c>
      <c r="I79" s="49" t="n">
        <f aca="false">F79*C79</f>
        <v>-25.7535193631605</v>
      </c>
      <c r="J79" s="48" t="n">
        <f aca="false">F79^2</f>
        <v>883.016839689074</v>
      </c>
      <c r="K79" s="48" t="n">
        <f aca="false">0.5*J79</f>
        <v>441.508419844537</v>
      </c>
    </row>
    <row r="80" customFormat="false" ht="15" hidden="false" customHeight="false" outlineLevel="0" collapsed="false">
      <c r="A80" s="46" t="str">
        <f aca="false">01_Data!A20</f>
        <v>S15</v>
      </c>
      <c r="B80" s="47" t="n">
        <f aca="false">01_Data!F20</f>
        <v>1.2</v>
      </c>
      <c r="C80" s="47" t="n">
        <f aca="false">01_Data!G20</f>
        <v>1</v>
      </c>
      <c r="D80" s="47" t="n">
        <f aca="false">01_Data!D20</f>
        <v>92</v>
      </c>
      <c r="E80" s="48" t="n">
        <f aca="false">$D$64+$F$64*B80+$H$64*C80</f>
        <v>61.7645333333333</v>
      </c>
      <c r="F80" s="49" t="n">
        <f aca="false">E80-D80</f>
        <v>-30.2354666666667</v>
      </c>
      <c r="G80" s="49" t="n">
        <f aca="false">F80</f>
        <v>-30.2354666666667</v>
      </c>
      <c r="H80" s="49" t="n">
        <f aca="false">F80*B80</f>
        <v>-36.28256</v>
      </c>
      <c r="I80" s="49" t="n">
        <f aca="false">F80*C80</f>
        <v>-30.2354666666667</v>
      </c>
      <c r="J80" s="48" t="n">
        <f aca="false">F80^2</f>
        <v>914.183444551112</v>
      </c>
      <c r="K80" s="48" t="n">
        <f aca="false">0.5*J80</f>
        <v>457.091722275556</v>
      </c>
    </row>
    <row r="81" customFormat="false" ht="15" hidden="false" customHeight="false" outlineLevel="0" collapsed="false">
      <c r="A81" s="46" t="str">
        <f aca="false">01_Data!A21</f>
        <v>S16</v>
      </c>
      <c r="B81" s="47" t="n">
        <f aca="false">01_Data!F21</f>
        <v>1.4</v>
      </c>
      <c r="C81" s="47" t="n">
        <f aca="false">01_Data!G21</f>
        <v>1.13333333333333</v>
      </c>
      <c r="D81" s="47" t="n">
        <f aca="false">01_Data!D21</f>
        <v>96</v>
      </c>
      <c r="E81" s="48" t="n">
        <f aca="false">$D$64+$F$64*B81+$H$64*C81</f>
        <v>64.2446659318519</v>
      </c>
      <c r="F81" s="49" t="n">
        <f aca="false">E81-D81</f>
        <v>-31.7553340681481</v>
      </c>
      <c r="G81" s="49" t="n">
        <f aca="false">F81</f>
        <v>-31.7553340681481</v>
      </c>
      <c r="H81" s="49" t="n">
        <f aca="false">F81*B81</f>
        <v>-44.4574676954074</v>
      </c>
      <c r="I81" s="49" t="n">
        <f aca="false">F81*C81</f>
        <v>-35.9893786105679</v>
      </c>
      <c r="J81" s="48" t="n">
        <f aca="false">F81^2</f>
        <v>1008.40124177969</v>
      </c>
      <c r="K81" s="48" t="n">
        <f aca="false">0.5*J81</f>
        <v>504.200620889845</v>
      </c>
    </row>
    <row r="82" customFormat="false" ht="15" hidden="false" customHeight="false" outlineLevel="0" collapsed="false">
      <c r="A82" s="46" t="str">
        <f aca="false">01_Data!A22</f>
        <v>S17</v>
      </c>
      <c r="B82" s="47" t="n">
        <f aca="false">01_Data!F22</f>
        <v>1.6</v>
      </c>
      <c r="C82" s="47" t="n">
        <f aca="false">01_Data!G22</f>
        <v>1.33333333333333</v>
      </c>
      <c r="D82" s="47" t="n">
        <f aca="false">01_Data!D22</f>
        <v>99</v>
      </c>
      <c r="E82" s="48" t="n">
        <f aca="false">$D$64+$F$64*B82+$H$64*C82</f>
        <v>67.0932740740741</v>
      </c>
      <c r="F82" s="49" t="n">
        <f aca="false">E82-D82</f>
        <v>-31.9067259259259</v>
      </c>
      <c r="G82" s="49" t="n">
        <f aca="false">F82</f>
        <v>-31.9067259259259</v>
      </c>
      <c r="H82" s="49" t="n">
        <f aca="false">F82*B82</f>
        <v>-51.0507614814815</v>
      </c>
      <c r="I82" s="49" t="n">
        <f aca="false">F82*C82</f>
        <v>-42.5423012345679</v>
      </c>
      <c r="J82" s="48" t="n">
        <f aca="false">F82^2</f>
        <v>1018.03915931215</v>
      </c>
      <c r="K82" s="48" t="n">
        <f aca="false">0.5*J82</f>
        <v>509.019579656077</v>
      </c>
    </row>
    <row r="83" customFormat="false" ht="15" hidden="false" customHeight="false" outlineLevel="0" collapsed="false">
      <c r="A83" s="46" t="str">
        <f aca="false">01_Data!A23</f>
        <v>S18</v>
      </c>
      <c r="B83" s="47" t="n">
        <f aca="false">01_Data!F23</f>
        <v>0</v>
      </c>
      <c r="C83" s="47" t="n">
        <f aca="false">01_Data!G23</f>
        <v>-0.666666666666667</v>
      </c>
      <c r="D83" s="47" t="n">
        <f aca="false">01_Data!D23</f>
        <v>65</v>
      </c>
      <c r="E83" s="48" t="n">
        <f aca="false">$D$64+$F$64*B83+$H$64*C83</f>
        <v>42.0935556740741</v>
      </c>
      <c r="F83" s="49" t="n">
        <f aca="false">E83-D83</f>
        <v>-22.9064443259259</v>
      </c>
      <c r="G83" s="49" t="n">
        <f aca="false">F83</f>
        <v>-22.9064443259259</v>
      </c>
      <c r="H83" s="49" t="n">
        <f aca="false">F83*B83</f>
        <v>-0</v>
      </c>
      <c r="I83" s="49" t="n">
        <f aca="false">F83*C83</f>
        <v>15.2709628839506</v>
      </c>
      <c r="J83" s="48" t="n">
        <f aca="false">F83^2</f>
        <v>524.705191656744</v>
      </c>
      <c r="K83" s="48" t="n">
        <f aca="false">0.5*J83</f>
        <v>262.352595828372</v>
      </c>
    </row>
    <row r="84" customFormat="false" ht="15" hidden="false" customHeight="false" outlineLevel="0" collapsed="false">
      <c r="A84" s="46" t="str">
        <f aca="false">01_Data!A24</f>
        <v>S19</v>
      </c>
      <c r="B84" s="47" t="n">
        <f aca="false">01_Data!F24</f>
        <v>-0.8</v>
      </c>
      <c r="C84" s="47" t="n">
        <f aca="false">01_Data!G24</f>
        <v>0.666666666666667</v>
      </c>
      <c r="D84" s="47" t="n">
        <f aca="false">01_Data!D24</f>
        <v>70</v>
      </c>
      <c r="E84" s="48" t="n">
        <f aca="false">$D$64+$F$64*B84+$H$64*C84</f>
        <v>42.4903405037037</v>
      </c>
      <c r="F84" s="49" t="n">
        <f aca="false">E84-D84</f>
        <v>-27.5096594962963</v>
      </c>
      <c r="G84" s="49" t="n">
        <f aca="false">F84</f>
        <v>-27.5096594962963</v>
      </c>
      <c r="H84" s="49" t="n">
        <f aca="false">F84*B84</f>
        <v>22.007727597037</v>
      </c>
      <c r="I84" s="49" t="n">
        <f aca="false">F84*C84</f>
        <v>-18.3397729975309</v>
      </c>
      <c r="J84" s="48" t="n">
        <f aca="false">F84^2</f>
        <v>756.781365602165</v>
      </c>
      <c r="K84" s="48" t="n">
        <f aca="false">0.5*J84</f>
        <v>378.390682801082</v>
      </c>
    </row>
    <row r="85" customFormat="false" ht="15" hidden="false" customHeight="false" outlineLevel="0" collapsed="false">
      <c r="A85" s="46" t="str">
        <f aca="false">01_Data!A25</f>
        <v>S20</v>
      </c>
      <c r="B85" s="47" t="n">
        <f aca="false">01_Data!F25</f>
        <v>0.8</v>
      </c>
      <c r="C85" s="47" t="n">
        <f aca="false">01_Data!G25</f>
        <v>-0.666666666666667</v>
      </c>
      <c r="D85" s="47" t="n">
        <f aca="false">01_Data!D25</f>
        <v>78</v>
      </c>
      <c r="E85" s="48" t="n">
        <f aca="false">$D$64+$F$64*B85+$H$64*C85</f>
        <v>49.0662817185185</v>
      </c>
      <c r="F85" s="49" t="n">
        <f aca="false">E85-D85</f>
        <v>-28.9337182814815</v>
      </c>
      <c r="G85" s="49" t="n">
        <f aca="false">F85</f>
        <v>-28.9337182814815</v>
      </c>
      <c r="H85" s="49" t="n">
        <f aca="false">F85*B85</f>
        <v>-23.1469746251852</v>
      </c>
      <c r="I85" s="49" t="n">
        <f aca="false">F85*C85</f>
        <v>19.2891455209877</v>
      </c>
      <c r="J85" s="48" t="n">
        <f aca="false">F85^2</f>
        <v>837.160053592136</v>
      </c>
      <c r="K85" s="48" t="n">
        <f aca="false">0.5*J85</f>
        <v>418.580026796068</v>
      </c>
    </row>
    <row r="86" customFormat="false" ht="15" hidden="false" customHeight="false" outlineLevel="0" collapsed="false">
      <c r="A86" s="50" t="s">
        <v>134</v>
      </c>
      <c r="B86" s="50"/>
      <c r="C86" s="50"/>
      <c r="D86" s="50"/>
      <c r="E86" s="50"/>
      <c r="F86" s="50"/>
      <c r="G86" s="51" t="n">
        <f aca="false">AVERAGE(G66:G85)</f>
        <v>-25.8559266607407</v>
      </c>
      <c r="H86" s="51" t="n">
        <f aca="false">AVERAGE(H66:H85)</f>
        <v>-3.5468635501037</v>
      </c>
      <c r="I86" s="51" t="n">
        <f aca="false">AVERAGE(I66:I85)</f>
        <v>-2.08281582506667</v>
      </c>
      <c r="J86" s="51" t="n">
        <f aca="false">AVERAGE(J66:J85)</f>
        <v>685.282705103727</v>
      </c>
      <c r="K86" s="51" t="n">
        <f aca="false">AVERAGE(K66:K85)</f>
        <v>342.641352551863</v>
      </c>
    </row>
    <row r="87" customFormat="false" ht="22.35" hidden="false" customHeight="true" outlineLevel="0" collapsed="false">
      <c r="A87" s="43" t="s">
        <v>135</v>
      </c>
      <c r="B87" s="43"/>
      <c r="C87" s="43" t="s">
        <v>136</v>
      </c>
      <c r="D87" s="52" t="n">
        <f aca="false">D64-$B$4*G86</f>
        <v>56.1206817754074</v>
      </c>
      <c r="E87" s="43" t="s">
        <v>137</v>
      </c>
      <c r="F87" s="52" t="n">
        <f aca="false">F64-$B$4*H86</f>
        <v>10.134652975597</v>
      </c>
      <c r="G87" s="43" t="s">
        <v>138</v>
      </c>
      <c r="H87" s="52" t="n">
        <f aca="false">H64-$B$4*I86</f>
        <v>6.36025948558222</v>
      </c>
      <c r="I87" s="44" t="s">
        <v>139</v>
      </c>
      <c r="J87" s="44"/>
      <c r="K87" s="44"/>
    </row>
    <row r="89" customFormat="false" ht="22.5" hidden="false" customHeight="true" outlineLevel="0" collapsed="false">
      <c r="A89" s="53" t="s">
        <v>142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</row>
    <row r="90" customFormat="false" ht="15" hidden="false" customHeight="true" outlineLevel="0" collapsed="false">
      <c r="A90" s="43" t="s">
        <v>118</v>
      </c>
      <c r="B90" s="44" t="n">
        <v>4</v>
      </c>
      <c r="C90" s="43" t="s">
        <v>119</v>
      </c>
      <c r="D90" s="54" t="n">
        <f aca="false">D87</f>
        <v>56.1206817754074</v>
      </c>
      <c r="E90" s="43" t="s">
        <v>120</v>
      </c>
      <c r="F90" s="54" t="n">
        <f aca="false">F87</f>
        <v>10.134652975597</v>
      </c>
      <c r="G90" s="43" t="s">
        <v>121</v>
      </c>
      <c r="H90" s="54" t="n">
        <f aca="false">H87</f>
        <v>6.36025948558222</v>
      </c>
      <c r="I90" s="44" t="s">
        <v>122</v>
      </c>
      <c r="J90" s="44"/>
      <c r="K90" s="44"/>
    </row>
    <row r="91" customFormat="false" ht="33.75" hidden="false" customHeight="true" outlineLevel="0" collapsed="false">
      <c r="A91" s="13" t="s">
        <v>123</v>
      </c>
      <c r="B91" s="13" t="s">
        <v>124</v>
      </c>
      <c r="C91" s="13" t="s">
        <v>125</v>
      </c>
      <c r="D91" s="13" t="s">
        <v>126</v>
      </c>
      <c r="E91" s="13" t="s">
        <v>127</v>
      </c>
      <c r="F91" s="13" t="s">
        <v>128</v>
      </c>
      <c r="G91" s="13" t="s">
        <v>129</v>
      </c>
      <c r="H91" s="13" t="s">
        <v>130</v>
      </c>
      <c r="I91" s="13" t="s">
        <v>131</v>
      </c>
      <c r="J91" s="13" t="s">
        <v>132</v>
      </c>
      <c r="K91" s="13" t="s">
        <v>133</v>
      </c>
    </row>
    <row r="92" customFormat="false" ht="15" hidden="false" customHeight="false" outlineLevel="0" collapsed="false">
      <c r="A92" s="46" t="str">
        <f aca="false">01_Data!A6</f>
        <v>S01</v>
      </c>
      <c r="B92" s="47" t="n">
        <f aca="false">01_Data!F6</f>
        <v>-1.6</v>
      </c>
      <c r="C92" s="47" t="n">
        <f aca="false">01_Data!G6</f>
        <v>-1.33333333333333</v>
      </c>
      <c r="D92" s="47" t="n">
        <f aca="false">01_Data!D6</f>
        <v>43</v>
      </c>
      <c r="E92" s="48" t="n">
        <f aca="false">$D$90+$F$90*B92+$H$90*C92</f>
        <v>31.4248910336758</v>
      </c>
      <c r="F92" s="49" t="n">
        <f aca="false">E92-D92</f>
        <v>-11.5751089663242</v>
      </c>
      <c r="G92" s="49" t="n">
        <f aca="false">F92</f>
        <v>-11.5751089663242</v>
      </c>
      <c r="H92" s="49" t="n">
        <f aca="false">F92*B92</f>
        <v>18.5201743461186</v>
      </c>
      <c r="I92" s="49" t="n">
        <f aca="false">F92*C92</f>
        <v>15.4334786217655</v>
      </c>
      <c r="J92" s="48" t="n">
        <f aca="false">F92^2</f>
        <v>133.983147582278</v>
      </c>
      <c r="K92" s="48" t="n">
        <f aca="false">0.5*J92</f>
        <v>66.9915737911389</v>
      </c>
    </row>
    <row r="93" customFormat="false" ht="15" hidden="false" customHeight="false" outlineLevel="0" collapsed="false">
      <c r="A93" s="46" t="str">
        <f aca="false">01_Data!A7</f>
        <v>S02</v>
      </c>
      <c r="B93" s="47" t="n">
        <f aca="false">01_Data!F7</f>
        <v>-1.4</v>
      </c>
      <c r="C93" s="47" t="n">
        <f aca="false">01_Data!G7</f>
        <v>-1</v>
      </c>
      <c r="D93" s="47" t="n">
        <f aca="false">01_Data!D7</f>
        <v>47</v>
      </c>
      <c r="E93" s="48" t="n">
        <f aca="false">$D$90+$F$90*B93+$H$90*C93</f>
        <v>35.5719081239893</v>
      </c>
      <c r="F93" s="49" t="n">
        <f aca="false">E93-D93</f>
        <v>-11.4280918760107</v>
      </c>
      <c r="G93" s="49" t="n">
        <f aca="false">F93</f>
        <v>-11.4280918760107</v>
      </c>
      <c r="H93" s="49" t="n">
        <f aca="false">F93*B93</f>
        <v>15.9993286264149</v>
      </c>
      <c r="I93" s="49" t="n">
        <f aca="false">F93*C93</f>
        <v>11.4280918760107</v>
      </c>
      <c r="J93" s="48" t="n">
        <f aca="false">F93^2</f>
        <v>130.601283926541</v>
      </c>
      <c r="K93" s="48" t="n">
        <f aca="false">0.5*J93</f>
        <v>65.3006419632705</v>
      </c>
    </row>
    <row r="94" customFormat="false" ht="15" hidden="false" customHeight="false" outlineLevel="0" collapsed="false">
      <c r="A94" s="46" t="str">
        <f aca="false">01_Data!A8</f>
        <v>S03</v>
      </c>
      <c r="B94" s="47" t="n">
        <f aca="false">01_Data!F8</f>
        <v>-1.2</v>
      </c>
      <c r="C94" s="47" t="n">
        <f aca="false">01_Data!G8</f>
        <v>-1.13333333333333</v>
      </c>
      <c r="D94" s="47" t="n">
        <f aca="false">01_Data!D8</f>
        <v>51</v>
      </c>
      <c r="E94" s="48" t="n">
        <f aca="false">$D$90+$F$90*B94+$H$90*C94</f>
        <v>36.7508041210311</v>
      </c>
      <c r="F94" s="49" t="n">
        <f aca="false">E94-D94</f>
        <v>-14.2491958789689</v>
      </c>
      <c r="G94" s="49" t="n">
        <f aca="false">F94</f>
        <v>-14.2491958789689</v>
      </c>
      <c r="H94" s="49" t="n">
        <f aca="false">F94*B94</f>
        <v>17.0990350547627</v>
      </c>
      <c r="I94" s="49" t="n">
        <f aca="false">F94*C94</f>
        <v>16.1490886628314</v>
      </c>
      <c r="J94" s="48" t="n">
        <f aca="false">F94^2</f>
        <v>203.039583197224</v>
      </c>
      <c r="K94" s="48" t="n">
        <f aca="false">0.5*J94</f>
        <v>101.519791598612</v>
      </c>
    </row>
    <row r="95" customFormat="false" ht="15" hidden="false" customHeight="false" outlineLevel="0" collapsed="false">
      <c r="A95" s="46" t="str">
        <f aca="false">01_Data!A9</f>
        <v>S04</v>
      </c>
      <c r="B95" s="47" t="n">
        <f aca="false">01_Data!F9</f>
        <v>-1</v>
      </c>
      <c r="C95" s="47" t="n">
        <f aca="false">01_Data!G9</f>
        <v>-0.666666666666667</v>
      </c>
      <c r="D95" s="47" t="n">
        <f aca="false">01_Data!D9</f>
        <v>55</v>
      </c>
      <c r="E95" s="48" t="n">
        <f aca="false">$D$90+$F$90*B95+$H$90*C95</f>
        <v>41.7458558094222</v>
      </c>
      <c r="F95" s="49" t="n">
        <f aca="false">E95-D95</f>
        <v>-13.2541441905778</v>
      </c>
      <c r="G95" s="49" t="n">
        <f aca="false">F95</f>
        <v>-13.2541441905778</v>
      </c>
      <c r="H95" s="49" t="n">
        <f aca="false">F95*B95</f>
        <v>13.2541441905778</v>
      </c>
      <c r="I95" s="49" t="n">
        <f aca="false">F95*C95</f>
        <v>8.83609612705185</v>
      </c>
      <c r="J95" s="48" t="n">
        <f aca="false">F95^2</f>
        <v>175.672338224627</v>
      </c>
      <c r="K95" s="48" t="n">
        <f aca="false">0.5*J95</f>
        <v>87.8361691123133</v>
      </c>
    </row>
    <row r="96" customFormat="false" ht="15" hidden="false" customHeight="false" outlineLevel="0" collapsed="false">
      <c r="A96" s="46" t="str">
        <f aca="false">01_Data!A10</f>
        <v>S05</v>
      </c>
      <c r="B96" s="47" t="n">
        <f aca="false">01_Data!F10</f>
        <v>-0.8</v>
      </c>
      <c r="C96" s="47" t="n">
        <f aca="false">01_Data!G10</f>
        <v>-0.866666666666667</v>
      </c>
      <c r="D96" s="47" t="n">
        <f aca="false">01_Data!D10</f>
        <v>56</v>
      </c>
      <c r="E96" s="48" t="n">
        <f aca="false">$D$90+$F$90*B96+$H$90*C96</f>
        <v>42.5007345074252</v>
      </c>
      <c r="F96" s="49" t="n">
        <f aca="false">E96-D96</f>
        <v>-13.4992654925748</v>
      </c>
      <c r="G96" s="49" t="n">
        <f aca="false">F96</f>
        <v>-13.4992654925748</v>
      </c>
      <c r="H96" s="49" t="n">
        <f aca="false">F96*B96</f>
        <v>10.7994123940599</v>
      </c>
      <c r="I96" s="49" t="n">
        <f aca="false">F96*C96</f>
        <v>11.6993634268982</v>
      </c>
      <c r="J96" s="48" t="n">
        <f aca="false">F96^2</f>
        <v>182.230168839021</v>
      </c>
      <c r="K96" s="48" t="n">
        <f aca="false">0.5*J96</f>
        <v>91.1150844195107</v>
      </c>
    </row>
    <row r="97" customFormat="false" ht="15" hidden="false" customHeight="false" outlineLevel="0" collapsed="false">
      <c r="A97" s="46" t="str">
        <f aca="false">01_Data!A11</f>
        <v>S06</v>
      </c>
      <c r="B97" s="47" t="n">
        <f aca="false">01_Data!F11</f>
        <v>-0.6</v>
      </c>
      <c r="C97" s="47" t="n">
        <f aca="false">01_Data!G11</f>
        <v>-0.333333333333333</v>
      </c>
      <c r="D97" s="47" t="n">
        <f aca="false">01_Data!D11</f>
        <v>63</v>
      </c>
      <c r="E97" s="48" t="n">
        <f aca="false">$D$90+$F$90*B97+$H$90*C97</f>
        <v>47.9198034948551</v>
      </c>
      <c r="F97" s="49" t="n">
        <f aca="false">E97-D97</f>
        <v>-15.0801965051449</v>
      </c>
      <c r="G97" s="49" t="n">
        <f aca="false">F97</f>
        <v>-15.0801965051449</v>
      </c>
      <c r="H97" s="49" t="n">
        <f aca="false">F97*B97</f>
        <v>9.04811790308694</v>
      </c>
      <c r="I97" s="49" t="n">
        <f aca="false">F97*C97</f>
        <v>5.02673216838163</v>
      </c>
      <c r="J97" s="48" t="n">
        <f aca="false">F97^2</f>
        <v>227.412326633784</v>
      </c>
      <c r="K97" s="48" t="n">
        <f aca="false">0.5*J97</f>
        <v>113.706163316892</v>
      </c>
    </row>
    <row r="98" customFormat="false" ht="15" hidden="false" customHeight="false" outlineLevel="0" collapsed="false">
      <c r="A98" s="46" t="str">
        <f aca="false">01_Data!A12</f>
        <v>S07</v>
      </c>
      <c r="B98" s="47" t="n">
        <f aca="false">01_Data!F12</f>
        <v>-0.4</v>
      </c>
      <c r="C98" s="47" t="n">
        <f aca="false">01_Data!G12</f>
        <v>-0.466666666666667</v>
      </c>
      <c r="D98" s="47" t="n">
        <f aca="false">01_Data!D12</f>
        <v>61</v>
      </c>
      <c r="E98" s="48" t="n">
        <f aca="false">$D$90+$F$90*B98+$H$90*C98</f>
        <v>49.0986994918969</v>
      </c>
      <c r="F98" s="49" t="n">
        <f aca="false">E98-D98</f>
        <v>-11.9013005081031</v>
      </c>
      <c r="G98" s="49" t="n">
        <f aca="false">F98</f>
        <v>-11.9013005081031</v>
      </c>
      <c r="H98" s="49" t="n">
        <f aca="false">F98*B98</f>
        <v>4.76052020324125</v>
      </c>
      <c r="I98" s="49" t="n">
        <f aca="false">F98*C98</f>
        <v>5.55394023711479</v>
      </c>
      <c r="J98" s="48" t="n">
        <f aca="false">F98^2</f>
        <v>141.640953784175</v>
      </c>
      <c r="K98" s="48" t="n">
        <f aca="false">0.5*J98</f>
        <v>70.8204768920877</v>
      </c>
    </row>
    <row r="99" customFormat="false" ht="15" hidden="false" customHeight="false" outlineLevel="0" collapsed="false">
      <c r="A99" s="46" t="str">
        <f aca="false">01_Data!A13</f>
        <v>S08</v>
      </c>
      <c r="B99" s="47" t="n">
        <f aca="false">01_Data!F13</f>
        <v>-0.2</v>
      </c>
      <c r="C99" s="47" t="n">
        <f aca="false">01_Data!G13</f>
        <v>-0.2</v>
      </c>
      <c r="D99" s="47" t="n">
        <f aca="false">01_Data!D13</f>
        <v>68</v>
      </c>
      <c r="E99" s="48" t="n">
        <f aca="false">$D$90+$F$90*B99+$H$90*C99</f>
        <v>52.8216992831716</v>
      </c>
      <c r="F99" s="49" t="n">
        <f aca="false">E99-D99</f>
        <v>-15.1783007168284</v>
      </c>
      <c r="G99" s="49" t="n">
        <f aca="false">F99</f>
        <v>-15.1783007168284</v>
      </c>
      <c r="H99" s="49" t="n">
        <f aca="false">F99*B99</f>
        <v>3.03566014336569</v>
      </c>
      <c r="I99" s="49" t="n">
        <f aca="false">F99*C99</f>
        <v>3.03566014336569</v>
      </c>
      <c r="J99" s="48" t="n">
        <f aca="false">F99^2</f>
        <v>230.380812650475</v>
      </c>
      <c r="K99" s="48" t="n">
        <f aca="false">0.5*J99</f>
        <v>115.190406325237</v>
      </c>
    </row>
    <row r="100" customFormat="false" ht="15" hidden="false" customHeight="false" outlineLevel="0" collapsed="false">
      <c r="A100" s="46" t="str">
        <f aca="false">01_Data!A14</f>
        <v>S09</v>
      </c>
      <c r="B100" s="47" t="n">
        <f aca="false">01_Data!F14</f>
        <v>0</v>
      </c>
      <c r="C100" s="47" t="n">
        <f aca="false">01_Data!G14</f>
        <v>0</v>
      </c>
      <c r="D100" s="47" t="n">
        <f aca="false">01_Data!D14</f>
        <v>72</v>
      </c>
      <c r="E100" s="48" t="n">
        <f aca="false">$D$90+$F$90*B100+$H$90*C100</f>
        <v>56.1206817754074</v>
      </c>
      <c r="F100" s="49" t="n">
        <f aca="false">E100-D100</f>
        <v>-15.8793182245926</v>
      </c>
      <c r="G100" s="49" t="n">
        <f aca="false">F100</f>
        <v>-15.8793182245926</v>
      </c>
      <c r="H100" s="49" t="n">
        <f aca="false">F100*B100</f>
        <v>-0</v>
      </c>
      <c r="I100" s="49" t="n">
        <f aca="false">F100*C100</f>
        <v>-0</v>
      </c>
      <c r="J100" s="48" t="n">
        <f aca="false">F100^2</f>
        <v>252.152747277879</v>
      </c>
      <c r="K100" s="48" t="n">
        <f aca="false">0.5*J100</f>
        <v>126.076373638939</v>
      </c>
    </row>
    <row r="101" customFormat="false" ht="15" hidden="false" customHeight="false" outlineLevel="0" collapsed="false">
      <c r="A101" s="46" t="str">
        <f aca="false">01_Data!A15</f>
        <v>S10</v>
      </c>
      <c r="B101" s="47" t="n">
        <f aca="false">01_Data!F15</f>
        <v>0.2</v>
      </c>
      <c r="C101" s="47" t="n">
        <f aca="false">01_Data!G15</f>
        <v>0.2</v>
      </c>
      <c r="D101" s="47" t="n">
        <f aca="false">01_Data!D15</f>
        <v>76</v>
      </c>
      <c r="E101" s="48" t="n">
        <f aca="false">$D$90+$F$90*B101+$H$90*C101</f>
        <v>59.4196642676433</v>
      </c>
      <c r="F101" s="49" t="n">
        <f aca="false">E101-D101</f>
        <v>-16.5803357323567</v>
      </c>
      <c r="G101" s="49" t="n">
        <f aca="false">F101</f>
        <v>-16.5803357323567</v>
      </c>
      <c r="H101" s="49" t="n">
        <f aca="false">F101*B101</f>
        <v>-3.31606714647135</v>
      </c>
      <c r="I101" s="49" t="n">
        <f aca="false">F101*C101</f>
        <v>-3.31606714647135</v>
      </c>
      <c r="J101" s="48" t="n">
        <f aca="false">F101^2</f>
        <v>274.907532997666</v>
      </c>
      <c r="K101" s="48" t="n">
        <f aca="false">0.5*J101</f>
        <v>137.453766498833</v>
      </c>
    </row>
    <row r="102" customFormat="false" ht="15" hidden="false" customHeight="false" outlineLevel="0" collapsed="false">
      <c r="A102" s="46" t="str">
        <f aca="false">01_Data!A16</f>
        <v>S11</v>
      </c>
      <c r="B102" s="47" t="n">
        <f aca="false">01_Data!F16</f>
        <v>0.4</v>
      </c>
      <c r="C102" s="47" t="n">
        <f aca="false">01_Data!G16</f>
        <v>0.333333333333333</v>
      </c>
      <c r="D102" s="47" t="n">
        <f aca="false">01_Data!D16</f>
        <v>79</v>
      </c>
      <c r="E102" s="48" t="n">
        <f aca="false">$D$90+$F$90*B102+$H$90*C102</f>
        <v>62.2946294608403</v>
      </c>
      <c r="F102" s="49" t="n">
        <f aca="false">E102-D102</f>
        <v>-16.7053705391597</v>
      </c>
      <c r="G102" s="49" t="n">
        <f aca="false">F102</f>
        <v>-16.7053705391597</v>
      </c>
      <c r="H102" s="49" t="n">
        <f aca="false">F102*B102</f>
        <v>-6.68214821566388</v>
      </c>
      <c r="I102" s="49" t="n">
        <f aca="false">F102*C102</f>
        <v>-5.56845684638657</v>
      </c>
      <c r="J102" s="48" t="n">
        <f aca="false">F102^2</f>
        <v>279.069404850625</v>
      </c>
      <c r="K102" s="48" t="n">
        <f aca="false">0.5*J102</f>
        <v>139.534702425313</v>
      </c>
    </row>
    <row r="103" customFormat="false" ht="15" hidden="false" customHeight="false" outlineLevel="0" collapsed="false">
      <c r="A103" s="46" t="str">
        <f aca="false">01_Data!A17</f>
        <v>S12</v>
      </c>
      <c r="B103" s="47" t="n">
        <f aca="false">01_Data!F17</f>
        <v>0.6</v>
      </c>
      <c r="C103" s="47" t="n">
        <f aca="false">01_Data!G17</f>
        <v>0.466666666666667</v>
      </c>
      <c r="D103" s="47" t="n">
        <f aca="false">01_Data!D17</f>
        <v>82</v>
      </c>
      <c r="E103" s="48" t="n">
        <f aca="false">$D$90+$F$90*B103+$H$90*C103</f>
        <v>65.1695946540373</v>
      </c>
      <c r="F103" s="49" t="n">
        <f aca="false">E103-D103</f>
        <v>-16.8304053459627</v>
      </c>
      <c r="G103" s="49" t="n">
        <f aca="false">F103</f>
        <v>-16.8304053459627</v>
      </c>
      <c r="H103" s="49" t="n">
        <f aca="false">F103*B103</f>
        <v>-10.0982432075776</v>
      </c>
      <c r="I103" s="49" t="n">
        <f aca="false">F103*C103</f>
        <v>-7.85418916144925</v>
      </c>
      <c r="J103" s="48" t="n">
        <f aca="false">F103^2</f>
        <v>283.262544109409</v>
      </c>
      <c r="K103" s="48" t="n">
        <f aca="false">0.5*J103</f>
        <v>141.631272054704</v>
      </c>
    </row>
    <row r="104" customFormat="false" ht="15" hidden="false" customHeight="false" outlineLevel="0" collapsed="false">
      <c r="A104" s="46" t="str">
        <f aca="false">01_Data!A18</f>
        <v>S13</v>
      </c>
      <c r="B104" s="47" t="n">
        <f aca="false">01_Data!F18</f>
        <v>0.8</v>
      </c>
      <c r="C104" s="47" t="n">
        <f aca="false">01_Data!G18</f>
        <v>0.666666666666667</v>
      </c>
      <c r="D104" s="47" t="n">
        <f aca="false">01_Data!D18</f>
        <v>87</v>
      </c>
      <c r="E104" s="48" t="n">
        <f aca="false">$D$90+$F$90*B104+$H$90*C104</f>
        <v>68.4685771462732</v>
      </c>
      <c r="F104" s="49" t="n">
        <f aca="false">E104-D104</f>
        <v>-18.5314228537268</v>
      </c>
      <c r="G104" s="49" t="n">
        <f aca="false">F104</f>
        <v>-18.5314228537268</v>
      </c>
      <c r="H104" s="49" t="n">
        <f aca="false">F104*B104</f>
        <v>-14.8251382829815</v>
      </c>
      <c r="I104" s="49" t="n">
        <f aca="false">F104*C104</f>
        <v>-12.3542819024845</v>
      </c>
      <c r="J104" s="48" t="n">
        <f aca="false">F104^2</f>
        <v>343.413632983629</v>
      </c>
      <c r="K104" s="48" t="n">
        <f aca="false">0.5*J104</f>
        <v>171.706816491814</v>
      </c>
    </row>
    <row r="105" customFormat="false" ht="15" hidden="false" customHeight="false" outlineLevel="0" collapsed="false">
      <c r="A105" s="46" t="str">
        <f aca="false">01_Data!A19</f>
        <v>S14</v>
      </c>
      <c r="B105" s="47" t="n">
        <f aca="false">01_Data!F19</f>
        <v>1</v>
      </c>
      <c r="C105" s="47" t="n">
        <f aca="false">01_Data!G19</f>
        <v>0.866666666666667</v>
      </c>
      <c r="D105" s="47" t="n">
        <f aca="false">01_Data!D19</f>
        <v>89</v>
      </c>
      <c r="E105" s="48" t="n">
        <f aca="false">$D$90+$F$90*B105+$H$90*C105</f>
        <v>71.767559638509</v>
      </c>
      <c r="F105" s="49" t="n">
        <f aca="false">E105-D105</f>
        <v>-17.232440361491</v>
      </c>
      <c r="G105" s="49" t="n">
        <f aca="false">F105</f>
        <v>-17.232440361491</v>
      </c>
      <c r="H105" s="49" t="n">
        <f aca="false">F105*B105</f>
        <v>-17.232440361491</v>
      </c>
      <c r="I105" s="49" t="n">
        <f aca="false">F105*C105</f>
        <v>-14.9347816466255</v>
      </c>
      <c r="J105" s="48" t="n">
        <f aca="false">F105^2</f>
        <v>296.957000812343</v>
      </c>
      <c r="K105" s="48" t="n">
        <f aca="false">0.5*J105</f>
        <v>148.478500406172</v>
      </c>
    </row>
    <row r="106" customFormat="false" ht="15" hidden="false" customHeight="false" outlineLevel="0" collapsed="false">
      <c r="A106" s="46" t="str">
        <f aca="false">01_Data!A20</f>
        <v>S15</v>
      </c>
      <c r="B106" s="47" t="n">
        <f aca="false">01_Data!F20</f>
        <v>1.2</v>
      </c>
      <c r="C106" s="47" t="n">
        <f aca="false">01_Data!G20</f>
        <v>1</v>
      </c>
      <c r="D106" s="47" t="n">
        <f aca="false">01_Data!D20</f>
        <v>92</v>
      </c>
      <c r="E106" s="48" t="n">
        <f aca="false">$D$90+$F$90*B106+$H$90*C106</f>
        <v>74.6425248317061</v>
      </c>
      <c r="F106" s="49" t="n">
        <f aca="false">E106-D106</f>
        <v>-17.3574751682939</v>
      </c>
      <c r="G106" s="49" t="n">
        <f aca="false">F106</f>
        <v>-17.3574751682939</v>
      </c>
      <c r="H106" s="49" t="n">
        <f aca="false">F106*B106</f>
        <v>-20.8289702019527</v>
      </c>
      <c r="I106" s="49" t="n">
        <f aca="false">F106*C106</f>
        <v>-17.3574751682939</v>
      </c>
      <c r="J106" s="48" t="n">
        <f aca="false">F106^2</f>
        <v>301.28194421794</v>
      </c>
      <c r="K106" s="48" t="n">
        <f aca="false">0.5*J106</f>
        <v>150.64097210897</v>
      </c>
    </row>
    <row r="107" customFormat="false" ht="15" hidden="false" customHeight="false" outlineLevel="0" collapsed="false">
      <c r="A107" s="46" t="str">
        <f aca="false">01_Data!A21</f>
        <v>S16</v>
      </c>
      <c r="B107" s="47" t="n">
        <f aca="false">01_Data!F21</f>
        <v>1.4</v>
      </c>
      <c r="C107" s="47" t="n">
        <f aca="false">01_Data!G21</f>
        <v>1.13333333333333</v>
      </c>
      <c r="D107" s="47" t="n">
        <f aca="false">01_Data!D21</f>
        <v>96</v>
      </c>
      <c r="E107" s="48" t="n">
        <f aca="false">$D$90+$F$90*B107+$H$90*C107</f>
        <v>77.5174900249031</v>
      </c>
      <c r="F107" s="49" t="n">
        <f aca="false">E107-D107</f>
        <v>-18.4825099750969</v>
      </c>
      <c r="G107" s="49" t="n">
        <f aca="false">F107</f>
        <v>-18.4825099750969</v>
      </c>
      <c r="H107" s="49" t="n">
        <f aca="false">F107*B107</f>
        <v>-25.8755139651356</v>
      </c>
      <c r="I107" s="49" t="n">
        <f aca="false">F107*C107</f>
        <v>-20.9468446384431</v>
      </c>
      <c r="J107" s="48" t="n">
        <f aca="false">F107^2</f>
        <v>341.603174979556</v>
      </c>
      <c r="K107" s="48" t="n">
        <f aca="false">0.5*J107</f>
        <v>170.801587489778</v>
      </c>
    </row>
    <row r="108" customFormat="false" ht="15" hidden="false" customHeight="false" outlineLevel="0" collapsed="false">
      <c r="A108" s="46" t="str">
        <f aca="false">01_Data!A22</f>
        <v>S17</v>
      </c>
      <c r="B108" s="47" t="n">
        <f aca="false">01_Data!F22</f>
        <v>1.6</v>
      </c>
      <c r="C108" s="47" t="n">
        <f aca="false">01_Data!G22</f>
        <v>1.33333333333333</v>
      </c>
      <c r="D108" s="47" t="n">
        <f aca="false">01_Data!D22</f>
        <v>99</v>
      </c>
      <c r="E108" s="48" t="n">
        <f aca="false">$D$90+$F$90*B108+$H$90*C108</f>
        <v>80.816472517139</v>
      </c>
      <c r="F108" s="49" t="n">
        <f aca="false">E108-D108</f>
        <v>-18.183527482861</v>
      </c>
      <c r="G108" s="49" t="n">
        <f aca="false">F108</f>
        <v>-18.183527482861</v>
      </c>
      <c r="H108" s="49" t="n">
        <f aca="false">F108*B108</f>
        <v>-29.0936439725777</v>
      </c>
      <c r="I108" s="49" t="n">
        <f aca="false">F108*C108</f>
        <v>-24.2447033104814</v>
      </c>
      <c r="J108" s="48" t="n">
        <f aca="false">F108^2</f>
        <v>330.640671719963</v>
      </c>
      <c r="K108" s="48" t="n">
        <f aca="false">0.5*J108</f>
        <v>165.320335859981</v>
      </c>
    </row>
    <row r="109" customFormat="false" ht="15" hidden="false" customHeight="false" outlineLevel="0" collapsed="false">
      <c r="A109" s="46" t="str">
        <f aca="false">01_Data!A23</f>
        <v>S18</v>
      </c>
      <c r="B109" s="47" t="n">
        <f aca="false">01_Data!F23</f>
        <v>0</v>
      </c>
      <c r="C109" s="47" t="n">
        <f aca="false">01_Data!G23</f>
        <v>-0.666666666666667</v>
      </c>
      <c r="D109" s="47" t="n">
        <f aca="false">01_Data!D23</f>
        <v>65</v>
      </c>
      <c r="E109" s="48" t="n">
        <f aca="false">$D$90+$F$90*B109+$H$90*C109</f>
        <v>51.8805087850193</v>
      </c>
      <c r="F109" s="49" t="n">
        <f aca="false">E109-D109</f>
        <v>-13.1194912149807</v>
      </c>
      <c r="G109" s="49" t="n">
        <f aca="false">F109</f>
        <v>-13.1194912149807</v>
      </c>
      <c r="H109" s="49" t="n">
        <f aca="false">F109*B109</f>
        <v>-0</v>
      </c>
      <c r="I109" s="49" t="n">
        <f aca="false">F109*C109</f>
        <v>8.74632747665383</v>
      </c>
      <c r="J109" s="48" t="n">
        <f aca="false">F109^2</f>
        <v>172.121049739957</v>
      </c>
      <c r="K109" s="48" t="n">
        <f aca="false">0.5*J109</f>
        <v>86.0605248699784</v>
      </c>
    </row>
    <row r="110" customFormat="false" ht="15" hidden="false" customHeight="false" outlineLevel="0" collapsed="false">
      <c r="A110" s="46" t="str">
        <f aca="false">01_Data!A24</f>
        <v>S19</v>
      </c>
      <c r="B110" s="47" t="n">
        <f aca="false">01_Data!F24</f>
        <v>-0.8</v>
      </c>
      <c r="C110" s="47" t="n">
        <f aca="false">01_Data!G24</f>
        <v>0.666666666666667</v>
      </c>
      <c r="D110" s="47" t="n">
        <f aca="false">01_Data!D24</f>
        <v>70</v>
      </c>
      <c r="E110" s="48" t="n">
        <f aca="false">$D$90+$F$90*B110+$H$90*C110</f>
        <v>52.2531323853179</v>
      </c>
      <c r="F110" s="49" t="n">
        <f aca="false">E110-D110</f>
        <v>-17.7468676146821</v>
      </c>
      <c r="G110" s="49" t="n">
        <f aca="false">F110</f>
        <v>-17.7468676146821</v>
      </c>
      <c r="H110" s="49" t="n">
        <f aca="false">F110*B110</f>
        <v>14.1974940917457</v>
      </c>
      <c r="I110" s="49" t="n">
        <f aca="false">F110*C110</f>
        <v>-11.8312450764547</v>
      </c>
      <c r="J110" s="48" t="n">
        <f aca="false">F110^2</f>
        <v>314.951310133052</v>
      </c>
      <c r="K110" s="48" t="n">
        <f aca="false">0.5*J110</f>
        <v>157.475655066526</v>
      </c>
    </row>
    <row r="111" customFormat="false" ht="15" hidden="false" customHeight="false" outlineLevel="0" collapsed="false">
      <c r="A111" s="46" t="str">
        <f aca="false">01_Data!A25</f>
        <v>S20</v>
      </c>
      <c r="B111" s="47" t="n">
        <f aca="false">01_Data!F25</f>
        <v>0.8</v>
      </c>
      <c r="C111" s="47" t="n">
        <f aca="false">01_Data!G25</f>
        <v>-0.666666666666667</v>
      </c>
      <c r="D111" s="47" t="n">
        <f aca="false">01_Data!D25</f>
        <v>78</v>
      </c>
      <c r="E111" s="48" t="n">
        <f aca="false">$D$90+$F$90*B111+$H$90*C111</f>
        <v>59.9882311654969</v>
      </c>
      <c r="F111" s="49" t="n">
        <f aca="false">E111-D111</f>
        <v>-18.0117688345031</v>
      </c>
      <c r="G111" s="49" t="n">
        <f aca="false">F111</f>
        <v>-18.0117688345031</v>
      </c>
      <c r="H111" s="49" t="n">
        <f aca="false">F111*B111</f>
        <v>-14.4094150676025</v>
      </c>
      <c r="I111" s="49" t="n">
        <f aca="false">F111*C111</f>
        <v>12.0078458896687</v>
      </c>
      <c r="J111" s="48" t="n">
        <f aca="false">F111^2</f>
        <v>324.423816547578</v>
      </c>
      <c r="K111" s="48" t="n">
        <f aca="false">0.5*J111</f>
        <v>162.211908273789</v>
      </c>
    </row>
    <row r="112" customFormat="false" ht="15" hidden="false" customHeight="false" outlineLevel="0" collapsed="false">
      <c r="A112" s="50" t="s">
        <v>134</v>
      </c>
      <c r="B112" s="50"/>
      <c r="C112" s="50"/>
      <c r="D112" s="50"/>
      <c r="E112" s="50"/>
      <c r="F112" s="50"/>
      <c r="G112" s="51" t="n">
        <f aca="false">AVERAGE(G92:G111)</f>
        <v>-15.541326874112</v>
      </c>
      <c r="H112" s="51" t="n">
        <f aca="false">AVERAGE(H92:H111)</f>
        <v>-1.78238467340402</v>
      </c>
      <c r="I112" s="51" t="n">
        <f aca="false">AVERAGE(I92:I111)</f>
        <v>-1.0245710133674</v>
      </c>
      <c r="J112" s="51" t="n">
        <f aca="false">AVERAGE(J92:J111)</f>
        <v>246.987272260386</v>
      </c>
      <c r="K112" s="51" t="n">
        <f aca="false">AVERAGE(K92:K111)</f>
        <v>123.493636130193</v>
      </c>
    </row>
    <row r="113" customFormat="false" ht="22.35" hidden="false" customHeight="true" outlineLevel="0" collapsed="false">
      <c r="A113" s="43" t="s">
        <v>135</v>
      </c>
      <c r="B113" s="43"/>
      <c r="C113" s="43" t="s">
        <v>136</v>
      </c>
      <c r="D113" s="52" t="n">
        <f aca="false">D90-$B$4*G112</f>
        <v>62.3372125250522</v>
      </c>
      <c r="E113" s="43" t="s">
        <v>137</v>
      </c>
      <c r="F113" s="52" t="n">
        <f aca="false">F90-$B$4*H112</f>
        <v>10.8476068449586</v>
      </c>
      <c r="G113" s="43" t="s">
        <v>138</v>
      </c>
      <c r="H113" s="52" t="n">
        <f aca="false">H90-$B$4*I112</f>
        <v>6.77008789092918</v>
      </c>
      <c r="I113" s="44" t="s">
        <v>139</v>
      </c>
      <c r="J113" s="44"/>
      <c r="K113" s="44"/>
    </row>
    <row r="115" customFormat="false" ht="22.5" hidden="false" customHeight="true" outlineLevel="0" collapsed="false">
      <c r="A115" s="4" t="s">
        <v>143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" hidden="false" customHeight="true" outlineLevel="0" collapsed="false">
      <c r="A116" s="43" t="s">
        <v>118</v>
      </c>
      <c r="B116" s="44" t="n">
        <v>5</v>
      </c>
      <c r="C116" s="43" t="s">
        <v>119</v>
      </c>
      <c r="D116" s="54" t="n">
        <f aca="false">D113</f>
        <v>62.3372125250522</v>
      </c>
      <c r="E116" s="43" t="s">
        <v>120</v>
      </c>
      <c r="F116" s="54" t="n">
        <f aca="false">F113</f>
        <v>10.8476068449586</v>
      </c>
      <c r="G116" s="43" t="s">
        <v>121</v>
      </c>
      <c r="H116" s="54" t="n">
        <f aca="false">H113</f>
        <v>6.77008789092918</v>
      </c>
      <c r="I116" s="44" t="s">
        <v>122</v>
      </c>
      <c r="J116" s="44"/>
      <c r="K116" s="44"/>
    </row>
    <row r="117" customFormat="false" ht="33.75" hidden="false" customHeight="true" outlineLevel="0" collapsed="false">
      <c r="A117" s="13" t="s">
        <v>123</v>
      </c>
      <c r="B117" s="13" t="s">
        <v>124</v>
      </c>
      <c r="C117" s="13" t="s">
        <v>125</v>
      </c>
      <c r="D117" s="13" t="s">
        <v>126</v>
      </c>
      <c r="E117" s="13" t="s">
        <v>127</v>
      </c>
      <c r="F117" s="13" t="s">
        <v>128</v>
      </c>
      <c r="G117" s="13" t="s">
        <v>129</v>
      </c>
      <c r="H117" s="13" t="s">
        <v>130</v>
      </c>
      <c r="I117" s="13" t="s">
        <v>131</v>
      </c>
      <c r="J117" s="13" t="s">
        <v>132</v>
      </c>
      <c r="K117" s="13" t="s">
        <v>133</v>
      </c>
    </row>
    <row r="118" customFormat="false" ht="15" hidden="false" customHeight="false" outlineLevel="0" collapsed="false">
      <c r="A118" s="46" t="str">
        <f aca="false">01_Data!A6</f>
        <v>S01</v>
      </c>
      <c r="B118" s="47" t="n">
        <f aca="false">01_Data!F6</f>
        <v>-1.6</v>
      </c>
      <c r="C118" s="47" t="n">
        <f aca="false">01_Data!G6</f>
        <v>-1.33333333333333</v>
      </c>
      <c r="D118" s="47" t="n">
        <f aca="false">01_Data!D6</f>
        <v>43</v>
      </c>
      <c r="E118" s="48" t="n">
        <f aca="false">$D$116+$F$116*B118+$H$116*C118</f>
        <v>35.9542577185461</v>
      </c>
      <c r="F118" s="49" t="n">
        <f aca="false">E118-D118</f>
        <v>-7.04574228145387</v>
      </c>
      <c r="G118" s="49" t="n">
        <f aca="false">F118</f>
        <v>-7.04574228145387</v>
      </c>
      <c r="H118" s="49" t="n">
        <f aca="false">F118*B118</f>
        <v>11.2731876503262</v>
      </c>
      <c r="I118" s="49" t="n">
        <f aca="false">F118*C118</f>
        <v>9.39432304193849</v>
      </c>
      <c r="J118" s="48" t="n">
        <f aca="false">F118^2</f>
        <v>49.6424842966668</v>
      </c>
      <c r="K118" s="48" t="n">
        <f aca="false">0.5*J118</f>
        <v>24.8212421483334</v>
      </c>
    </row>
    <row r="119" customFormat="false" ht="15" hidden="false" customHeight="false" outlineLevel="0" collapsed="false">
      <c r="A119" s="46" t="str">
        <f aca="false">01_Data!A7</f>
        <v>S02</v>
      </c>
      <c r="B119" s="47" t="n">
        <f aca="false">01_Data!F7</f>
        <v>-1.4</v>
      </c>
      <c r="C119" s="47" t="n">
        <f aca="false">01_Data!G7</f>
        <v>-1</v>
      </c>
      <c r="D119" s="47" t="n">
        <f aca="false">01_Data!D7</f>
        <v>47</v>
      </c>
      <c r="E119" s="48" t="n">
        <f aca="false">$D$116+$F$116*B119+$H$116*C119</f>
        <v>40.3804750511809</v>
      </c>
      <c r="F119" s="49" t="n">
        <f aca="false">E119-D119</f>
        <v>-6.61952494881908</v>
      </c>
      <c r="G119" s="49" t="n">
        <f aca="false">F119</f>
        <v>-6.61952494881908</v>
      </c>
      <c r="H119" s="49" t="n">
        <f aca="false">F119*B119</f>
        <v>9.26733492834671</v>
      </c>
      <c r="I119" s="49" t="n">
        <f aca="false">F119*C119</f>
        <v>6.61952494881908</v>
      </c>
      <c r="J119" s="48" t="n">
        <f aca="false">F119^2</f>
        <v>43.8181105480382</v>
      </c>
      <c r="K119" s="48" t="n">
        <f aca="false">0.5*J119</f>
        <v>21.9090552740191</v>
      </c>
    </row>
    <row r="120" customFormat="false" ht="15" hidden="false" customHeight="false" outlineLevel="0" collapsed="false">
      <c r="A120" s="46" t="str">
        <f aca="false">01_Data!A8</f>
        <v>S03</v>
      </c>
      <c r="B120" s="47" t="n">
        <f aca="false">01_Data!F8</f>
        <v>-1.2</v>
      </c>
      <c r="C120" s="47" t="n">
        <f aca="false">01_Data!G8</f>
        <v>-1.13333333333333</v>
      </c>
      <c r="D120" s="47" t="n">
        <f aca="false">01_Data!D8</f>
        <v>51</v>
      </c>
      <c r="E120" s="48" t="n">
        <f aca="false">$D$116+$F$116*B120+$H$116*C120</f>
        <v>41.6473180347154</v>
      </c>
      <c r="F120" s="49" t="n">
        <f aca="false">E120-D120</f>
        <v>-9.35268196528457</v>
      </c>
      <c r="G120" s="49" t="n">
        <f aca="false">F120</f>
        <v>-9.35268196528457</v>
      </c>
      <c r="H120" s="49" t="n">
        <f aca="false">F120*B120</f>
        <v>11.2232183583415</v>
      </c>
      <c r="I120" s="49" t="n">
        <f aca="false">F120*C120</f>
        <v>10.5997062273225</v>
      </c>
      <c r="J120" s="48" t="n">
        <f aca="false">F120^2</f>
        <v>87.4726599437592</v>
      </c>
      <c r="K120" s="48" t="n">
        <f aca="false">0.5*J120</f>
        <v>43.7363299718796</v>
      </c>
    </row>
    <row r="121" customFormat="false" ht="15" hidden="false" customHeight="false" outlineLevel="0" collapsed="false">
      <c r="A121" s="46" t="str">
        <f aca="false">01_Data!A9</f>
        <v>S04</v>
      </c>
      <c r="B121" s="47" t="n">
        <f aca="false">01_Data!F9</f>
        <v>-1</v>
      </c>
      <c r="C121" s="47" t="n">
        <f aca="false">01_Data!G9</f>
        <v>-0.666666666666667</v>
      </c>
      <c r="D121" s="47" t="n">
        <f aca="false">01_Data!D9</f>
        <v>55</v>
      </c>
      <c r="E121" s="48" t="n">
        <f aca="false">$D$116+$F$116*B121+$H$116*C121</f>
        <v>46.9762137528074</v>
      </c>
      <c r="F121" s="49" t="n">
        <f aca="false">E121-D121</f>
        <v>-8.02378624719256</v>
      </c>
      <c r="G121" s="49" t="n">
        <f aca="false">F121</f>
        <v>-8.02378624719256</v>
      </c>
      <c r="H121" s="49" t="n">
        <f aca="false">F121*B121</f>
        <v>8.02378624719256</v>
      </c>
      <c r="I121" s="49" t="n">
        <f aca="false">F121*C121</f>
        <v>5.34919083146171</v>
      </c>
      <c r="J121" s="48" t="n">
        <f aca="false">F121^2</f>
        <v>64.3811457406365</v>
      </c>
      <c r="K121" s="48" t="n">
        <f aca="false">0.5*J121</f>
        <v>32.1905728703182</v>
      </c>
    </row>
    <row r="122" customFormat="false" ht="15" hidden="false" customHeight="false" outlineLevel="0" collapsed="false">
      <c r="A122" s="46" t="str">
        <f aca="false">01_Data!A10</f>
        <v>S05</v>
      </c>
      <c r="B122" s="47" t="n">
        <f aca="false">01_Data!F10</f>
        <v>-0.8</v>
      </c>
      <c r="C122" s="47" t="n">
        <f aca="false">01_Data!G10</f>
        <v>-0.866666666666667</v>
      </c>
      <c r="D122" s="47" t="n">
        <f aca="false">01_Data!D10</f>
        <v>56</v>
      </c>
      <c r="E122" s="48" t="n">
        <f aca="false">$D$116+$F$116*B122+$H$116*C122</f>
        <v>47.7917175436133</v>
      </c>
      <c r="F122" s="49" t="n">
        <f aca="false">E122-D122</f>
        <v>-8.20828245638667</v>
      </c>
      <c r="G122" s="49" t="n">
        <f aca="false">F122</f>
        <v>-8.20828245638667</v>
      </c>
      <c r="H122" s="49" t="n">
        <f aca="false">F122*B122</f>
        <v>6.56662596510934</v>
      </c>
      <c r="I122" s="49" t="n">
        <f aca="false">F122*C122</f>
        <v>7.11384479553511</v>
      </c>
      <c r="J122" s="48" t="n">
        <f aca="false">F122^2</f>
        <v>67.3759008838252</v>
      </c>
      <c r="K122" s="48" t="n">
        <f aca="false">0.5*J122</f>
        <v>33.6879504419126</v>
      </c>
    </row>
    <row r="123" customFormat="false" ht="15" hidden="false" customHeight="false" outlineLevel="0" collapsed="false">
      <c r="A123" s="46" t="str">
        <f aca="false">01_Data!A11</f>
        <v>S06</v>
      </c>
      <c r="B123" s="47" t="n">
        <f aca="false">01_Data!F11</f>
        <v>-0.6</v>
      </c>
      <c r="C123" s="47" t="n">
        <f aca="false">01_Data!G11</f>
        <v>-0.333333333333333</v>
      </c>
      <c r="D123" s="47" t="n">
        <f aca="false">01_Data!D11</f>
        <v>63</v>
      </c>
      <c r="E123" s="48" t="n">
        <f aca="false">$D$116+$F$116*B123+$H$116*C123</f>
        <v>53.571952454434</v>
      </c>
      <c r="F123" s="49" t="n">
        <f aca="false">E123-D123</f>
        <v>-9.42804754556604</v>
      </c>
      <c r="G123" s="49" t="n">
        <f aca="false">F123</f>
        <v>-9.42804754556604</v>
      </c>
      <c r="H123" s="49" t="n">
        <f aca="false">F123*B123</f>
        <v>5.65682852733962</v>
      </c>
      <c r="I123" s="49" t="n">
        <f aca="false">F123*C123</f>
        <v>3.14268251518868</v>
      </c>
      <c r="J123" s="48" t="n">
        <f aca="false">F123^2</f>
        <v>88.8880805214538</v>
      </c>
      <c r="K123" s="48" t="n">
        <f aca="false">0.5*J123</f>
        <v>44.4440402607269</v>
      </c>
    </row>
    <row r="124" customFormat="false" ht="15" hidden="false" customHeight="false" outlineLevel="0" collapsed="false">
      <c r="A124" s="46" t="str">
        <f aca="false">01_Data!A12</f>
        <v>S07</v>
      </c>
      <c r="B124" s="47" t="n">
        <f aca="false">01_Data!F12</f>
        <v>-0.4</v>
      </c>
      <c r="C124" s="47" t="n">
        <f aca="false">01_Data!G12</f>
        <v>-0.466666666666667</v>
      </c>
      <c r="D124" s="47" t="n">
        <f aca="false">01_Data!D12</f>
        <v>61</v>
      </c>
      <c r="E124" s="48" t="n">
        <f aca="false">$D$116+$F$116*B124+$H$116*C124</f>
        <v>54.8387954379685</v>
      </c>
      <c r="F124" s="49" t="n">
        <f aca="false">E124-D124</f>
        <v>-6.16120456203154</v>
      </c>
      <c r="G124" s="49" t="n">
        <f aca="false">F124</f>
        <v>-6.16120456203154</v>
      </c>
      <c r="H124" s="49" t="n">
        <f aca="false">F124*B124</f>
        <v>2.46448182481261</v>
      </c>
      <c r="I124" s="49" t="n">
        <f aca="false">F124*C124</f>
        <v>2.87522879561472</v>
      </c>
      <c r="J124" s="48" t="n">
        <f aca="false">F124^2</f>
        <v>37.9604416551982</v>
      </c>
      <c r="K124" s="48" t="n">
        <f aca="false">0.5*J124</f>
        <v>18.9802208275991</v>
      </c>
    </row>
    <row r="125" customFormat="false" ht="15" hidden="false" customHeight="false" outlineLevel="0" collapsed="false">
      <c r="A125" s="46" t="str">
        <f aca="false">01_Data!A13</f>
        <v>S08</v>
      </c>
      <c r="B125" s="47" t="n">
        <f aca="false">01_Data!F13</f>
        <v>-0.2</v>
      </c>
      <c r="C125" s="47" t="n">
        <f aca="false">01_Data!G13</f>
        <v>-0.2</v>
      </c>
      <c r="D125" s="47" t="n">
        <f aca="false">01_Data!D13</f>
        <v>68</v>
      </c>
      <c r="E125" s="48" t="n">
        <f aca="false">$D$116+$F$116*B125+$H$116*C125</f>
        <v>58.8136735778746</v>
      </c>
      <c r="F125" s="49" t="n">
        <f aca="false">E125-D125</f>
        <v>-9.18632642212536</v>
      </c>
      <c r="G125" s="49" t="n">
        <f aca="false">F125</f>
        <v>-9.18632642212536</v>
      </c>
      <c r="H125" s="49" t="n">
        <f aca="false">F125*B125</f>
        <v>1.83726528442507</v>
      </c>
      <c r="I125" s="49" t="n">
        <f aca="false">F125*C125</f>
        <v>1.83726528442507</v>
      </c>
      <c r="J125" s="48" t="n">
        <f aca="false">F125^2</f>
        <v>84.3885931338385</v>
      </c>
      <c r="K125" s="48" t="n">
        <f aca="false">0.5*J125</f>
        <v>42.1942965669193</v>
      </c>
    </row>
    <row r="126" customFormat="false" ht="15" hidden="false" customHeight="false" outlineLevel="0" collapsed="false">
      <c r="A126" s="46" t="str">
        <f aca="false">01_Data!A14</f>
        <v>S09</v>
      </c>
      <c r="B126" s="47" t="n">
        <f aca="false">01_Data!F14</f>
        <v>0</v>
      </c>
      <c r="C126" s="47" t="n">
        <f aca="false">01_Data!G14</f>
        <v>0</v>
      </c>
      <c r="D126" s="47" t="n">
        <f aca="false">01_Data!D14</f>
        <v>72</v>
      </c>
      <c r="E126" s="48" t="n">
        <f aca="false">$D$116+$F$116*B126+$H$116*C126</f>
        <v>62.3372125250522</v>
      </c>
      <c r="F126" s="49" t="n">
        <f aca="false">E126-D126</f>
        <v>-9.66278747494779</v>
      </c>
      <c r="G126" s="49" t="n">
        <f aca="false">F126</f>
        <v>-9.66278747494779</v>
      </c>
      <c r="H126" s="49" t="n">
        <f aca="false">F126*B126</f>
        <v>-0</v>
      </c>
      <c r="I126" s="49" t="n">
        <f aca="false">F126*C126</f>
        <v>-0</v>
      </c>
      <c r="J126" s="48" t="n">
        <f aca="false">F126^2</f>
        <v>93.3694617860079</v>
      </c>
      <c r="K126" s="48" t="n">
        <f aca="false">0.5*J126</f>
        <v>46.684730893004</v>
      </c>
    </row>
    <row r="127" customFormat="false" ht="15" hidden="false" customHeight="false" outlineLevel="0" collapsed="false">
      <c r="A127" s="46" t="str">
        <f aca="false">01_Data!A15</f>
        <v>S10</v>
      </c>
      <c r="B127" s="47" t="n">
        <f aca="false">01_Data!F15</f>
        <v>0.2</v>
      </c>
      <c r="C127" s="47" t="n">
        <f aca="false">01_Data!G15</f>
        <v>0.2</v>
      </c>
      <c r="D127" s="47" t="n">
        <f aca="false">01_Data!D15</f>
        <v>76</v>
      </c>
      <c r="E127" s="48" t="n">
        <f aca="false">$D$116+$F$116*B127+$H$116*C127</f>
        <v>65.8607514722298</v>
      </c>
      <c r="F127" s="49" t="n">
        <f aca="false">E127-D127</f>
        <v>-10.1392485277702</v>
      </c>
      <c r="G127" s="49" t="n">
        <f aca="false">F127</f>
        <v>-10.1392485277702</v>
      </c>
      <c r="H127" s="49" t="n">
        <f aca="false">F127*B127</f>
        <v>-2.02784970555405</v>
      </c>
      <c r="I127" s="49" t="n">
        <f aca="false">F127*C127</f>
        <v>-2.02784970555405</v>
      </c>
      <c r="J127" s="48" t="n">
        <f aca="false">F127^2</f>
        <v>102.804360707891</v>
      </c>
      <c r="K127" s="48" t="n">
        <f aca="false">0.5*J127</f>
        <v>51.4021803539454</v>
      </c>
    </row>
    <row r="128" customFormat="false" ht="15" hidden="false" customHeight="false" outlineLevel="0" collapsed="false">
      <c r="A128" s="46" t="str">
        <f aca="false">01_Data!A16</f>
        <v>S11</v>
      </c>
      <c r="B128" s="47" t="n">
        <f aca="false">01_Data!F16</f>
        <v>0.4</v>
      </c>
      <c r="C128" s="47" t="n">
        <f aca="false">01_Data!G16</f>
        <v>0.333333333333333</v>
      </c>
      <c r="D128" s="47" t="n">
        <f aca="false">01_Data!D16</f>
        <v>79</v>
      </c>
      <c r="E128" s="48" t="n">
        <f aca="false">$D$116+$F$116*B128+$H$116*C128</f>
        <v>68.9329512266787</v>
      </c>
      <c r="F128" s="49" t="n">
        <f aca="false">E128-D128</f>
        <v>-10.0670487733213</v>
      </c>
      <c r="G128" s="49" t="n">
        <f aca="false">F128</f>
        <v>-10.0670487733213</v>
      </c>
      <c r="H128" s="49" t="n">
        <f aca="false">F128*B128</f>
        <v>-4.0268195093285</v>
      </c>
      <c r="I128" s="49" t="n">
        <f aca="false">F128*C128</f>
        <v>-3.35568292444042</v>
      </c>
      <c r="J128" s="48" t="n">
        <f aca="false">F128^2</f>
        <v>101.345471004429</v>
      </c>
      <c r="K128" s="48" t="n">
        <f aca="false">0.5*J128</f>
        <v>50.6727355022146</v>
      </c>
    </row>
    <row r="129" customFormat="false" ht="15" hidden="false" customHeight="false" outlineLevel="0" collapsed="false">
      <c r="A129" s="46" t="str">
        <f aca="false">01_Data!A17</f>
        <v>S12</v>
      </c>
      <c r="B129" s="47" t="n">
        <f aca="false">01_Data!F17</f>
        <v>0.6</v>
      </c>
      <c r="C129" s="47" t="n">
        <f aca="false">01_Data!G17</f>
        <v>0.466666666666667</v>
      </c>
      <c r="D129" s="47" t="n">
        <f aca="false">01_Data!D17</f>
        <v>82</v>
      </c>
      <c r="E129" s="48" t="n">
        <f aca="false">$D$116+$F$116*B129+$H$116*C129</f>
        <v>72.0051509811277</v>
      </c>
      <c r="F129" s="49" t="n">
        <f aca="false">E129-D129</f>
        <v>-9.99484901887232</v>
      </c>
      <c r="G129" s="49" t="n">
        <f aca="false">F129</f>
        <v>-9.99484901887232</v>
      </c>
      <c r="H129" s="49" t="n">
        <f aca="false">F129*B129</f>
        <v>-5.99690941132339</v>
      </c>
      <c r="I129" s="49" t="n">
        <f aca="false">F129*C129</f>
        <v>-4.66426287547375</v>
      </c>
      <c r="J129" s="48" t="n">
        <f aca="false">F129^2</f>
        <v>99.8970069100529</v>
      </c>
      <c r="K129" s="48" t="n">
        <f aca="false">0.5*J129</f>
        <v>49.9485034550265</v>
      </c>
    </row>
    <row r="130" customFormat="false" ht="15" hidden="false" customHeight="false" outlineLevel="0" collapsed="false">
      <c r="A130" s="46" t="str">
        <f aca="false">01_Data!A18</f>
        <v>S13</v>
      </c>
      <c r="B130" s="47" t="n">
        <f aca="false">01_Data!F18</f>
        <v>0.8</v>
      </c>
      <c r="C130" s="47" t="n">
        <f aca="false">01_Data!G18</f>
        <v>0.666666666666667</v>
      </c>
      <c r="D130" s="47" t="n">
        <f aca="false">01_Data!D18</f>
        <v>87</v>
      </c>
      <c r="E130" s="48" t="n">
        <f aca="false">$D$116+$F$116*B130+$H$116*C130</f>
        <v>75.5286899283052</v>
      </c>
      <c r="F130" s="49" t="n">
        <f aca="false">E130-D130</f>
        <v>-11.4713100716948</v>
      </c>
      <c r="G130" s="49" t="n">
        <f aca="false">F130</f>
        <v>-11.4713100716948</v>
      </c>
      <c r="H130" s="49" t="n">
        <f aca="false">F130*B130</f>
        <v>-9.17704805735581</v>
      </c>
      <c r="I130" s="49" t="n">
        <f aca="false">F130*C130</f>
        <v>-7.64754004779651</v>
      </c>
      <c r="J130" s="48" t="n">
        <f aca="false">F130^2</f>
        <v>131.590954760966</v>
      </c>
      <c r="K130" s="48" t="n">
        <f aca="false">0.5*J130</f>
        <v>65.7954773804828</v>
      </c>
    </row>
    <row r="131" customFormat="false" ht="15" hidden="false" customHeight="false" outlineLevel="0" collapsed="false">
      <c r="A131" s="46" t="str">
        <f aca="false">01_Data!A19</f>
        <v>S14</v>
      </c>
      <c r="B131" s="47" t="n">
        <f aca="false">01_Data!F19</f>
        <v>1</v>
      </c>
      <c r="C131" s="47" t="n">
        <f aca="false">01_Data!G19</f>
        <v>0.866666666666667</v>
      </c>
      <c r="D131" s="47" t="n">
        <f aca="false">01_Data!D19</f>
        <v>89</v>
      </c>
      <c r="E131" s="48" t="n">
        <f aca="false">$D$116+$F$116*B131+$H$116*C131</f>
        <v>79.0522288754828</v>
      </c>
      <c r="F131" s="49" t="n">
        <f aca="false">E131-D131</f>
        <v>-9.94777112451719</v>
      </c>
      <c r="G131" s="49" t="n">
        <f aca="false">F131</f>
        <v>-9.94777112451719</v>
      </c>
      <c r="H131" s="49" t="n">
        <f aca="false">F131*B131</f>
        <v>-9.94777112451719</v>
      </c>
      <c r="I131" s="49" t="n">
        <f aca="false">F131*C131</f>
        <v>-8.62140164124823</v>
      </c>
      <c r="J131" s="48" t="n">
        <f aca="false">F131^2</f>
        <v>98.958150345778</v>
      </c>
      <c r="K131" s="48" t="n">
        <f aca="false">0.5*J131</f>
        <v>49.479075172889</v>
      </c>
    </row>
    <row r="132" customFormat="false" ht="15" hidden="false" customHeight="false" outlineLevel="0" collapsed="false">
      <c r="A132" s="46" t="str">
        <f aca="false">01_Data!A20</f>
        <v>S15</v>
      </c>
      <c r="B132" s="47" t="n">
        <f aca="false">01_Data!F20</f>
        <v>1.2</v>
      </c>
      <c r="C132" s="47" t="n">
        <f aca="false">01_Data!G20</f>
        <v>1</v>
      </c>
      <c r="D132" s="47" t="n">
        <f aca="false">01_Data!D20</f>
        <v>92</v>
      </c>
      <c r="E132" s="48" t="n">
        <f aca="false">$D$116+$F$116*B132+$H$116*C132</f>
        <v>82.1244286299318</v>
      </c>
      <c r="F132" s="49" t="n">
        <f aca="false">E132-D132</f>
        <v>-9.87557137006823</v>
      </c>
      <c r="G132" s="49" t="n">
        <f aca="false">F132</f>
        <v>-9.87557137006823</v>
      </c>
      <c r="H132" s="49" t="n">
        <f aca="false">F132*B132</f>
        <v>-11.8506856440819</v>
      </c>
      <c r="I132" s="49" t="n">
        <f aca="false">F132*C132</f>
        <v>-9.87557137006823</v>
      </c>
      <c r="J132" s="48" t="n">
        <f aca="false">F132^2</f>
        <v>97.5269098853113</v>
      </c>
      <c r="K132" s="48" t="n">
        <f aca="false">0.5*J132</f>
        <v>48.7634549426556</v>
      </c>
    </row>
    <row r="133" customFormat="false" ht="15" hidden="false" customHeight="false" outlineLevel="0" collapsed="false">
      <c r="A133" s="46" t="str">
        <f aca="false">01_Data!A21</f>
        <v>S16</v>
      </c>
      <c r="B133" s="47" t="n">
        <f aca="false">01_Data!F21</f>
        <v>1.4</v>
      </c>
      <c r="C133" s="47" t="n">
        <f aca="false">01_Data!G21</f>
        <v>1.13333333333333</v>
      </c>
      <c r="D133" s="47" t="n">
        <f aca="false">01_Data!D21</f>
        <v>96</v>
      </c>
      <c r="E133" s="48" t="n">
        <f aca="false">$D$116+$F$116*B133+$H$116*C133</f>
        <v>85.1966283843807</v>
      </c>
      <c r="F133" s="49" t="n">
        <f aca="false">E133-D133</f>
        <v>-10.8033716156193</v>
      </c>
      <c r="G133" s="49" t="n">
        <f aca="false">F133</f>
        <v>-10.8033716156193</v>
      </c>
      <c r="H133" s="49" t="n">
        <f aca="false">F133*B133</f>
        <v>-15.124720261867</v>
      </c>
      <c r="I133" s="49" t="n">
        <f aca="false">F133*C133</f>
        <v>-12.2438211643685</v>
      </c>
      <c r="J133" s="48" t="n">
        <f aca="false">F133^2</f>
        <v>116.712838265168</v>
      </c>
      <c r="K133" s="48" t="n">
        <f aca="false">0.5*J133</f>
        <v>58.3564191325841</v>
      </c>
    </row>
    <row r="134" customFormat="false" ht="15" hidden="false" customHeight="false" outlineLevel="0" collapsed="false">
      <c r="A134" s="46" t="str">
        <f aca="false">01_Data!A22</f>
        <v>S17</v>
      </c>
      <c r="B134" s="47" t="n">
        <f aca="false">01_Data!F22</f>
        <v>1.6</v>
      </c>
      <c r="C134" s="47" t="n">
        <f aca="false">01_Data!G22</f>
        <v>1.33333333333333</v>
      </c>
      <c r="D134" s="47" t="n">
        <f aca="false">01_Data!D22</f>
        <v>99</v>
      </c>
      <c r="E134" s="48" t="n">
        <f aca="false">$D$116+$F$116*B134+$H$116*C134</f>
        <v>88.7201673315583</v>
      </c>
      <c r="F134" s="49" t="n">
        <f aca="false">E134-D134</f>
        <v>-10.2798326684417</v>
      </c>
      <c r="G134" s="49" t="n">
        <f aca="false">F134</f>
        <v>-10.2798326684417</v>
      </c>
      <c r="H134" s="49" t="n">
        <f aca="false">F134*B134</f>
        <v>-16.4477322695067</v>
      </c>
      <c r="I134" s="49" t="n">
        <f aca="false">F134*C134</f>
        <v>-13.7064435579223</v>
      </c>
      <c r="J134" s="48" t="n">
        <f aca="false">F134^2</f>
        <v>105.674959691161</v>
      </c>
      <c r="K134" s="48" t="n">
        <f aca="false">0.5*J134</f>
        <v>52.8374798455807</v>
      </c>
    </row>
    <row r="135" customFormat="false" ht="15" hidden="false" customHeight="false" outlineLevel="0" collapsed="false">
      <c r="A135" s="46" t="str">
        <f aca="false">01_Data!A23</f>
        <v>S18</v>
      </c>
      <c r="B135" s="47" t="n">
        <f aca="false">01_Data!F23</f>
        <v>0</v>
      </c>
      <c r="C135" s="47" t="n">
        <f aca="false">01_Data!G23</f>
        <v>-0.666666666666667</v>
      </c>
      <c r="D135" s="47" t="n">
        <f aca="false">01_Data!D23</f>
        <v>65</v>
      </c>
      <c r="E135" s="48" t="n">
        <f aca="false">$D$116+$F$116*B135+$H$116*C135</f>
        <v>57.8238205977661</v>
      </c>
      <c r="F135" s="49" t="n">
        <f aca="false">E135-D135</f>
        <v>-7.17617940223391</v>
      </c>
      <c r="G135" s="49" t="n">
        <f aca="false">F135</f>
        <v>-7.17617940223391</v>
      </c>
      <c r="H135" s="49" t="n">
        <f aca="false">F135*B135</f>
        <v>-0</v>
      </c>
      <c r="I135" s="49" t="n">
        <f aca="false">F135*C135</f>
        <v>4.78411960148928</v>
      </c>
      <c r="J135" s="48" t="n">
        <f aca="false">F135^2</f>
        <v>51.4975508130463</v>
      </c>
      <c r="K135" s="48" t="n">
        <f aca="false">0.5*J135</f>
        <v>25.7487754065231</v>
      </c>
    </row>
    <row r="136" customFormat="false" ht="15" hidden="false" customHeight="false" outlineLevel="0" collapsed="false">
      <c r="A136" s="46" t="str">
        <f aca="false">01_Data!A24</f>
        <v>S19</v>
      </c>
      <c r="B136" s="47" t="n">
        <f aca="false">01_Data!F24</f>
        <v>-0.8</v>
      </c>
      <c r="C136" s="47" t="n">
        <f aca="false">01_Data!G24</f>
        <v>0.666666666666667</v>
      </c>
      <c r="D136" s="47" t="n">
        <f aca="false">01_Data!D24</f>
        <v>70</v>
      </c>
      <c r="E136" s="48" t="n">
        <f aca="false">$D$116+$F$116*B136+$H$116*C136</f>
        <v>58.1725189763714</v>
      </c>
      <c r="F136" s="49" t="n">
        <f aca="false">E136-D136</f>
        <v>-11.8274810236286</v>
      </c>
      <c r="G136" s="49" t="n">
        <f aca="false">F136</f>
        <v>-11.8274810236286</v>
      </c>
      <c r="H136" s="49" t="n">
        <f aca="false">F136*B136</f>
        <v>9.46198481890287</v>
      </c>
      <c r="I136" s="49" t="n">
        <f aca="false">F136*C136</f>
        <v>-7.88498734908572</v>
      </c>
      <c r="J136" s="48" t="n">
        <f aca="false">F136^2</f>
        <v>139.889307364294</v>
      </c>
      <c r="K136" s="48" t="n">
        <f aca="false">0.5*J136</f>
        <v>69.9446536821472</v>
      </c>
    </row>
    <row r="137" customFormat="false" ht="15" hidden="false" customHeight="false" outlineLevel="0" collapsed="false">
      <c r="A137" s="46" t="str">
        <f aca="false">01_Data!A25</f>
        <v>S20</v>
      </c>
      <c r="B137" s="47" t="n">
        <f aca="false">01_Data!F25</f>
        <v>0.8</v>
      </c>
      <c r="C137" s="47" t="n">
        <f aca="false">01_Data!G25</f>
        <v>-0.666666666666667</v>
      </c>
      <c r="D137" s="47" t="n">
        <f aca="false">01_Data!D25</f>
        <v>78</v>
      </c>
      <c r="E137" s="48" t="n">
        <f aca="false">$D$116+$F$116*B137+$H$116*C137</f>
        <v>66.501906073733</v>
      </c>
      <c r="F137" s="49" t="n">
        <f aca="false">E137-D137</f>
        <v>-11.498093926267</v>
      </c>
      <c r="G137" s="49" t="n">
        <f aca="false">F137</f>
        <v>-11.498093926267</v>
      </c>
      <c r="H137" s="49" t="n">
        <f aca="false">F137*B137</f>
        <v>-9.1984751410136</v>
      </c>
      <c r="I137" s="49" t="n">
        <f aca="false">F137*C137</f>
        <v>7.66539595084467</v>
      </c>
      <c r="J137" s="48" t="n">
        <f aca="false">F137^2</f>
        <v>132.206163937258</v>
      </c>
      <c r="K137" s="48" t="n">
        <f aca="false">0.5*J137</f>
        <v>66.1030819686291</v>
      </c>
    </row>
    <row r="138" customFormat="false" ht="15" hidden="false" customHeight="false" outlineLevel="0" collapsed="false">
      <c r="A138" s="50" t="s">
        <v>134</v>
      </c>
      <c r="B138" s="50"/>
      <c r="C138" s="50"/>
      <c r="D138" s="50"/>
      <c r="E138" s="50"/>
      <c r="F138" s="50"/>
      <c r="G138" s="51" t="n">
        <f aca="false">AVERAGE(G118:G137)</f>
        <v>-9.3384570713121</v>
      </c>
      <c r="H138" s="51" t="n">
        <f aca="false">AVERAGE(H118:H137)</f>
        <v>-0.901164875987584</v>
      </c>
      <c r="I138" s="51" t="n">
        <f aca="false">AVERAGE(I118:I137)</f>
        <v>-0.532313932165919</v>
      </c>
      <c r="J138" s="51" t="n">
        <f aca="false">AVERAGE(J118:J137)</f>
        <v>89.770027609739</v>
      </c>
      <c r="K138" s="51" t="n">
        <f aca="false">AVERAGE(K118:K137)</f>
        <v>44.8850138048695</v>
      </c>
    </row>
    <row r="139" customFormat="false" ht="22.35" hidden="false" customHeight="true" outlineLevel="0" collapsed="false">
      <c r="A139" s="43" t="s">
        <v>135</v>
      </c>
      <c r="B139" s="43"/>
      <c r="C139" s="43" t="s">
        <v>136</v>
      </c>
      <c r="D139" s="52" t="n">
        <f aca="false">D116-$B$4*G138</f>
        <v>66.072595353577</v>
      </c>
      <c r="E139" s="43" t="s">
        <v>137</v>
      </c>
      <c r="F139" s="52" t="n">
        <f aca="false">F116-$B$4*H138</f>
        <v>11.2080727953537</v>
      </c>
      <c r="G139" s="43" t="s">
        <v>138</v>
      </c>
      <c r="H139" s="52" t="n">
        <f aca="false">H116-$B$4*I138</f>
        <v>6.98301346379555</v>
      </c>
      <c r="I139" s="44" t="s">
        <v>139</v>
      </c>
      <c r="J139" s="44"/>
      <c r="K139" s="44"/>
    </row>
    <row r="141" customFormat="false" ht="22.5" hidden="false" customHeight="true" outlineLevel="0" collapsed="false">
      <c r="A141" s="53" t="s">
        <v>144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</row>
    <row r="142" customFormat="false" ht="15" hidden="false" customHeight="true" outlineLevel="0" collapsed="false">
      <c r="A142" s="43" t="s">
        <v>118</v>
      </c>
      <c r="B142" s="44" t="n">
        <v>6</v>
      </c>
      <c r="C142" s="43" t="s">
        <v>119</v>
      </c>
      <c r="D142" s="54" t="n">
        <f aca="false">D139</f>
        <v>66.072595353577</v>
      </c>
      <c r="E142" s="43" t="s">
        <v>120</v>
      </c>
      <c r="F142" s="54" t="n">
        <f aca="false">F139</f>
        <v>11.2080727953537</v>
      </c>
      <c r="G142" s="43" t="s">
        <v>121</v>
      </c>
      <c r="H142" s="54" t="n">
        <f aca="false">H139</f>
        <v>6.98301346379555</v>
      </c>
      <c r="I142" s="44" t="s">
        <v>122</v>
      </c>
      <c r="J142" s="44"/>
      <c r="K142" s="44"/>
    </row>
    <row r="143" customFormat="false" ht="33.75" hidden="false" customHeight="true" outlineLevel="0" collapsed="false">
      <c r="A143" s="13" t="s">
        <v>123</v>
      </c>
      <c r="B143" s="13" t="s">
        <v>124</v>
      </c>
      <c r="C143" s="13" t="s">
        <v>125</v>
      </c>
      <c r="D143" s="13" t="s">
        <v>126</v>
      </c>
      <c r="E143" s="13" t="s">
        <v>127</v>
      </c>
      <c r="F143" s="13" t="s">
        <v>128</v>
      </c>
      <c r="G143" s="13" t="s">
        <v>129</v>
      </c>
      <c r="H143" s="13" t="s">
        <v>130</v>
      </c>
      <c r="I143" s="13" t="s">
        <v>131</v>
      </c>
      <c r="J143" s="13" t="s">
        <v>132</v>
      </c>
      <c r="K143" s="13" t="s">
        <v>133</v>
      </c>
    </row>
    <row r="144" customFormat="false" ht="15" hidden="false" customHeight="false" outlineLevel="0" collapsed="false">
      <c r="A144" s="46" t="str">
        <f aca="false">01_Data!A6</f>
        <v>S01</v>
      </c>
      <c r="B144" s="47" t="n">
        <f aca="false">01_Data!F6</f>
        <v>-1.6</v>
      </c>
      <c r="C144" s="47" t="n">
        <f aca="false">01_Data!G6</f>
        <v>-1.33333333333333</v>
      </c>
      <c r="D144" s="47" t="n">
        <f aca="false">01_Data!D6</f>
        <v>43</v>
      </c>
      <c r="E144" s="48" t="n">
        <f aca="false">$D$142+$F$142*B144+$H$142*C144</f>
        <v>38.8289942626171</v>
      </c>
      <c r="F144" s="49" t="n">
        <f aca="false">E144-D144</f>
        <v>-4.17100573738291</v>
      </c>
      <c r="G144" s="49" t="n">
        <f aca="false">F144</f>
        <v>-4.17100573738291</v>
      </c>
      <c r="H144" s="49" t="n">
        <f aca="false">F144*B144</f>
        <v>6.67360917981266</v>
      </c>
      <c r="I144" s="49" t="n">
        <f aca="false">F144*C144</f>
        <v>5.56134098317722</v>
      </c>
      <c r="J144" s="48" t="n">
        <f aca="false">F144^2</f>
        <v>17.3972888612812</v>
      </c>
      <c r="K144" s="48" t="n">
        <f aca="false">0.5*J144</f>
        <v>8.69864443064059</v>
      </c>
    </row>
    <row r="145" customFormat="false" ht="15" hidden="false" customHeight="false" outlineLevel="0" collapsed="false">
      <c r="A145" s="46" t="str">
        <f aca="false">01_Data!A7</f>
        <v>S02</v>
      </c>
      <c r="B145" s="47" t="n">
        <f aca="false">01_Data!F7</f>
        <v>-1.4</v>
      </c>
      <c r="C145" s="47" t="n">
        <f aca="false">01_Data!G7</f>
        <v>-1</v>
      </c>
      <c r="D145" s="47" t="n">
        <f aca="false">01_Data!D7</f>
        <v>47</v>
      </c>
      <c r="E145" s="48" t="n">
        <f aca="false">$D$142+$F$142*B145+$H$142*C145</f>
        <v>43.3982799762863</v>
      </c>
      <c r="F145" s="49" t="n">
        <f aca="false">E145-D145</f>
        <v>-3.60172002371366</v>
      </c>
      <c r="G145" s="49" t="n">
        <f aca="false">F145</f>
        <v>-3.60172002371366</v>
      </c>
      <c r="H145" s="49" t="n">
        <f aca="false">F145*B145</f>
        <v>5.04240803319912</v>
      </c>
      <c r="I145" s="49" t="n">
        <f aca="false">F145*C145</f>
        <v>3.60172002371366</v>
      </c>
      <c r="J145" s="48" t="n">
        <f aca="false">F145^2</f>
        <v>12.9723871292199</v>
      </c>
      <c r="K145" s="48" t="n">
        <f aca="false">0.5*J145</f>
        <v>6.48619356460997</v>
      </c>
    </row>
    <row r="146" customFormat="false" ht="15" hidden="false" customHeight="false" outlineLevel="0" collapsed="false">
      <c r="A146" s="46" t="str">
        <f aca="false">01_Data!A8</f>
        <v>S03</v>
      </c>
      <c r="B146" s="47" t="n">
        <f aca="false">01_Data!F8</f>
        <v>-1.2</v>
      </c>
      <c r="C146" s="47" t="n">
        <f aca="false">01_Data!G8</f>
        <v>-1.13333333333333</v>
      </c>
      <c r="D146" s="47" t="n">
        <f aca="false">01_Data!D8</f>
        <v>51</v>
      </c>
      <c r="E146" s="48" t="n">
        <f aca="false">$D$142+$F$142*B146+$H$142*C146</f>
        <v>44.7088260735177</v>
      </c>
      <c r="F146" s="49" t="n">
        <f aca="false">E146-D146</f>
        <v>-6.29117392648233</v>
      </c>
      <c r="G146" s="49" t="n">
        <f aca="false">F146</f>
        <v>-6.29117392648233</v>
      </c>
      <c r="H146" s="49" t="n">
        <f aca="false">F146*B146</f>
        <v>7.5494087117788</v>
      </c>
      <c r="I146" s="49" t="n">
        <f aca="false">F146*C146</f>
        <v>7.12999711667997</v>
      </c>
      <c r="J146" s="48" t="n">
        <f aca="false">F146^2</f>
        <v>39.5788693732511</v>
      </c>
      <c r="K146" s="48" t="n">
        <f aca="false">0.5*J146</f>
        <v>19.7894346866255</v>
      </c>
    </row>
    <row r="147" customFormat="false" ht="15" hidden="false" customHeight="false" outlineLevel="0" collapsed="false">
      <c r="A147" s="46" t="str">
        <f aca="false">01_Data!A9</f>
        <v>S04</v>
      </c>
      <c r="B147" s="47" t="n">
        <f aca="false">01_Data!F9</f>
        <v>-1</v>
      </c>
      <c r="C147" s="47" t="n">
        <f aca="false">01_Data!G9</f>
        <v>-0.666666666666667</v>
      </c>
      <c r="D147" s="47" t="n">
        <f aca="false">01_Data!D9</f>
        <v>55</v>
      </c>
      <c r="E147" s="48" t="n">
        <f aca="false">$D$142+$F$142*B147+$H$142*C147</f>
        <v>50.2091802490263</v>
      </c>
      <c r="F147" s="49" t="n">
        <f aca="false">E147-D147</f>
        <v>-4.79081975097367</v>
      </c>
      <c r="G147" s="49" t="n">
        <f aca="false">F147</f>
        <v>-4.79081975097367</v>
      </c>
      <c r="H147" s="49" t="n">
        <f aca="false">F147*B147</f>
        <v>4.79081975097367</v>
      </c>
      <c r="I147" s="49" t="n">
        <f aca="false">F147*C147</f>
        <v>3.19387983398245</v>
      </c>
      <c r="J147" s="48" t="n">
        <f aca="false">F147^2</f>
        <v>22.9519538863194</v>
      </c>
      <c r="K147" s="48" t="n">
        <f aca="false">0.5*J147</f>
        <v>11.4759769431597</v>
      </c>
    </row>
    <row r="148" customFormat="false" ht="15" hidden="false" customHeight="false" outlineLevel="0" collapsed="false">
      <c r="A148" s="46" t="str">
        <f aca="false">01_Data!A10</f>
        <v>S05</v>
      </c>
      <c r="B148" s="47" t="n">
        <f aca="false">01_Data!F10</f>
        <v>-0.8</v>
      </c>
      <c r="C148" s="47" t="n">
        <f aca="false">01_Data!G10</f>
        <v>-0.866666666666667</v>
      </c>
      <c r="D148" s="47" t="n">
        <f aca="false">01_Data!D10</f>
        <v>56</v>
      </c>
      <c r="E148" s="48" t="n">
        <f aca="false">$D$142+$F$142*B148+$H$142*C148</f>
        <v>51.054192115338</v>
      </c>
      <c r="F148" s="49" t="n">
        <f aca="false">E148-D148</f>
        <v>-4.94580788466205</v>
      </c>
      <c r="G148" s="49" t="n">
        <f aca="false">F148</f>
        <v>-4.94580788466205</v>
      </c>
      <c r="H148" s="49" t="n">
        <f aca="false">F148*B148</f>
        <v>3.95664630772964</v>
      </c>
      <c r="I148" s="49" t="n">
        <f aca="false">F148*C148</f>
        <v>4.28636683337377</v>
      </c>
      <c r="J148" s="48" t="n">
        <f aca="false">F148^2</f>
        <v>24.4610156319853</v>
      </c>
      <c r="K148" s="48" t="n">
        <f aca="false">0.5*J148</f>
        <v>12.2305078159926</v>
      </c>
    </row>
    <row r="149" customFormat="false" ht="15" hidden="false" customHeight="false" outlineLevel="0" collapsed="false">
      <c r="A149" s="46" t="str">
        <f aca="false">01_Data!A11</f>
        <v>S06</v>
      </c>
      <c r="B149" s="47" t="n">
        <f aca="false">01_Data!F11</f>
        <v>-0.6</v>
      </c>
      <c r="C149" s="47" t="n">
        <f aca="false">01_Data!G11</f>
        <v>-0.333333333333333</v>
      </c>
      <c r="D149" s="47" t="n">
        <f aca="false">01_Data!D11</f>
        <v>63</v>
      </c>
      <c r="E149" s="48" t="n">
        <f aca="false">$D$142+$F$142*B149+$H$142*C149</f>
        <v>57.0200805217663</v>
      </c>
      <c r="F149" s="49" t="n">
        <f aca="false">E149-D149</f>
        <v>-5.97991947823368</v>
      </c>
      <c r="G149" s="49" t="n">
        <f aca="false">F149</f>
        <v>-5.97991947823368</v>
      </c>
      <c r="H149" s="49" t="n">
        <f aca="false">F149*B149</f>
        <v>3.58795168694021</v>
      </c>
      <c r="I149" s="49" t="n">
        <f aca="false">F149*C149</f>
        <v>1.99330649274456</v>
      </c>
      <c r="J149" s="48" t="n">
        <f aca="false">F149^2</f>
        <v>35.7594369661586</v>
      </c>
      <c r="K149" s="48" t="n">
        <f aca="false">0.5*J149</f>
        <v>17.8797184830793</v>
      </c>
    </row>
    <row r="150" customFormat="false" ht="15" hidden="false" customHeight="false" outlineLevel="0" collapsed="false">
      <c r="A150" s="46" t="str">
        <f aca="false">01_Data!A12</f>
        <v>S07</v>
      </c>
      <c r="B150" s="47" t="n">
        <f aca="false">01_Data!F12</f>
        <v>-0.4</v>
      </c>
      <c r="C150" s="47" t="n">
        <f aca="false">01_Data!G12</f>
        <v>-0.466666666666667</v>
      </c>
      <c r="D150" s="47" t="n">
        <f aca="false">01_Data!D12</f>
        <v>61</v>
      </c>
      <c r="E150" s="48" t="n">
        <f aca="false">$D$142+$F$142*B150+$H$142*C150</f>
        <v>58.3306266189977</v>
      </c>
      <c r="F150" s="49" t="n">
        <f aca="false">E150-D150</f>
        <v>-2.66937338100235</v>
      </c>
      <c r="G150" s="49" t="n">
        <f aca="false">F150</f>
        <v>-2.66937338100235</v>
      </c>
      <c r="H150" s="49" t="n">
        <f aca="false">F150*B150</f>
        <v>1.06774935240094</v>
      </c>
      <c r="I150" s="49" t="n">
        <f aca="false">F150*C150</f>
        <v>1.2457075778011</v>
      </c>
      <c r="J150" s="48" t="n">
        <f aca="false">F150^2</f>
        <v>7.12555424720393</v>
      </c>
      <c r="K150" s="48" t="n">
        <f aca="false">0.5*J150</f>
        <v>3.56277712360196</v>
      </c>
    </row>
    <row r="151" customFormat="false" ht="15" hidden="false" customHeight="false" outlineLevel="0" collapsed="false">
      <c r="A151" s="46" t="str">
        <f aca="false">01_Data!A13</f>
        <v>S08</v>
      </c>
      <c r="B151" s="47" t="n">
        <f aca="false">01_Data!F13</f>
        <v>-0.2</v>
      </c>
      <c r="C151" s="47" t="n">
        <f aca="false">01_Data!G13</f>
        <v>-0.2</v>
      </c>
      <c r="D151" s="47" t="n">
        <f aca="false">01_Data!D13</f>
        <v>68</v>
      </c>
      <c r="E151" s="48" t="n">
        <f aca="false">$D$142+$F$142*B151+$H$142*C151</f>
        <v>62.4343781017472</v>
      </c>
      <c r="F151" s="49" t="n">
        <f aca="false">E151-D151</f>
        <v>-5.5656218982528</v>
      </c>
      <c r="G151" s="49" t="n">
        <f aca="false">F151</f>
        <v>-5.5656218982528</v>
      </c>
      <c r="H151" s="49" t="n">
        <f aca="false">F151*B151</f>
        <v>1.11312437965056</v>
      </c>
      <c r="I151" s="49" t="n">
        <f aca="false">F151*C151</f>
        <v>1.11312437965056</v>
      </c>
      <c r="J151" s="48" t="n">
        <f aca="false">F151^2</f>
        <v>30.9761471143111</v>
      </c>
      <c r="K151" s="48" t="n">
        <f aca="false">0.5*J151</f>
        <v>15.4880735571556</v>
      </c>
    </row>
    <row r="152" customFormat="false" ht="15" hidden="false" customHeight="false" outlineLevel="0" collapsed="false">
      <c r="A152" s="46" t="str">
        <f aca="false">01_Data!A14</f>
        <v>S09</v>
      </c>
      <c r="B152" s="47" t="n">
        <f aca="false">01_Data!F14</f>
        <v>0</v>
      </c>
      <c r="C152" s="47" t="n">
        <f aca="false">01_Data!G14</f>
        <v>0</v>
      </c>
      <c r="D152" s="47" t="n">
        <f aca="false">01_Data!D14</f>
        <v>72</v>
      </c>
      <c r="E152" s="48" t="n">
        <f aca="false">$D$142+$F$142*B152+$H$142*C152</f>
        <v>66.072595353577</v>
      </c>
      <c r="F152" s="49" t="n">
        <f aca="false">E152-D152</f>
        <v>-5.92740464642296</v>
      </c>
      <c r="G152" s="49" t="n">
        <f aca="false">F152</f>
        <v>-5.92740464642296</v>
      </c>
      <c r="H152" s="49" t="n">
        <f aca="false">F152*B152</f>
        <v>-0</v>
      </c>
      <c r="I152" s="49" t="n">
        <f aca="false">F152*C152</f>
        <v>-0</v>
      </c>
      <c r="J152" s="48" t="n">
        <f aca="false">F152^2</f>
        <v>35.1341258424365</v>
      </c>
      <c r="K152" s="48" t="n">
        <f aca="false">0.5*J152</f>
        <v>17.5670629212182</v>
      </c>
    </row>
    <row r="153" customFormat="false" ht="15" hidden="false" customHeight="false" outlineLevel="0" collapsed="false">
      <c r="A153" s="46" t="str">
        <f aca="false">01_Data!A15</f>
        <v>S10</v>
      </c>
      <c r="B153" s="47" t="n">
        <f aca="false">01_Data!F15</f>
        <v>0.2</v>
      </c>
      <c r="C153" s="47" t="n">
        <f aca="false">01_Data!G15</f>
        <v>0.2</v>
      </c>
      <c r="D153" s="47" t="n">
        <f aca="false">01_Data!D15</f>
        <v>76</v>
      </c>
      <c r="E153" s="48" t="n">
        <f aca="false">$D$142+$F$142*B153+$H$142*C153</f>
        <v>69.7108126054069</v>
      </c>
      <c r="F153" s="49" t="n">
        <f aca="false">E153-D153</f>
        <v>-6.28918739459311</v>
      </c>
      <c r="G153" s="49" t="n">
        <f aca="false">F153</f>
        <v>-6.28918739459311</v>
      </c>
      <c r="H153" s="49" t="n">
        <f aca="false">F153*B153</f>
        <v>-1.25783747891862</v>
      </c>
      <c r="I153" s="49" t="n">
        <f aca="false">F153*C153</f>
        <v>-1.25783747891862</v>
      </c>
      <c r="J153" s="48" t="n">
        <f aca="false">F153^2</f>
        <v>39.5538780843089</v>
      </c>
      <c r="K153" s="48" t="n">
        <f aca="false">0.5*J153</f>
        <v>19.7769390421545</v>
      </c>
    </row>
    <row r="154" customFormat="false" ht="15" hidden="false" customHeight="false" outlineLevel="0" collapsed="false">
      <c r="A154" s="46" t="str">
        <f aca="false">01_Data!A16</f>
        <v>S11</v>
      </c>
      <c r="B154" s="47" t="n">
        <f aca="false">01_Data!F16</f>
        <v>0.4</v>
      </c>
      <c r="C154" s="47" t="n">
        <f aca="false">01_Data!G16</f>
        <v>0.333333333333333</v>
      </c>
      <c r="D154" s="47" t="n">
        <f aca="false">01_Data!D16</f>
        <v>79</v>
      </c>
      <c r="E154" s="48" t="n">
        <f aca="false">$D$142+$F$142*B154+$H$142*C154</f>
        <v>72.883495626317</v>
      </c>
      <c r="F154" s="49" t="n">
        <f aca="false">E154-D154</f>
        <v>-6.11650437368297</v>
      </c>
      <c r="G154" s="49" t="n">
        <f aca="false">F154</f>
        <v>-6.11650437368297</v>
      </c>
      <c r="H154" s="49" t="n">
        <f aca="false">F154*B154</f>
        <v>-2.44660174947319</v>
      </c>
      <c r="I154" s="49" t="n">
        <f aca="false">F154*C154</f>
        <v>-2.03883479122766</v>
      </c>
      <c r="J154" s="48" t="n">
        <f aca="false">F154^2</f>
        <v>37.4116257532829</v>
      </c>
      <c r="K154" s="48" t="n">
        <f aca="false">0.5*J154</f>
        <v>18.7058128766415</v>
      </c>
    </row>
    <row r="155" customFormat="false" ht="15" hidden="false" customHeight="false" outlineLevel="0" collapsed="false">
      <c r="A155" s="46" t="str">
        <f aca="false">01_Data!A17</f>
        <v>S12</v>
      </c>
      <c r="B155" s="47" t="n">
        <f aca="false">01_Data!F17</f>
        <v>0.6</v>
      </c>
      <c r="C155" s="47" t="n">
        <f aca="false">01_Data!G17</f>
        <v>0.466666666666667</v>
      </c>
      <c r="D155" s="47" t="n">
        <f aca="false">01_Data!D17</f>
        <v>82</v>
      </c>
      <c r="E155" s="48" t="n">
        <f aca="false">$D$142+$F$142*B155+$H$142*C155</f>
        <v>76.0561786472272</v>
      </c>
      <c r="F155" s="49" t="n">
        <f aca="false">E155-D155</f>
        <v>-5.94382135277283</v>
      </c>
      <c r="G155" s="49" t="n">
        <f aca="false">F155</f>
        <v>-5.94382135277283</v>
      </c>
      <c r="H155" s="49" t="n">
        <f aca="false">F155*B155</f>
        <v>-3.5662928116637</v>
      </c>
      <c r="I155" s="49" t="n">
        <f aca="false">F155*C155</f>
        <v>-2.77378329796065</v>
      </c>
      <c r="J155" s="48" t="n">
        <f aca="false">F155^2</f>
        <v>35.3290122736782</v>
      </c>
      <c r="K155" s="48" t="n">
        <f aca="false">0.5*J155</f>
        <v>17.6645061368391</v>
      </c>
    </row>
    <row r="156" customFormat="false" ht="15" hidden="false" customHeight="false" outlineLevel="0" collapsed="false">
      <c r="A156" s="46" t="str">
        <f aca="false">01_Data!A18</f>
        <v>S13</v>
      </c>
      <c r="B156" s="47" t="n">
        <f aca="false">01_Data!F18</f>
        <v>0.8</v>
      </c>
      <c r="C156" s="47" t="n">
        <f aca="false">01_Data!G18</f>
        <v>0.666666666666667</v>
      </c>
      <c r="D156" s="47" t="n">
        <f aca="false">01_Data!D18</f>
        <v>87</v>
      </c>
      <c r="E156" s="48" t="n">
        <f aca="false">$D$142+$F$142*B156+$H$142*C156</f>
        <v>79.694395899057</v>
      </c>
      <c r="F156" s="49" t="n">
        <f aca="false">E156-D156</f>
        <v>-7.30560410094297</v>
      </c>
      <c r="G156" s="49" t="n">
        <f aca="false">F156</f>
        <v>-7.30560410094297</v>
      </c>
      <c r="H156" s="49" t="n">
        <f aca="false">F156*B156</f>
        <v>-5.84448328075438</v>
      </c>
      <c r="I156" s="49" t="n">
        <f aca="false">F156*C156</f>
        <v>-4.87040273396198</v>
      </c>
      <c r="J156" s="48" t="n">
        <f aca="false">F156^2</f>
        <v>53.3718512797148</v>
      </c>
      <c r="K156" s="48" t="n">
        <f aca="false">0.5*J156</f>
        <v>26.6859256398574</v>
      </c>
    </row>
    <row r="157" customFormat="false" ht="15" hidden="false" customHeight="false" outlineLevel="0" collapsed="false">
      <c r="A157" s="46" t="str">
        <f aca="false">01_Data!A19</f>
        <v>S14</v>
      </c>
      <c r="B157" s="47" t="n">
        <f aca="false">01_Data!F19</f>
        <v>1</v>
      </c>
      <c r="C157" s="47" t="n">
        <f aca="false">01_Data!G19</f>
        <v>0.866666666666667</v>
      </c>
      <c r="D157" s="47" t="n">
        <f aca="false">01_Data!D19</f>
        <v>89</v>
      </c>
      <c r="E157" s="48" t="n">
        <f aca="false">$D$142+$F$142*B157+$H$142*C157</f>
        <v>83.3326131508869</v>
      </c>
      <c r="F157" s="49" t="n">
        <f aca="false">E157-D157</f>
        <v>-5.66738684911314</v>
      </c>
      <c r="G157" s="49" t="n">
        <f aca="false">F157</f>
        <v>-5.66738684911314</v>
      </c>
      <c r="H157" s="49" t="n">
        <f aca="false">F157*B157</f>
        <v>-5.66738684911314</v>
      </c>
      <c r="I157" s="49" t="n">
        <f aca="false">F157*C157</f>
        <v>-4.91173526923139</v>
      </c>
      <c r="J157" s="48" t="n">
        <f aca="false">F157^2</f>
        <v>32.1192736975006</v>
      </c>
      <c r="K157" s="48" t="n">
        <f aca="false">0.5*J157</f>
        <v>16.0596368487503</v>
      </c>
    </row>
    <row r="158" customFormat="false" ht="15" hidden="false" customHeight="false" outlineLevel="0" collapsed="false">
      <c r="A158" s="46" t="str">
        <f aca="false">01_Data!A20</f>
        <v>S15</v>
      </c>
      <c r="B158" s="47" t="n">
        <f aca="false">01_Data!F20</f>
        <v>1.2</v>
      </c>
      <c r="C158" s="47" t="n">
        <f aca="false">01_Data!G20</f>
        <v>1</v>
      </c>
      <c r="D158" s="47" t="n">
        <f aca="false">01_Data!D20</f>
        <v>92</v>
      </c>
      <c r="E158" s="48" t="n">
        <f aca="false">$D$142+$F$142*B158+$H$142*C158</f>
        <v>86.505296171797</v>
      </c>
      <c r="F158" s="49" t="n">
        <f aca="false">E158-D158</f>
        <v>-5.494703828203</v>
      </c>
      <c r="G158" s="49" t="n">
        <f aca="false">F158</f>
        <v>-5.494703828203</v>
      </c>
      <c r="H158" s="49" t="n">
        <f aca="false">F158*B158</f>
        <v>-6.5936445938436</v>
      </c>
      <c r="I158" s="49" t="n">
        <f aca="false">F158*C158</f>
        <v>-5.494703828203</v>
      </c>
      <c r="J158" s="48" t="n">
        <f aca="false">F158^2</f>
        <v>30.1917701596687</v>
      </c>
      <c r="K158" s="48" t="n">
        <f aca="false">0.5*J158</f>
        <v>15.0958850798344</v>
      </c>
    </row>
    <row r="159" customFormat="false" ht="15" hidden="false" customHeight="false" outlineLevel="0" collapsed="false">
      <c r="A159" s="46" t="str">
        <f aca="false">01_Data!A21</f>
        <v>S16</v>
      </c>
      <c r="B159" s="47" t="n">
        <f aca="false">01_Data!F21</f>
        <v>1.4</v>
      </c>
      <c r="C159" s="47" t="n">
        <f aca="false">01_Data!G21</f>
        <v>1.13333333333333</v>
      </c>
      <c r="D159" s="47" t="n">
        <f aca="false">01_Data!D21</f>
        <v>96</v>
      </c>
      <c r="E159" s="48" t="n">
        <f aca="false">$D$142+$F$142*B159+$H$142*C159</f>
        <v>89.6779791927072</v>
      </c>
      <c r="F159" s="49" t="n">
        <f aca="false">E159-D159</f>
        <v>-6.32202080729284</v>
      </c>
      <c r="G159" s="49" t="n">
        <f aca="false">F159</f>
        <v>-6.32202080729284</v>
      </c>
      <c r="H159" s="49" t="n">
        <f aca="false">F159*B159</f>
        <v>-8.85082913020998</v>
      </c>
      <c r="I159" s="49" t="n">
        <f aca="false">F159*C159</f>
        <v>-7.16495691493189</v>
      </c>
      <c r="J159" s="48" t="n">
        <f aca="false">F159^2</f>
        <v>39.9679470878437</v>
      </c>
      <c r="K159" s="48" t="n">
        <f aca="false">0.5*J159</f>
        <v>19.9839735439218</v>
      </c>
    </row>
    <row r="160" customFormat="false" ht="15" hidden="false" customHeight="false" outlineLevel="0" collapsed="false">
      <c r="A160" s="46" t="str">
        <f aca="false">01_Data!A22</f>
        <v>S17</v>
      </c>
      <c r="B160" s="47" t="n">
        <f aca="false">01_Data!F22</f>
        <v>1.6</v>
      </c>
      <c r="C160" s="47" t="n">
        <f aca="false">01_Data!G22</f>
        <v>1.33333333333333</v>
      </c>
      <c r="D160" s="47" t="n">
        <f aca="false">01_Data!D22</f>
        <v>99</v>
      </c>
      <c r="E160" s="48" t="n">
        <f aca="false">$D$142+$F$142*B160+$H$142*C160</f>
        <v>93.316196444537</v>
      </c>
      <c r="F160" s="49" t="n">
        <f aca="false">E160-D160</f>
        <v>-5.683803555463</v>
      </c>
      <c r="G160" s="49" t="n">
        <f aca="false">F160</f>
        <v>-5.683803555463</v>
      </c>
      <c r="H160" s="49" t="n">
        <f aca="false">F160*B160</f>
        <v>-9.0940856887408</v>
      </c>
      <c r="I160" s="49" t="n">
        <f aca="false">F160*C160</f>
        <v>-7.57840474061733</v>
      </c>
      <c r="J160" s="48" t="n">
        <f aca="false">F160^2</f>
        <v>32.3056228570939</v>
      </c>
      <c r="K160" s="48" t="n">
        <f aca="false">0.5*J160</f>
        <v>16.1528114285469</v>
      </c>
    </row>
    <row r="161" customFormat="false" ht="15" hidden="false" customHeight="false" outlineLevel="0" collapsed="false">
      <c r="A161" s="46" t="str">
        <f aca="false">01_Data!A23</f>
        <v>S18</v>
      </c>
      <c r="B161" s="47" t="n">
        <f aca="false">01_Data!F23</f>
        <v>0</v>
      </c>
      <c r="C161" s="47" t="n">
        <f aca="false">01_Data!G23</f>
        <v>-0.666666666666667</v>
      </c>
      <c r="D161" s="47" t="n">
        <f aca="false">01_Data!D23</f>
        <v>65</v>
      </c>
      <c r="E161" s="48" t="n">
        <f aca="false">$D$142+$F$142*B161+$H$142*C161</f>
        <v>61.41725304438</v>
      </c>
      <c r="F161" s="49" t="n">
        <f aca="false">E161-D161</f>
        <v>-3.58274695561999</v>
      </c>
      <c r="G161" s="49" t="n">
        <f aca="false">F161</f>
        <v>-3.58274695561999</v>
      </c>
      <c r="H161" s="49" t="n">
        <f aca="false">F161*B161</f>
        <v>-0</v>
      </c>
      <c r="I161" s="49" t="n">
        <f aca="false">F161*C161</f>
        <v>2.38849797041333</v>
      </c>
      <c r="J161" s="48" t="n">
        <f aca="false">F161^2</f>
        <v>12.8360757480043</v>
      </c>
      <c r="K161" s="48" t="n">
        <f aca="false">0.5*J161</f>
        <v>6.41803787400215</v>
      </c>
    </row>
    <row r="162" customFormat="false" ht="15" hidden="false" customHeight="false" outlineLevel="0" collapsed="false">
      <c r="A162" s="46" t="str">
        <f aca="false">01_Data!A24</f>
        <v>S19</v>
      </c>
      <c r="B162" s="47" t="n">
        <f aca="false">01_Data!F24</f>
        <v>-0.8</v>
      </c>
      <c r="C162" s="47" t="n">
        <f aca="false">01_Data!G24</f>
        <v>0.666666666666667</v>
      </c>
      <c r="D162" s="47" t="n">
        <f aca="false">01_Data!D24</f>
        <v>70</v>
      </c>
      <c r="E162" s="48" t="n">
        <f aca="false">$D$142+$F$142*B162+$H$142*C162</f>
        <v>61.7614794264911</v>
      </c>
      <c r="F162" s="49" t="n">
        <f aca="false">E162-D162</f>
        <v>-8.23852057350887</v>
      </c>
      <c r="G162" s="49" t="n">
        <f aca="false">F162</f>
        <v>-8.23852057350887</v>
      </c>
      <c r="H162" s="49" t="n">
        <f aca="false">F162*B162</f>
        <v>6.5908164588071</v>
      </c>
      <c r="I162" s="49" t="n">
        <f aca="false">F162*C162</f>
        <v>-5.49234704900591</v>
      </c>
      <c r="J162" s="48" t="n">
        <f aca="false">F162^2</f>
        <v>67.873221240129</v>
      </c>
      <c r="K162" s="48" t="n">
        <f aca="false">0.5*J162</f>
        <v>33.9366106200645</v>
      </c>
    </row>
    <row r="163" customFormat="false" ht="15" hidden="false" customHeight="false" outlineLevel="0" collapsed="false">
      <c r="A163" s="46" t="str">
        <f aca="false">01_Data!A25</f>
        <v>S20</v>
      </c>
      <c r="B163" s="47" t="n">
        <f aca="false">01_Data!F25</f>
        <v>0.8</v>
      </c>
      <c r="C163" s="47" t="n">
        <f aca="false">01_Data!G25</f>
        <v>-0.666666666666667</v>
      </c>
      <c r="D163" s="47" t="n">
        <f aca="false">01_Data!D25</f>
        <v>78</v>
      </c>
      <c r="E163" s="48" t="n">
        <f aca="false">$D$142+$F$142*B163+$H$142*C163</f>
        <v>70.383711280663</v>
      </c>
      <c r="F163" s="49" t="n">
        <f aca="false">E163-D163</f>
        <v>-7.61628871933705</v>
      </c>
      <c r="G163" s="49" t="n">
        <f aca="false">F163</f>
        <v>-7.61628871933705</v>
      </c>
      <c r="H163" s="49" t="n">
        <f aca="false">F163*B163</f>
        <v>-6.09303097546964</v>
      </c>
      <c r="I163" s="49" t="n">
        <f aca="false">F163*C163</f>
        <v>5.07752581289137</v>
      </c>
      <c r="J163" s="48" t="n">
        <f aca="false">F163^2</f>
        <v>58.0078538563008</v>
      </c>
      <c r="K163" s="48" t="n">
        <f aca="false">0.5*J163</f>
        <v>29.0039269281504</v>
      </c>
    </row>
    <row r="164" customFormat="false" ht="15" hidden="false" customHeight="false" outlineLevel="0" collapsed="false">
      <c r="A164" s="50" t="s">
        <v>134</v>
      </c>
      <c r="B164" s="50"/>
      <c r="C164" s="50"/>
      <c r="D164" s="50"/>
      <c r="E164" s="50"/>
      <c r="F164" s="50"/>
      <c r="G164" s="51" t="n">
        <f aca="false">AVERAGE(G144:G163)</f>
        <v>-5.61017176188281</v>
      </c>
      <c r="H164" s="51" t="n">
        <f aca="false">AVERAGE(H144:H163)</f>
        <v>-0.452082934844718</v>
      </c>
      <c r="I164" s="51" t="n">
        <f aca="false">AVERAGE(I144:I163)</f>
        <v>-0.299576953981523</v>
      </c>
      <c r="J164" s="51" t="n">
        <f aca="false">AVERAGE(J144:J163)</f>
        <v>33.2662455544846</v>
      </c>
      <c r="K164" s="51" t="n">
        <f aca="false">AVERAGE(K144:K163)</f>
        <v>16.6331227772423</v>
      </c>
    </row>
    <row r="165" customFormat="false" ht="22.35" hidden="false" customHeight="true" outlineLevel="0" collapsed="false">
      <c r="A165" s="43" t="s">
        <v>135</v>
      </c>
      <c r="B165" s="43"/>
      <c r="C165" s="43" t="s">
        <v>136</v>
      </c>
      <c r="D165" s="52" t="n">
        <f aca="false">D142-$B$4*G164</f>
        <v>68.3166640583302</v>
      </c>
      <c r="E165" s="43" t="s">
        <v>137</v>
      </c>
      <c r="F165" s="52" t="n">
        <f aca="false">F142-$B$4*H164</f>
        <v>11.3889059692916</v>
      </c>
      <c r="G165" s="43" t="s">
        <v>138</v>
      </c>
      <c r="H165" s="52" t="n">
        <f aca="false">H142-$B$4*I164</f>
        <v>7.10284424538816</v>
      </c>
      <c r="I165" s="44" t="s">
        <v>139</v>
      </c>
      <c r="J165" s="44"/>
      <c r="K165" s="44"/>
    </row>
    <row r="167" customFormat="false" ht="22.5" hidden="false" customHeight="true" outlineLevel="0" collapsed="false">
      <c r="A167" s="4" t="s">
        <v>145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customFormat="false" ht="15" hidden="false" customHeight="true" outlineLevel="0" collapsed="false">
      <c r="A168" s="43" t="s">
        <v>118</v>
      </c>
      <c r="B168" s="44" t="n">
        <v>7</v>
      </c>
      <c r="C168" s="43" t="s">
        <v>119</v>
      </c>
      <c r="D168" s="54" t="n">
        <f aca="false">D165</f>
        <v>68.3166640583302</v>
      </c>
      <c r="E168" s="43" t="s">
        <v>120</v>
      </c>
      <c r="F168" s="54" t="n">
        <f aca="false">F165</f>
        <v>11.3889059692916</v>
      </c>
      <c r="G168" s="43" t="s">
        <v>121</v>
      </c>
      <c r="H168" s="54" t="n">
        <f aca="false">H165</f>
        <v>7.10284424538816</v>
      </c>
      <c r="I168" s="44" t="s">
        <v>122</v>
      </c>
      <c r="J168" s="44"/>
      <c r="K168" s="44"/>
    </row>
    <row r="169" customFormat="false" ht="33.75" hidden="false" customHeight="true" outlineLevel="0" collapsed="false">
      <c r="A169" s="13" t="s">
        <v>123</v>
      </c>
      <c r="B169" s="13" t="s">
        <v>124</v>
      </c>
      <c r="C169" s="13" t="s">
        <v>125</v>
      </c>
      <c r="D169" s="13" t="s">
        <v>126</v>
      </c>
      <c r="E169" s="13" t="s">
        <v>127</v>
      </c>
      <c r="F169" s="13" t="s">
        <v>128</v>
      </c>
      <c r="G169" s="13" t="s">
        <v>129</v>
      </c>
      <c r="H169" s="13" t="s">
        <v>130</v>
      </c>
      <c r="I169" s="13" t="s">
        <v>131</v>
      </c>
      <c r="J169" s="13" t="s">
        <v>132</v>
      </c>
      <c r="K169" s="13" t="s">
        <v>133</v>
      </c>
    </row>
    <row r="170" customFormat="false" ht="15" hidden="false" customHeight="false" outlineLevel="0" collapsed="false">
      <c r="A170" s="46" t="str">
        <f aca="false">01_Data!A6</f>
        <v>S01</v>
      </c>
      <c r="B170" s="47" t="n">
        <f aca="false">01_Data!F6</f>
        <v>-1.6</v>
      </c>
      <c r="C170" s="47" t="n">
        <f aca="false">01_Data!G6</f>
        <v>-1.33333333333333</v>
      </c>
      <c r="D170" s="47" t="n">
        <f aca="false">01_Data!D6</f>
        <v>43</v>
      </c>
      <c r="E170" s="48" t="n">
        <f aca="false">$D$168+$F$168*B170+$H$168*C170</f>
        <v>40.6239555136128</v>
      </c>
      <c r="F170" s="49" t="n">
        <f aca="false">E170-D170</f>
        <v>-2.37604448638723</v>
      </c>
      <c r="G170" s="49" t="n">
        <f aca="false">F170</f>
        <v>-2.37604448638723</v>
      </c>
      <c r="H170" s="49" t="n">
        <f aca="false">F170*B170</f>
        <v>3.80167117821957</v>
      </c>
      <c r="I170" s="49" t="n">
        <f aca="false">F170*C170</f>
        <v>3.16805931518297</v>
      </c>
      <c r="J170" s="48" t="n">
        <f aca="false">F170^2</f>
        <v>5.64558740129115</v>
      </c>
      <c r="K170" s="48" t="n">
        <f aca="false">0.5*J170</f>
        <v>2.82279370064558</v>
      </c>
    </row>
    <row r="171" customFormat="false" ht="15" hidden="false" customHeight="false" outlineLevel="0" collapsed="false">
      <c r="A171" s="46" t="str">
        <f aca="false">01_Data!A7</f>
        <v>S02</v>
      </c>
      <c r="B171" s="47" t="n">
        <f aca="false">01_Data!F7</f>
        <v>-1.4</v>
      </c>
      <c r="C171" s="47" t="n">
        <f aca="false">01_Data!G7</f>
        <v>-1</v>
      </c>
      <c r="D171" s="47" t="n">
        <f aca="false">01_Data!D7</f>
        <v>47</v>
      </c>
      <c r="E171" s="48" t="n">
        <f aca="false">$D$168+$F$168*B171+$H$168*C171</f>
        <v>45.2693514559338</v>
      </c>
      <c r="F171" s="49" t="n">
        <f aca="false">E171-D171</f>
        <v>-1.73064854406619</v>
      </c>
      <c r="G171" s="49" t="n">
        <f aca="false">F171</f>
        <v>-1.73064854406619</v>
      </c>
      <c r="H171" s="49" t="n">
        <f aca="false">F171*B171</f>
        <v>2.42290796169267</v>
      </c>
      <c r="I171" s="49" t="n">
        <f aca="false">F171*C171</f>
        <v>1.73064854406619</v>
      </c>
      <c r="J171" s="48" t="n">
        <f aca="false">F171^2</f>
        <v>2.99514438307843</v>
      </c>
      <c r="K171" s="48" t="n">
        <f aca="false">0.5*J171</f>
        <v>1.49757219153921</v>
      </c>
    </row>
    <row r="172" customFormat="false" ht="15" hidden="false" customHeight="false" outlineLevel="0" collapsed="false">
      <c r="A172" s="46" t="str">
        <f aca="false">01_Data!A8</f>
        <v>S03</v>
      </c>
      <c r="B172" s="47" t="n">
        <f aca="false">01_Data!F8</f>
        <v>-1.2</v>
      </c>
      <c r="C172" s="47" t="n">
        <f aca="false">01_Data!G8</f>
        <v>-1.13333333333333</v>
      </c>
      <c r="D172" s="47" t="n">
        <f aca="false">01_Data!D8</f>
        <v>51</v>
      </c>
      <c r="E172" s="48" t="n">
        <f aca="false">$D$168+$F$168*B172+$H$168*C172</f>
        <v>46.600086750407</v>
      </c>
      <c r="F172" s="49" t="n">
        <f aca="false">E172-D172</f>
        <v>-4.39991324959297</v>
      </c>
      <c r="G172" s="49" t="n">
        <f aca="false">F172</f>
        <v>-4.39991324959297</v>
      </c>
      <c r="H172" s="49" t="n">
        <f aca="false">F172*B172</f>
        <v>5.27989589951156</v>
      </c>
      <c r="I172" s="49" t="n">
        <f aca="false">F172*C172</f>
        <v>4.9865683495387</v>
      </c>
      <c r="J172" s="48" t="n">
        <f aca="false">F172^2</f>
        <v>19.3592366039438</v>
      </c>
      <c r="K172" s="48" t="n">
        <f aca="false">0.5*J172</f>
        <v>9.67961830197189</v>
      </c>
    </row>
    <row r="173" customFormat="false" ht="15" hidden="false" customHeight="false" outlineLevel="0" collapsed="false">
      <c r="A173" s="46" t="str">
        <f aca="false">01_Data!A9</f>
        <v>S04</v>
      </c>
      <c r="B173" s="47" t="n">
        <f aca="false">01_Data!F9</f>
        <v>-1</v>
      </c>
      <c r="C173" s="47" t="n">
        <f aca="false">01_Data!G9</f>
        <v>-0.666666666666667</v>
      </c>
      <c r="D173" s="47" t="n">
        <f aca="false">01_Data!D9</f>
        <v>55</v>
      </c>
      <c r="E173" s="48" t="n">
        <f aca="false">$D$168+$F$168*B173+$H$168*C173</f>
        <v>52.1925285921132</v>
      </c>
      <c r="F173" s="49" t="n">
        <f aca="false">E173-D173</f>
        <v>-2.80747140788685</v>
      </c>
      <c r="G173" s="49" t="n">
        <f aca="false">F173</f>
        <v>-2.80747140788685</v>
      </c>
      <c r="H173" s="49" t="n">
        <f aca="false">F173*B173</f>
        <v>2.80747140788685</v>
      </c>
      <c r="I173" s="49" t="n">
        <f aca="false">F173*C173</f>
        <v>1.8716476052579</v>
      </c>
      <c r="J173" s="48" t="n">
        <f aca="false">F173^2</f>
        <v>7.88189570610218</v>
      </c>
      <c r="K173" s="48" t="n">
        <f aca="false">0.5*J173</f>
        <v>3.94094785305109</v>
      </c>
    </row>
    <row r="174" customFormat="false" ht="15" hidden="false" customHeight="false" outlineLevel="0" collapsed="false">
      <c r="A174" s="46" t="str">
        <f aca="false">01_Data!A10</f>
        <v>S05</v>
      </c>
      <c r="B174" s="47" t="n">
        <f aca="false">01_Data!F10</f>
        <v>-0.8</v>
      </c>
      <c r="C174" s="47" t="n">
        <f aca="false">01_Data!G10</f>
        <v>-0.866666666666667</v>
      </c>
      <c r="D174" s="47" t="n">
        <f aca="false">01_Data!D10</f>
        <v>56</v>
      </c>
      <c r="E174" s="48" t="n">
        <f aca="false">$D$168+$F$168*B174+$H$168*C174</f>
        <v>53.0497409368938</v>
      </c>
      <c r="F174" s="49" t="n">
        <f aca="false">E174-D174</f>
        <v>-2.95025906310617</v>
      </c>
      <c r="G174" s="49" t="n">
        <f aca="false">F174</f>
        <v>-2.95025906310617</v>
      </c>
      <c r="H174" s="49" t="n">
        <f aca="false">F174*B174</f>
        <v>2.36020725048493</v>
      </c>
      <c r="I174" s="49" t="n">
        <f aca="false">F174*C174</f>
        <v>2.55689118802534</v>
      </c>
      <c r="J174" s="48" t="n">
        <f aca="false">F174^2</f>
        <v>8.70402853944008</v>
      </c>
      <c r="K174" s="48" t="n">
        <f aca="false">0.5*J174</f>
        <v>4.35201426972004</v>
      </c>
    </row>
    <row r="175" customFormat="false" ht="15" hidden="false" customHeight="false" outlineLevel="0" collapsed="false">
      <c r="A175" s="46" t="str">
        <f aca="false">01_Data!A11</f>
        <v>S06</v>
      </c>
      <c r="B175" s="47" t="n">
        <f aca="false">01_Data!F11</f>
        <v>-0.6</v>
      </c>
      <c r="C175" s="47" t="n">
        <f aca="false">01_Data!G11</f>
        <v>-0.333333333333333</v>
      </c>
      <c r="D175" s="47" t="n">
        <f aca="false">01_Data!D11</f>
        <v>63</v>
      </c>
      <c r="E175" s="48" t="n">
        <f aca="false">$D$168+$F$168*B175+$H$168*C175</f>
        <v>59.1157057282925</v>
      </c>
      <c r="F175" s="49" t="n">
        <f aca="false">E175-D175</f>
        <v>-3.8842942717075</v>
      </c>
      <c r="G175" s="49" t="n">
        <f aca="false">F175</f>
        <v>-3.8842942717075</v>
      </c>
      <c r="H175" s="49" t="n">
        <f aca="false">F175*B175</f>
        <v>2.3305765630245</v>
      </c>
      <c r="I175" s="49" t="n">
        <f aca="false">F175*C175</f>
        <v>1.29476475723583</v>
      </c>
      <c r="J175" s="48" t="n">
        <f aca="false">F175^2</f>
        <v>15.0877419892197</v>
      </c>
      <c r="K175" s="48" t="n">
        <f aca="false">0.5*J175</f>
        <v>7.54387099460984</v>
      </c>
    </row>
    <row r="176" customFormat="false" ht="15" hidden="false" customHeight="false" outlineLevel="0" collapsed="false">
      <c r="A176" s="46" t="str">
        <f aca="false">01_Data!A12</f>
        <v>S07</v>
      </c>
      <c r="B176" s="47" t="n">
        <f aca="false">01_Data!F12</f>
        <v>-0.4</v>
      </c>
      <c r="C176" s="47" t="n">
        <f aca="false">01_Data!G12</f>
        <v>-0.466666666666667</v>
      </c>
      <c r="D176" s="47" t="n">
        <f aca="false">01_Data!D12</f>
        <v>61</v>
      </c>
      <c r="E176" s="48" t="n">
        <f aca="false">$D$168+$F$168*B176+$H$168*C176</f>
        <v>60.4464410227657</v>
      </c>
      <c r="F176" s="49" t="n">
        <f aca="false">E176-D176</f>
        <v>-0.553558977234275</v>
      </c>
      <c r="G176" s="49" t="n">
        <f aca="false">F176</f>
        <v>-0.553558977234275</v>
      </c>
      <c r="H176" s="49" t="n">
        <f aca="false">F176*B176</f>
        <v>0.22142359089371</v>
      </c>
      <c r="I176" s="49" t="n">
        <f aca="false">F176*C176</f>
        <v>0.258327522709328</v>
      </c>
      <c r="J176" s="48" t="n">
        <f aca="false">F176^2</f>
        <v>0.306427541276656</v>
      </c>
      <c r="K176" s="48" t="n">
        <f aca="false">0.5*J176</f>
        <v>0.153213770638328</v>
      </c>
    </row>
    <row r="177" customFormat="false" ht="15" hidden="false" customHeight="false" outlineLevel="0" collapsed="false">
      <c r="A177" s="46" t="str">
        <f aca="false">01_Data!A13</f>
        <v>S08</v>
      </c>
      <c r="B177" s="47" t="n">
        <f aca="false">01_Data!F13</f>
        <v>-0.2</v>
      </c>
      <c r="C177" s="47" t="n">
        <f aca="false">01_Data!G13</f>
        <v>-0.2</v>
      </c>
      <c r="D177" s="47" t="n">
        <f aca="false">01_Data!D13</f>
        <v>68</v>
      </c>
      <c r="E177" s="48" t="n">
        <f aca="false">$D$168+$F$168*B177+$H$168*C177</f>
        <v>64.6183140153942</v>
      </c>
      <c r="F177" s="49" t="n">
        <f aca="false">E177-D177</f>
        <v>-3.38168598460578</v>
      </c>
      <c r="G177" s="49" t="n">
        <f aca="false">F177</f>
        <v>-3.38168598460578</v>
      </c>
      <c r="H177" s="49" t="n">
        <f aca="false">F177*B177</f>
        <v>0.676337196921156</v>
      </c>
      <c r="I177" s="49" t="n">
        <f aca="false">F177*C177</f>
        <v>0.676337196921156</v>
      </c>
      <c r="J177" s="48" t="n">
        <f aca="false">F177^2</f>
        <v>11.4358000984792</v>
      </c>
      <c r="K177" s="48" t="n">
        <f aca="false">0.5*J177</f>
        <v>5.71790004923959</v>
      </c>
    </row>
    <row r="178" customFormat="false" ht="15" hidden="false" customHeight="false" outlineLevel="0" collapsed="false">
      <c r="A178" s="46" t="str">
        <f aca="false">01_Data!A14</f>
        <v>S09</v>
      </c>
      <c r="B178" s="47" t="n">
        <f aca="false">01_Data!F14</f>
        <v>0</v>
      </c>
      <c r="C178" s="47" t="n">
        <f aca="false">01_Data!G14</f>
        <v>0</v>
      </c>
      <c r="D178" s="47" t="n">
        <f aca="false">01_Data!D14</f>
        <v>72</v>
      </c>
      <c r="E178" s="48" t="n">
        <f aca="false">$D$168+$F$168*B178+$H$168*C178</f>
        <v>68.3166640583302</v>
      </c>
      <c r="F178" s="49" t="n">
        <f aca="false">E178-D178</f>
        <v>-3.68333594166984</v>
      </c>
      <c r="G178" s="49" t="n">
        <f aca="false">F178</f>
        <v>-3.68333594166984</v>
      </c>
      <c r="H178" s="49" t="n">
        <f aca="false">F178*B178</f>
        <v>-0</v>
      </c>
      <c r="I178" s="49" t="n">
        <f aca="false">F178*C178</f>
        <v>-0</v>
      </c>
      <c r="J178" s="48" t="n">
        <f aca="false">F178^2</f>
        <v>13.5669636591968</v>
      </c>
      <c r="K178" s="48" t="n">
        <f aca="false">0.5*J178</f>
        <v>6.78348182959842</v>
      </c>
    </row>
    <row r="179" customFormat="false" ht="15" hidden="false" customHeight="false" outlineLevel="0" collapsed="false">
      <c r="A179" s="46" t="str">
        <f aca="false">01_Data!A15</f>
        <v>S10</v>
      </c>
      <c r="B179" s="47" t="n">
        <f aca="false">01_Data!F15</f>
        <v>0.2</v>
      </c>
      <c r="C179" s="47" t="n">
        <f aca="false">01_Data!G15</f>
        <v>0.2</v>
      </c>
      <c r="D179" s="47" t="n">
        <f aca="false">01_Data!D15</f>
        <v>76</v>
      </c>
      <c r="E179" s="48" t="n">
        <f aca="false">$D$168+$F$168*B179+$H$168*C179</f>
        <v>72.0150141012661</v>
      </c>
      <c r="F179" s="49" t="n">
        <f aca="false">E179-D179</f>
        <v>-3.9849858987339</v>
      </c>
      <c r="G179" s="49" t="n">
        <f aca="false">F179</f>
        <v>-3.9849858987339</v>
      </c>
      <c r="H179" s="49" t="n">
        <f aca="false">F179*B179</f>
        <v>-0.796997179746779</v>
      </c>
      <c r="I179" s="49" t="n">
        <f aca="false">F179*C179</f>
        <v>-0.796997179746779</v>
      </c>
      <c r="J179" s="48" t="n">
        <f aca="false">F179^2</f>
        <v>15.880112613108</v>
      </c>
      <c r="K179" s="48" t="n">
        <f aca="false">0.5*J179</f>
        <v>7.940056306554</v>
      </c>
    </row>
    <row r="180" customFormat="false" ht="15" hidden="false" customHeight="false" outlineLevel="0" collapsed="false">
      <c r="A180" s="46" t="str">
        <f aca="false">01_Data!A16</f>
        <v>S11</v>
      </c>
      <c r="B180" s="47" t="n">
        <f aca="false">01_Data!F16</f>
        <v>0.4</v>
      </c>
      <c r="C180" s="47" t="n">
        <f aca="false">01_Data!G16</f>
        <v>0.333333333333333</v>
      </c>
      <c r="D180" s="47" t="n">
        <f aca="false">01_Data!D16</f>
        <v>79</v>
      </c>
      <c r="E180" s="48" t="n">
        <f aca="false">$D$168+$F$168*B180+$H$168*C180</f>
        <v>75.2398411945095</v>
      </c>
      <c r="F180" s="49" t="n">
        <f aca="false">E180-D180</f>
        <v>-3.76015880549049</v>
      </c>
      <c r="G180" s="49" t="n">
        <f aca="false">F180</f>
        <v>-3.76015880549049</v>
      </c>
      <c r="H180" s="49" t="n">
        <f aca="false">F180*B180</f>
        <v>-1.5040635221962</v>
      </c>
      <c r="I180" s="49" t="n">
        <f aca="false">F180*C180</f>
        <v>-1.25338626849683</v>
      </c>
      <c r="J180" s="48" t="n">
        <f aca="false">F180^2</f>
        <v>14.1387942425077</v>
      </c>
      <c r="K180" s="48" t="n">
        <f aca="false">0.5*J180</f>
        <v>7.06939712125384</v>
      </c>
    </row>
    <row r="181" customFormat="false" ht="15" hidden="false" customHeight="false" outlineLevel="0" collapsed="false">
      <c r="A181" s="46" t="str">
        <f aca="false">01_Data!A17</f>
        <v>S12</v>
      </c>
      <c r="B181" s="47" t="n">
        <f aca="false">01_Data!F17</f>
        <v>0.6</v>
      </c>
      <c r="C181" s="47" t="n">
        <f aca="false">01_Data!G17</f>
        <v>0.466666666666667</v>
      </c>
      <c r="D181" s="47" t="n">
        <f aca="false">01_Data!D17</f>
        <v>82</v>
      </c>
      <c r="E181" s="48" t="n">
        <f aca="false">$D$168+$F$168*B181+$H$168*C181</f>
        <v>78.4646682877529</v>
      </c>
      <c r="F181" s="49" t="n">
        <f aca="false">E181-D181</f>
        <v>-3.5353317122471</v>
      </c>
      <c r="G181" s="49" t="n">
        <f aca="false">F181</f>
        <v>-3.5353317122471</v>
      </c>
      <c r="H181" s="49" t="n">
        <f aca="false">F181*B181</f>
        <v>-2.12119902734826</v>
      </c>
      <c r="I181" s="49" t="n">
        <f aca="false">F181*C181</f>
        <v>-1.64982146571531</v>
      </c>
      <c r="J181" s="48" t="n">
        <f aca="false">F181^2</f>
        <v>12.49857031562</v>
      </c>
      <c r="K181" s="48" t="n">
        <f aca="false">0.5*J181</f>
        <v>6.24928515781001</v>
      </c>
    </row>
    <row r="182" customFormat="false" ht="15" hidden="false" customHeight="false" outlineLevel="0" collapsed="false">
      <c r="A182" s="46" t="str">
        <f aca="false">01_Data!A18</f>
        <v>S13</v>
      </c>
      <c r="B182" s="47" t="n">
        <f aca="false">01_Data!F18</f>
        <v>0.8</v>
      </c>
      <c r="C182" s="47" t="n">
        <f aca="false">01_Data!G18</f>
        <v>0.666666666666667</v>
      </c>
      <c r="D182" s="47" t="n">
        <f aca="false">01_Data!D18</f>
        <v>87</v>
      </c>
      <c r="E182" s="48" t="n">
        <f aca="false">$D$168+$F$168*B182+$H$168*C182</f>
        <v>82.1630183306889</v>
      </c>
      <c r="F182" s="49" t="n">
        <f aca="false">E182-D182</f>
        <v>-4.83698166931114</v>
      </c>
      <c r="G182" s="49" t="n">
        <f aca="false">F182</f>
        <v>-4.83698166931114</v>
      </c>
      <c r="H182" s="49" t="n">
        <f aca="false">F182*B182</f>
        <v>-3.86958533544891</v>
      </c>
      <c r="I182" s="49" t="n">
        <f aca="false">F182*C182</f>
        <v>-3.22465444620743</v>
      </c>
      <c r="J182" s="48" t="n">
        <f aca="false">F182^2</f>
        <v>23.396391669252</v>
      </c>
      <c r="K182" s="48" t="n">
        <f aca="false">0.5*J182</f>
        <v>11.698195834626</v>
      </c>
    </row>
    <row r="183" customFormat="false" ht="15" hidden="false" customHeight="false" outlineLevel="0" collapsed="false">
      <c r="A183" s="46" t="str">
        <f aca="false">01_Data!A19</f>
        <v>S14</v>
      </c>
      <c r="B183" s="47" t="n">
        <f aca="false">01_Data!F19</f>
        <v>1</v>
      </c>
      <c r="C183" s="47" t="n">
        <f aca="false">01_Data!G19</f>
        <v>0.866666666666667</v>
      </c>
      <c r="D183" s="47" t="n">
        <f aca="false">01_Data!D19</f>
        <v>89</v>
      </c>
      <c r="E183" s="48" t="n">
        <f aca="false">$D$168+$F$168*B183+$H$168*C183</f>
        <v>85.8613683736248</v>
      </c>
      <c r="F183" s="49" t="n">
        <f aca="false">E183-D183</f>
        <v>-3.1386316263752</v>
      </c>
      <c r="G183" s="49" t="n">
        <f aca="false">F183</f>
        <v>-3.1386316263752</v>
      </c>
      <c r="H183" s="49" t="n">
        <f aca="false">F183*B183</f>
        <v>-3.1386316263752</v>
      </c>
      <c r="I183" s="49" t="n">
        <f aca="false">F183*C183</f>
        <v>-2.72014740952517</v>
      </c>
      <c r="J183" s="48" t="n">
        <f aca="false">F183^2</f>
        <v>9.85100848608264</v>
      </c>
      <c r="K183" s="48" t="n">
        <f aca="false">0.5*J183</f>
        <v>4.92550424304132</v>
      </c>
    </row>
    <row r="184" customFormat="false" ht="15" hidden="false" customHeight="false" outlineLevel="0" collapsed="false">
      <c r="A184" s="46" t="str">
        <f aca="false">01_Data!A20</f>
        <v>S15</v>
      </c>
      <c r="B184" s="47" t="n">
        <f aca="false">01_Data!F20</f>
        <v>1.2</v>
      </c>
      <c r="C184" s="47" t="n">
        <f aca="false">01_Data!G20</f>
        <v>1</v>
      </c>
      <c r="D184" s="47" t="n">
        <f aca="false">01_Data!D20</f>
        <v>92</v>
      </c>
      <c r="E184" s="48" t="n">
        <f aca="false">$D$168+$F$168*B184+$H$168*C184</f>
        <v>89.0861954668682</v>
      </c>
      <c r="F184" s="49" t="n">
        <f aca="false">E184-D184</f>
        <v>-2.91380453313181</v>
      </c>
      <c r="G184" s="49" t="n">
        <f aca="false">F184</f>
        <v>-2.91380453313181</v>
      </c>
      <c r="H184" s="49" t="n">
        <f aca="false">F184*B184</f>
        <v>-3.49656543975817</v>
      </c>
      <c r="I184" s="49" t="n">
        <f aca="false">F184*C184</f>
        <v>-2.91380453313181</v>
      </c>
      <c r="J184" s="48" t="n">
        <f aca="false">F184^2</f>
        <v>8.49025685729948</v>
      </c>
      <c r="K184" s="48" t="n">
        <f aca="false">0.5*J184</f>
        <v>4.24512842864974</v>
      </c>
    </row>
    <row r="185" customFormat="false" ht="15" hidden="false" customHeight="false" outlineLevel="0" collapsed="false">
      <c r="A185" s="46" t="str">
        <f aca="false">01_Data!A21</f>
        <v>S16</v>
      </c>
      <c r="B185" s="47" t="n">
        <f aca="false">01_Data!F21</f>
        <v>1.4</v>
      </c>
      <c r="C185" s="47" t="n">
        <f aca="false">01_Data!G21</f>
        <v>1.13333333333333</v>
      </c>
      <c r="D185" s="47" t="n">
        <f aca="false">01_Data!D21</f>
        <v>96</v>
      </c>
      <c r="E185" s="48" t="n">
        <f aca="false">$D$168+$F$168*B185+$H$168*C185</f>
        <v>92.3110225601116</v>
      </c>
      <c r="F185" s="49" t="n">
        <f aca="false">E185-D185</f>
        <v>-3.6889774398884</v>
      </c>
      <c r="G185" s="49" t="n">
        <f aca="false">F185</f>
        <v>-3.6889774398884</v>
      </c>
      <c r="H185" s="49" t="n">
        <f aca="false">F185*B185</f>
        <v>-5.16456841584377</v>
      </c>
      <c r="I185" s="49" t="n">
        <f aca="false">F185*C185</f>
        <v>-4.18084109854019</v>
      </c>
      <c r="J185" s="48" t="n">
        <f aca="false">F185^2</f>
        <v>13.6085545520056</v>
      </c>
      <c r="K185" s="48" t="n">
        <f aca="false">0.5*J185</f>
        <v>6.8042772760028</v>
      </c>
    </row>
    <row r="186" customFormat="false" ht="15" hidden="false" customHeight="false" outlineLevel="0" collapsed="false">
      <c r="A186" s="46" t="str">
        <f aca="false">01_Data!A22</f>
        <v>S17</v>
      </c>
      <c r="B186" s="47" t="n">
        <f aca="false">01_Data!F22</f>
        <v>1.6</v>
      </c>
      <c r="C186" s="47" t="n">
        <f aca="false">01_Data!G22</f>
        <v>1.33333333333333</v>
      </c>
      <c r="D186" s="47" t="n">
        <f aca="false">01_Data!D22</f>
        <v>99</v>
      </c>
      <c r="E186" s="48" t="n">
        <f aca="false">$D$168+$F$168*B186+$H$168*C186</f>
        <v>96.0093726030476</v>
      </c>
      <c r="F186" s="49" t="n">
        <f aca="false">E186-D186</f>
        <v>-2.99062739695245</v>
      </c>
      <c r="G186" s="49" t="n">
        <f aca="false">F186</f>
        <v>-2.99062739695245</v>
      </c>
      <c r="H186" s="49" t="n">
        <f aca="false">F186*B186</f>
        <v>-4.78500383512392</v>
      </c>
      <c r="I186" s="49" t="n">
        <f aca="false">F186*C186</f>
        <v>-3.9875031959366</v>
      </c>
      <c r="J186" s="48" t="n">
        <f aca="false">F186^2</f>
        <v>8.94385222740257</v>
      </c>
      <c r="K186" s="48" t="n">
        <f aca="false">0.5*J186</f>
        <v>4.47192611370129</v>
      </c>
    </row>
    <row r="187" customFormat="false" ht="15" hidden="false" customHeight="false" outlineLevel="0" collapsed="false">
      <c r="A187" s="46" t="str">
        <f aca="false">01_Data!A23</f>
        <v>S18</v>
      </c>
      <c r="B187" s="47" t="n">
        <f aca="false">01_Data!F23</f>
        <v>0</v>
      </c>
      <c r="C187" s="47" t="n">
        <f aca="false">01_Data!G23</f>
        <v>-0.666666666666667</v>
      </c>
      <c r="D187" s="47" t="n">
        <f aca="false">01_Data!D23</f>
        <v>65</v>
      </c>
      <c r="E187" s="48" t="n">
        <f aca="false">$D$168+$F$168*B187+$H$168*C187</f>
        <v>63.5814345614047</v>
      </c>
      <c r="F187" s="49" t="n">
        <f aca="false">E187-D187</f>
        <v>-1.41856543859528</v>
      </c>
      <c r="G187" s="49" t="n">
        <f aca="false">F187</f>
        <v>-1.41856543859528</v>
      </c>
      <c r="H187" s="49" t="n">
        <f aca="false">F187*B187</f>
        <v>-0</v>
      </c>
      <c r="I187" s="49" t="n">
        <f aca="false">F187*C187</f>
        <v>0.945710292396853</v>
      </c>
      <c r="J187" s="48" t="n">
        <f aca="false">F187^2</f>
        <v>2.01232790357702</v>
      </c>
      <c r="K187" s="48" t="n">
        <f aca="false">0.5*J187</f>
        <v>1.00616395178851</v>
      </c>
    </row>
    <row r="188" customFormat="false" ht="15" hidden="false" customHeight="false" outlineLevel="0" collapsed="false">
      <c r="A188" s="46" t="str">
        <f aca="false">01_Data!A24</f>
        <v>S19</v>
      </c>
      <c r="B188" s="47" t="n">
        <f aca="false">01_Data!F24</f>
        <v>-0.8</v>
      </c>
      <c r="C188" s="47" t="n">
        <f aca="false">01_Data!G24</f>
        <v>0.666666666666667</v>
      </c>
      <c r="D188" s="47" t="n">
        <f aca="false">01_Data!D24</f>
        <v>70</v>
      </c>
      <c r="E188" s="48" t="n">
        <f aca="false">$D$168+$F$168*B188+$H$168*C188</f>
        <v>63.9407687798224</v>
      </c>
      <c r="F188" s="49" t="n">
        <f aca="false">E188-D188</f>
        <v>-6.05923122017765</v>
      </c>
      <c r="G188" s="49" t="n">
        <f aca="false">F188</f>
        <v>-6.05923122017765</v>
      </c>
      <c r="H188" s="49" t="n">
        <f aca="false">F188*B188</f>
        <v>4.84738497614212</v>
      </c>
      <c r="I188" s="49" t="n">
        <f aca="false">F188*C188</f>
        <v>-4.03948748011843</v>
      </c>
      <c r="J188" s="48" t="n">
        <f aca="false">F188^2</f>
        <v>36.7142829795755</v>
      </c>
      <c r="K188" s="48" t="n">
        <f aca="false">0.5*J188</f>
        <v>18.3571414897878</v>
      </c>
    </row>
    <row r="189" customFormat="false" ht="15" hidden="false" customHeight="false" outlineLevel="0" collapsed="false">
      <c r="A189" s="46" t="str">
        <f aca="false">01_Data!A25</f>
        <v>S20</v>
      </c>
      <c r="B189" s="47" t="n">
        <f aca="false">01_Data!F25</f>
        <v>0.8</v>
      </c>
      <c r="C189" s="47" t="n">
        <f aca="false">01_Data!G25</f>
        <v>-0.666666666666667</v>
      </c>
      <c r="D189" s="47" t="n">
        <f aca="false">01_Data!D25</f>
        <v>78</v>
      </c>
      <c r="E189" s="48" t="n">
        <f aca="false">$D$168+$F$168*B189+$H$168*C189</f>
        <v>72.692559336838</v>
      </c>
      <c r="F189" s="49" t="n">
        <f aca="false">E189-D189</f>
        <v>-5.30744066316203</v>
      </c>
      <c r="G189" s="49" t="n">
        <f aca="false">F189</f>
        <v>-5.30744066316203</v>
      </c>
      <c r="H189" s="49" t="n">
        <f aca="false">F189*B189</f>
        <v>-4.24595253052962</v>
      </c>
      <c r="I189" s="49" t="n">
        <f aca="false">F189*C189</f>
        <v>3.53829377544135</v>
      </c>
      <c r="J189" s="48" t="n">
        <f aca="false">F189^2</f>
        <v>28.1689263929858</v>
      </c>
      <c r="K189" s="48" t="n">
        <f aca="false">0.5*J189</f>
        <v>14.0844631964929</v>
      </c>
    </row>
    <row r="190" customFormat="false" ht="15" hidden="false" customHeight="false" outlineLevel="0" collapsed="false">
      <c r="A190" s="50" t="s">
        <v>134</v>
      </c>
      <c r="B190" s="50"/>
      <c r="C190" s="50"/>
      <c r="D190" s="50"/>
      <c r="E190" s="50"/>
      <c r="F190" s="50"/>
      <c r="G190" s="51" t="n">
        <f aca="false">AVERAGE(G170:G189)</f>
        <v>-3.37009741651611</v>
      </c>
      <c r="H190" s="51" t="n">
        <f aca="false">AVERAGE(H170:H189)</f>
        <v>-0.218734544379688</v>
      </c>
      <c r="I190" s="51" t="n">
        <f aca="false">AVERAGE(I170:I189)</f>
        <v>-0.186969726532146</v>
      </c>
      <c r="J190" s="51" t="n">
        <f aca="false">AVERAGE(J170:J189)</f>
        <v>12.9342952080722</v>
      </c>
      <c r="K190" s="51" t="n">
        <f aca="false">AVERAGE(K170:K189)</f>
        <v>6.46714760403611</v>
      </c>
    </row>
    <row r="191" customFormat="false" ht="22.35" hidden="false" customHeight="true" outlineLevel="0" collapsed="false">
      <c r="A191" s="43" t="s">
        <v>135</v>
      </c>
      <c r="B191" s="43"/>
      <c r="C191" s="43" t="s">
        <v>136</v>
      </c>
      <c r="D191" s="52" t="n">
        <f aca="false">D168-$B$4*G190</f>
        <v>69.6647030249366</v>
      </c>
      <c r="E191" s="43" t="s">
        <v>137</v>
      </c>
      <c r="F191" s="52" t="n">
        <f aca="false">F168-$B$4*H190</f>
        <v>11.4763997870434</v>
      </c>
      <c r="G191" s="43" t="s">
        <v>138</v>
      </c>
      <c r="H191" s="52" t="n">
        <f aca="false">H168-$B$4*I190</f>
        <v>7.17763213600102</v>
      </c>
      <c r="I191" s="44" t="s">
        <v>139</v>
      </c>
      <c r="J191" s="44"/>
      <c r="K191" s="44"/>
    </row>
    <row r="193" customFormat="false" ht="22.5" hidden="false" customHeight="true" outlineLevel="0" collapsed="false">
      <c r="A193" s="53" t="s">
        <v>146</v>
      </c>
      <c r="B193" s="53"/>
      <c r="C193" s="53"/>
      <c r="D193" s="53"/>
      <c r="E193" s="53"/>
      <c r="F193" s="53"/>
      <c r="G193" s="53"/>
      <c r="H193" s="53"/>
      <c r="I193" s="53"/>
      <c r="J193" s="53"/>
      <c r="K193" s="53"/>
    </row>
    <row r="194" customFormat="false" ht="15" hidden="false" customHeight="true" outlineLevel="0" collapsed="false">
      <c r="A194" s="43" t="s">
        <v>118</v>
      </c>
      <c r="B194" s="44" t="n">
        <v>8</v>
      </c>
      <c r="C194" s="43" t="s">
        <v>119</v>
      </c>
      <c r="D194" s="54" t="n">
        <f aca="false">D191</f>
        <v>69.6647030249366</v>
      </c>
      <c r="E194" s="43" t="s">
        <v>120</v>
      </c>
      <c r="F194" s="54" t="n">
        <f aca="false">F191</f>
        <v>11.4763997870434</v>
      </c>
      <c r="G194" s="43" t="s">
        <v>121</v>
      </c>
      <c r="H194" s="54" t="n">
        <f aca="false">H191</f>
        <v>7.17763213600102</v>
      </c>
      <c r="I194" s="44" t="s">
        <v>122</v>
      </c>
      <c r="J194" s="44"/>
      <c r="K194" s="44"/>
    </row>
    <row r="195" customFormat="false" ht="33.75" hidden="false" customHeight="true" outlineLevel="0" collapsed="false">
      <c r="A195" s="13" t="s">
        <v>123</v>
      </c>
      <c r="B195" s="13" t="s">
        <v>124</v>
      </c>
      <c r="C195" s="13" t="s">
        <v>125</v>
      </c>
      <c r="D195" s="13" t="s">
        <v>126</v>
      </c>
      <c r="E195" s="13" t="s">
        <v>127</v>
      </c>
      <c r="F195" s="13" t="s">
        <v>128</v>
      </c>
      <c r="G195" s="13" t="s">
        <v>129</v>
      </c>
      <c r="H195" s="13" t="s">
        <v>130</v>
      </c>
      <c r="I195" s="13" t="s">
        <v>131</v>
      </c>
      <c r="J195" s="13" t="s">
        <v>132</v>
      </c>
      <c r="K195" s="13" t="s">
        <v>133</v>
      </c>
    </row>
    <row r="196" customFormat="false" ht="15" hidden="false" customHeight="false" outlineLevel="0" collapsed="false">
      <c r="A196" s="46" t="str">
        <f aca="false">01_Data!A6</f>
        <v>S01</v>
      </c>
      <c r="B196" s="47" t="n">
        <f aca="false">01_Data!F6</f>
        <v>-1.6</v>
      </c>
      <c r="C196" s="47" t="n">
        <f aca="false">01_Data!G6</f>
        <v>-1.33333333333333</v>
      </c>
      <c r="D196" s="47" t="n">
        <f aca="false">01_Data!D6</f>
        <v>43</v>
      </c>
      <c r="E196" s="48" t="n">
        <f aca="false">$D$194+$F$194*B196+$H$194*C196</f>
        <v>41.7322871843324</v>
      </c>
      <c r="F196" s="49" t="n">
        <f aca="false">E196-D196</f>
        <v>-1.26771281566759</v>
      </c>
      <c r="G196" s="49" t="n">
        <f aca="false">F196</f>
        <v>-1.26771281566759</v>
      </c>
      <c r="H196" s="49" t="n">
        <f aca="false">F196*B196</f>
        <v>2.02834050506815</v>
      </c>
      <c r="I196" s="49" t="n">
        <f aca="false">F196*C196</f>
        <v>1.69028375422346</v>
      </c>
      <c r="J196" s="48" t="n">
        <f aca="false">F196^2</f>
        <v>1.60709578300786</v>
      </c>
      <c r="K196" s="48" t="n">
        <f aca="false">0.5*J196</f>
        <v>0.803547891503929</v>
      </c>
    </row>
    <row r="197" customFormat="false" ht="15" hidden="false" customHeight="false" outlineLevel="0" collapsed="false">
      <c r="A197" s="46" t="str">
        <f aca="false">01_Data!A7</f>
        <v>S02</v>
      </c>
      <c r="B197" s="47" t="n">
        <f aca="false">01_Data!F7</f>
        <v>-1.4</v>
      </c>
      <c r="C197" s="47" t="n">
        <f aca="false">01_Data!G7</f>
        <v>-1</v>
      </c>
      <c r="D197" s="47" t="n">
        <f aca="false">01_Data!D7</f>
        <v>47</v>
      </c>
      <c r="E197" s="48" t="n">
        <f aca="false">$D$194+$F$194*B197+$H$194*C197</f>
        <v>46.4201111870748</v>
      </c>
      <c r="F197" s="49" t="n">
        <f aca="false">E197-D197</f>
        <v>-0.579888812925233</v>
      </c>
      <c r="G197" s="49" t="n">
        <f aca="false">F197</f>
        <v>-0.579888812925233</v>
      </c>
      <c r="H197" s="49" t="n">
        <f aca="false">F197*B197</f>
        <v>0.811844338095327</v>
      </c>
      <c r="I197" s="49" t="n">
        <f aca="false">F197*C197</f>
        <v>0.579888812925233</v>
      </c>
      <c r="J197" s="48" t="n">
        <f aca="false">F197^2</f>
        <v>0.336271035355836</v>
      </c>
      <c r="K197" s="48" t="n">
        <f aca="false">0.5*J197</f>
        <v>0.168135517677918</v>
      </c>
    </row>
    <row r="198" customFormat="false" ht="15" hidden="false" customHeight="false" outlineLevel="0" collapsed="false">
      <c r="A198" s="46" t="str">
        <f aca="false">01_Data!A8</f>
        <v>S03</v>
      </c>
      <c r="B198" s="47" t="n">
        <f aca="false">01_Data!F8</f>
        <v>-1.2</v>
      </c>
      <c r="C198" s="47" t="n">
        <f aca="false">01_Data!G8</f>
        <v>-1.13333333333333</v>
      </c>
      <c r="D198" s="47" t="n">
        <f aca="false">01_Data!D8</f>
        <v>51</v>
      </c>
      <c r="E198" s="48" t="n">
        <f aca="false">$D$194+$F$194*B198+$H$194*C198</f>
        <v>47.75837352635</v>
      </c>
      <c r="F198" s="49" t="n">
        <f aca="false">E198-D198</f>
        <v>-3.24162647365002</v>
      </c>
      <c r="G198" s="49" t="n">
        <f aca="false">F198</f>
        <v>-3.24162647365002</v>
      </c>
      <c r="H198" s="49" t="n">
        <f aca="false">F198*B198</f>
        <v>3.88995176838002</v>
      </c>
      <c r="I198" s="49" t="n">
        <f aca="false">F198*C198</f>
        <v>3.67384333680335</v>
      </c>
      <c r="J198" s="48" t="n">
        <f aca="false">F198^2</f>
        <v>10.5081421946686</v>
      </c>
      <c r="K198" s="48" t="n">
        <f aca="false">0.5*J198</f>
        <v>5.25407109733432</v>
      </c>
    </row>
    <row r="199" customFormat="false" ht="15" hidden="false" customHeight="false" outlineLevel="0" collapsed="false">
      <c r="A199" s="46" t="str">
        <f aca="false">01_Data!A9</f>
        <v>S04</v>
      </c>
      <c r="B199" s="47" t="n">
        <f aca="false">01_Data!F9</f>
        <v>-1</v>
      </c>
      <c r="C199" s="47" t="n">
        <f aca="false">01_Data!G9</f>
        <v>-0.666666666666667</v>
      </c>
      <c r="D199" s="47" t="n">
        <f aca="false">01_Data!D9</f>
        <v>55</v>
      </c>
      <c r="E199" s="48" t="n">
        <f aca="false">$D$194+$F$194*B199+$H$194*C199</f>
        <v>53.4032151472258</v>
      </c>
      <c r="F199" s="49" t="n">
        <f aca="false">E199-D199</f>
        <v>-1.59678485277419</v>
      </c>
      <c r="G199" s="49" t="n">
        <f aca="false">F199</f>
        <v>-1.59678485277419</v>
      </c>
      <c r="H199" s="49" t="n">
        <f aca="false">F199*B199</f>
        <v>1.59678485277419</v>
      </c>
      <c r="I199" s="49" t="n">
        <f aca="false">F199*C199</f>
        <v>1.06452323518279</v>
      </c>
      <c r="J199" s="48" t="n">
        <f aca="false">F199^2</f>
        <v>2.54972186604908</v>
      </c>
      <c r="K199" s="48" t="n">
        <f aca="false">0.5*J199</f>
        <v>1.27486093302454</v>
      </c>
    </row>
    <row r="200" customFormat="false" ht="15" hidden="false" customHeight="false" outlineLevel="0" collapsed="false">
      <c r="A200" s="46" t="str">
        <f aca="false">01_Data!A10</f>
        <v>S05</v>
      </c>
      <c r="B200" s="47" t="n">
        <f aca="false">01_Data!F10</f>
        <v>-0.8</v>
      </c>
      <c r="C200" s="47" t="n">
        <f aca="false">01_Data!G10</f>
        <v>-0.866666666666667</v>
      </c>
      <c r="D200" s="47" t="n">
        <f aca="false">01_Data!D10</f>
        <v>56</v>
      </c>
      <c r="E200" s="48" t="n">
        <f aca="false">$D$194+$F$194*B200+$H$194*C200</f>
        <v>54.2629686774343</v>
      </c>
      <c r="F200" s="49" t="n">
        <f aca="false">E200-D200</f>
        <v>-1.73703132256571</v>
      </c>
      <c r="G200" s="49" t="n">
        <f aca="false">F200</f>
        <v>-1.73703132256571</v>
      </c>
      <c r="H200" s="49" t="n">
        <f aca="false">F200*B200</f>
        <v>1.38962505805256</v>
      </c>
      <c r="I200" s="49" t="n">
        <f aca="false">F200*C200</f>
        <v>1.50542714622361</v>
      </c>
      <c r="J200" s="48" t="n">
        <f aca="false">F200^2</f>
        <v>3.01727781557437</v>
      </c>
      <c r="K200" s="48" t="n">
        <f aca="false">0.5*J200</f>
        <v>1.50863890778718</v>
      </c>
    </row>
    <row r="201" customFormat="false" ht="15" hidden="false" customHeight="false" outlineLevel="0" collapsed="false">
      <c r="A201" s="46" t="str">
        <f aca="false">01_Data!A11</f>
        <v>S06</v>
      </c>
      <c r="B201" s="47" t="n">
        <f aca="false">01_Data!F11</f>
        <v>-0.6</v>
      </c>
      <c r="C201" s="47" t="n">
        <f aca="false">01_Data!G11</f>
        <v>-0.333333333333333</v>
      </c>
      <c r="D201" s="47" t="n">
        <f aca="false">01_Data!D11</f>
        <v>63</v>
      </c>
      <c r="E201" s="48" t="n">
        <f aca="false">$D$194+$F$194*B201+$H$194*C201</f>
        <v>60.3863191073769</v>
      </c>
      <c r="F201" s="49" t="n">
        <f aca="false">E201-D201</f>
        <v>-2.61368089262314</v>
      </c>
      <c r="G201" s="49" t="n">
        <f aca="false">F201</f>
        <v>-2.61368089262314</v>
      </c>
      <c r="H201" s="49" t="n">
        <f aca="false">F201*B201</f>
        <v>1.56820853557388</v>
      </c>
      <c r="I201" s="49" t="n">
        <f aca="false">F201*C201</f>
        <v>0.871226964207712</v>
      </c>
      <c r="J201" s="48" t="n">
        <f aca="false">F201^2</f>
        <v>6.83132780846328</v>
      </c>
      <c r="K201" s="48" t="n">
        <f aca="false">0.5*J201</f>
        <v>3.41566390423164</v>
      </c>
    </row>
    <row r="202" customFormat="false" ht="15" hidden="false" customHeight="false" outlineLevel="0" collapsed="false">
      <c r="A202" s="46" t="str">
        <f aca="false">01_Data!A12</f>
        <v>S07</v>
      </c>
      <c r="B202" s="47" t="n">
        <f aca="false">01_Data!F12</f>
        <v>-0.4</v>
      </c>
      <c r="C202" s="47" t="n">
        <f aca="false">01_Data!G12</f>
        <v>-0.466666666666667</v>
      </c>
      <c r="D202" s="47" t="n">
        <f aca="false">01_Data!D12</f>
        <v>61</v>
      </c>
      <c r="E202" s="48" t="n">
        <f aca="false">$D$194+$F$194*B202+$H$194*C202</f>
        <v>61.7245814466521</v>
      </c>
      <c r="F202" s="49" t="n">
        <f aca="false">E202-D202</f>
        <v>0.724581446652081</v>
      </c>
      <c r="G202" s="49" t="n">
        <f aca="false">F202</f>
        <v>0.724581446652081</v>
      </c>
      <c r="H202" s="49" t="n">
        <f aca="false">F202*B202</f>
        <v>-0.289832578660833</v>
      </c>
      <c r="I202" s="49" t="n">
        <f aca="false">F202*C202</f>
        <v>-0.338138008437638</v>
      </c>
      <c r="J202" s="48" t="n">
        <f aca="false">F202^2</f>
        <v>0.525018272832423</v>
      </c>
      <c r="K202" s="48" t="n">
        <f aca="false">0.5*J202</f>
        <v>0.262509136416211</v>
      </c>
    </row>
    <row r="203" customFormat="false" ht="15" hidden="false" customHeight="false" outlineLevel="0" collapsed="false">
      <c r="A203" s="46" t="str">
        <f aca="false">01_Data!A13</f>
        <v>S08</v>
      </c>
      <c r="B203" s="47" t="n">
        <f aca="false">01_Data!F13</f>
        <v>-0.2</v>
      </c>
      <c r="C203" s="47" t="n">
        <f aca="false">01_Data!G13</f>
        <v>-0.2</v>
      </c>
      <c r="D203" s="47" t="n">
        <f aca="false">01_Data!D13</f>
        <v>68</v>
      </c>
      <c r="E203" s="48" t="n">
        <f aca="false">$D$194+$F$194*B203+$H$194*C203</f>
        <v>65.9338966403277</v>
      </c>
      <c r="F203" s="49" t="n">
        <f aca="false">E203-D203</f>
        <v>-2.0661033596723</v>
      </c>
      <c r="G203" s="49" t="n">
        <f aca="false">F203</f>
        <v>-2.0661033596723</v>
      </c>
      <c r="H203" s="49" t="n">
        <f aca="false">F203*B203</f>
        <v>0.41322067193446</v>
      </c>
      <c r="I203" s="49" t="n">
        <f aca="false">F203*C203</f>
        <v>0.41322067193446</v>
      </c>
      <c r="J203" s="48" t="n">
        <f aca="false">F203^2</f>
        <v>4.26878309284915</v>
      </c>
      <c r="K203" s="48" t="n">
        <f aca="false">0.5*J203</f>
        <v>2.13439154642458</v>
      </c>
    </row>
    <row r="204" customFormat="false" ht="15" hidden="false" customHeight="false" outlineLevel="0" collapsed="false">
      <c r="A204" s="46" t="str">
        <f aca="false">01_Data!A14</f>
        <v>S09</v>
      </c>
      <c r="B204" s="47" t="n">
        <f aca="false">01_Data!F14</f>
        <v>0</v>
      </c>
      <c r="C204" s="47" t="n">
        <f aca="false">01_Data!G14</f>
        <v>0</v>
      </c>
      <c r="D204" s="47" t="n">
        <f aca="false">01_Data!D14</f>
        <v>72</v>
      </c>
      <c r="E204" s="48" t="n">
        <f aca="false">$D$194+$F$194*B204+$H$194*C204</f>
        <v>69.6647030249366</v>
      </c>
      <c r="F204" s="49" t="n">
        <f aca="false">E204-D204</f>
        <v>-2.3352969750634</v>
      </c>
      <c r="G204" s="49" t="n">
        <f aca="false">F204</f>
        <v>-2.3352969750634</v>
      </c>
      <c r="H204" s="49" t="n">
        <f aca="false">F204*B204</f>
        <v>-0</v>
      </c>
      <c r="I204" s="49" t="n">
        <f aca="false">F204*C204</f>
        <v>-0</v>
      </c>
      <c r="J204" s="48" t="n">
        <f aca="false">F204^2</f>
        <v>5.45361196174027</v>
      </c>
      <c r="K204" s="48" t="n">
        <f aca="false">0.5*J204</f>
        <v>2.72680598087013</v>
      </c>
    </row>
    <row r="205" customFormat="false" ht="15" hidden="false" customHeight="false" outlineLevel="0" collapsed="false">
      <c r="A205" s="46" t="str">
        <f aca="false">01_Data!A15</f>
        <v>S10</v>
      </c>
      <c r="B205" s="47" t="n">
        <f aca="false">01_Data!F15</f>
        <v>0.2</v>
      </c>
      <c r="C205" s="47" t="n">
        <f aca="false">01_Data!G15</f>
        <v>0.2</v>
      </c>
      <c r="D205" s="47" t="n">
        <f aca="false">01_Data!D15</f>
        <v>76</v>
      </c>
      <c r="E205" s="48" t="n">
        <f aca="false">$D$194+$F$194*B205+$H$194*C205</f>
        <v>73.3955094095455</v>
      </c>
      <c r="F205" s="49" t="n">
        <f aca="false">E205-D205</f>
        <v>-2.6044905904545</v>
      </c>
      <c r="G205" s="49" t="n">
        <f aca="false">F205</f>
        <v>-2.6044905904545</v>
      </c>
      <c r="H205" s="49" t="n">
        <f aca="false">F205*B205</f>
        <v>-0.520898118090901</v>
      </c>
      <c r="I205" s="49" t="n">
        <f aca="false">F205*C205</f>
        <v>-0.520898118090901</v>
      </c>
      <c r="J205" s="48" t="n">
        <f aca="false">F205^2</f>
        <v>6.78337123576605</v>
      </c>
      <c r="K205" s="48" t="n">
        <f aca="false">0.5*J205</f>
        <v>3.39168561788302</v>
      </c>
    </row>
    <row r="206" customFormat="false" ht="15" hidden="false" customHeight="false" outlineLevel="0" collapsed="false">
      <c r="A206" s="46" t="str">
        <f aca="false">01_Data!A16</f>
        <v>S11</v>
      </c>
      <c r="B206" s="47" t="n">
        <f aca="false">01_Data!F16</f>
        <v>0.4</v>
      </c>
      <c r="C206" s="47" t="n">
        <f aca="false">01_Data!G16</f>
        <v>0.333333333333333</v>
      </c>
      <c r="D206" s="47" t="n">
        <f aca="false">01_Data!D16</f>
        <v>79</v>
      </c>
      <c r="E206" s="48" t="n">
        <f aca="false">$D$194+$F$194*B206+$H$194*C206</f>
        <v>76.6478069850877</v>
      </c>
      <c r="F206" s="49" t="n">
        <f aca="false">E206-D206</f>
        <v>-2.35219301491235</v>
      </c>
      <c r="G206" s="49" t="n">
        <f aca="false">F206</f>
        <v>-2.35219301491235</v>
      </c>
      <c r="H206" s="49" t="n">
        <f aca="false">F206*B206</f>
        <v>-0.940877205964938</v>
      </c>
      <c r="I206" s="49" t="n">
        <f aca="false">F206*C206</f>
        <v>-0.784064338304115</v>
      </c>
      <c r="J206" s="48" t="n">
        <f aca="false">F206^2</f>
        <v>5.53281197940243</v>
      </c>
      <c r="K206" s="48" t="n">
        <f aca="false">0.5*J206</f>
        <v>2.76640598970121</v>
      </c>
    </row>
    <row r="207" customFormat="false" ht="15" hidden="false" customHeight="false" outlineLevel="0" collapsed="false">
      <c r="A207" s="46" t="str">
        <f aca="false">01_Data!A17</f>
        <v>S12</v>
      </c>
      <c r="B207" s="47" t="n">
        <f aca="false">01_Data!F17</f>
        <v>0.6</v>
      </c>
      <c r="C207" s="47" t="n">
        <f aca="false">01_Data!G17</f>
        <v>0.466666666666667</v>
      </c>
      <c r="D207" s="47" t="n">
        <f aca="false">01_Data!D17</f>
        <v>82</v>
      </c>
      <c r="E207" s="48" t="n">
        <f aca="false">$D$194+$F$194*B207+$H$194*C207</f>
        <v>79.9001045606298</v>
      </c>
      <c r="F207" s="49" t="n">
        <f aca="false">E207-D207</f>
        <v>-2.09989543937019</v>
      </c>
      <c r="G207" s="49" t="n">
        <f aca="false">F207</f>
        <v>-2.09989543937019</v>
      </c>
      <c r="H207" s="49" t="n">
        <f aca="false">F207*B207</f>
        <v>-1.25993726362211</v>
      </c>
      <c r="I207" s="49" t="n">
        <f aca="false">F207*C207</f>
        <v>-0.97995120503942</v>
      </c>
      <c r="J207" s="48" t="n">
        <f aca="false">F207^2</f>
        <v>4.40956085628771</v>
      </c>
      <c r="K207" s="48" t="n">
        <f aca="false">0.5*J207</f>
        <v>2.20478042814385</v>
      </c>
    </row>
    <row r="208" customFormat="false" ht="15" hidden="false" customHeight="false" outlineLevel="0" collapsed="false">
      <c r="A208" s="46" t="str">
        <f aca="false">01_Data!A18</f>
        <v>S13</v>
      </c>
      <c r="B208" s="47" t="n">
        <f aca="false">01_Data!F18</f>
        <v>0.8</v>
      </c>
      <c r="C208" s="47" t="n">
        <f aca="false">01_Data!G18</f>
        <v>0.666666666666667</v>
      </c>
      <c r="D208" s="47" t="n">
        <f aca="false">01_Data!D18</f>
        <v>87</v>
      </c>
      <c r="E208" s="48" t="n">
        <f aca="false">$D$194+$F$194*B208+$H$194*C208</f>
        <v>83.6309109452387</v>
      </c>
      <c r="F208" s="49" t="n">
        <f aca="false">E208-D208</f>
        <v>-3.3690890547613</v>
      </c>
      <c r="G208" s="49" t="n">
        <f aca="false">F208</f>
        <v>-3.3690890547613</v>
      </c>
      <c r="H208" s="49" t="n">
        <f aca="false">F208*B208</f>
        <v>-2.69527124380904</v>
      </c>
      <c r="I208" s="49" t="n">
        <f aca="false">F208*C208</f>
        <v>-2.24605936984087</v>
      </c>
      <c r="J208" s="48" t="n">
        <f aca="false">F208^2</f>
        <v>11.3507610589124</v>
      </c>
      <c r="K208" s="48" t="n">
        <f aca="false">0.5*J208</f>
        <v>5.67538052945621</v>
      </c>
    </row>
    <row r="209" customFormat="false" ht="15" hidden="false" customHeight="false" outlineLevel="0" collapsed="false">
      <c r="A209" s="46" t="str">
        <f aca="false">01_Data!A19</f>
        <v>S14</v>
      </c>
      <c r="B209" s="47" t="n">
        <f aca="false">01_Data!F19</f>
        <v>1</v>
      </c>
      <c r="C209" s="47" t="n">
        <f aca="false">01_Data!G19</f>
        <v>0.866666666666667</v>
      </c>
      <c r="D209" s="47" t="n">
        <f aca="false">01_Data!D19</f>
        <v>89</v>
      </c>
      <c r="E209" s="48" t="n">
        <f aca="false">$D$194+$F$194*B209+$H$194*C209</f>
        <v>87.3617173298476</v>
      </c>
      <c r="F209" s="49" t="n">
        <f aca="false">E209-D209</f>
        <v>-1.63828267015241</v>
      </c>
      <c r="G209" s="49" t="n">
        <f aca="false">F209</f>
        <v>-1.63828267015241</v>
      </c>
      <c r="H209" s="49" t="n">
        <f aca="false">F209*B209</f>
        <v>-1.63828267015241</v>
      </c>
      <c r="I209" s="49" t="n">
        <f aca="false">F209*C209</f>
        <v>-1.41984498079875</v>
      </c>
      <c r="J209" s="48" t="n">
        <f aca="false">F209^2</f>
        <v>2.6839701073217</v>
      </c>
      <c r="K209" s="48" t="n">
        <f aca="false">0.5*J209</f>
        <v>1.34198505366085</v>
      </c>
    </row>
    <row r="210" customFormat="false" ht="15" hidden="false" customHeight="false" outlineLevel="0" collapsed="false">
      <c r="A210" s="46" t="str">
        <f aca="false">01_Data!A20</f>
        <v>S15</v>
      </c>
      <c r="B210" s="47" t="n">
        <f aca="false">01_Data!F20</f>
        <v>1.2</v>
      </c>
      <c r="C210" s="47" t="n">
        <f aca="false">01_Data!G20</f>
        <v>1</v>
      </c>
      <c r="D210" s="47" t="n">
        <f aca="false">01_Data!D20</f>
        <v>92</v>
      </c>
      <c r="E210" s="48" t="n">
        <f aca="false">$D$194+$F$194*B210+$H$194*C210</f>
        <v>90.6140149053898</v>
      </c>
      <c r="F210" s="49" t="n">
        <f aca="false">E210-D210</f>
        <v>-1.38598509461025</v>
      </c>
      <c r="G210" s="49" t="n">
        <f aca="false">F210</f>
        <v>-1.38598509461025</v>
      </c>
      <c r="H210" s="49" t="n">
        <f aca="false">F210*B210</f>
        <v>-1.6631821135323</v>
      </c>
      <c r="I210" s="49" t="n">
        <f aca="false">F210*C210</f>
        <v>-1.38598509461025</v>
      </c>
      <c r="J210" s="48" t="n">
        <f aca="false">F210^2</f>
        <v>1.92095468248178</v>
      </c>
      <c r="K210" s="48" t="n">
        <f aca="false">0.5*J210</f>
        <v>0.96047734124089</v>
      </c>
    </row>
    <row r="211" customFormat="false" ht="15" hidden="false" customHeight="false" outlineLevel="0" collapsed="false">
      <c r="A211" s="46" t="str">
        <f aca="false">01_Data!A21</f>
        <v>S16</v>
      </c>
      <c r="B211" s="47" t="n">
        <f aca="false">01_Data!F21</f>
        <v>1.4</v>
      </c>
      <c r="C211" s="47" t="n">
        <f aca="false">01_Data!G21</f>
        <v>1.13333333333333</v>
      </c>
      <c r="D211" s="47" t="n">
        <f aca="false">01_Data!D21</f>
        <v>96</v>
      </c>
      <c r="E211" s="48" t="n">
        <f aca="false">$D$194+$F$194*B211+$H$194*C211</f>
        <v>93.8663124809319</v>
      </c>
      <c r="F211" s="49" t="n">
        <f aca="false">E211-D211</f>
        <v>-2.13368751906809</v>
      </c>
      <c r="G211" s="49" t="n">
        <f aca="false">F211</f>
        <v>-2.13368751906809</v>
      </c>
      <c r="H211" s="49" t="n">
        <f aca="false">F211*B211</f>
        <v>-2.98716252669533</v>
      </c>
      <c r="I211" s="49" t="n">
        <f aca="false">F211*C211</f>
        <v>-2.41817918827717</v>
      </c>
      <c r="J211" s="48" t="n">
        <f aca="false">F211^2</f>
        <v>4.55262242902694</v>
      </c>
      <c r="K211" s="48" t="n">
        <f aca="false">0.5*J211</f>
        <v>2.27631121451347</v>
      </c>
    </row>
    <row r="212" customFormat="false" ht="15" hidden="false" customHeight="false" outlineLevel="0" collapsed="false">
      <c r="A212" s="46" t="str">
        <f aca="false">01_Data!A22</f>
        <v>S17</v>
      </c>
      <c r="B212" s="47" t="n">
        <f aca="false">01_Data!F22</f>
        <v>1.6</v>
      </c>
      <c r="C212" s="47" t="n">
        <f aca="false">01_Data!G22</f>
        <v>1.33333333333333</v>
      </c>
      <c r="D212" s="47" t="n">
        <f aca="false">01_Data!D22</f>
        <v>99</v>
      </c>
      <c r="E212" s="48" t="n">
        <f aca="false">$D$194+$F$194*B212+$H$194*C212</f>
        <v>97.5971188655408</v>
      </c>
      <c r="F212" s="49" t="n">
        <f aca="false">E212-D212</f>
        <v>-1.40288113445921</v>
      </c>
      <c r="G212" s="49" t="n">
        <f aca="false">F212</f>
        <v>-1.40288113445921</v>
      </c>
      <c r="H212" s="49" t="n">
        <f aca="false">F212*B212</f>
        <v>-2.24460981513473</v>
      </c>
      <c r="I212" s="49" t="n">
        <f aca="false">F212*C212</f>
        <v>-1.87050817927894</v>
      </c>
      <c r="J212" s="48" t="n">
        <f aca="false">F212^2</f>
        <v>1.96807547742155</v>
      </c>
      <c r="K212" s="48" t="n">
        <f aca="false">0.5*J212</f>
        <v>0.984037738710776</v>
      </c>
    </row>
    <row r="213" customFormat="false" ht="15" hidden="false" customHeight="false" outlineLevel="0" collapsed="false">
      <c r="A213" s="46" t="str">
        <f aca="false">01_Data!A23</f>
        <v>S18</v>
      </c>
      <c r="B213" s="47" t="n">
        <f aca="false">01_Data!F23</f>
        <v>0</v>
      </c>
      <c r="C213" s="47" t="n">
        <f aca="false">01_Data!G23</f>
        <v>-0.666666666666667</v>
      </c>
      <c r="D213" s="47" t="n">
        <f aca="false">01_Data!D23</f>
        <v>65</v>
      </c>
      <c r="E213" s="48" t="n">
        <f aca="false">$D$194+$F$194*B213+$H$194*C213</f>
        <v>64.8796149342693</v>
      </c>
      <c r="F213" s="49" t="n">
        <f aca="false">E213-D213</f>
        <v>-0.120385065730744</v>
      </c>
      <c r="G213" s="49" t="n">
        <f aca="false">F213</f>
        <v>-0.120385065730744</v>
      </c>
      <c r="H213" s="49" t="n">
        <f aca="false">F213*B213</f>
        <v>-0</v>
      </c>
      <c r="I213" s="49" t="n">
        <f aca="false">F213*C213</f>
        <v>0.0802567104871628</v>
      </c>
      <c r="J213" s="48" t="n">
        <f aca="false">F213^2</f>
        <v>0.0144925640509956</v>
      </c>
      <c r="K213" s="48" t="n">
        <f aca="false">0.5*J213</f>
        <v>0.0072462820254978</v>
      </c>
    </row>
    <row r="214" customFormat="false" ht="15" hidden="false" customHeight="false" outlineLevel="0" collapsed="false">
      <c r="A214" s="46" t="str">
        <f aca="false">01_Data!A24</f>
        <v>S19</v>
      </c>
      <c r="B214" s="47" t="n">
        <f aca="false">01_Data!F24</f>
        <v>-0.8</v>
      </c>
      <c r="C214" s="47" t="n">
        <f aca="false">01_Data!G24</f>
        <v>0.666666666666667</v>
      </c>
      <c r="D214" s="47" t="n">
        <f aca="false">01_Data!D24</f>
        <v>70</v>
      </c>
      <c r="E214" s="48" t="n">
        <f aca="false">$D$194+$F$194*B214+$H$194*C214</f>
        <v>65.2686712859692</v>
      </c>
      <c r="F214" s="49" t="n">
        <f aca="false">E214-D214</f>
        <v>-4.73132871403081</v>
      </c>
      <c r="G214" s="49" t="n">
        <f aca="false">F214</f>
        <v>-4.73132871403081</v>
      </c>
      <c r="H214" s="49" t="n">
        <f aca="false">F214*B214</f>
        <v>3.78506297122465</v>
      </c>
      <c r="I214" s="49" t="n">
        <f aca="false">F214*C214</f>
        <v>-3.15421914268721</v>
      </c>
      <c r="J214" s="48" t="n">
        <f aca="false">F214^2</f>
        <v>22.3854714002124</v>
      </c>
      <c r="K214" s="48" t="n">
        <f aca="false">0.5*J214</f>
        <v>11.1927357001062</v>
      </c>
    </row>
    <row r="215" customFormat="false" ht="15" hidden="false" customHeight="false" outlineLevel="0" collapsed="false">
      <c r="A215" s="46" t="str">
        <f aca="false">01_Data!A25</f>
        <v>S20</v>
      </c>
      <c r="B215" s="47" t="n">
        <f aca="false">01_Data!F25</f>
        <v>0.8</v>
      </c>
      <c r="C215" s="47" t="n">
        <f aca="false">01_Data!G25</f>
        <v>-0.666666666666667</v>
      </c>
      <c r="D215" s="47" t="n">
        <f aca="false">01_Data!D25</f>
        <v>78</v>
      </c>
      <c r="E215" s="48" t="n">
        <f aca="false">$D$194+$F$194*B215+$H$194*C215</f>
        <v>74.060734763904</v>
      </c>
      <c r="F215" s="49" t="n">
        <f aca="false">E215-D215</f>
        <v>-3.93926523609599</v>
      </c>
      <c r="G215" s="49" t="n">
        <f aca="false">F215</f>
        <v>-3.93926523609599</v>
      </c>
      <c r="H215" s="49" t="n">
        <f aca="false">F215*B215</f>
        <v>-3.15141218887679</v>
      </c>
      <c r="I215" s="49" t="n">
        <f aca="false">F215*C215</f>
        <v>2.62617682406399</v>
      </c>
      <c r="J215" s="48" t="n">
        <f aca="false">F215^2</f>
        <v>15.5178106003144</v>
      </c>
      <c r="K215" s="48" t="n">
        <f aca="false">0.5*J215</f>
        <v>7.7589053001572</v>
      </c>
    </row>
    <row r="216" customFormat="false" ht="15" hidden="false" customHeight="false" outlineLevel="0" collapsed="false">
      <c r="A216" s="50" t="s">
        <v>134</v>
      </c>
      <c r="B216" s="50"/>
      <c r="C216" s="50"/>
      <c r="D216" s="50"/>
      <c r="E216" s="50"/>
      <c r="F216" s="50"/>
      <c r="G216" s="51" t="n">
        <f aca="false">AVERAGE(G196:G215)</f>
        <v>-2.02455137959677</v>
      </c>
      <c r="H216" s="51" t="n">
        <f aca="false">AVERAGE(H196:H215)</f>
        <v>-0.0954213511718074</v>
      </c>
      <c r="I216" s="51" t="n">
        <f aca="false">AVERAGE(I196:I215)</f>
        <v>-0.130650008465674</v>
      </c>
      <c r="J216" s="51" t="n">
        <f aca="false">AVERAGE(J196:J215)</f>
        <v>5.61085761108697</v>
      </c>
      <c r="K216" s="51" t="n">
        <f aca="false">AVERAGE(K196:K215)</f>
        <v>2.80542880554348</v>
      </c>
    </row>
    <row r="217" customFormat="false" ht="22.35" hidden="false" customHeight="true" outlineLevel="0" collapsed="false">
      <c r="A217" s="43" t="s">
        <v>135</v>
      </c>
      <c r="B217" s="43"/>
      <c r="C217" s="43" t="s">
        <v>136</v>
      </c>
      <c r="D217" s="52" t="n">
        <f aca="false">D194-$B$4*G216</f>
        <v>70.4745235767753</v>
      </c>
      <c r="E217" s="43" t="s">
        <v>137</v>
      </c>
      <c r="F217" s="52" t="n">
        <f aca="false">F194-$B$4*H216</f>
        <v>11.5145683275122</v>
      </c>
      <c r="G217" s="43" t="s">
        <v>138</v>
      </c>
      <c r="H217" s="52" t="n">
        <f aca="false">H194-$B$4*I216</f>
        <v>7.22989213938729</v>
      </c>
      <c r="I217" s="44" t="s">
        <v>139</v>
      </c>
      <c r="J217" s="44"/>
      <c r="K217" s="44"/>
    </row>
    <row r="219" customFormat="false" ht="22.5" hidden="false" customHeight="true" outlineLevel="0" collapsed="false">
      <c r="A219" s="4" t="s">
        <v>147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customFormat="false" ht="15" hidden="false" customHeight="true" outlineLevel="0" collapsed="false">
      <c r="A220" s="43" t="s">
        <v>118</v>
      </c>
      <c r="B220" s="44" t="n">
        <v>9</v>
      </c>
      <c r="C220" s="43" t="s">
        <v>119</v>
      </c>
      <c r="D220" s="54" t="n">
        <f aca="false">D217</f>
        <v>70.4745235767753</v>
      </c>
      <c r="E220" s="43" t="s">
        <v>120</v>
      </c>
      <c r="F220" s="54" t="n">
        <f aca="false">F217</f>
        <v>11.5145683275122</v>
      </c>
      <c r="G220" s="43" t="s">
        <v>121</v>
      </c>
      <c r="H220" s="54" t="n">
        <f aca="false">H217</f>
        <v>7.22989213938729</v>
      </c>
      <c r="I220" s="44" t="s">
        <v>122</v>
      </c>
      <c r="J220" s="44"/>
      <c r="K220" s="44"/>
    </row>
    <row r="221" customFormat="false" ht="33.75" hidden="false" customHeight="true" outlineLevel="0" collapsed="false">
      <c r="A221" s="13" t="s">
        <v>123</v>
      </c>
      <c r="B221" s="13" t="s">
        <v>124</v>
      </c>
      <c r="C221" s="13" t="s">
        <v>125</v>
      </c>
      <c r="D221" s="13" t="s">
        <v>126</v>
      </c>
      <c r="E221" s="13" t="s">
        <v>127</v>
      </c>
      <c r="F221" s="13" t="s">
        <v>128</v>
      </c>
      <c r="G221" s="13" t="s">
        <v>129</v>
      </c>
      <c r="H221" s="13" t="s">
        <v>130</v>
      </c>
      <c r="I221" s="13" t="s">
        <v>131</v>
      </c>
      <c r="J221" s="13" t="s">
        <v>132</v>
      </c>
      <c r="K221" s="13" t="s">
        <v>133</v>
      </c>
    </row>
    <row r="222" customFormat="false" ht="15" hidden="false" customHeight="false" outlineLevel="0" collapsed="false">
      <c r="A222" s="46" t="str">
        <f aca="false">01_Data!A6</f>
        <v>S01</v>
      </c>
      <c r="B222" s="47" t="n">
        <f aca="false">01_Data!F6</f>
        <v>-1.6</v>
      </c>
      <c r="C222" s="47" t="n">
        <f aca="false">01_Data!G6</f>
        <v>-1.33333333333333</v>
      </c>
      <c r="D222" s="47" t="n">
        <f aca="false">01_Data!D6</f>
        <v>43</v>
      </c>
      <c r="E222" s="48" t="n">
        <f aca="false">$D$220+$F$220*B222+$H$220*C222</f>
        <v>42.4113580669061</v>
      </c>
      <c r="F222" s="49" t="n">
        <f aca="false">E222-D222</f>
        <v>-0.588641933093875</v>
      </c>
      <c r="G222" s="49" t="n">
        <f aca="false">F222</f>
        <v>-0.588641933093875</v>
      </c>
      <c r="H222" s="49" t="n">
        <f aca="false">F222*B222</f>
        <v>0.9418270929502</v>
      </c>
      <c r="I222" s="49" t="n">
        <f aca="false">F222*C222</f>
        <v>0.784855910791833</v>
      </c>
      <c r="J222" s="48" t="n">
        <f aca="false">F222^2</f>
        <v>0.346499325396494</v>
      </c>
      <c r="K222" s="48" t="n">
        <f aca="false">0.5*J222</f>
        <v>0.173249662698247</v>
      </c>
    </row>
    <row r="223" customFormat="false" ht="15" hidden="false" customHeight="false" outlineLevel="0" collapsed="false">
      <c r="A223" s="46" t="str">
        <f aca="false">01_Data!A7</f>
        <v>S02</v>
      </c>
      <c r="B223" s="47" t="n">
        <f aca="false">01_Data!F7</f>
        <v>-1.4</v>
      </c>
      <c r="C223" s="47" t="n">
        <f aca="false">01_Data!G7</f>
        <v>-1</v>
      </c>
      <c r="D223" s="47" t="n">
        <f aca="false">01_Data!D7</f>
        <v>47</v>
      </c>
      <c r="E223" s="48" t="n">
        <f aca="false">$D$220+$F$220*B223+$H$220*C223</f>
        <v>47.124235778871</v>
      </c>
      <c r="F223" s="49" t="n">
        <f aca="false">E223-D223</f>
        <v>0.124235778870997</v>
      </c>
      <c r="G223" s="49" t="n">
        <f aca="false">F223</f>
        <v>0.124235778870997</v>
      </c>
      <c r="H223" s="49" t="n">
        <f aca="false">F223*B223</f>
        <v>-0.173930090419395</v>
      </c>
      <c r="I223" s="49" t="n">
        <f aca="false">F223*C223</f>
        <v>-0.124235778870997</v>
      </c>
      <c r="J223" s="48" t="n">
        <f aca="false">F223^2</f>
        <v>0.0154345287516832</v>
      </c>
      <c r="K223" s="48" t="n">
        <f aca="false">0.5*J223</f>
        <v>0.00771726437584159</v>
      </c>
    </row>
    <row r="224" customFormat="false" ht="15" hidden="false" customHeight="false" outlineLevel="0" collapsed="false">
      <c r="A224" s="46" t="str">
        <f aca="false">01_Data!A8</f>
        <v>S03</v>
      </c>
      <c r="B224" s="47" t="n">
        <f aca="false">01_Data!F8</f>
        <v>-1.2</v>
      </c>
      <c r="C224" s="47" t="n">
        <f aca="false">01_Data!G8</f>
        <v>-1.13333333333333</v>
      </c>
      <c r="D224" s="47" t="n">
        <f aca="false">01_Data!D8</f>
        <v>51</v>
      </c>
      <c r="E224" s="48" t="n">
        <f aca="false">$D$220+$F$220*B224+$H$220*C224</f>
        <v>48.4631638257885</v>
      </c>
      <c r="F224" s="49" t="n">
        <f aca="false">E224-D224</f>
        <v>-2.53683617421154</v>
      </c>
      <c r="G224" s="49" t="n">
        <f aca="false">F224</f>
        <v>-2.53683617421154</v>
      </c>
      <c r="H224" s="49" t="n">
        <f aca="false">F224*B224</f>
        <v>3.04420340905385</v>
      </c>
      <c r="I224" s="49" t="n">
        <f aca="false">F224*C224</f>
        <v>2.87508099743975</v>
      </c>
      <c r="J224" s="48" t="n">
        <f aca="false">F224^2</f>
        <v>6.43553777478826</v>
      </c>
      <c r="K224" s="48" t="n">
        <f aca="false">0.5*J224</f>
        <v>3.21776888739413</v>
      </c>
    </row>
    <row r="225" customFormat="false" ht="15" hidden="false" customHeight="false" outlineLevel="0" collapsed="false">
      <c r="A225" s="46" t="str">
        <f aca="false">01_Data!A9</f>
        <v>S04</v>
      </c>
      <c r="B225" s="47" t="n">
        <f aca="false">01_Data!F9</f>
        <v>-1</v>
      </c>
      <c r="C225" s="47" t="n">
        <f aca="false">01_Data!G9</f>
        <v>-0.666666666666667</v>
      </c>
      <c r="D225" s="47" t="n">
        <f aca="false">01_Data!D9</f>
        <v>55</v>
      </c>
      <c r="E225" s="48" t="n">
        <f aca="false">$D$220+$F$220*B225+$H$220*C225</f>
        <v>54.1400271563383</v>
      </c>
      <c r="F225" s="49" t="n">
        <f aca="false">E225-D225</f>
        <v>-0.859972843661716</v>
      </c>
      <c r="G225" s="49" t="n">
        <f aca="false">F225</f>
        <v>-0.859972843661716</v>
      </c>
      <c r="H225" s="49" t="n">
        <f aca="false">F225*B225</f>
        <v>0.859972843661716</v>
      </c>
      <c r="I225" s="49" t="n">
        <f aca="false">F225*C225</f>
        <v>0.57331522910781</v>
      </c>
      <c r="J225" s="48" t="n">
        <f aca="false">F225^2</f>
        <v>0.739553291835618</v>
      </c>
      <c r="K225" s="48" t="n">
        <f aca="false">0.5*J225</f>
        <v>0.369776645917809</v>
      </c>
    </row>
    <row r="226" customFormat="false" ht="15" hidden="false" customHeight="false" outlineLevel="0" collapsed="false">
      <c r="A226" s="46" t="str">
        <f aca="false">01_Data!A10</f>
        <v>S05</v>
      </c>
      <c r="B226" s="47" t="n">
        <f aca="false">01_Data!F10</f>
        <v>-0.8</v>
      </c>
      <c r="C226" s="47" t="n">
        <f aca="false">01_Data!G10</f>
        <v>-0.866666666666667</v>
      </c>
      <c r="D226" s="47" t="n">
        <f aca="false">01_Data!D10</f>
        <v>56</v>
      </c>
      <c r="E226" s="48" t="n">
        <f aca="false">$D$220+$F$220*B226+$H$220*C226</f>
        <v>54.9969623939633</v>
      </c>
      <c r="F226" s="49" t="n">
        <f aca="false">E226-D226</f>
        <v>-1.00303760603674</v>
      </c>
      <c r="G226" s="49" t="n">
        <f aca="false">F226</f>
        <v>-1.00303760603674</v>
      </c>
      <c r="H226" s="49" t="n">
        <f aca="false">F226*B226</f>
        <v>0.802430084829393</v>
      </c>
      <c r="I226" s="49" t="n">
        <f aca="false">F226*C226</f>
        <v>0.869299258565176</v>
      </c>
      <c r="J226" s="48" t="n">
        <f aca="false">F226^2</f>
        <v>1.00608443912392</v>
      </c>
      <c r="K226" s="48" t="n">
        <f aca="false">0.5*J226</f>
        <v>0.503042219561959</v>
      </c>
    </row>
    <row r="227" customFormat="false" ht="15" hidden="false" customHeight="false" outlineLevel="0" collapsed="false">
      <c r="A227" s="46" t="str">
        <f aca="false">01_Data!A11</f>
        <v>S06</v>
      </c>
      <c r="B227" s="47" t="n">
        <f aca="false">01_Data!F11</f>
        <v>-0.6</v>
      </c>
      <c r="C227" s="47" t="n">
        <f aca="false">01_Data!G11</f>
        <v>-0.333333333333333</v>
      </c>
      <c r="D227" s="47" t="n">
        <f aca="false">01_Data!D11</f>
        <v>63</v>
      </c>
      <c r="E227" s="48" t="n">
        <f aca="false">$D$220+$F$220*B227+$H$220*C227</f>
        <v>61.1558185338056</v>
      </c>
      <c r="F227" s="49" t="n">
        <f aca="false">E227-D227</f>
        <v>-1.84418146619441</v>
      </c>
      <c r="G227" s="49" t="n">
        <f aca="false">F227</f>
        <v>-1.84418146619441</v>
      </c>
      <c r="H227" s="49" t="n">
        <f aca="false">F227*B227</f>
        <v>1.10650887971665</v>
      </c>
      <c r="I227" s="49" t="n">
        <f aca="false">F227*C227</f>
        <v>0.614727155398138</v>
      </c>
      <c r="J227" s="48" t="n">
        <f aca="false">F227^2</f>
        <v>3.40100528025498</v>
      </c>
      <c r="K227" s="48" t="n">
        <f aca="false">0.5*J227</f>
        <v>1.70050264012749</v>
      </c>
    </row>
    <row r="228" customFormat="false" ht="15" hidden="false" customHeight="false" outlineLevel="0" collapsed="false">
      <c r="A228" s="46" t="str">
        <f aca="false">01_Data!A12</f>
        <v>S07</v>
      </c>
      <c r="B228" s="47" t="n">
        <f aca="false">01_Data!F12</f>
        <v>-0.4</v>
      </c>
      <c r="C228" s="47" t="n">
        <f aca="false">01_Data!G12</f>
        <v>-0.466666666666667</v>
      </c>
      <c r="D228" s="47" t="n">
        <f aca="false">01_Data!D12</f>
        <v>61</v>
      </c>
      <c r="E228" s="48" t="n">
        <f aca="false">$D$220+$F$220*B228+$H$220*C228</f>
        <v>62.494746580723</v>
      </c>
      <c r="F228" s="49" t="n">
        <f aca="false">E228-D228</f>
        <v>1.49474658072305</v>
      </c>
      <c r="G228" s="49" t="n">
        <f aca="false">F228</f>
        <v>1.49474658072305</v>
      </c>
      <c r="H228" s="49" t="n">
        <f aca="false">F228*B228</f>
        <v>-0.597898632289218</v>
      </c>
      <c r="I228" s="49" t="n">
        <f aca="false">F228*C228</f>
        <v>-0.697548404337421</v>
      </c>
      <c r="J228" s="48" t="n">
        <f aca="false">F228^2</f>
        <v>2.23426734058324</v>
      </c>
      <c r="K228" s="48" t="n">
        <f aca="false">0.5*J228</f>
        <v>1.11713367029162</v>
      </c>
    </row>
    <row r="229" customFormat="false" ht="15" hidden="false" customHeight="false" outlineLevel="0" collapsed="false">
      <c r="A229" s="46" t="str">
        <f aca="false">01_Data!A13</f>
        <v>S08</v>
      </c>
      <c r="B229" s="47" t="n">
        <f aca="false">01_Data!F13</f>
        <v>-0.2</v>
      </c>
      <c r="C229" s="47" t="n">
        <f aca="false">01_Data!G13</f>
        <v>-0.2</v>
      </c>
      <c r="D229" s="47" t="n">
        <f aca="false">01_Data!D13</f>
        <v>68</v>
      </c>
      <c r="E229" s="48" t="n">
        <f aca="false">$D$220+$F$220*B229+$H$220*C229</f>
        <v>66.7256314833954</v>
      </c>
      <c r="F229" s="49" t="n">
        <f aca="false">E229-D229</f>
        <v>-1.27436851660458</v>
      </c>
      <c r="G229" s="49" t="n">
        <f aca="false">F229</f>
        <v>-1.27436851660458</v>
      </c>
      <c r="H229" s="49" t="n">
        <f aca="false">F229*B229</f>
        <v>0.254873703320916</v>
      </c>
      <c r="I229" s="49" t="n">
        <f aca="false">F229*C229</f>
        <v>0.254873703320916</v>
      </c>
      <c r="J229" s="48" t="n">
        <f aca="false">F229^2</f>
        <v>1.62401511611296</v>
      </c>
      <c r="K229" s="48" t="n">
        <f aca="false">0.5*J229</f>
        <v>0.812007558056482</v>
      </c>
    </row>
    <row r="230" customFormat="false" ht="15" hidden="false" customHeight="false" outlineLevel="0" collapsed="false">
      <c r="A230" s="46" t="str">
        <f aca="false">01_Data!A14</f>
        <v>S09</v>
      </c>
      <c r="B230" s="47" t="n">
        <f aca="false">01_Data!F14</f>
        <v>0</v>
      </c>
      <c r="C230" s="47" t="n">
        <f aca="false">01_Data!G14</f>
        <v>0</v>
      </c>
      <c r="D230" s="47" t="n">
        <f aca="false">01_Data!D14</f>
        <v>72</v>
      </c>
      <c r="E230" s="48" t="n">
        <f aca="false">$D$220+$F$220*B230+$H$220*C230</f>
        <v>70.4745235767753</v>
      </c>
      <c r="F230" s="49" t="n">
        <f aca="false">E230-D230</f>
        <v>-1.52547642322469</v>
      </c>
      <c r="G230" s="49" t="n">
        <f aca="false">F230</f>
        <v>-1.52547642322469</v>
      </c>
      <c r="H230" s="49" t="n">
        <f aca="false">F230*B230</f>
        <v>-0</v>
      </c>
      <c r="I230" s="49" t="n">
        <f aca="false">F230*C230</f>
        <v>-0</v>
      </c>
      <c r="J230" s="48" t="n">
        <f aca="false">F230^2</f>
        <v>2.32707831781439</v>
      </c>
      <c r="K230" s="48" t="n">
        <f aca="false">0.5*J230</f>
        <v>1.16353915890719</v>
      </c>
    </row>
    <row r="231" customFormat="false" ht="15" hidden="false" customHeight="false" outlineLevel="0" collapsed="false">
      <c r="A231" s="46" t="str">
        <f aca="false">01_Data!A15</f>
        <v>S10</v>
      </c>
      <c r="B231" s="47" t="n">
        <f aca="false">01_Data!F15</f>
        <v>0.2</v>
      </c>
      <c r="C231" s="47" t="n">
        <f aca="false">01_Data!G15</f>
        <v>0.2</v>
      </c>
      <c r="D231" s="47" t="n">
        <f aca="false">01_Data!D15</f>
        <v>76</v>
      </c>
      <c r="E231" s="48" t="n">
        <f aca="false">$D$220+$F$220*B231+$H$220*C231</f>
        <v>74.2234156701552</v>
      </c>
      <c r="F231" s="49" t="n">
        <f aca="false">E231-D231</f>
        <v>-1.77658432984479</v>
      </c>
      <c r="G231" s="49" t="n">
        <f aca="false">F231</f>
        <v>-1.77658432984479</v>
      </c>
      <c r="H231" s="49" t="n">
        <f aca="false">F231*B231</f>
        <v>-0.355316865968959</v>
      </c>
      <c r="I231" s="49" t="n">
        <f aca="false">F231*C231</f>
        <v>-0.355316865968959</v>
      </c>
      <c r="J231" s="48" t="n">
        <f aca="false">F231^2</f>
        <v>3.15625188105008</v>
      </c>
      <c r="K231" s="48" t="n">
        <f aca="false">0.5*J231</f>
        <v>1.57812594052504</v>
      </c>
    </row>
    <row r="232" customFormat="false" ht="15" hidden="false" customHeight="false" outlineLevel="0" collapsed="false">
      <c r="A232" s="46" t="str">
        <f aca="false">01_Data!A16</f>
        <v>S11</v>
      </c>
      <c r="B232" s="47" t="n">
        <f aca="false">01_Data!F16</f>
        <v>0.4</v>
      </c>
      <c r="C232" s="47" t="n">
        <f aca="false">01_Data!G16</f>
        <v>0.333333333333333</v>
      </c>
      <c r="D232" s="47" t="n">
        <f aca="false">01_Data!D16</f>
        <v>79</v>
      </c>
      <c r="E232" s="48" t="n">
        <f aca="false">$D$220+$F$220*B232+$H$220*C232</f>
        <v>77.4903149542426</v>
      </c>
      <c r="F232" s="49" t="n">
        <f aca="false">E232-D232</f>
        <v>-1.50968504575739</v>
      </c>
      <c r="G232" s="49" t="n">
        <f aca="false">F232</f>
        <v>-1.50968504575739</v>
      </c>
      <c r="H232" s="49" t="n">
        <f aca="false">F232*B232</f>
        <v>-0.603874018302958</v>
      </c>
      <c r="I232" s="49" t="n">
        <f aca="false">F232*C232</f>
        <v>-0.503228348585798</v>
      </c>
      <c r="J232" s="48" t="n">
        <f aca="false">F232^2</f>
        <v>2.2791489373835</v>
      </c>
      <c r="K232" s="48" t="n">
        <f aca="false">0.5*J232</f>
        <v>1.13957446869175</v>
      </c>
    </row>
    <row r="233" customFormat="false" ht="15" hidden="false" customHeight="false" outlineLevel="0" collapsed="false">
      <c r="A233" s="46" t="str">
        <f aca="false">01_Data!A17</f>
        <v>S12</v>
      </c>
      <c r="B233" s="47" t="n">
        <f aca="false">01_Data!F17</f>
        <v>0.6</v>
      </c>
      <c r="C233" s="47" t="n">
        <f aca="false">01_Data!G17</f>
        <v>0.466666666666667</v>
      </c>
      <c r="D233" s="47" t="n">
        <f aca="false">01_Data!D17</f>
        <v>82</v>
      </c>
      <c r="E233" s="48" t="n">
        <f aca="false">$D$220+$F$220*B233+$H$220*C233</f>
        <v>80.75721423833</v>
      </c>
      <c r="F233" s="49" t="n">
        <f aca="false">E233-D233</f>
        <v>-1.24278576166998</v>
      </c>
      <c r="G233" s="49" t="n">
        <f aca="false">F233</f>
        <v>-1.24278576166998</v>
      </c>
      <c r="H233" s="49" t="n">
        <f aca="false">F233*B233</f>
        <v>-0.745671457001987</v>
      </c>
      <c r="I233" s="49" t="n">
        <f aca="false">F233*C233</f>
        <v>-0.579966688779323</v>
      </c>
      <c r="J233" s="48" t="n">
        <f aca="false">F233^2</f>
        <v>1.54451644940963</v>
      </c>
      <c r="K233" s="48" t="n">
        <f aca="false">0.5*J233</f>
        <v>0.772258224704814</v>
      </c>
    </row>
    <row r="234" customFormat="false" ht="15" hidden="false" customHeight="false" outlineLevel="0" collapsed="false">
      <c r="A234" s="46" t="str">
        <f aca="false">01_Data!A18</f>
        <v>S13</v>
      </c>
      <c r="B234" s="47" t="n">
        <f aca="false">01_Data!F18</f>
        <v>0.8</v>
      </c>
      <c r="C234" s="47" t="n">
        <f aca="false">01_Data!G18</f>
        <v>0.666666666666667</v>
      </c>
      <c r="D234" s="47" t="n">
        <f aca="false">01_Data!D18</f>
        <v>87</v>
      </c>
      <c r="E234" s="48" t="n">
        <f aca="false">$D$220+$F$220*B234+$H$220*C234</f>
        <v>84.5061063317099</v>
      </c>
      <c r="F234" s="49" t="n">
        <f aca="false">E234-D234</f>
        <v>-2.4938936682901</v>
      </c>
      <c r="G234" s="49" t="n">
        <f aca="false">F234</f>
        <v>-2.4938936682901</v>
      </c>
      <c r="H234" s="49" t="n">
        <f aca="false">F234*B234</f>
        <v>-1.99511493463208</v>
      </c>
      <c r="I234" s="49" t="n">
        <f aca="false">F234*C234</f>
        <v>-1.66259577886007</v>
      </c>
      <c r="J234" s="48" t="n">
        <f aca="false">F234^2</f>
        <v>6.21950562873745</v>
      </c>
      <c r="K234" s="48" t="n">
        <f aca="false">0.5*J234</f>
        <v>3.10975281436872</v>
      </c>
    </row>
    <row r="235" customFormat="false" ht="15" hidden="false" customHeight="false" outlineLevel="0" collapsed="false">
      <c r="A235" s="46" t="str">
        <f aca="false">01_Data!A19</f>
        <v>S14</v>
      </c>
      <c r="B235" s="47" t="n">
        <f aca="false">01_Data!F19</f>
        <v>1</v>
      </c>
      <c r="C235" s="47" t="n">
        <f aca="false">01_Data!G19</f>
        <v>0.866666666666667</v>
      </c>
      <c r="D235" s="47" t="n">
        <f aca="false">01_Data!D19</f>
        <v>89</v>
      </c>
      <c r="E235" s="48" t="n">
        <f aca="false">$D$220+$F$220*B235+$H$220*C235</f>
        <v>88.2549984250898</v>
      </c>
      <c r="F235" s="49" t="n">
        <f aca="false">E235-D235</f>
        <v>-0.745001574910205</v>
      </c>
      <c r="G235" s="49" t="n">
        <f aca="false">F235</f>
        <v>-0.745001574910205</v>
      </c>
      <c r="H235" s="49" t="n">
        <f aca="false">F235*B235</f>
        <v>-0.745001574910205</v>
      </c>
      <c r="I235" s="49" t="n">
        <f aca="false">F235*C235</f>
        <v>-0.645668031588844</v>
      </c>
      <c r="J235" s="48" t="n">
        <f aca="false">F235^2</f>
        <v>0.555027346618686</v>
      </c>
      <c r="K235" s="48" t="n">
        <f aca="false">0.5*J235</f>
        <v>0.277513673309343</v>
      </c>
    </row>
    <row r="236" customFormat="false" ht="15" hidden="false" customHeight="false" outlineLevel="0" collapsed="false">
      <c r="A236" s="46" t="str">
        <f aca="false">01_Data!A20</f>
        <v>S15</v>
      </c>
      <c r="B236" s="47" t="n">
        <f aca="false">01_Data!F20</f>
        <v>1.2</v>
      </c>
      <c r="C236" s="47" t="n">
        <f aca="false">01_Data!G20</f>
        <v>1</v>
      </c>
      <c r="D236" s="47" t="n">
        <f aca="false">01_Data!D20</f>
        <v>92</v>
      </c>
      <c r="E236" s="48" t="n">
        <f aca="false">$D$220+$F$220*B236+$H$220*C236</f>
        <v>91.5218977091772</v>
      </c>
      <c r="F236" s="49" t="n">
        <f aca="false">E236-D236</f>
        <v>-0.478102290822804</v>
      </c>
      <c r="G236" s="49" t="n">
        <f aca="false">F236</f>
        <v>-0.478102290822804</v>
      </c>
      <c r="H236" s="49" t="n">
        <f aca="false">F236*B236</f>
        <v>-0.573722748987365</v>
      </c>
      <c r="I236" s="49" t="n">
        <f aca="false">F236*C236</f>
        <v>-0.478102290822804</v>
      </c>
      <c r="J236" s="48" t="n">
        <f aca="false">F236^2</f>
        <v>0.228581800490013</v>
      </c>
      <c r="K236" s="48" t="n">
        <f aca="false">0.5*J236</f>
        <v>0.114290900245006</v>
      </c>
    </row>
    <row r="237" customFormat="false" ht="15" hidden="false" customHeight="false" outlineLevel="0" collapsed="false">
      <c r="A237" s="46" t="str">
        <f aca="false">01_Data!A21</f>
        <v>S16</v>
      </c>
      <c r="B237" s="47" t="n">
        <f aca="false">01_Data!F21</f>
        <v>1.4</v>
      </c>
      <c r="C237" s="47" t="n">
        <f aca="false">01_Data!G21</f>
        <v>1.13333333333333</v>
      </c>
      <c r="D237" s="47" t="n">
        <f aca="false">01_Data!D21</f>
        <v>96</v>
      </c>
      <c r="E237" s="48" t="n">
        <f aca="false">$D$220+$F$220*B237+$H$220*C237</f>
        <v>94.7887969932646</v>
      </c>
      <c r="F237" s="49" t="n">
        <f aca="false">E237-D237</f>
        <v>-1.2112030067354</v>
      </c>
      <c r="G237" s="49" t="n">
        <f aca="false">F237</f>
        <v>-1.2112030067354</v>
      </c>
      <c r="H237" s="49" t="n">
        <f aca="false">F237*B237</f>
        <v>-1.69568420942956</v>
      </c>
      <c r="I237" s="49" t="n">
        <f aca="false">F237*C237</f>
        <v>-1.37269674096679</v>
      </c>
      <c r="J237" s="48" t="n">
        <f aca="false">F237^2</f>
        <v>1.46701272352488</v>
      </c>
      <c r="K237" s="48" t="n">
        <f aca="false">0.5*J237</f>
        <v>0.73350636176244</v>
      </c>
    </row>
    <row r="238" customFormat="false" ht="15" hidden="false" customHeight="false" outlineLevel="0" collapsed="false">
      <c r="A238" s="46" t="str">
        <f aca="false">01_Data!A22</f>
        <v>S17</v>
      </c>
      <c r="B238" s="47" t="n">
        <f aca="false">01_Data!F22</f>
        <v>1.6</v>
      </c>
      <c r="C238" s="47" t="n">
        <f aca="false">01_Data!G22</f>
        <v>1.33333333333333</v>
      </c>
      <c r="D238" s="47" t="n">
        <f aca="false">01_Data!D22</f>
        <v>99</v>
      </c>
      <c r="E238" s="48" t="n">
        <f aca="false">$D$220+$F$220*B238+$H$220*C238</f>
        <v>98.5376890866445</v>
      </c>
      <c r="F238" s="49" t="n">
        <f aca="false">E238-D238</f>
        <v>-0.462310913355495</v>
      </c>
      <c r="G238" s="49" t="n">
        <f aca="false">F238</f>
        <v>-0.462310913355495</v>
      </c>
      <c r="H238" s="49" t="n">
        <f aca="false">F238*B238</f>
        <v>-0.739697461368792</v>
      </c>
      <c r="I238" s="49" t="n">
        <f aca="false">F238*C238</f>
        <v>-0.61641455114066</v>
      </c>
      <c r="J238" s="48" t="n">
        <f aca="false">F238^2</f>
        <v>0.213731380607592</v>
      </c>
      <c r="K238" s="48" t="n">
        <f aca="false">0.5*J238</f>
        <v>0.106865690303796</v>
      </c>
    </row>
    <row r="239" customFormat="false" ht="15" hidden="false" customHeight="false" outlineLevel="0" collapsed="false">
      <c r="A239" s="46" t="str">
        <f aca="false">01_Data!A23</f>
        <v>S18</v>
      </c>
      <c r="B239" s="47" t="n">
        <f aca="false">01_Data!F23</f>
        <v>0</v>
      </c>
      <c r="C239" s="47" t="n">
        <f aca="false">01_Data!G23</f>
        <v>-0.666666666666667</v>
      </c>
      <c r="D239" s="47" t="n">
        <f aca="false">01_Data!D23</f>
        <v>65</v>
      </c>
      <c r="E239" s="48" t="n">
        <f aca="false">$D$220+$F$220*B239+$H$220*C239</f>
        <v>65.6545954838505</v>
      </c>
      <c r="F239" s="49" t="n">
        <f aca="false">E239-D239</f>
        <v>0.654595483850457</v>
      </c>
      <c r="G239" s="49" t="n">
        <f aca="false">F239</f>
        <v>0.654595483850457</v>
      </c>
      <c r="H239" s="49" t="n">
        <f aca="false">F239*B239</f>
        <v>0</v>
      </c>
      <c r="I239" s="49" t="n">
        <f aca="false">F239*C239</f>
        <v>-0.436396989233638</v>
      </c>
      <c r="J239" s="48" t="n">
        <f aca="false">F239^2</f>
        <v>0.428495247477414</v>
      </c>
      <c r="K239" s="48" t="n">
        <f aca="false">0.5*J239</f>
        <v>0.214247623738707</v>
      </c>
    </row>
    <row r="240" customFormat="false" ht="15" hidden="false" customHeight="false" outlineLevel="0" collapsed="false">
      <c r="A240" s="46" t="str">
        <f aca="false">01_Data!A24</f>
        <v>S19</v>
      </c>
      <c r="B240" s="47" t="n">
        <f aca="false">01_Data!F24</f>
        <v>-0.8</v>
      </c>
      <c r="C240" s="47" t="n">
        <f aca="false">01_Data!G24</f>
        <v>0.666666666666667</v>
      </c>
      <c r="D240" s="47" t="n">
        <f aca="false">01_Data!D24</f>
        <v>70</v>
      </c>
      <c r="E240" s="48" t="n">
        <f aca="false">$D$220+$F$220*B240+$H$220*C240</f>
        <v>66.0827970076904</v>
      </c>
      <c r="F240" s="49" t="n">
        <f aca="false">E240-D240</f>
        <v>-3.91720299230957</v>
      </c>
      <c r="G240" s="49" t="n">
        <f aca="false">F240</f>
        <v>-3.91720299230957</v>
      </c>
      <c r="H240" s="49" t="n">
        <f aca="false">F240*B240</f>
        <v>3.13376239384766</v>
      </c>
      <c r="I240" s="49" t="n">
        <f aca="false">F240*C240</f>
        <v>-2.61146866153971</v>
      </c>
      <c r="J240" s="48" t="n">
        <f aca="false">F240^2</f>
        <v>15.344479282959</v>
      </c>
      <c r="K240" s="48" t="n">
        <f aca="false">0.5*J240</f>
        <v>7.67223964147952</v>
      </c>
    </row>
    <row r="241" customFormat="false" ht="15" hidden="false" customHeight="false" outlineLevel="0" collapsed="false">
      <c r="A241" s="46" t="str">
        <f aca="false">01_Data!A25</f>
        <v>S20</v>
      </c>
      <c r="B241" s="47" t="n">
        <f aca="false">01_Data!F25</f>
        <v>0.8</v>
      </c>
      <c r="C241" s="47" t="n">
        <f aca="false">01_Data!G25</f>
        <v>-0.666666666666667</v>
      </c>
      <c r="D241" s="47" t="n">
        <f aca="false">01_Data!D25</f>
        <v>78</v>
      </c>
      <c r="E241" s="48" t="n">
        <f aca="false">$D$220+$F$220*B241+$H$220*C241</f>
        <v>74.8662501458602</v>
      </c>
      <c r="F241" s="49" t="n">
        <f aca="false">E241-D241</f>
        <v>-3.13374985413981</v>
      </c>
      <c r="G241" s="49" t="n">
        <f aca="false">F241</f>
        <v>-3.13374985413981</v>
      </c>
      <c r="H241" s="49" t="n">
        <f aca="false">F241*B241</f>
        <v>-2.50699988331185</v>
      </c>
      <c r="I241" s="49" t="n">
        <f aca="false">F241*C241</f>
        <v>2.08916656942654</v>
      </c>
      <c r="J241" s="48" t="n">
        <f aca="false">F241^2</f>
        <v>9.82038814832127</v>
      </c>
      <c r="K241" s="48" t="n">
        <f aca="false">0.5*J241</f>
        <v>4.91019407416063</v>
      </c>
    </row>
    <row r="242" customFormat="false" ht="15" hidden="false" customHeight="false" outlineLevel="0" collapsed="false">
      <c r="A242" s="50" t="s">
        <v>134</v>
      </c>
      <c r="B242" s="50"/>
      <c r="C242" s="50"/>
      <c r="D242" s="50"/>
      <c r="E242" s="50"/>
      <c r="F242" s="50"/>
      <c r="G242" s="51" t="n">
        <f aca="false">AVERAGE(G222:G241)</f>
        <v>-1.21647282787093</v>
      </c>
      <c r="H242" s="51" t="n">
        <f aca="false">AVERAGE(H222:H241)</f>
        <v>-0.0294666734620993</v>
      </c>
      <c r="I242" s="51" t="n">
        <f aca="false">AVERAGE(I222:I241)</f>
        <v>-0.101116015332243</v>
      </c>
      <c r="J242" s="51" t="n">
        <f aca="false">AVERAGE(J222:J241)</f>
        <v>2.96933071206205</v>
      </c>
      <c r="K242" s="51" t="n">
        <f aca="false">AVERAGE(K222:K241)</f>
        <v>1.48466535603103</v>
      </c>
    </row>
    <row r="243" customFormat="false" ht="22.35" hidden="false" customHeight="true" outlineLevel="0" collapsed="false">
      <c r="A243" s="43" t="s">
        <v>135</v>
      </c>
      <c r="B243" s="43"/>
      <c r="C243" s="43" t="s">
        <v>136</v>
      </c>
      <c r="D243" s="52" t="n">
        <f aca="false">D220-$B$4*G242</f>
        <v>70.9611127079237</v>
      </c>
      <c r="E243" s="43" t="s">
        <v>137</v>
      </c>
      <c r="F243" s="52" t="n">
        <f aca="false">F220-$B$4*H242</f>
        <v>11.526354996897</v>
      </c>
      <c r="G243" s="43" t="s">
        <v>138</v>
      </c>
      <c r="H243" s="52" t="n">
        <f aca="false">H220-$B$4*I242</f>
        <v>7.27033854552019</v>
      </c>
      <c r="I243" s="44" t="s">
        <v>139</v>
      </c>
      <c r="J243" s="44"/>
      <c r="K243" s="44"/>
    </row>
    <row r="245" customFormat="false" ht="22.5" hidden="false" customHeight="true" outlineLevel="0" collapsed="false">
      <c r="A245" s="53" t="s">
        <v>148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</row>
    <row r="246" customFormat="false" ht="15" hidden="false" customHeight="true" outlineLevel="0" collapsed="false">
      <c r="A246" s="43" t="s">
        <v>118</v>
      </c>
      <c r="B246" s="44" t="n">
        <v>10</v>
      </c>
      <c r="C246" s="43" t="s">
        <v>119</v>
      </c>
      <c r="D246" s="54" t="n">
        <f aca="false">D243</f>
        <v>70.9611127079237</v>
      </c>
      <c r="E246" s="43" t="s">
        <v>120</v>
      </c>
      <c r="F246" s="54" t="n">
        <f aca="false">F243</f>
        <v>11.526354996897</v>
      </c>
      <c r="G246" s="43" t="s">
        <v>121</v>
      </c>
      <c r="H246" s="54" t="n">
        <f aca="false">H243</f>
        <v>7.27033854552019</v>
      </c>
      <c r="I246" s="44" t="s">
        <v>122</v>
      </c>
      <c r="J246" s="44"/>
      <c r="K246" s="44"/>
    </row>
    <row r="247" customFormat="false" ht="33.75" hidden="false" customHeight="true" outlineLevel="0" collapsed="false">
      <c r="A247" s="13" t="s">
        <v>123</v>
      </c>
      <c r="B247" s="13" t="s">
        <v>124</v>
      </c>
      <c r="C247" s="13" t="s">
        <v>125</v>
      </c>
      <c r="D247" s="13" t="s">
        <v>126</v>
      </c>
      <c r="E247" s="13" t="s">
        <v>127</v>
      </c>
      <c r="F247" s="13" t="s">
        <v>128</v>
      </c>
      <c r="G247" s="13" t="s">
        <v>129</v>
      </c>
      <c r="H247" s="13" t="s">
        <v>130</v>
      </c>
      <c r="I247" s="13" t="s">
        <v>131</v>
      </c>
      <c r="J247" s="13" t="s">
        <v>132</v>
      </c>
      <c r="K247" s="13" t="s">
        <v>133</v>
      </c>
    </row>
    <row r="248" customFormat="false" ht="15" hidden="false" customHeight="false" outlineLevel="0" collapsed="false">
      <c r="A248" s="46" t="str">
        <f aca="false">01_Data!A6</f>
        <v>S01</v>
      </c>
      <c r="B248" s="47" t="n">
        <f aca="false">01_Data!F6</f>
        <v>-1.6</v>
      </c>
      <c r="C248" s="47" t="n">
        <f aca="false">01_Data!G6</f>
        <v>-1.33333333333333</v>
      </c>
      <c r="D248" s="47" t="n">
        <f aca="false">01_Data!D6</f>
        <v>43</v>
      </c>
      <c r="E248" s="48" t="n">
        <f aca="false">$D$246+$F$246*B248+$H$246*C248</f>
        <v>42.8251599855282</v>
      </c>
      <c r="F248" s="49" t="n">
        <f aca="false">E248-D248</f>
        <v>-0.174840014471762</v>
      </c>
      <c r="G248" s="49" t="n">
        <f aca="false">F248</f>
        <v>-0.174840014471762</v>
      </c>
      <c r="H248" s="49" t="n">
        <f aca="false">F248*B248</f>
        <v>0.279744023154819</v>
      </c>
      <c r="I248" s="49" t="n">
        <f aca="false">F248*C248</f>
        <v>0.233120019295683</v>
      </c>
      <c r="J248" s="48" t="n">
        <f aca="false">F248^2</f>
        <v>0.030569030660486</v>
      </c>
      <c r="K248" s="48" t="n">
        <f aca="false">0.5*J248</f>
        <v>0.015284515330243</v>
      </c>
    </row>
    <row r="249" customFormat="false" ht="15" hidden="false" customHeight="false" outlineLevel="0" collapsed="false">
      <c r="A249" s="46" t="str">
        <f aca="false">01_Data!A7</f>
        <v>S02</v>
      </c>
      <c r="B249" s="47" t="n">
        <f aca="false">01_Data!F7</f>
        <v>-1.4</v>
      </c>
      <c r="C249" s="47" t="n">
        <f aca="false">01_Data!G7</f>
        <v>-1</v>
      </c>
      <c r="D249" s="47" t="n">
        <f aca="false">01_Data!D7</f>
        <v>47</v>
      </c>
      <c r="E249" s="48" t="n">
        <f aca="false">$D$246+$F$246*B249+$H$246*C249</f>
        <v>47.5538771667477</v>
      </c>
      <c r="F249" s="49" t="n">
        <f aca="false">E249-D249</f>
        <v>0.553877166747697</v>
      </c>
      <c r="G249" s="49" t="n">
        <f aca="false">F249</f>
        <v>0.553877166747697</v>
      </c>
      <c r="H249" s="49" t="n">
        <f aca="false">F249*B249</f>
        <v>-0.775428033446775</v>
      </c>
      <c r="I249" s="49" t="n">
        <f aca="false">F249*C249</f>
        <v>-0.553877166747697</v>
      </c>
      <c r="J249" s="48" t="n">
        <f aca="false">F249^2</f>
        <v>0.306779915844456</v>
      </c>
      <c r="K249" s="48" t="n">
        <f aca="false">0.5*J249</f>
        <v>0.153389957922228</v>
      </c>
    </row>
    <row r="250" customFormat="false" ht="15" hidden="false" customHeight="false" outlineLevel="0" collapsed="false">
      <c r="A250" s="46" t="str">
        <f aca="false">01_Data!A8</f>
        <v>S03</v>
      </c>
      <c r="B250" s="47" t="n">
        <f aca="false">01_Data!F8</f>
        <v>-1.2</v>
      </c>
      <c r="C250" s="47" t="n">
        <f aca="false">01_Data!G8</f>
        <v>-1.13333333333333</v>
      </c>
      <c r="D250" s="47" t="n">
        <f aca="false">01_Data!D8</f>
        <v>51</v>
      </c>
      <c r="E250" s="48" t="n">
        <f aca="false">$D$246+$F$246*B250+$H$246*C250</f>
        <v>48.8897696933911</v>
      </c>
      <c r="F250" s="49" t="n">
        <f aca="false">E250-D250</f>
        <v>-2.11023030660893</v>
      </c>
      <c r="G250" s="49" t="n">
        <f aca="false">F250</f>
        <v>-2.11023030660893</v>
      </c>
      <c r="H250" s="49" t="n">
        <f aca="false">F250*B250</f>
        <v>2.53227636793071</v>
      </c>
      <c r="I250" s="49" t="n">
        <f aca="false">F250*C250</f>
        <v>2.39159434749012</v>
      </c>
      <c r="J250" s="48" t="n">
        <f aca="false">F250^2</f>
        <v>4.4530719469308</v>
      </c>
      <c r="K250" s="48" t="n">
        <f aca="false">0.5*J250</f>
        <v>2.2265359734654</v>
      </c>
    </row>
    <row r="251" customFormat="false" ht="15" hidden="false" customHeight="false" outlineLevel="0" collapsed="false">
      <c r="A251" s="46" t="str">
        <f aca="false">01_Data!A9</f>
        <v>S04</v>
      </c>
      <c r="B251" s="47" t="n">
        <f aca="false">01_Data!F9</f>
        <v>-1</v>
      </c>
      <c r="C251" s="47" t="n">
        <f aca="false">01_Data!G9</f>
        <v>-0.666666666666667</v>
      </c>
      <c r="D251" s="47" t="n">
        <f aca="false">01_Data!D9</f>
        <v>55</v>
      </c>
      <c r="E251" s="48" t="n">
        <f aca="false">$D$246+$F$246*B251+$H$246*C251</f>
        <v>54.5878653473466</v>
      </c>
      <c r="F251" s="49" t="n">
        <f aca="false">E251-D251</f>
        <v>-0.412134652653442</v>
      </c>
      <c r="G251" s="49" t="n">
        <f aca="false">F251</f>
        <v>-0.412134652653442</v>
      </c>
      <c r="H251" s="49" t="n">
        <f aca="false">F251*B251</f>
        <v>0.412134652653442</v>
      </c>
      <c r="I251" s="49" t="n">
        <f aca="false">F251*C251</f>
        <v>0.274756435102295</v>
      </c>
      <c r="J251" s="48" t="n">
        <f aca="false">F251^2</f>
        <v>0.169854971917774</v>
      </c>
      <c r="K251" s="48" t="n">
        <f aca="false">0.5*J251</f>
        <v>0.0849274859588868</v>
      </c>
    </row>
    <row r="252" customFormat="false" ht="15" hidden="false" customHeight="false" outlineLevel="0" collapsed="false">
      <c r="A252" s="46" t="str">
        <f aca="false">01_Data!A10</f>
        <v>S05</v>
      </c>
      <c r="B252" s="47" t="n">
        <f aca="false">01_Data!F10</f>
        <v>-0.8</v>
      </c>
      <c r="C252" s="47" t="n">
        <f aca="false">01_Data!G10</f>
        <v>-0.866666666666667</v>
      </c>
      <c r="D252" s="47" t="n">
        <f aca="false">01_Data!D10</f>
        <v>56</v>
      </c>
      <c r="E252" s="48" t="n">
        <f aca="false">$D$246+$F$246*B252+$H$246*C252</f>
        <v>55.4390686376219</v>
      </c>
      <c r="F252" s="49" t="n">
        <f aca="false">E252-D252</f>
        <v>-0.560931362378078</v>
      </c>
      <c r="G252" s="49" t="n">
        <f aca="false">F252</f>
        <v>-0.560931362378078</v>
      </c>
      <c r="H252" s="49" t="n">
        <f aca="false">F252*B252</f>
        <v>0.448745089902462</v>
      </c>
      <c r="I252" s="49" t="n">
        <f aca="false">F252*C252</f>
        <v>0.486140514061001</v>
      </c>
      <c r="J252" s="48" t="n">
        <f aca="false">F252^2</f>
        <v>0.314643993299326</v>
      </c>
      <c r="K252" s="48" t="n">
        <f aca="false">0.5*J252</f>
        <v>0.157321996649663</v>
      </c>
    </row>
    <row r="253" customFormat="false" ht="15" hidden="false" customHeight="false" outlineLevel="0" collapsed="false">
      <c r="A253" s="46" t="str">
        <f aca="false">01_Data!A11</f>
        <v>S06</v>
      </c>
      <c r="B253" s="47" t="n">
        <f aca="false">01_Data!F11</f>
        <v>-0.6</v>
      </c>
      <c r="C253" s="47" t="n">
        <f aca="false">01_Data!G11</f>
        <v>-0.333333333333333</v>
      </c>
      <c r="D253" s="47" t="n">
        <f aca="false">01_Data!D11</f>
        <v>63</v>
      </c>
      <c r="E253" s="48" t="n">
        <f aca="false">$D$246+$F$246*B253+$H$246*C253</f>
        <v>61.6218535279454</v>
      </c>
      <c r="F253" s="49" t="n">
        <f aca="false">E253-D253</f>
        <v>-1.37814647205458</v>
      </c>
      <c r="G253" s="49" t="n">
        <f aca="false">F253</f>
        <v>-1.37814647205458</v>
      </c>
      <c r="H253" s="49" t="n">
        <f aca="false">F253*B253</f>
        <v>0.826887883232749</v>
      </c>
      <c r="I253" s="49" t="n">
        <f aca="false">F253*C253</f>
        <v>0.459382157351527</v>
      </c>
      <c r="J253" s="48" t="n">
        <f aca="false">F253^2</f>
        <v>1.89928769843649</v>
      </c>
      <c r="K253" s="48" t="n">
        <f aca="false">0.5*J253</f>
        <v>0.949643849218244</v>
      </c>
    </row>
    <row r="254" customFormat="false" ht="15" hidden="false" customHeight="false" outlineLevel="0" collapsed="false">
      <c r="A254" s="46" t="str">
        <f aca="false">01_Data!A12</f>
        <v>S07</v>
      </c>
      <c r="B254" s="47" t="n">
        <f aca="false">01_Data!F12</f>
        <v>-0.4</v>
      </c>
      <c r="C254" s="47" t="n">
        <f aca="false">01_Data!G12</f>
        <v>-0.466666666666667</v>
      </c>
      <c r="D254" s="47" t="n">
        <f aca="false">01_Data!D12</f>
        <v>61</v>
      </c>
      <c r="E254" s="48" t="n">
        <f aca="false">$D$246+$F$246*B254+$H$246*C254</f>
        <v>62.9577460545888</v>
      </c>
      <c r="F254" s="49" t="n">
        <f aca="false">E254-D254</f>
        <v>1.9577460545888</v>
      </c>
      <c r="G254" s="49" t="n">
        <f aca="false">F254</f>
        <v>1.9577460545888</v>
      </c>
      <c r="H254" s="49" t="n">
        <f aca="false">F254*B254</f>
        <v>-0.783098421835518</v>
      </c>
      <c r="I254" s="49" t="n">
        <f aca="false">F254*C254</f>
        <v>-0.913614825474772</v>
      </c>
      <c r="J254" s="48" t="n">
        <f aca="false">F254^2</f>
        <v>3.832769614258</v>
      </c>
      <c r="K254" s="48" t="n">
        <f aca="false">0.5*J254</f>
        <v>1.916384807129</v>
      </c>
    </row>
    <row r="255" customFormat="false" ht="15" hidden="false" customHeight="false" outlineLevel="0" collapsed="false">
      <c r="A255" s="46" t="str">
        <f aca="false">01_Data!A13</f>
        <v>S08</v>
      </c>
      <c r="B255" s="47" t="n">
        <f aca="false">01_Data!F13</f>
        <v>-0.2</v>
      </c>
      <c r="C255" s="47" t="n">
        <f aca="false">01_Data!G13</f>
        <v>-0.2</v>
      </c>
      <c r="D255" s="47" t="n">
        <f aca="false">01_Data!D13</f>
        <v>68</v>
      </c>
      <c r="E255" s="48" t="n">
        <f aca="false">$D$246+$F$246*B255+$H$246*C255</f>
        <v>67.2017739994403</v>
      </c>
      <c r="F255" s="49" t="n">
        <f aca="false">E255-D255</f>
        <v>-0.798226000559751</v>
      </c>
      <c r="G255" s="49" t="n">
        <f aca="false">F255</f>
        <v>-0.798226000559751</v>
      </c>
      <c r="H255" s="49" t="n">
        <f aca="false">F255*B255</f>
        <v>0.15964520011195</v>
      </c>
      <c r="I255" s="49" t="n">
        <f aca="false">F255*C255</f>
        <v>0.15964520011195</v>
      </c>
      <c r="J255" s="48" t="n">
        <f aca="false">F255^2</f>
        <v>0.637164747969616</v>
      </c>
      <c r="K255" s="48" t="n">
        <f aca="false">0.5*J255</f>
        <v>0.318582373984808</v>
      </c>
    </row>
    <row r="256" customFormat="false" ht="15" hidden="false" customHeight="false" outlineLevel="0" collapsed="false">
      <c r="A256" s="46" t="str">
        <f aca="false">01_Data!A14</f>
        <v>S09</v>
      </c>
      <c r="B256" s="47" t="n">
        <f aca="false">01_Data!F14</f>
        <v>0</v>
      </c>
      <c r="C256" s="47" t="n">
        <f aca="false">01_Data!G14</f>
        <v>0</v>
      </c>
      <c r="D256" s="47" t="n">
        <f aca="false">01_Data!D14</f>
        <v>72</v>
      </c>
      <c r="E256" s="48" t="n">
        <f aca="false">$D$246+$F$246*B256+$H$246*C256</f>
        <v>70.9611127079237</v>
      </c>
      <c r="F256" s="49" t="n">
        <f aca="false">E256-D256</f>
        <v>-1.03888729207631</v>
      </c>
      <c r="G256" s="49" t="n">
        <f aca="false">F256</f>
        <v>-1.03888729207631</v>
      </c>
      <c r="H256" s="49" t="n">
        <f aca="false">F256*B256</f>
        <v>-0</v>
      </c>
      <c r="I256" s="49" t="n">
        <f aca="false">F256*C256</f>
        <v>-0</v>
      </c>
      <c r="J256" s="48" t="n">
        <f aca="false">F256^2</f>
        <v>1.07928680563765</v>
      </c>
      <c r="K256" s="48" t="n">
        <f aca="false">0.5*J256</f>
        <v>0.539643402818825</v>
      </c>
    </row>
    <row r="257" customFormat="false" ht="15" hidden="false" customHeight="false" outlineLevel="0" collapsed="false">
      <c r="A257" s="46" t="str">
        <f aca="false">01_Data!A15</f>
        <v>S10</v>
      </c>
      <c r="B257" s="47" t="n">
        <f aca="false">01_Data!F15</f>
        <v>0.2</v>
      </c>
      <c r="C257" s="47" t="n">
        <f aca="false">01_Data!G15</f>
        <v>0.2</v>
      </c>
      <c r="D257" s="47" t="n">
        <f aca="false">01_Data!D15</f>
        <v>76</v>
      </c>
      <c r="E257" s="48" t="n">
        <f aca="false">$D$246+$F$246*B257+$H$246*C257</f>
        <v>74.7204514164071</v>
      </c>
      <c r="F257" s="49" t="n">
        <f aca="false">E257-D257</f>
        <v>-1.27954858359287</v>
      </c>
      <c r="G257" s="49" t="n">
        <f aca="false">F257</f>
        <v>-1.27954858359287</v>
      </c>
      <c r="H257" s="49" t="n">
        <f aca="false">F257*B257</f>
        <v>-0.255909716718574</v>
      </c>
      <c r="I257" s="49" t="n">
        <f aca="false">F257*C257</f>
        <v>-0.255909716718574</v>
      </c>
      <c r="J257" s="48" t="n">
        <f aca="false">F257^2</f>
        <v>1.63724457777452</v>
      </c>
      <c r="K257" s="48" t="n">
        <f aca="false">0.5*J257</f>
        <v>0.81862228888726</v>
      </c>
    </row>
    <row r="258" customFormat="false" ht="15" hidden="false" customHeight="false" outlineLevel="0" collapsed="false">
      <c r="A258" s="46" t="str">
        <f aca="false">01_Data!A16</f>
        <v>S11</v>
      </c>
      <c r="B258" s="47" t="n">
        <f aca="false">01_Data!F16</f>
        <v>0.4</v>
      </c>
      <c r="C258" s="47" t="n">
        <f aca="false">01_Data!G16</f>
        <v>0.333333333333333</v>
      </c>
      <c r="D258" s="47" t="n">
        <f aca="false">01_Data!D16</f>
        <v>79</v>
      </c>
      <c r="E258" s="48" t="n">
        <f aca="false">$D$246+$F$246*B258+$H$246*C258</f>
        <v>77.9951008885226</v>
      </c>
      <c r="F258" s="49" t="n">
        <f aca="false">E258-D258</f>
        <v>-1.00489911147744</v>
      </c>
      <c r="G258" s="49" t="n">
        <f aca="false">F258</f>
        <v>-1.00489911147744</v>
      </c>
      <c r="H258" s="49" t="n">
        <f aca="false">F258*B258</f>
        <v>-0.401959644590977</v>
      </c>
      <c r="I258" s="49" t="n">
        <f aca="false">F258*C258</f>
        <v>-0.334966370492481</v>
      </c>
      <c r="J258" s="48" t="n">
        <f aca="false">F258^2</f>
        <v>1.00982222424815</v>
      </c>
      <c r="K258" s="48" t="n">
        <f aca="false">0.5*J258</f>
        <v>0.504911112124077</v>
      </c>
    </row>
    <row r="259" customFormat="false" ht="15" hidden="false" customHeight="false" outlineLevel="0" collapsed="false">
      <c r="A259" s="46" t="str">
        <f aca="false">01_Data!A17</f>
        <v>S12</v>
      </c>
      <c r="B259" s="47" t="n">
        <f aca="false">01_Data!F17</f>
        <v>0.6</v>
      </c>
      <c r="C259" s="47" t="n">
        <f aca="false">01_Data!G17</f>
        <v>0.466666666666667</v>
      </c>
      <c r="D259" s="47" t="n">
        <f aca="false">01_Data!D17</f>
        <v>82</v>
      </c>
      <c r="E259" s="48" t="n">
        <f aca="false">$D$246+$F$246*B259+$H$246*C259</f>
        <v>81.269750360638</v>
      </c>
      <c r="F259" s="49" t="n">
        <f aca="false">E259-D259</f>
        <v>-0.730249639362015</v>
      </c>
      <c r="G259" s="49" t="n">
        <f aca="false">F259</f>
        <v>-0.730249639362015</v>
      </c>
      <c r="H259" s="49" t="n">
        <f aca="false">F259*B259</f>
        <v>-0.438149783617209</v>
      </c>
      <c r="I259" s="49" t="n">
        <f aca="false">F259*C259</f>
        <v>-0.340783165035607</v>
      </c>
      <c r="J259" s="48" t="n">
        <f aca="false">F259^2</f>
        <v>0.533264535788352</v>
      </c>
      <c r="K259" s="48" t="n">
        <f aca="false">0.5*J259</f>
        <v>0.266632267894176</v>
      </c>
    </row>
    <row r="260" customFormat="false" ht="15" hidden="false" customHeight="false" outlineLevel="0" collapsed="false">
      <c r="A260" s="46" t="str">
        <f aca="false">01_Data!A18</f>
        <v>S13</v>
      </c>
      <c r="B260" s="47" t="n">
        <f aca="false">01_Data!F18</f>
        <v>0.8</v>
      </c>
      <c r="C260" s="47" t="n">
        <f aca="false">01_Data!G18</f>
        <v>0.666666666666667</v>
      </c>
      <c r="D260" s="47" t="n">
        <f aca="false">01_Data!D18</f>
        <v>87</v>
      </c>
      <c r="E260" s="48" t="n">
        <f aca="false">$D$246+$F$246*B260+$H$246*C260</f>
        <v>85.0290890691214</v>
      </c>
      <c r="F260" s="49" t="n">
        <f aca="false">E260-D260</f>
        <v>-1.97091093087857</v>
      </c>
      <c r="G260" s="49" t="n">
        <f aca="false">F260</f>
        <v>-1.97091093087857</v>
      </c>
      <c r="H260" s="49" t="n">
        <f aca="false">F260*B260</f>
        <v>-1.57672874470286</v>
      </c>
      <c r="I260" s="49" t="n">
        <f aca="false">F260*C260</f>
        <v>-1.31394062058572</v>
      </c>
      <c r="J260" s="48" t="n">
        <f aca="false">F260^2</f>
        <v>3.88448989745665</v>
      </c>
      <c r="K260" s="48" t="n">
        <f aca="false">0.5*J260</f>
        <v>1.94224494872832</v>
      </c>
    </row>
    <row r="261" customFormat="false" ht="15" hidden="false" customHeight="false" outlineLevel="0" collapsed="false">
      <c r="A261" s="46" t="str">
        <f aca="false">01_Data!A19</f>
        <v>S14</v>
      </c>
      <c r="B261" s="47" t="n">
        <f aca="false">01_Data!F19</f>
        <v>1</v>
      </c>
      <c r="C261" s="47" t="n">
        <f aca="false">01_Data!G19</f>
        <v>0.866666666666667</v>
      </c>
      <c r="D261" s="47" t="n">
        <f aca="false">01_Data!D19</f>
        <v>89</v>
      </c>
      <c r="E261" s="48" t="n">
        <f aca="false">$D$246+$F$246*B261+$H$246*C261</f>
        <v>88.7884277776049</v>
      </c>
      <c r="F261" s="49" t="n">
        <f aca="false">E261-D261</f>
        <v>-0.211572222395148</v>
      </c>
      <c r="G261" s="49" t="n">
        <f aca="false">F261</f>
        <v>-0.211572222395148</v>
      </c>
      <c r="H261" s="49" t="n">
        <f aca="false">F261*B261</f>
        <v>-0.211572222395148</v>
      </c>
      <c r="I261" s="49" t="n">
        <f aca="false">F261*C261</f>
        <v>-0.183362592742462</v>
      </c>
      <c r="J261" s="48" t="n">
        <f aca="false">F261^2</f>
        <v>0.0447628052892219</v>
      </c>
      <c r="K261" s="48" t="n">
        <f aca="false">0.5*J261</f>
        <v>0.022381402644611</v>
      </c>
    </row>
    <row r="262" customFormat="false" ht="15" hidden="false" customHeight="false" outlineLevel="0" collapsed="false">
      <c r="A262" s="46" t="str">
        <f aca="false">01_Data!A20</f>
        <v>S15</v>
      </c>
      <c r="B262" s="47" t="n">
        <f aca="false">01_Data!F20</f>
        <v>1.2</v>
      </c>
      <c r="C262" s="47" t="n">
        <f aca="false">01_Data!G20</f>
        <v>1</v>
      </c>
      <c r="D262" s="47" t="n">
        <f aca="false">01_Data!D20</f>
        <v>92</v>
      </c>
      <c r="E262" s="48" t="n">
        <f aca="false">$D$246+$F$246*B262+$H$246*C262</f>
        <v>92.0630772497203</v>
      </c>
      <c r="F262" s="49" t="n">
        <f aca="false">E262-D262</f>
        <v>0.0630772497202798</v>
      </c>
      <c r="G262" s="49" t="n">
        <f aca="false">F262</f>
        <v>0.0630772497202798</v>
      </c>
      <c r="H262" s="49" t="n">
        <f aca="false">F262*B262</f>
        <v>0.0756926996643358</v>
      </c>
      <c r="I262" s="49" t="n">
        <f aca="false">F262*C262</f>
        <v>0.0630772497202798</v>
      </c>
      <c r="J262" s="48" t="n">
        <f aca="false">F262^2</f>
        <v>0.00397873943227454</v>
      </c>
      <c r="K262" s="48" t="n">
        <f aca="false">0.5*J262</f>
        <v>0.00198936971613727</v>
      </c>
    </row>
    <row r="263" customFormat="false" ht="15" hidden="false" customHeight="false" outlineLevel="0" collapsed="false">
      <c r="A263" s="46" t="str">
        <f aca="false">01_Data!A21</f>
        <v>S16</v>
      </c>
      <c r="B263" s="47" t="n">
        <f aca="false">01_Data!F21</f>
        <v>1.4</v>
      </c>
      <c r="C263" s="47" t="n">
        <f aca="false">01_Data!G21</f>
        <v>1.13333333333333</v>
      </c>
      <c r="D263" s="47" t="n">
        <f aca="false">01_Data!D21</f>
        <v>96</v>
      </c>
      <c r="E263" s="48" t="n">
        <f aca="false">$D$246+$F$246*B263+$H$246*C263</f>
        <v>95.3377267218357</v>
      </c>
      <c r="F263" s="49" t="n">
        <f aca="false">E263-D263</f>
        <v>-0.662273278164292</v>
      </c>
      <c r="G263" s="49" t="n">
        <f aca="false">F263</f>
        <v>-0.662273278164292</v>
      </c>
      <c r="H263" s="49" t="n">
        <f aca="false">F263*B263</f>
        <v>-0.927182589430009</v>
      </c>
      <c r="I263" s="49" t="n">
        <f aca="false">F263*C263</f>
        <v>-0.750576381919531</v>
      </c>
      <c r="J263" s="48" t="n">
        <f aca="false">F263^2</f>
        <v>0.438605894970478</v>
      </c>
      <c r="K263" s="48" t="n">
        <f aca="false">0.5*J263</f>
        <v>0.219302947485239</v>
      </c>
    </row>
    <row r="264" customFormat="false" ht="15" hidden="false" customHeight="false" outlineLevel="0" collapsed="false">
      <c r="A264" s="46" t="str">
        <f aca="false">01_Data!A22</f>
        <v>S17</v>
      </c>
      <c r="B264" s="47" t="n">
        <f aca="false">01_Data!F22</f>
        <v>1.6</v>
      </c>
      <c r="C264" s="47" t="n">
        <f aca="false">01_Data!G22</f>
        <v>1.33333333333333</v>
      </c>
      <c r="D264" s="47" t="n">
        <f aca="false">01_Data!D22</f>
        <v>99</v>
      </c>
      <c r="E264" s="48" t="n">
        <f aca="false">$D$246+$F$246*B264+$H$246*C264</f>
        <v>99.0970654303192</v>
      </c>
      <c r="F264" s="49" t="n">
        <f aca="false">E264-D264</f>
        <v>0.0970654303191481</v>
      </c>
      <c r="G264" s="49" t="n">
        <f aca="false">F264</f>
        <v>0.0970654303191481</v>
      </c>
      <c r="H264" s="49" t="n">
        <f aca="false">F264*B264</f>
        <v>0.155304688510637</v>
      </c>
      <c r="I264" s="49" t="n">
        <f aca="false">F264*C264</f>
        <v>0.129420573758864</v>
      </c>
      <c r="J264" s="48" t="n">
        <f aca="false">F264^2</f>
        <v>0.00942169776304139</v>
      </c>
      <c r="K264" s="48" t="n">
        <f aca="false">0.5*J264</f>
        <v>0.00471084888152069</v>
      </c>
    </row>
    <row r="265" customFormat="false" ht="15" hidden="false" customHeight="false" outlineLevel="0" collapsed="false">
      <c r="A265" s="46" t="str">
        <f aca="false">01_Data!A23</f>
        <v>S18</v>
      </c>
      <c r="B265" s="47" t="n">
        <f aca="false">01_Data!F23</f>
        <v>0</v>
      </c>
      <c r="C265" s="47" t="n">
        <f aca="false">01_Data!G23</f>
        <v>-0.666666666666667</v>
      </c>
      <c r="D265" s="47" t="n">
        <f aca="false">01_Data!D23</f>
        <v>65</v>
      </c>
      <c r="E265" s="48" t="n">
        <f aca="false">$D$246+$F$246*B265+$H$246*C265</f>
        <v>66.1142203442436</v>
      </c>
      <c r="F265" s="49" t="n">
        <f aca="false">E265-D265</f>
        <v>1.11422034424356</v>
      </c>
      <c r="G265" s="49" t="n">
        <f aca="false">F265</f>
        <v>1.11422034424356</v>
      </c>
      <c r="H265" s="49" t="n">
        <f aca="false">F265*B265</f>
        <v>0</v>
      </c>
      <c r="I265" s="49" t="n">
        <f aca="false">F265*C265</f>
        <v>-0.742813562829042</v>
      </c>
      <c r="J265" s="48" t="n">
        <f aca="false">F265^2</f>
        <v>1.24148697552624</v>
      </c>
      <c r="K265" s="48" t="n">
        <f aca="false">0.5*J265</f>
        <v>0.620743487763122</v>
      </c>
    </row>
    <row r="266" customFormat="false" ht="15" hidden="false" customHeight="false" outlineLevel="0" collapsed="false">
      <c r="A266" s="46" t="str">
        <f aca="false">01_Data!A24</f>
        <v>S19</v>
      </c>
      <c r="B266" s="47" t="n">
        <f aca="false">01_Data!F24</f>
        <v>-0.8</v>
      </c>
      <c r="C266" s="47" t="n">
        <f aca="false">01_Data!G24</f>
        <v>0.666666666666667</v>
      </c>
      <c r="D266" s="47" t="n">
        <f aca="false">01_Data!D24</f>
        <v>70</v>
      </c>
      <c r="E266" s="48" t="n">
        <f aca="false">$D$246+$F$246*B266+$H$246*C266</f>
        <v>66.5869210740862</v>
      </c>
      <c r="F266" s="49" t="n">
        <f aca="false">E266-D266</f>
        <v>-3.41307892591379</v>
      </c>
      <c r="G266" s="49" t="n">
        <f aca="false">F266</f>
        <v>-3.41307892591379</v>
      </c>
      <c r="H266" s="49" t="n">
        <f aca="false">F266*B266</f>
        <v>2.73046314073104</v>
      </c>
      <c r="I266" s="49" t="n">
        <f aca="false">F266*C266</f>
        <v>-2.2753859506092</v>
      </c>
      <c r="J266" s="48" t="n">
        <f aca="false">F266^2</f>
        <v>11.6491077545169</v>
      </c>
      <c r="K266" s="48" t="n">
        <f aca="false">0.5*J266</f>
        <v>5.82455387725843</v>
      </c>
    </row>
    <row r="267" customFormat="false" ht="15" hidden="false" customHeight="false" outlineLevel="0" collapsed="false">
      <c r="A267" s="46" t="str">
        <f aca="false">01_Data!A25</f>
        <v>S20</v>
      </c>
      <c r="B267" s="47" t="n">
        <f aca="false">01_Data!F25</f>
        <v>0.8</v>
      </c>
      <c r="C267" s="47" t="n">
        <f aca="false">01_Data!G25</f>
        <v>-0.666666666666667</v>
      </c>
      <c r="D267" s="47" t="n">
        <f aca="false">01_Data!D25</f>
        <v>78</v>
      </c>
      <c r="E267" s="48" t="n">
        <f aca="false">$D$246+$F$246*B267+$H$246*C267</f>
        <v>75.3353043417612</v>
      </c>
      <c r="F267" s="49" t="n">
        <f aca="false">E267-D267</f>
        <v>-2.66469565823883</v>
      </c>
      <c r="G267" s="49" t="n">
        <f aca="false">F267</f>
        <v>-2.66469565823883</v>
      </c>
      <c r="H267" s="49" t="n">
        <f aca="false">F267*B267</f>
        <v>-2.13175652659106</v>
      </c>
      <c r="I267" s="49" t="n">
        <f aca="false">F267*C267</f>
        <v>1.77646377215922</v>
      </c>
      <c r="J267" s="48" t="n">
        <f aca="false">F267^2</f>
        <v>7.10060295103686</v>
      </c>
      <c r="K267" s="48" t="n">
        <f aca="false">0.5*J267</f>
        <v>3.55030147551843</v>
      </c>
    </row>
    <row r="268" customFormat="false" ht="15" hidden="false" customHeight="false" outlineLevel="0" collapsed="false">
      <c r="A268" s="50" t="s">
        <v>134</v>
      </c>
      <c r="B268" s="50"/>
      <c r="C268" s="50"/>
      <c r="D268" s="50"/>
      <c r="E268" s="50"/>
      <c r="F268" s="50"/>
      <c r="G268" s="51" t="n">
        <f aca="false">AVERAGE(G248:G267)</f>
        <v>-0.731231910260317</v>
      </c>
      <c r="H268" s="51" t="n">
        <f aca="false">AVERAGE(H248:H267)</f>
        <v>0.00595540312820057</v>
      </c>
      <c r="I268" s="51" t="n">
        <f aca="false">AVERAGE(I248:I267)</f>
        <v>-0.0845815042052071</v>
      </c>
      <c r="J268" s="51" t="n">
        <f aca="false">AVERAGE(J248:J267)</f>
        <v>2.01381083893786</v>
      </c>
      <c r="K268" s="51" t="n">
        <f aca="false">AVERAGE(K248:K267)</f>
        <v>1.00690541946893</v>
      </c>
    </row>
    <row r="269" customFormat="false" ht="22.35" hidden="false" customHeight="true" outlineLevel="0" collapsed="false">
      <c r="A269" s="43" t="s">
        <v>135</v>
      </c>
      <c r="B269" s="43"/>
      <c r="C269" s="43" t="s">
        <v>136</v>
      </c>
      <c r="D269" s="52" t="n">
        <f aca="false">D246-$B$4*G268</f>
        <v>71.2536054720278</v>
      </c>
      <c r="E269" s="43" t="s">
        <v>137</v>
      </c>
      <c r="F269" s="52" t="n">
        <f aca="false">F246-$B$4*H268</f>
        <v>11.5239728356457</v>
      </c>
      <c r="G269" s="43" t="s">
        <v>138</v>
      </c>
      <c r="H269" s="52" t="n">
        <f aca="false">H246-$B$4*I268</f>
        <v>7.30417114720227</v>
      </c>
      <c r="I269" s="44" t="s">
        <v>139</v>
      </c>
      <c r="J269" s="44"/>
      <c r="K269" s="44"/>
    </row>
    <row r="271" customFormat="false" ht="22.5" hidden="false" customHeight="true" outlineLevel="0" collapsed="false">
      <c r="A271" s="4" t="s">
        <v>149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customFormat="false" ht="15" hidden="false" customHeight="true" outlineLevel="0" collapsed="false">
      <c r="A272" s="43" t="s">
        <v>118</v>
      </c>
      <c r="B272" s="44" t="n">
        <v>11</v>
      </c>
      <c r="C272" s="43" t="s">
        <v>119</v>
      </c>
      <c r="D272" s="54" t="n">
        <f aca="false">D269</f>
        <v>71.2536054720278</v>
      </c>
      <c r="E272" s="43" t="s">
        <v>120</v>
      </c>
      <c r="F272" s="54" t="n">
        <f aca="false">F269</f>
        <v>11.5239728356457</v>
      </c>
      <c r="G272" s="43" t="s">
        <v>121</v>
      </c>
      <c r="H272" s="54" t="n">
        <f aca="false">H269</f>
        <v>7.30417114720227</v>
      </c>
      <c r="I272" s="44" t="s">
        <v>122</v>
      </c>
      <c r="J272" s="44"/>
      <c r="K272" s="44"/>
    </row>
    <row r="273" customFormat="false" ht="33.75" hidden="false" customHeight="true" outlineLevel="0" collapsed="false">
      <c r="A273" s="13" t="s">
        <v>123</v>
      </c>
      <c r="B273" s="13" t="s">
        <v>124</v>
      </c>
      <c r="C273" s="13" t="s">
        <v>125</v>
      </c>
      <c r="D273" s="13" t="s">
        <v>126</v>
      </c>
      <c r="E273" s="13" t="s">
        <v>127</v>
      </c>
      <c r="F273" s="13" t="s">
        <v>128</v>
      </c>
      <c r="G273" s="13" t="s">
        <v>129</v>
      </c>
      <c r="H273" s="13" t="s">
        <v>130</v>
      </c>
      <c r="I273" s="13" t="s">
        <v>131</v>
      </c>
      <c r="J273" s="13" t="s">
        <v>132</v>
      </c>
      <c r="K273" s="13" t="s">
        <v>133</v>
      </c>
    </row>
    <row r="274" customFormat="false" ht="15" hidden="false" customHeight="false" outlineLevel="0" collapsed="false">
      <c r="A274" s="46" t="str">
        <f aca="false">01_Data!A6</f>
        <v>S01</v>
      </c>
      <c r="B274" s="47" t="n">
        <f aca="false">01_Data!F6</f>
        <v>-1.6</v>
      </c>
      <c r="C274" s="47" t="n">
        <f aca="false">01_Data!G6</f>
        <v>-1.33333333333333</v>
      </c>
      <c r="D274" s="47" t="n">
        <f aca="false">01_Data!D6</f>
        <v>43</v>
      </c>
      <c r="E274" s="48" t="n">
        <f aca="false">$D$272+$F$272*B274+$H$272*C274</f>
        <v>43.0763540720583</v>
      </c>
      <c r="F274" s="49" t="n">
        <f aca="false">E274-D274</f>
        <v>0.0763540720582938</v>
      </c>
      <c r="G274" s="49" t="n">
        <f aca="false">F274</f>
        <v>0.0763540720582938</v>
      </c>
      <c r="H274" s="49" t="n">
        <f aca="false">F274*B274</f>
        <v>-0.12216651529327</v>
      </c>
      <c r="I274" s="49" t="n">
        <f aca="false">F274*C274</f>
        <v>-0.101805429411058</v>
      </c>
      <c r="J274" s="48" t="n">
        <f aca="false">F274^2</f>
        <v>0.00582994431988312</v>
      </c>
      <c r="K274" s="48" t="n">
        <f aca="false">0.5*J274</f>
        <v>0.00291497215994156</v>
      </c>
    </row>
    <row r="275" customFormat="false" ht="15" hidden="false" customHeight="false" outlineLevel="0" collapsed="false">
      <c r="A275" s="46" t="str">
        <f aca="false">01_Data!A7</f>
        <v>S02</v>
      </c>
      <c r="B275" s="47" t="n">
        <f aca="false">01_Data!F7</f>
        <v>-1.4</v>
      </c>
      <c r="C275" s="47" t="n">
        <f aca="false">01_Data!G7</f>
        <v>-1</v>
      </c>
      <c r="D275" s="47" t="n">
        <f aca="false">01_Data!D7</f>
        <v>47</v>
      </c>
      <c r="E275" s="48" t="n">
        <f aca="false">$D$272+$F$272*B275+$H$272*C275</f>
        <v>47.8158723549215</v>
      </c>
      <c r="F275" s="49" t="n">
        <f aca="false">E275-D275</f>
        <v>0.815872354921531</v>
      </c>
      <c r="G275" s="49" t="n">
        <f aca="false">F275</f>
        <v>0.815872354921531</v>
      </c>
      <c r="H275" s="49" t="n">
        <f aca="false">F275*B275</f>
        <v>-1.14222129689014</v>
      </c>
      <c r="I275" s="49" t="n">
        <f aca="false">F275*C275</f>
        <v>-0.815872354921531</v>
      </c>
      <c r="J275" s="48" t="n">
        <f aca="false">F275^2</f>
        <v>0.665647699525205</v>
      </c>
      <c r="K275" s="48" t="n">
        <f aca="false">0.5*J275</f>
        <v>0.332823849762602</v>
      </c>
    </row>
    <row r="276" customFormat="false" ht="15" hidden="false" customHeight="false" outlineLevel="0" collapsed="false">
      <c r="A276" s="46" t="str">
        <f aca="false">01_Data!A8</f>
        <v>S03</v>
      </c>
      <c r="B276" s="47" t="n">
        <f aca="false">01_Data!F8</f>
        <v>-1.2</v>
      </c>
      <c r="C276" s="47" t="n">
        <f aca="false">01_Data!G8</f>
        <v>-1.13333333333333</v>
      </c>
      <c r="D276" s="47" t="n">
        <f aca="false">01_Data!D8</f>
        <v>51</v>
      </c>
      <c r="E276" s="48" t="n">
        <f aca="false">$D$272+$F$272*B276+$H$272*C276</f>
        <v>49.146777435757</v>
      </c>
      <c r="F276" s="49" t="n">
        <f aca="false">E276-D276</f>
        <v>-1.85322256424296</v>
      </c>
      <c r="G276" s="49" t="n">
        <f aca="false">F276</f>
        <v>-1.85322256424296</v>
      </c>
      <c r="H276" s="49" t="n">
        <f aca="false">F276*B276</f>
        <v>2.22386707709155</v>
      </c>
      <c r="I276" s="49" t="n">
        <f aca="false">F276*C276</f>
        <v>2.10031890614202</v>
      </c>
      <c r="J276" s="48" t="n">
        <f aca="false">F276^2</f>
        <v>3.43443387261926</v>
      </c>
      <c r="K276" s="48" t="n">
        <f aca="false">0.5*J276</f>
        <v>1.71721693630963</v>
      </c>
    </row>
    <row r="277" customFormat="false" ht="15" hidden="false" customHeight="false" outlineLevel="0" collapsed="false">
      <c r="A277" s="46" t="str">
        <f aca="false">01_Data!A9</f>
        <v>S04</v>
      </c>
      <c r="B277" s="47" t="n">
        <f aca="false">01_Data!F9</f>
        <v>-1</v>
      </c>
      <c r="C277" s="47" t="n">
        <f aca="false">01_Data!G9</f>
        <v>-0.666666666666667</v>
      </c>
      <c r="D277" s="47" t="n">
        <f aca="false">01_Data!D9</f>
        <v>55</v>
      </c>
      <c r="E277" s="48" t="n">
        <f aca="false">$D$272+$F$272*B277+$H$272*C277</f>
        <v>54.8601852049139</v>
      </c>
      <c r="F277" s="49" t="n">
        <f aca="false">E277-D277</f>
        <v>-0.139814795086089</v>
      </c>
      <c r="G277" s="49" t="n">
        <f aca="false">F277</f>
        <v>-0.139814795086089</v>
      </c>
      <c r="H277" s="49" t="n">
        <f aca="false">F277*B277</f>
        <v>0.139814795086089</v>
      </c>
      <c r="I277" s="49" t="n">
        <f aca="false">F277*C277</f>
        <v>0.0932098633907259</v>
      </c>
      <c r="J277" s="48" t="n">
        <f aca="false">F277^2</f>
        <v>0.019548176924965</v>
      </c>
      <c r="K277" s="48" t="n">
        <f aca="false">0.5*J277</f>
        <v>0.00977408846248251</v>
      </c>
    </row>
    <row r="278" customFormat="false" ht="15" hidden="false" customHeight="false" outlineLevel="0" collapsed="false">
      <c r="A278" s="46" t="str">
        <f aca="false">01_Data!A10</f>
        <v>S05</v>
      </c>
      <c r="B278" s="47" t="n">
        <f aca="false">01_Data!F10</f>
        <v>-0.8</v>
      </c>
      <c r="C278" s="47" t="n">
        <f aca="false">01_Data!G10</f>
        <v>-0.866666666666667</v>
      </c>
      <c r="D278" s="47" t="n">
        <f aca="false">01_Data!D10</f>
        <v>56</v>
      </c>
      <c r="E278" s="48" t="n">
        <f aca="false">$D$272+$F$272*B278+$H$272*C278</f>
        <v>55.7041455426026</v>
      </c>
      <c r="F278" s="49" t="n">
        <f aca="false">E278-D278</f>
        <v>-0.295854457397397</v>
      </c>
      <c r="G278" s="49" t="n">
        <f aca="false">F278</f>
        <v>-0.295854457397397</v>
      </c>
      <c r="H278" s="49" t="n">
        <f aca="false">F278*B278</f>
        <v>0.236683565917917</v>
      </c>
      <c r="I278" s="49" t="n">
        <f aca="false">F278*C278</f>
        <v>0.256407196411077</v>
      </c>
      <c r="J278" s="48" t="n">
        <f aca="false">F278^2</f>
        <v>0.087529859961908</v>
      </c>
      <c r="K278" s="48" t="n">
        <f aca="false">0.5*J278</f>
        <v>0.043764929980954</v>
      </c>
    </row>
    <row r="279" customFormat="false" ht="15" hidden="false" customHeight="false" outlineLevel="0" collapsed="false">
      <c r="A279" s="46" t="str">
        <f aca="false">01_Data!A11</f>
        <v>S06</v>
      </c>
      <c r="B279" s="47" t="n">
        <f aca="false">01_Data!F11</f>
        <v>-0.6</v>
      </c>
      <c r="C279" s="47" t="n">
        <f aca="false">01_Data!G11</f>
        <v>-0.333333333333333</v>
      </c>
      <c r="D279" s="47" t="n">
        <f aca="false">01_Data!D11</f>
        <v>63</v>
      </c>
      <c r="E279" s="48" t="n">
        <f aca="false">$D$272+$F$272*B279+$H$272*C279</f>
        <v>61.9044980549063</v>
      </c>
      <c r="F279" s="49" t="n">
        <f aca="false">E279-D279</f>
        <v>-1.09550194509371</v>
      </c>
      <c r="G279" s="49" t="n">
        <f aca="false">F279</f>
        <v>-1.09550194509371</v>
      </c>
      <c r="H279" s="49" t="n">
        <f aca="false">F279*B279</f>
        <v>0.657301167056225</v>
      </c>
      <c r="I279" s="49" t="n">
        <f aca="false">F279*C279</f>
        <v>0.365167315031236</v>
      </c>
      <c r="J279" s="48" t="n">
        <f aca="false">F279^2</f>
        <v>1.2001245117041</v>
      </c>
      <c r="K279" s="48" t="n">
        <f aca="false">0.5*J279</f>
        <v>0.60006225585205</v>
      </c>
    </row>
    <row r="280" customFormat="false" ht="15" hidden="false" customHeight="false" outlineLevel="0" collapsed="false">
      <c r="A280" s="46" t="str">
        <f aca="false">01_Data!A12</f>
        <v>S07</v>
      </c>
      <c r="B280" s="47" t="n">
        <f aca="false">01_Data!F12</f>
        <v>-0.4</v>
      </c>
      <c r="C280" s="47" t="n">
        <f aca="false">01_Data!G12</f>
        <v>-0.466666666666667</v>
      </c>
      <c r="D280" s="47" t="n">
        <f aca="false">01_Data!D12</f>
        <v>61</v>
      </c>
      <c r="E280" s="48" t="n">
        <f aca="false">$D$272+$F$272*B280+$H$272*C280</f>
        <v>63.2354031357418</v>
      </c>
      <c r="F280" s="49" t="n">
        <f aca="false">E280-D280</f>
        <v>2.23540313574181</v>
      </c>
      <c r="G280" s="49" t="n">
        <f aca="false">F280</f>
        <v>2.23540313574181</v>
      </c>
      <c r="H280" s="49" t="n">
        <f aca="false">F280*B280</f>
        <v>-0.894161254296722</v>
      </c>
      <c r="I280" s="49" t="n">
        <f aca="false">F280*C280</f>
        <v>-1.04318813001284</v>
      </c>
      <c r="J280" s="48" t="n">
        <f aca="false">F280^2</f>
        <v>4.9970271792843</v>
      </c>
      <c r="K280" s="48" t="n">
        <f aca="false">0.5*J280</f>
        <v>2.49851358964215</v>
      </c>
    </row>
    <row r="281" customFormat="false" ht="15" hidden="false" customHeight="false" outlineLevel="0" collapsed="false">
      <c r="A281" s="46" t="str">
        <f aca="false">01_Data!A13</f>
        <v>S08</v>
      </c>
      <c r="B281" s="47" t="n">
        <f aca="false">01_Data!F13</f>
        <v>-0.2</v>
      </c>
      <c r="C281" s="47" t="n">
        <f aca="false">01_Data!G13</f>
        <v>-0.2</v>
      </c>
      <c r="D281" s="47" t="n">
        <f aca="false">01_Data!D13</f>
        <v>68</v>
      </c>
      <c r="E281" s="48" t="n">
        <f aca="false">$D$272+$F$272*B281+$H$272*C281</f>
        <v>67.4879766754582</v>
      </c>
      <c r="F281" s="49" t="n">
        <f aca="false">E281-D281</f>
        <v>-0.512023324541787</v>
      </c>
      <c r="G281" s="49" t="n">
        <f aca="false">F281</f>
        <v>-0.512023324541787</v>
      </c>
      <c r="H281" s="49" t="n">
        <f aca="false">F281*B281</f>
        <v>0.102404664908357</v>
      </c>
      <c r="I281" s="49" t="n">
        <f aca="false">F281*C281</f>
        <v>0.102404664908357</v>
      </c>
      <c r="J281" s="48" t="n">
        <f aca="false">F281^2</f>
        <v>0.262167884874824</v>
      </c>
      <c r="K281" s="48" t="n">
        <f aca="false">0.5*J281</f>
        <v>0.131083942437412</v>
      </c>
    </row>
    <row r="282" customFormat="false" ht="15" hidden="false" customHeight="false" outlineLevel="0" collapsed="false">
      <c r="A282" s="46" t="str">
        <f aca="false">01_Data!A14</f>
        <v>S09</v>
      </c>
      <c r="B282" s="47" t="n">
        <f aca="false">01_Data!F14</f>
        <v>0</v>
      </c>
      <c r="C282" s="47" t="n">
        <f aca="false">01_Data!G14</f>
        <v>0</v>
      </c>
      <c r="D282" s="47" t="n">
        <f aca="false">01_Data!D14</f>
        <v>72</v>
      </c>
      <c r="E282" s="48" t="n">
        <f aca="false">$D$272+$F$272*B282+$H$272*C282</f>
        <v>71.2536054720278</v>
      </c>
      <c r="F282" s="49" t="n">
        <f aca="false">E282-D282</f>
        <v>-0.746394527972186</v>
      </c>
      <c r="G282" s="49" t="n">
        <f aca="false">F282</f>
        <v>-0.746394527972186</v>
      </c>
      <c r="H282" s="49" t="n">
        <f aca="false">F282*B282</f>
        <v>-0</v>
      </c>
      <c r="I282" s="49" t="n">
        <f aca="false">F282*C282</f>
        <v>-0</v>
      </c>
      <c r="J282" s="48" t="n">
        <f aca="false">F282^2</f>
        <v>0.557104791386822</v>
      </c>
      <c r="K282" s="48" t="n">
        <f aca="false">0.5*J282</f>
        <v>0.278552395693411</v>
      </c>
    </row>
    <row r="283" customFormat="false" ht="15" hidden="false" customHeight="false" outlineLevel="0" collapsed="false">
      <c r="A283" s="46" t="str">
        <f aca="false">01_Data!A15</f>
        <v>S10</v>
      </c>
      <c r="B283" s="47" t="n">
        <f aca="false">01_Data!F15</f>
        <v>0.2</v>
      </c>
      <c r="C283" s="47" t="n">
        <f aca="false">01_Data!G15</f>
        <v>0.2</v>
      </c>
      <c r="D283" s="47" t="n">
        <f aca="false">01_Data!D15</f>
        <v>76</v>
      </c>
      <c r="E283" s="48" t="n">
        <f aca="false">$D$272+$F$272*B283+$H$272*C283</f>
        <v>75.0192342685974</v>
      </c>
      <c r="F283" s="49" t="n">
        <f aca="false">E283-D283</f>
        <v>-0.980765731402585</v>
      </c>
      <c r="G283" s="49" t="n">
        <f aca="false">F283</f>
        <v>-0.980765731402585</v>
      </c>
      <c r="H283" s="49" t="n">
        <f aca="false">F283*B283</f>
        <v>-0.196153146280517</v>
      </c>
      <c r="I283" s="49" t="n">
        <f aca="false">F283*C283</f>
        <v>-0.196153146280517</v>
      </c>
      <c r="J283" s="48" t="n">
        <f aca="false">F283^2</f>
        <v>0.961901419893647</v>
      </c>
      <c r="K283" s="48" t="n">
        <f aca="false">0.5*J283</f>
        <v>0.480950709946823</v>
      </c>
    </row>
    <row r="284" customFormat="false" ht="15" hidden="false" customHeight="false" outlineLevel="0" collapsed="false">
      <c r="A284" s="46" t="str">
        <f aca="false">01_Data!A16</f>
        <v>S11</v>
      </c>
      <c r="B284" s="47" t="n">
        <f aca="false">01_Data!F16</f>
        <v>0.4</v>
      </c>
      <c r="C284" s="47" t="n">
        <f aca="false">01_Data!G16</f>
        <v>0.333333333333333</v>
      </c>
      <c r="D284" s="47" t="n">
        <f aca="false">01_Data!D16</f>
        <v>79</v>
      </c>
      <c r="E284" s="48" t="n">
        <f aca="false">$D$272+$F$272*B284+$H$272*C284</f>
        <v>78.2979183220202</v>
      </c>
      <c r="F284" s="49" t="n">
        <f aca="false">E284-D284</f>
        <v>-0.702081677979805</v>
      </c>
      <c r="G284" s="49" t="n">
        <f aca="false">F284</f>
        <v>-0.702081677979805</v>
      </c>
      <c r="H284" s="49" t="n">
        <f aca="false">F284*B284</f>
        <v>-0.280832671191922</v>
      </c>
      <c r="I284" s="49" t="n">
        <f aca="false">F284*C284</f>
        <v>-0.234027225993268</v>
      </c>
      <c r="J284" s="48" t="n">
        <f aca="false">F284^2</f>
        <v>0.492918682554939</v>
      </c>
      <c r="K284" s="48" t="n">
        <f aca="false">0.5*J284</f>
        <v>0.24645934127747</v>
      </c>
    </row>
    <row r="285" customFormat="false" ht="15" hidden="false" customHeight="false" outlineLevel="0" collapsed="false">
      <c r="A285" s="46" t="str">
        <f aca="false">01_Data!A17</f>
        <v>S12</v>
      </c>
      <c r="B285" s="47" t="n">
        <f aca="false">01_Data!F17</f>
        <v>0.6</v>
      </c>
      <c r="C285" s="47" t="n">
        <f aca="false">01_Data!G17</f>
        <v>0.466666666666667</v>
      </c>
      <c r="D285" s="47" t="n">
        <f aca="false">01_Data!D17</f>
        <v>82</v>
      </c>
      <c r="E285" s="48" t="n">
        <f aca="false">$D$272+$F$272*B285+$H$272*C285</f>
        <v>81.576602375443</v>
      </c>
      <c r="F285" s="49" t="n">
        <f aca="false">E285-D285</f>
        <v>-0.423397624557026</v>
      </c>
      <c r="G285" s="49" t="n">
        <f aca="false">F285</f>
        <v>-0.423397624557026</v>
      </c>
      <c r="H285" s="49" t="n">
        <f aca="false">F285*B285</f>
        <v>-0.254038574734216</v>
      </c>
      <c r="I285" s="49" t="n">
        <f aca="false">F285*C285</f>
        <v>-0.197585558126612</v>
      </c>
      <c r="J285" s="48" t="n">
        <f aca="false">F285^2</f>
        <v>0.179265548480532</v>
      </c>
      <c r="K285" s="48" t="n">
        <f aca="false">0.5*J285</f>
        <v>0.0896327742402662</v>
      </c>
    </row>
    <row r="286" customFormat="false" ht="15" hidden="false" customHeight="false" outlineLevel="0" collapsed="false">
      <c r="A286" s="46" t="str">
        <f aca="false">01_Data!A18</f>
        <v>S13</v>
      </c>
      <c r="B286" s="47" t="n">
        <f aca="false">01_Data!F18</f>
        <v>0.8</v>
      </c>
      <c r="C286" s="47" t="n">
        <f aca="false">01_Data!G18</f>
        <v>0.666666666666667</v>
      </c>
      <c r="D286" s="47" t="n">
        <f aca="false">01_Data!D18</f>
        <v>87</v>
      </c>
      <c r="E286" s="48" t="n">
        <f aca="false">$D$272+$F$272*B286+$H$272*C286</f>
        <v>85.3422311720126</v>
      </c>
      <c r="F286" s="49" t="n">
        <f aca="false">E286-D286</f>
        <v>-1.65776882798743</v>
      </c>
      <c r="G286" s="49" t="n">
        <f aca="false">F286</f>
        <v>-1.65776882798743</v>
      </c>
      <c r="H286" s="49" t="n">
        <f aca="false">F286*B286</f>
        <v>-1.32621506238994</v>
      </c>
      <c r="I286" s="49" t="n">
        <f aca="false">F286*C286</f>
        <v>-1.10517921865828</v>
      </c>
      <c r="J286" s="48" t="n">
        <f aca="false">F286^2</f>
        <v>2.7481974870468</v>
      </c>
      <c r="K286" s="48" t="n">
        <f aca="false">0.5*J286</f>
        <v>1.3740987435234</v>
      </c>
    </row>
    <row r="287" customFormat="false" ht="15" hidden="false" customHeight="false" outlineLevel="0" collapsed="false">
      <c r="A287" s="46" t="str">
        <f aca="false">01_Data!A19</f>
        <v>S14</v>
      </c>
      <c r="B287" s="47" t="n">
        <f aca="false">01_Data!F19</f>
        <v>1</v>
      </c>
      <c r="C287" s="47" t="n">
        <f aca="false">01_Data!G19</f>
        <v>0.866666666666667</v>
      </c>
      <c r="D287" s="47" t="n">
        <f aca="false">01_Data!D19</f>
        <v>89</v>
      </c>
      <c r="E287" s="48" t="n">
        <f aca="false">$D$272+$F$272*B287+$H$272*C287</f>
        <v>89.1078599685822</v>
      </c>
      <c r="F287" s="49" t="n">
        <f aca="false">E287-D287</f>
        <v>0.107859968582176</v>
      </c>
      <c r="G287" s="49" t="n">
        <f aca="false">F287</f>
        <v>0.107859968582176</v>
      </c>
      <c r="H287" s="49" t="n">
        <f aca="false">F287*B287</f>
        <v>0.107859968582176</v>
      </c>
      <c r="I287" s="49" t="n">
        <f aca="false">F287*C287</f>
        <v>0.0934786394378856</v>
      </c>
      <c r="J287" s="48" t="n">
        <f aca="false">F287^2</f>
        <v>0.0116337728225479</v>
      </c>
      <c r="K287" s="48" t="n">
        <f aca="false">0.5*J287</f>
        <v>0.00581688641127397</v>
      </c>
    </row>
    <row r="288" customFormat="false" ht="15" hidden="false" customHeight="false" outlineLevel="0" collapsed="false">
      <c r="A288" s="46" t="str">
        <f aca="false">01_Data!A20</f>
        <v>S15</v>
      </c>
      <c r="B288" s="47" t="n">
        <f aca="false">01_Data!F20</f>
        <v>1.2</v>
      </c>
      <c r="C288" s="47" t="n">
        <f aca="false">01_Data!G20</f>
        <v>1</v>
      </c>
      <c r="D288" s="47" t="n">
        <f aca="false">01_Data!D20</f>
        <v>92</v>
      </c>
      <c r="E288" s="48" t="n">
        <f aca="false">$D$272+$F$272*B288+$H$272*C288</f>
        <v>92.386544022005</v>
      </c>
      <c r="F288" s="49" t="n">
        <f aca="false">E288-D288</f>
        <v>0.386544022004955</v>
      </c>
      <c r="G288" s="49" t="n">
        <f aca="false">F288</f>
        <v>0.386544022004955</v>
      </c>
      <c r="H288" s="49" t="n">
        <f aca="false">F288*B288</f>
        <v>0.463852826405946</v>
      </c>
      <c r="I288" s="49" t="n">
        <f aca="false">F288*C288</f>
        <v>0.386544022004955</v>
      </c>
      <c r="J288" s="48" t="n">
        <f aca="false">F288^2</f>
        <v>0.149416280947767</v>
      </c>
      <c r="K288" s="48" t="n">
        <f aca="false">0.5*J288</f>
        <v>0.0747081404738836</v>
      </c>
    </row>
    <row r="289" customFormat="false" ht="15" hidden="false" customHeight="false" outlineLevel="0" collapsed="false">
      <c r="A289" s="46" t="str">
        <f aca="false">01_Data!A21</f>
        <v>S16</v>
      </c>
      <c r="B289" s="47" t="n">
        <f aca="false">01_Data!F21</f>
        <v>1.4</v>
      </c>
      <c r="C289" s="47" t="n">
        <f aca="false">01_Data!G21</f>
        <v>1.13333333333333</v>
      </c>
      <c r="D289" s="47" t="n">
        <f aca="false">01_Data!D21</f>
        <v>96</v>
      </c>
      <c r="E289" s="48" t="n">
        <f aca="false">$D$272+$F$272*B289+$H$272*C289</f>
        <v>95.6652280754277</v>
      </c>
      <c r="F289" s="49" t="n">
        <f aca="false">E289-D289</f>
        <v>-0.334771924572266</v>
      </c>
      <c r="G289" s="49" t="n">
        <f aca="false">F289</f>
        <v>-0.334771924572266</v>
      </c>
      <c r="H289" s="49" t="n">
        <f aca="false">F289*B289</f>
        <v>-0.468680694401172</v>
      </c>
      <c r="I289" s="49" t="n">
        <f aca="false">F289*C289</f>
        <v>-0.379408181181901</v>
      </c>
      <c r="J289" s="48" t="n">
        <f aca="false">F289^2</f>
        <v>0.112072241481819</v>
      </c>
      <c r="K289" s="48" t="n">
        <f aca="false">0.5*J289</f>
        <v>0.0560361207409094</v>
      </c>
    </row>
    <row r="290" customFormat="false" ht="15" hidden="false" customHeight="false" outlineLevel="0" collapsed="false">
      <c r="A290" s="46" t="str">
        <f aca="false">01_Data!A22</f>
        <v>S17</v>
      </c>
      <c r="B290" s="47" t="n">
        <f aca="false">01_Data!F22</f>
        <v>1.6</v>
      </c>
      <c r="C290" s="47" t="n">
        <f aca="false">01_Data!G22</f>
        <v>1.33333333333333</v>
      </c>
      <c r="D290" s="47" t="n">
        <f aca="false">01_Data!D22</f>
        <v>99</v>
      </c>
      <c r="E290" s="48" t="n">
        <f aca="false">$D$272+$F$272*B290+$H$272*C290</f>
        <v>99.4308568719973</v>
      </c>
      <c r="F290" s="49" t="n">
        <f aca="false">E290-D290</f>
        <v>0.430856871997335</v>
      </c>
      <c r="G290" s="49" t="n">
        <f aca="false">F290</f>
        <v>0.430856871997335</v>
      </c>
      <c r="H290" s="49" t="n">
        <f aca="false">F290*B290</f>
        <v>0.689370995195736</v>
      </c>
      <c r="I290" s="49" t="n">
        <f aca="false">F290*C290</f>
        <v>0.57447582932978</v>
      </c>
      <c r="J290" s="48" t="n">
        <f aca="false">F290^2</f>
        <v>0.185637644147328</v>
      </c>
      <c r="K290" s="48" t="n">
        <f aca="false">0.5*J290</f>
        <v>0.092818822073664</v>
      </c>
    </row>
    <row r="291" customFormat="false" ht="15" hidden="false" customHeight="false" outlineLevel="0" collapsed="false">
      <c r="A291" s="46" t="str">
        <f aca="false">01_Data!A23</f>
        <v>S18</v>
      </c>
      <c r="B291" s="47" t="n">
        <f aca="false">01_Data!F23</f>
        <v>0</v>
      </c>
      <c r="C291" s="47" t="n">
        <f aca="false">01_Data!G23</f>
        <v>-0.666666666666667</v>
      </c>
      <c r="D291" s="47" t="n">
        <f aca="false">01_Data!D23</f>
        <v>65</v>
      </c>
      <c r="E291" s="48" t="n">
        <f aca="false">$D$272+$F$272*B291+$H$272*C291</f>
        <v>66.3841580405596</v>
      </c>
      <c r="F291" s="49" t="n">
        <f aca="false">E291-D291</f>
        <v>1.38415804055964</v>
      </c>
      <c r="G291" s="49" t="n">
        <f aca="false">F291</f>
        <v>1.38415804055964</v>
      </c>
      <c r="H291" s="49" t="n">
        <f aca="false">F291*B291</f>
        <v>0</v>
      </c>
      <c r="I291" s="49" t="n">
        <f aca="false">F291*C291</f>
        <v>-0.92277202703976</v>
      </c>
      <c r="J291" s="48" t="n">
        <f aca="false">F291^2</f>
        <v>1.9158934812459</v>
      </c>
      <c r="K291" s="48" t="n">
        <f aca="false">0.5*J291</f>
        <v>0.957946740622952</v>
      </c>
    </row>
    <row r="292" customFormat="false" ht="15" hidden="false" customHeight="false" outlineLevel="0" collapsed="false">
      <c r="A292" s="46" t="str">
        <f aca="false">01_Data!A24</f>
        <v>S19</v>
      </c>
      <c r="B292" s="47" t="n">
        <f aca="false">01_Data!F24</f>
        <v>-0.8</v>
      </c>
      <c r="C292" s="47" t="n">
        <f aca="false">01_Data!G24</f>
        <v>0.666666666666667</v>
      </c>
      <c r="D292" s="47" t="n">
        <f aca="false">01_Data!D24</f>
        <v>70</v>
      </c>
      <c r="E292" s="48" t="n">
        <f aca="false">$D$272+$F$272*B292+$H$272*C292</f>
        <v>66.9038746349794</v>
      </c>
      <c r="F292" s="49" t="n">
        <f aca="false">E292-D292</f>
        <v>-3.09612536502058</v>
      </c>
      <c r="G292" s="49" t="n">
        <f aca="false">F292</f>
        <v>-3.09612536502058</v>
      </c>
      <c r="H292" s="49" t="n">
        <f aca="false">F292*B292</f>
        <v>2.47690029201647</v>
      </c>
      <c r="I292" s="49" t="n">
        <f aca="false">F292*C292</f>
        <v>-2.06408357668039</v>
      </c>
      <c r="J292" s="48" t="n">
        <f aca="false">F292^2</f>
        <v>9.58599227592384</v>
      </c>
      <c r="K292" s="48" t="n">
        <f aca="false">0.5*J292</f>
        <v>4.79299613796192</v>
      </c>
    </row>
    <row r="293" customFormat="false" ht="15" hidden="false" customHeight="false" outlineLevel="0" collapsed="false">
      <c r="A293" s="46" t="str">
        <f aca="false">01_Data!A25</f>
        <v>S20</v>
      </c>
      <c r="B293" s="47" t="n">
        <f aca="false">01_Data!F25</f>
        <v>0.8</v>
      </c>
      <c r="C293" s="47" t="n">
        <f aca="false">01_Data!G25</f>
        <v>-0.666666666666667</v>
      </c>
      <c r="D293" s="47" t="n">
        <f aca="false">01_Data!D25</f>
        <v>78</v>
      </c>
      <c r="E293" s="48" t="n">
        <f aca="false">$D$272+$F$272*B293+$H$272*C293</f>
        <v>75.6033363090762</v>
      </c>
      <c r="F293" s="49" t="n">
        <f aca="false">E293-D293</f>
        <v>-2.39666369092377</v>
      </c>
      <c r="G293" s="49" t="n">
        <f aca="false">F293</f>
        <v>-2.39666369092377</v>
      </c>
      <c r="H293" s="49" t="n">
        <f aca="false">F293*B293</f>
        <v>-1.91733095273902</v>
      </c>
      <c r="I293" s="49" t="n">
        <f aca="false">F293*C293</f>
        <v>1.59777579394918</v>
      </c>
      <c r="J293" s="48" t="n">
        <f aca="false">F293^2</f>
        <v>5.74399684739237</v>
      </c>
      <c r="K293" s="48" t="n">
        <f aca="false">0.5*J293</f>
        <v>2.87199842369618</v>
      </c>
    </row>
    <row r="294" customFormat="false" ht="15" hidden="false" customHeight="false" outlineLevel="0" collapsed="false">
      <c r="A294" s="50" t="s">
        <v>134</v>
      </c>
      <c r="B294" s="50"/>
      <c r="C294" s="50"/>
      <c r="D294" s="50"/>
      <c r="E294" s="50"/>
      <c r="F294" s="50"/>
      <c r="G294" s="51" t="n">
        <f aca="false">AVERAGE(G274:G293)</f>
        <v>-0.439866899545593</v>
      </c>
      <c r="H294" s="51" t="n">
        <f aca="false">AVERAGE(H274:H293)</f>
        <v>0.0248127592021773</v>
      </c>
      <c r="I294" s="51" t="n">
        <f aca="false">AVERAGE(I274:I293)</f>
        <v>-0.074514630885047</v>
      </c>
      <c r="J294" s="51" t="n">
        <f aca="false">AVERAGE(J274:J293)</f>
        <v>1.66581698012694</v>
      </c>
      <c r="K294" s="51" t="n">
        <f aca="false">AVERAGE(K274:K293)</f>
        <v>0.832908490063469</v>
      </c>
    </row>
    <row r="295" customFormat="false" ht="22.35" hidden="false" customHeight="true" outlineLevel="0" collapsed="false">
      <c r="A295" s="43" t="s">
        <v>135</v>
      </c>
      <c r="B295" s="43"/>
      <c r="C295" s="43" t="s">
        <v>136</v>
      </c>
      <c r="D295" s="52" t="n">
        <f aca="false">D272-$B$4*G294</f>
        <v>71.4295522318461</v>
      </c>
      <c r="E295" s="43" t="s">
        <v>137</v>
      </c>
      <c r="F295" s="52" t="n">
        <f aca="false">F272-$B$4*H294</f>
        <v>11.5140477319649</v>
      </c>
      <c r="G295" s="43" t="s">
        <v>138</v>
      </c>
      <c r="H295" s="52" t="n">
        <f aca="false">H272-$B$4*I294</f>
        <v>7.33397699955629</v>
      </c>
      <c r="I295" s="44" t="s">
        <v>139</v>
      </c>
      <c r="J295" s="44"/>
      <c r="K295" s="44"/>
    </row>
    <row r="297" customFormat="false" ht="22.5" hidden="false" customHeight="true" outlineLevel="0" collapsed="false">
      <c r="A297" s="53" t="s">
        <v>150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</row>
    <row r="298" customFormat="false" ht="15" hidden="false" customHeight="true" outlineLevel="0" collapsed="false">
      <c r="A298" s="43" t="s">
        <v>118</v>
      </c>
      <c r="B298" s="44" t="n">
        <v>12</v>
      </c>
      <c r="C298" s="43" t="s">
        <v>119</v>
      </c>
      <c r="D298" s="54" t="n">
        <f aca="false">D295</f>
        <v>71.4295522318461</v>
      </c>
      <c r="E298" s="43" t="s">
        <v>120</v>
      </c>
      <c r="F298" s="54" t="n">
        <f aca="false">F295</f>
        <v>11.5140477319649</v>
      </c>
      <c r="G298" s="43" t="s">
        <v>121</v>
      </c>
      <c r="H298" s="54" t="n">
        <f aca="false">H295</f>
        <v>7.33397699955629</v>
      </c>
      <c r="I298" s="44" t="s">
        <v>122</v>
      </c>
      <c r="J298" s="44"/>
      <c r="K298" s="44"/>
    </row>
    <row r="299" customFormat="false" ht="33.75" hidden="false" customHeight="true" outlineLevel="0" collapsed="false">
      <c r="A299" s="13" t="s">
        <v>123</v>
      </c>
      <c r="B299" s="13" t="s">
        <v>124</v>
      </c>
      <c r="C299" s="13" t="s">
        <v>125</v>
      </c>
      <c r="D299" s="13" t="s">
        <v>126</v>
      </c>
      <c r="E299" s="13" t="s">
        <v>127</v>
      </c>
      <c r="F299" s="13" t="s">
        <v>128</v>
      </c>
      <c r="G299" s="13" t="s">
        <v>129</v>
      </c>
      <c r="H299" s="13" t="s">
        <v>130</v>
      </c>
      <c r="I299" s="13" t="s">
        <v>131</v>
      </c>
      <c r="J299" s="13" t="s">
        <v>132</v>
      </c>
      <c r="K299" s="13" t="s">
        <v>133</v>
      </c>
    </row>
    <row r="300" customFormat="false" ht="15" hidden="false" customHeight="false" outlineLevel="0" collapsed="false">
      <c r="A300" s="46" t="str">
        <f aca="false">01_Data!A6</f>
        <v>S01</v>
      </c>
      <c r="B300" s="47" t="n">
        <f aca="false">01_Data!F6</f>
        <v>-1.6</v>
      </c>
      <c r="C300" s="47" t="n">
        <f aca="false">01_Data!G6</f>
        <v>-1.33333333333333</v>
      </c>
      <c r="D300" s="47" t="n">
        <f aca="false">01_Data!D6</f>
        <v>43</v>
      </c>
      <c r="E300" s="48" t="n">
        <f aca="false">$D$298+$F$298*B300+$H$298*C300</f>
        <v>43.2284398612939</v>
      </c>
      <c r="F300" s="49" t="n">
        <f aca="false">E300-D300</f>
        <v>0.228439861293893</v>
      </c>
      <c r="G300" s="49" t="n">
        <f aca="false">F300</f>
        <v>0.228439861293893</v>
      </c>
      <c r="H300" s="49" t="n">
        <f aca="false">F300*B300</f>
        <v>-0.365503778070229</v>
      </c>
      <c r="I300" s="49" t="n">
        <f aca="false">F300*C300</f>
        <v>-0.304586481725191</v>
      </c>
      <c r="J300" s="48" t="n">
        <f aca="false">F300^2</f>
        <v>0.052184770227973</v>
      </c>
      <c r="K300" s="48" t="n">
        <f aca="false">0.5*J300</f>
        <v>0.0260923851139865</v>
      </c>
    </row>
    <row r="301" customFormat="false" ht="15" hidden="false" customHeight="false" outlineLevel="0" collapsed="false">
      <c r="A301" s="46" t="str">
        <f aca="false">01_Data!A7</f>
        <v>S02</v>
      </c>
      <c r="B301" s="47" t="n">
        <f aca="false">01_Data!F7</f>
        <v>-1.4</v>
      </c>
      <c r="C301" s="47" t="n">
        <f aca="false">01_Data!G7</f>
        <v>-1</v>
      </c>
      <c r="D301" s="47" t="n">
        <f aca="false">01_Data!D7</f>
        <v>47</v>
      </c>
      <c r="E301" s="48" t="n">
        <f aca="false">$D$298+$F$298*B301+$H$298*C301</f>
        <v>47.975908407539</v>
      </c>
      <c r="F301" s="49" t="n">
        <f aca="false">E301-D301</f>
        <v>0.975908407538967</v>
      </c>
      <c r="G301" s="49" t="n">
        <f aca="false">F301</f>
        <v>0.975908407538967</v>
      </c>
      <c r="H301" s="49" t="n">
        <f aca="false">F301*B301</f>
        <v>-1.36627177055455</v>
      </c>
      <c r="I301" s="49" t="n">
        <f aca="false">F301*C301</f>
        <v>-0.975908407538967</v>
      </c>
      <c r="J301" s="48" t="n">
        <f aca="false">F301^2</f>
        <v>0.952397219905242</v>
      </c>
      <c r="K301" s="48" t="n">
        <f aca="false">0.5*J301</f>
        <v>0.476198609952621</v>
      </c>
    </row>
    <row r="302" customFormat="false" ht="15" hidden="false" customHeight="false" outlineLevel="0" collapsed="false">
      <c r="A302" s="46" t="str">
        <f aca="false">01_Data!A8</f>
        <v>S03</v>
      </c>
      <c r="B302" s="47" t="n">
        <f aca="false">01_Data!F8</f>
        <v>-1.2</v>
      </c>
      <c r="C302" s="47" t="n">
        <f aca="false">01_Data!G8</f>
        <v>-1.13333333333333</v>
      </c>
      <c r="D302" s="47" t="n">
        <f aca="false">01_Data!D8</f>
        <v>51</v>
      </c>
      <c r="E302" s="48" t="n">
        <f aca="false">$D$298+$F$298*B302+$H$298*C302</f>
        <v>49.3008543539911</v>
      </c>
      <c r="F302" s="49" t="n">
        <f aca="false">E302-D302</f>
        <v>-1.6991456460089</v>
      </c>
      <c r="G302" s="49" t="n">
        <f aca="false">F302</f>
        <v>-1.6991456460089</v>
      </c>
      <c r="H302" s="49" t="n">
        <f aca="false">F302*B302</f>
        <v>2.03897477521068</v>
      </c>
      <c r="I302" s="49" t="n">
        <f aca="false">F302*C302</f>
        <v>1.92569839881009</v>
      </c>
      <c r="J302" s="48" t="n">
        <f aca="false">F302^2</f>
        <v>2.88709592635101</v>
      </c>
      <c r="K302" s="48" t="n">
        <f aca="false">0.5*J302</f>
        <v>1.4435479631755</v>
      </c>
    </row>
    <row r="303" customFormat="false" ht="15" hidden="false" customHeight="false" outlineLevel="0" collapsed="false">
      <c r="A303" s="46" t="str">
        <f aca="false">01_Data!A9</f>
        <v>S04</v>
      </c>
      <c r="B303" s="47" t="n">
        <f aca="false">01_Data!F9</f>
        <v>-1</v>
      </c>
      <c r="C303" s="47" t="n">
        <f aca="false">01_Data!G9</f>
        <v>-0.666666666666667</v>
      </c>
      <c r="D303" s="47" t="n">
        <f aca="false">01_Data!D9</f>
        <v>55</v>
      </c>
      <c r="E303" s="48" t="n">
        <f aca="false">$D$298+$F$298*B303+$H$298*C303</f>
        <v>55.026186500177</v>
      </c>
      <c r="F303" s="49" t="n">
        <f aca="false">E303-D303</f>
        <v>0.0261865001770047</v>
      </c>
      <c r="G303" s="49" t="n">
        <f aca="false">F303</f>
        <v>0.0261865001770047</v>
      </c>
      <c r="H303" s="49" t="n">
        <f aca="false">F303*B303</f>
        <v>-0.0261865001770047</v>
      </c>
      <c r="I303" s="49" t="n">
        <f aca="false">F303*C303</f>
        <v>-0.0174576667846698</v>
      </c>
      <c r="J303" s="48" t="n">
        <f aca="false">F303^2</f>
        <v>0.00068573279152027</v>
      </c>
      <c r="K303" s="48" t="n">
        <f aca="false">0.5*J303</f>
        <v>0.000342866395760135</v>
      </c>
    </row>
    <row r="304" customFormat="false" ht="15" hidden="false" customHeight="false" outlineLevel="0" collapsed="false">
      <c r="A304" s="46" t="str">
        <f aca="false">01_Data!A10</f>
        <v>S05</v>
      </c>
      <c r="B304" s="47" t="n">
        <f aca="false">01_Data!F10</f>
        <v>-0.8</v>
      </c>
      <c r="C304" s="47" t="n">
        <f aca="false">01_Data!G10</f>
        <v>-0.866666666666667</v>
      </c>
      <c r="D304" s="47" t="n">
        <f aca="false">01_Data!D10</f>
        <v>56</v>
      </c>
      <c r="E304" s="48" t="n">
        <f aca="false">$D$298+$F$298*B304+$H$298*C304</f>
        <v>55.8622006466587</v>
      </c>
      <c r="F304" s="49" t="n">
        <f aca="false">E304-D304</f>
        <v>-0.137799353341293</v>
      </c>
      <c r="G304" s="49" t="n">
        <f aca="false">F304</f>
        <v>-0.137799353341293</v>
      </c>
      <c r="H304" s="49" t="n">
        <f aca="false">F304*B304</f>
        <v>0.110239482673035</v>
      </c>
      <c r="I304" s="49" t="n">
        <f aca="false">F304*C304</f>
        <v>0.119426106229121</v>
      </c>
      <c r="J304" s="48" t="n">
        <f aca="false">F304^2</f>
        <v>0.0189886617812786</v>
      </c>
      <c r="K304" s="48" t="n">
        <f aca="false">0.5*J304</f>
        <v>0.00949433089063931</v>
      </c>
    </row>
    <row r="305" customFormat="false" ht="15" hidden="false" customHeight="false" outlineLevel="0" collapsed="false">
      <c r="A305" s="46" t="str">
        <f aca="false">01_Data!A11</f>
        <v>S06</v>
      </c>
      <c r="B305" s="47" t="n">
        <f aca="false">01_Data!F11</f>
        <v>-0.6</v>
      </c>
      <c r="C305" s="47" t="n">
        <f aca="false">01_Data!G11</f>
        <v>-0.333333333333333</v>
      </c>
      <c r="D305" s="47" t="n">
        <f aca="false">01_Data!D11</f>
        <v>63</v>
      </c>
      <c r="E305" s="48" t="n">
        <f aca="false">$D$298+$F$298*B305+$H$298*C305</f>
        <v>62.076464592815</v>
      </c>
      <c r="F305" s="49" t="n">
        <f aca="false">E305-D305</f>
        <v>-0.923535407184957</v>
      </c>
      <c r="G305" s="49" t="n">
        <f aca="false">F305</f>
        <v>-0.923535407184957</v>
      </c>
      <c r="H305" s="49" t="n">
        <f aca="false">F305*B305</f>
        <v>0.554121244310974</v>
      </c>
      <c r="I305" s="49" t="n">
        <f aca="false">F305*C305</f>
        <v>0.307845135728319</v>
      </c>
      <c r="J305" s="48" t="n">
        <f aca="false">F305^2</f>
        <v>0.852917648324285</v>
      </c>
      <c r="K305" s="48" t="n">
        <f aca="false">0.5*J305</f>
        <v>0.426458824162142</v>
      </c>
    </row>
    <row r="306" customFormat="false" ht="15" hidden="false" customHeight="false" outlineLevel="0" collapsed="false">
      <c r="A306" s="46" t="str">
        <f aca="false">01_Data!A12</f>
        <v>S07</v>
      </c>
      <c r="B306" s="47" t="n">
        <f aca="false">01_Data!F12</f>
        <v>-0.4</v>
      </c>
      <c r="C306" s="47" t="n">
        <f aca="false">01_Data!G12</f>
        <v>-0.466666666666667</v>
      </c>
      <c r="D306" s="47" t="n">
        <f aca="false">01_Data!D12</f>
        <v>61</v>
      </c>
      <c r="E306" s="48" t="n">
        <f aca="false">$D$298+$F$298*B306+$H$298*C306</f>
        <v>63.4014105392672</v>
      </c>
      <c r="F306" s="49" t="n">
        <f aca="false">E306-D306</f>
        <v>2.40141053926717</v>
      </c>
      <c r="G306" s="49" t="n">
        <f aca="false">F306</f>
        <v>2.40141053926717</v>
      </c>
      <c r="H306" s="49" t="n">
        <f aca="false">F306*B306</f>
        <v>-0.960564215706867</v>
      </c>
      <c r="I306" s="49" t="n">
        <f aca="false">F306*C306</f>
        <v>-1.12065825165801</v>
      </c>
      <c r="J306" s="48" t="n">
        <f aca="false">F306^2</f>
        <v>5.76677257810343</v>
      </c>
      <c r="K306" s="48" t="n">
        <f aca="false">0.5*J306</f>
        <v>2.88338628905172</v>
      </c>
    </row>
    <row r="307" customFormat="false" ht="15" hidden="false" customHeight="false" outlineLevel="0" collapsed="false">
      <c r="A307" s="46" t="str">
        <f aca="false">01_Data!A13</f>
        <v>S08</v>
      </c>
      <c r="B307" s="47" t="n">
        <f aca="false">01_Data!F13</f>
        <v>-0.2</v>
      </c>
      <c r="C307" s="47" t="n">
        <f aca="false">01_Data!G13</f>
        <v>-0.2</v>
      </c>
      <c r="D307" s="47" t="n">
        <f aca="false">01_Data!D13</f>
        <v>68</v>
      </c>
      <c r="E307" s="48" t="n">
        <f aca="false">$D$298+$F$298*B307+$H$298*C307</f>
        <v>67.6599472855418</v>
      </c>
      <c r="F307" s="49" t="n">
        <f aca="false">E307-D307</f>
        <v>-0.340052714458182</v>
      </c>
      <c r="G307" s="49" t="n">
        <f aca="false">F307</f>
        <v>-0.340052714458182</v>
      </c>
      <c r="H307" s="49" t="n">
        <f aca="false">F307*B307</f>
        <v>0.0680105428916363</v>
      </c>
      <c r="I307" s="49" t="n">
        <f aca="false">F307*C307</f>
        <v>0.0680105428916363</v>
      </c>
      <c r="J307" s="48" t="n">
        <f aca="false">F307^2</f>
        <v>0.115635848610378</v>
      </c>
      <c r="K307" s="48" t="n">
        <f aca="false">0.5*J307</f>
        <v>0.0578179243051888</v>
      </c>
    </row>
    <row r="308" customFormat="false" ht="15" hidden="false" customHeight="false" outlineLevel="0" collapsed="false">
      <c r="A308" s="46" t="str">
        <f aca="false">01_Data!A14</f>
        <v>S09</v>
      </c>
      <c r="B308" s="47" t="n">
        <f aca="false">01_Data!F14</f>
        <v>0</v>
      </c>
      <c r="C308" s="47" t="n">
        <f aca="false">01_Data!G14</f>
        <v>0</v>
      </c>
      <c r="D308" s="47" t="n">
        <f aca="false">01_Data!D14</f>
        <v>72</v>
      </c>
      <c r="E308" s="48" t="n">
        <f aca="false">$D$298+$F$298*B308+$H$298*C308</f>
        <v>71.4295522318461</v>
      </c>
      <c r="F308" s="49" t="n">
        <f aca="false">E308-D308</f>
        <v>-0.570447768153954</v>
      </c>
      <c r="G308" s="49" t="n">
        <f aca="false">F308</f>
        <v>-0.570447768153954</v>
      </c>
      <c r="H308" s="49" t="n">
        <f aca="false">F308*B308</f>
        <v>-0</v>
      </c>
      <c r="I308" s="49" t="n">
        <f aca="false">F308*C308</f>
        <v>-0</v>
      </c>
      <c r="J308" s="48" t="n">
        <f aca="false">F308^2</f>
        <v>0.325410656191828</v>
      </c>
      <c r="K308" s="48" t="n">
        <f aca="false">0.5*J308</f>
        <v>0.162705328095914</v>
      </c>
    </row>
    <row r="309" customFormat="false" ht="15" hidden="false" customHeight="false" outlineLevel="0" collapsed="false">
      <c r="A309" s="46" t="str">
        <f aca="false">01_Data!A15</f>
        <v>S10</v>
      </c>
      <c r="B309" s="47" t="n">
        <f aca="false">01_Data!F15</f>
        <v>0.2</v>
      </c>
      <c r="C309" s="47" t="n">
        <f aca="false">01_Data!G15</f>
        <v>0.2</v>
      </c>
      <c r="D309" s="47" t="n">
        <f aca="false">01_Data!D15</f>
        <v>76</v>
      </c>
      <c r="E309" s="48" t="n">
        <f aca="false">$D$298+$F$298*B309+$H$298*C309</f>
        <v>75.1991571781503</v>
      </c>
      <c r="F309" s="49" t="n">
        <f aca="false">E309-D309</f>
        <v>-0.800842821849727</v>
      </c>
      <c r="G309" s="49" t="n">
        <f aca="false">F309</f>
        <v>-0.800842821849727</v>
      </c>
      <c r="H309" s="49" t="n">
        <f aca="false">F309*B309</f>
        <v>-0.160168564369945</v>
      </c>
      <c r="I309" s="49" t="n">
        <f aca="false">F309*C309</f>
        <v>-0.160168564369945</v>
      </c>
      <c r="J309" s="48" t="n">
        <f aca="false">F309^2</f>
        <v>0.641349225308234</v>
      </c>
      <c r="K309" s="48" t="n">
        <f aca="false">0.5*J309</f>
        <v>0.320674612654117</v>
      </c>
    </row>
    <row r="310" customFormat="false" ht="15" hidden="false" customHeight="false" outlineLevel="0" collapsed="false">
      <c r="A310" s="46" t="str">
        <f aca="false">01_Data!A16</f>
        <v>S11</v>
      </c>
      <c r="B310" s="47" t="n">
        <f aca="false">01_Data!F16</f>
        <v>0.4</v>
      </c>
      <c r="C310" s="47" t="n">
        <f aca="false">01_Data!G16</f>
        <v>0.333333333333333</v>
      </c>
      <c r="D310" s="47" t="n">
        <f aca="false">01_Data!D16</f>
        <v>79</v>
      </c>
      <c r="E310" s="48" t="n">
        <f aca="false">$D$298+$F$298*B310+$H$298*C310</f>
        <v>78.4798303244841</v>
      </c>
      <c r="F310" s="49" t="n">
        <f aca="false">E310-D310</f>
        <v>-0.520169675515916</v>
      </c>
      <c r="G310" s="49" t="n">
        <f aca="false">F310</f>
        <v>-0.520169675515916</v>
      </c>
      <c r="H310" s="49" t="n">
        <f aca="false">F310*B310</f>
        <v>-0.208067870206367</v>
      </c>
      <c r="I310" s="49" t="n">
        <f aca="false">F310*C310</f>
        <v>-0.173389891838639</v>
      </c>
      <c r="J310" s="48" t="n">
        <f aca="false">F310^2</f>
        <v>0.270576491326334</v>
      </c>
      <c r="K310" s="48" t="n">
        <f aca="false">0.5*J310</f>
        <v>0.135288245663167</v>
      </c>
    </row>
    <row r="311" customFormat="false" ht="15" hidden="false" customHeight="false" outlineLevel="0" collapsed="false">
      <c r="A311" s="46" t="str">
        <f aca="false">01_Data!A17</f>
        <v>S12</v>
      </c>
      <c r="B311" s="47" t="n">
        <f aca="false">01_Data!F17</f>
        <v>0.6</v>
      </c>
      <c r="C311" s="47" t="n">
        <f aca="false">01_Data!G17</f>
        <v>0.466666666666667</v>
      </c>
      <c r="D311" s="47" t="n">
        <f aca="false">01_Data!D17</f>
        <v>82</v>
      </c>
      <c r="E311" s="48" t="n">
        <f aca="false">$D$298+$F$298*B311+$H$298*C311</f>
        <v>81.7605034708179</v>
      </c>
      <c r="F311" s="49" t="n">
        <f aca="false">E311-D311</f>
        <v>-0.239496529182105</v>
      </c>
      <c r="G311" s="49" t="n">
        <f aca="false">F311</f>
        <v>-0.239496529182105</v>
      </c>
      <c r="H311" s="49" t="n">
        <f aca="false">F311*B311</f>
        <v>-0.143697917509263</v>
      </c>
      <c r="I311" s="49" t="n">
        <f aca="false">F311*C311</f>
        <v>-0.111765046951649</v>
      </c>
      <c r="J311" s="48" t="n">
        <f aca="false">F311^2</f>
        <v>0.057358587490275</v>
      </c>
      <c r="K311" s="48" t="n">
        <f aca="false">0.5*J311</f>
        <v>0.0286792937451375</v>
      </c>
    </row>
    <row r="312" customFormat="false" ht="15" hidden="false" customHeight="false" outlineLevel="0" collapsed="false">
      <c r="A312" s="46" t="str">
        <f aca="false">01_Data!A18</f>
        <v>S13</v>
      </c>
      <c r="B312" s="47" t="n">
        <f aca="false">01_Data!F18</f>
        <v>0.8</v>
      </c>
      <c r="C312" s="47" t="n">
        <f aca="false">01_Data!G18</f>
        <v>0.666666666666667</v>
      </c>
      <c r="D312" s="47" t="n">
        <f aca="false">01_Data!D18</f>
        <v>87</v>
      </c>
      <c r="E312" s="48" t="n">
        <f aca="false">$D$298+$F$298*B312+$H$298*C312</f>
        <v>85.5301084171221</v>
      </c>
      <c r="F312" s="49" t="n">
        <f aca="false">E312-D312</f>
        <v>-1.46989158287788</v>
      </c>
      <c r="G312" s="49" t="n">
        <f aca="false">F312</f>
        <v>-1.46989158287788</v>
      </c>
      <c r="H312" s="49" t="n">
        <f aca="false">F312*B312</f>
        <v>-1.1759132663023</v>
      </c>
      <c r="I312" s="49" t="n">
        <f aca="false">F312*C312</f>
        <v>-0.979927721918585</v>
      </c>
      <c r="J312" s="48" t="n">
        <f aca="false">F312^2</f>
        <v>2.16058126541523</v>
      </c>
      <c r="K312" s="48" t="n">
        <f aca="false">0.5*J312</f>
        <v>1.08029063270762</v>
      </c>
    </row>
    <row r="313" customFormat="false" ht="15" hidden="false" customHeight="false" outlineLevel="0" collapsed="false">
      <c r="A313" s="46" t="str">
        <f aca="false">01_Data!A19</f>
        <v>S14</v>
      </c>
      <c r="B313" s="47" t="n">
        <f aca="false">01_Data!F19</f>
        <v>1</v>
      </c>
      <c r="C313" s="47" t="n">
        <f aca="false">01_Data!G19</f>
        <v>0.866666666666667</v>
      </c>
      <c r="D313" s="47" t="n">
        <f aca="false">01_Data!D19</f>
        <v>89</v>
      </c>
      <c r="E313" s="48" t="n">
        <f aca="false">$D$298+$F$298*B313+$H$298*C313</f>
        <v>89.2997133634264</v>
      </c>
      <c r="F313" s="49" t="n">
        <f aca="false">E313-D313</f>
        <v>0.299713363426349</v>
      </c>
      <c r="G313" s="49" t="n">
        <f aca="false">F313</f>
        <v>0.299713363426349</v>
      </c>
      <c r="H313" s="49" t="n">
        <f aca="false">F313*B313</f>
        <v>0.299713363426349</v>
      </c>
      <c r="I313" s="49" t="n">
        <f aca="false">F313*C313</f>
        <v>0.259751581636169</v>
      </c>
      <c r="J313" s="48" t="n">
        <f aca="false">F313^2</f>
        <v>0.0898281002163348</v>
      </c>
      <c r="K313" s="48" t="n">
        <f aca="false">0.5*J313</f>
        <v>0.0449140501081674</v>
      </c>
    </row>
    <row r="314" customFormat="false" ht="15" hidden="false" customHeight="false" outlineLevel="0" collapsed="false">
      <c r="A314" s="46" t="str">
        <f aca="false">01_Data!A20</f>
        <v>S15</v>
      </c>
      <c r="B314" s="47" t="n">
        <f aca="false">01_Data!F20</f>
        <v>1.2</v>
      </c>
      <c r="C314" s="47" t="n">
        <f aca="false">01_Data!G20</f>
        <v>1</v>
      </c>
      <c r="D314" s="47" t="n">
        <f aca="false">01_Data!D20</f>
        <v>92</v>
      </c>
      <c r="E314" s="48" t="n">
        <f aca="false">$D$298+$F$298*B314+$H$298*C314</f>
        <v>92.5803865097602</v>
      </c>
      <c r="F314" s="49" t="n">
        <f aca="false">E314-D314</f>
        <v>0.58038650976016</v>
      </c>
      <c r="G314" s="49" t="n">
        <f aca="false">F314</f>
        <v>0.58038650976016</v>
      </c>
      <c r="H314" s="49" t="n">
        <f aca="false">F314*B314</f>
        <v>0.696463811712192</v>
      </c>
      <c r="I314" s="49" t="n">
        <f aca="false">F314*C314</f>
        <v>0.58038650976016</v>
      </c>
      <c r="J314" s="48" t="n">
        <f aca="false">F314^2</f>
        <v>0.33684850071158</v>
      </c>
      <c r="K314" s="48" t="n">
        <f aca="false">0.5*J314</f>
        <v>0.16842425035579</v>
      </c>
    </row>
    <row r="315" customFormat="false" ht="15" hidden="false" customHeight="false" outlineLevel="0" collapsed="false">
      <c r="A315" s="46" t="str">
        <f aca="false">01_Data!A21</f>
        <v>S16</v>
      </c>
      <c r="B315" s="47" t="n">
        <f aca="false">01_Data!F21</f>
        <v>1.4</v>
      </c>
      <c r="C315" s="47" t="n">
        <f aca="false">01_Data!G21</f>
        <v>1.13333333333333</v>
      </c>
      <c r="D315" s="47" t="n">
        <f aca="false">01_Data!D21</f>
        <v>96</v>
      </c>
      <c r="E315" s="48" t="n">
        <f aca="false">$D$298+$F$298*B315+$H$298*C315</f>
        <v>95.861059656094</v>
      </c>
      <c r="F315" s="49" t="n">
        <f aca="false">E315-D315</f>
        <v>-0.138940343906029</v>
      </c>
      <c r="G315" s="49" t="n">
        <f aca="false">F315</f>
        <v>-0.138940343906029</v>
      </c>
      <c r="H315" s="49" t="n">
        <f aca="false">F315*B315</f>
        <v>-0.19451648146844</v>
      </c>
      <c r="I315" s="49" t="n">
        <f aca="false">F315*C315</f>
        <v>-0.157465723093499</v>
      </c>
      <c r="J315" s="48" t="n">
        <f aca="false">F315^2</f>
        <v>0.0193044191647256</v>
      </c>
      <c r="K315" s="48" t="n">
        <f aca="false">0.5*J315</f>
        <v>0.00965220958236278</v>
      </c>
    </row>
    <row r="316" customFormat="false" ht="15" hidden="false" customHeight="false" outlineLevel="0" collapsed="false">
      <c r="A316" s="46" t="str">
        <f aca="false">01_Data!A22</f>
        <v>S17</v>
      </c>
      <c r="B316" s="47" t="n">
        <f aca="false">01_Data!F22</f>
        <v>1.6</v>
      </c>
      <c r="C316" s="47" t="n">
        <f aca="false">01_Data!G22</f>
        <v>1.33333333333333</v>
      </c>
      <c r="D316" s="47" t="n">
        <f aca="false">01_Data!D22</f>
        <v>99</v>
      </c>
      <c r="E316" s="48" t="n">
        <f aca="false">$D$298+$F$298*B316+$H$298*C316</f>
        <v>99.6306646023982</v>
      </c>
      <c r="F316" s="49" t="n">
        <f aca="false">E316-D316</f>
        <v>0.630664602398198</v>
      </c>
      <c r="G316" s="49" t="n">
        <f aca="false">F316</f>
        <v>0.630664602398198</v>
      </c>
      <c r="H316" s="49" t="n">
        <f aca="false">F316*B316</f>
        <v>1.00906336383712</v>
      </c>
      <c r="I316" s="49" t="n">
        <f aca="false">F316*C316</f>
        <v>0.840886136530931</v>
      </c>
      <c r="J316" s="48" t="n">
        <f aca="false">F316^2</f>
        <v>0.397737840718078</v>
      </c>
      <c r="K316" s="48" t="n">
        <f aca="false">0.5*J316</f>
        <v>0.198868920359039</v>
      </c>
    </row>
    <row r="317" customFormat="false" ht="15" hidden="false" customHeight="false" outlineLevel="0" collapsed="false">
      <c r="A317" s="46" t="str">
        <f aca="false">01_Data!A23</f>
        <v>S18</v>
      </c>
      <c r="B317" s="47" t="n">
        <f aca="false">01_Data!F23</f>
        <v>0</v>
      </c>
      <c r="C317" s="47" t="n">
        <f aca="false">01_Data!G23</f>
        <v>-0.666666666666667</v>
      </c>
      <c r="D317" s="47" t="n">
        <f aca="false">01_Data!D23</f>
        <v>65</v>
      </c>
      <c r="E317" s="48" t="n">
        <f aca="false">$D$298+$F$298*B317+$H$298*C317</f>
        <v>66.5402342321419</v>
      </c>
      <c r="F317" s="49" t="n">
        <f aca="false">E317-D317</f>
        <v>1.54023423214186</v>
      </c>
      <c r="G317" s="49" t="n">
        <f aca="false">F317</f>
        <v>1.54023423214186</v>
      </c>
      <c r="H317" s="49" t="n">
        <f aca="false">F317*B317</f>
        <v>0</v>
      </c>
      <c r="I317" s="49" t="n">
        <f aca="false">F317*C317</f>
        <v>-1.0268228214279</v>
      </c>
      <c r="J317" s="48" t="n">
        <f aca="false">F317^2</f>
        <v>2.37232148986161</v>
      </c>
      <c r="K317" s="48" t="n">
        <f aca="false">0.5*J317</f>
        <v>1.18616074493081</v>
      </c>
    </row>
    <row r="318" customFormat="false" ht="15" hidden="false" customHeight="false" outlineLevel="0" collapsed="false">
      <c r="A318" s="46" t="str">
        <f aca="false">01_Data!A24</f>
        <v>S19</v>
      </c>
      <c r="B318" s="47" t="n">
        <f aca="false">01_Data!F24</f>
        <v>-0.8</v>
      </c>
      <c r="C318" s="47" t="n">
        <f aca="false">01_Data!G24</f>
        <v>0.666666666666667</v>
      </c>
      <c r="D318" s="47" t="n">
        <f aca="false">01_Data!D24</f>
        <v>70</v>
      </c>
      <c r="E318" s="48" t="n">
        <f aca="false">$D$298+$F$298*B318+$H$298*C318</f>
        <v>67.1076320459784</v>
      </c>
      <c r="F318" s="49" t="n">
        <f aca="false">E318-D318</f>
        <v>-2.89236795402165</v>
      </c>
      <c r="G318" s="49" t="n">
        <f aca="false">F318</f>
        <v>-2.89236795402165</v>
      </c>
      <c r="H318" s="49" t="n">
        <f aca="false">F318*B318</f>
        <v>2.31389436321732</v>
      </c>
      <c r="I318" s="49" t="n">
        <f aca="false">F318*C318</f>
        <v>-1.9282453026811</v>
      </c>
      <c r="J318" s="48" t="n">
        <f aca="false">F318^2</f>
        <v>8.36579238145139</v>
      </c>
      <c r="K318" s="48" t="n">
        <f aca="false">0.5*J318</f>
        <v>4.1828961907257</v>
      </c>
    </row>
    <row r="319" customFormat="false" ht="15" hidden="false" customHeight="false" outlineLevel="0" collapsed="false">
      <c r="A319" s="46" t="str">
        <f aca="false">01_Data!A25</f>
        <v>S20</v>
      </c>
      <c r="B319" s="47" t="n">
        <f aca="false">01_Data!F25</f>
        <v>0.8</v>
      </c>
      <c r="C319" s="47" t="n">
        <f aca="false">01_Data!G25</f>
        <v>-0.666666666666667</v>
      </c>
      <c r="D319" s="47" t="n">
        <f aca="false">01_Data!D25</f>
        <v>78</v>
      </c>
      <c r="E319" s="48" t="n">
        <f aca="false">$D$298+$F$298*B319+$H$298*C319</f>
        <v>75.7514724177137</v>
      </c>
      <c r="F319" s="49" t="n">
        <f aca="false">E319-D319</f>
        <v>-2.24852758228626</v>
      </c>
      <c r="G319" s="49" t="n">
        <f aca="false">F319</f>
        <v>-2.24852758228626</v>
      </c>
      <c r="H319" s="49" t="n">
        <f aca="false">F319*B319</f>
        <v>-1.79882206582901</v>
      </c>
      <c r="I319" s="49" t="n">
        <f aca="false">F319*C319</f>
        <v>1.49901838819084</v>
      </c>
      <c r="J319" s="48" t="n">
        <f aca="false">F319^2</f>
        <v>5.05587628830208</v>
      </c>
      <c r="K319" s="48" t="n">
        <f aca="false">0.5*J319</f>
        <v>2.52793814415104</v>
      </c>
    </row>
    <row r="320" customFormat="false" ht="15" hidden="false" customHeight="false" outlineLevel="0" collapsed="false">
      <c r="A320" s="50" t="s">
        <v>134</v>
      </c>
      <c r="B320" s="50"/>
      <c r="C320" s="50"/>
      <c r="D320" s="50"/>
      <c r="E320" s="50"/>
      <c r="F320" s="50"/>
      <c r="G320" s="51" t="n">
        <f aca="false">AVERAGE(G300:G319)</f>
        <v>-0.264913668139163</v>
      </c>
      <c r="H320" s="51" t="n">
        <f aca="false">AVERAGE(H300:H319)</f>
        <v>0.0345384258542664</v>
      </c>
      <c r="I320" s="51" t="n">
        <f aca="false">AVERAGE(I300:I319)</f>
        <v>-0.0677686540105449</v>
      </c>
      <c r="J320" s="51" t="n">
        <f aca="false">AVERAGE(J300:J319)</f>
        <v>1.53698318161264</v>
      </c>
      <c r="K320" s="51" t="n">
        <f aca="false">AVERAGE(K300:K319)</f>
        <v>0.768491590806321</v>
      </c>
    </row>
    <row r="321" customFormat="false" ht="22.35" hidden="false" customHeight="true" outlineLevel="0" collapsed="false">
      <c r="A321" s="43" t="s">
        <v>135</v>
      </c>
      <c r="B321" s="43"/>
      <c r="C321" s="43" t="s">
        <v>136</v>
      </c>
      <c r="D321" s="52" t="n">
        <f aca="false">D298-$B$4*G320</f>
        <v>71.5355176991017</v>
      </c>
      <c r="E321" s="43" t="s">
        <v>137</v>
      </c>
      <c r="F321" s="52" t="n">
        <f aca="false">F298-$B$4*H320</f>
        <v>11.5002323616231</v>
      </c>
      <c r="G321" s="43" t="s">
        <v>138</v>
      </c>
      <c r="H321" s="52" t="n">
        <f aca="false">H298-$B$4*I320</f>
        <v>7.36108446116051</v>
      </c>
      <c r="I321" s="44" t="s">
        <v>139</v>
      </c>
      <c r="J321" s="44"/>
      <c r="K321" s="44"/>
    </row>
    <row r="323" customFormat="false" ht="22.5" hidden="false" customHeight="true" outlineLevel="0" collapsed="false">
      <c r="A323" s="4" t="s">
        <v>151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customFormat="false" ht="15" hidden="false" customHeight="true" outlineLevel="0" collapsed="false">
      <c r="A324" s="43" t="s">
        <v>118</v>
      </c>
      <c r="B324" s="44" t="n">
        <v>13</v>
      </c>
      <c r="C324" s="43" t="s">
        <v>119</v>
      </c>
      <c r="D324" s="54" t="n">
        <f aca="false">D321</f>
        <v>71.5355176991017</v>
      </c>
      <c r="E324" s="43" t="s">
        <v>120</v>
      </c>
      <c r="F324" s="54" t="n">
        <f aca="false">F321</f>
        <v>11.5002323616231</v>
      </c>
      <c r="G324" s="43" t="s">
        <v>121</v>
      </c>
      <c r="H324" s="54" t="n">
        <f aca="false">H321</f>
        <v>7.36108446116051</v>
      </c>
      <c r="I324" s="44" t="s">
        <v>122</v>
      </c>
      <c r="J324" s="44"/>
      <c r="K324" s="44"/>
    </row>
    <row r="325" customFormat="false" ht="33.75" hidden="false" customHeight="true" outlineLevel="0" collapsed="false">
      <c r="A325" s="13" t="s">
        <v>123</v>
      </c>
      <c r="B325" s="13" t="s">
        <v>124</v>
      </c>
      <c r="C325" s="13" t="s">
        <v>125</v>
      </c>
      <c r="D325" s="13" t="s">
        <v>126</v>
      </c>
      <c r="E325" s="13" t="s">
        <v>127</v>
      </c>
      <c r="F325" s="13" t="s">
        <v>128</v>
      </c>
      <c r="G325" s="13" t="s">
        <v>129</v>
      </c>
      <c r="H325" s="13" t="s">
        <v>130</v>
      </c>
      <c r="I325" s="13" t="s">
        <v>131</v>
      </c>
      <c r="J325" s="13" t="s">
        <v>132</v>
      </c>
      <c r="K325" s="13" t="s">
        <v>133</v>
      </c>
    </row>
    <row r="326" customFormat="false" ht="15" hidden="false" customHeight="false" outlineLevel="0" collapsed="false">
      <c r="A326" s="46" t="str">
        <f aca="false">01_Data!A6</f>
        <v>S01</v>
      </c>
      <c r="B326" s="47" t="n">
        <f aca="false">01_Data!F6</f>
        <v>-1.6</v>
      </c>
      <c r="C326" s="47" t="n">
        <f aca="false">01_Data!G6</f>
        <v>-1.33333333333333</v>
      </c>
      <c r="D326" s="47" t="n">
        <f aca="false">01_Data!D6</f>
        <v>43</v>
      </c>
      <c r="E326" s="48" t="n">
        <f aca="false">$D$324+$F$324*B326+$H$324*C326</f>
        <v>43.3203666389573</v>
      </c>
      <c r="F326" s="49" t="n">
        <f aca="false">E326-D326</f>
        <v>0.320366638957339</v>
      </c>
      <c r="G326" s="49" t="n">
        <f aca="false">F326</f>
        <v>0.320366638957339</v>
      </c>
      <c r="H326" s="49" t="n">
        <f aca="false">F326*B326</f>
        <v>-0.512586622331742</v>
      </c>
      <c r="I326" s="49" t="n">
        <f aca="false">F326*C326</f>
        <v>-0.427155518609785</v>
      </c>
      <c r="J326" s="48" t="n">
        <f aca="false">F326^2</f>
        <v>0.102634783356822</v>
      </c>
      <c r="K326" s="48" t="n">
        <f aca="false">0.5*J326</f>
        <v>0.0513173916784108</v>
      </c>
    </row>
    <row r="327" customFormat="false" ht="15" hidden="false" customHeight="false" outlineLevel="0" collapsed="false">
      <c r="A327" s="46" t="str">
        <f aca="false">01_Data!A7</f>
        <v>S02</v>
      </c>
      <c r="B327" s="47" t="n">
        <f aca="false">01_Data!F7</f>
        <v>-1.4</v>
      </c>
      <c r="C327" s="47" t="n">
        <f aca="false">01_Data!G7</f>
        <v>-1</v>
      </c>
      <c r="D327" s="47" t="n">
        <f aca="false">01_Data!D7</f>
        <v>47</v>
      </c>
      <c r="E327" s="48" t="n">
        <f aca="false">$D$324+$F$324*B327+$H$324*C327</f>
        <v>48.0741079316688</v>
      </c>
      <c r="F327" s="49" t="n">
        <f aca="false">E327-D327</f>
        <v>1.0741079316688</v>
      </c>
      <c r="G327" s="49" t="n">
        <f aca="false">F327</f>
        <v>1.0741079316688</v>
      </c>
      <c r="H327" s="49" t="n">
        <f aca="false">F327*B327</f>
        <v>-1.50375110433632</v>
      </c>
      <c r="I327" s="49" t="n">
        <f aca="false">F327*C327</f>
        <v>-1.0741079316688</v>
      </c>
      <c r="J327" s="48" t="n">
        <f aca="false">F327^2</f>
        <v>1.15370784887382</v>
      </c>
      <c r="K327" s="48" t="n">
        <f aca="false">0.5*J327</f>
        <v>0.576853924436912</v>
      </c>
    </row>
    <row r="328" customFormat="false" ht="15" hidden="false" customHeight="false" outlineLevel="0" collapsed="false">
      <c r="A328" s="46" t="str">
        <f aca="false">01_Data!A8</f>
        <v>S03</v>
      </c>
      <c r="B328" s="47" t="n">
        <f aca="false">01_Data!F8</f>
        <v>-1.2</v>
      </c>
      <c r="C328" s="47" t="n">
        <f aca="false">01_Data!G8</f>
        <v>-1.13333333333333</v>
      </c>
      <c r="D328" s="47" t="n">
        <f aca="false">01_Data!D8</f>
        <v>51</v>
      </c>
      <c r="E328" s="48" t="n">
        <f aca="false">$D$324+$F$324*B328+$H$324*C328</f>
        <v>49.3926764758387</v>
      </c>
      <c r="F328" s="49" t="n">
        <f aca="false">E328-D328</f>
        <v>-1.6073235241613</v>
      </c>
      <c r="G328" s="49" t="n">
        <f aca="false">F328</f>
        <v>-1.6073235241613</v>
      </c>
      <c r="H328" s="49" t="n">
        <f aca="false">F328*B328</f>
        <v>1.92878822899356</v>
      </c>
      <c r="I328" s="49" t="n">
        <f aca="false">F328*C328</f>
        <v>1.82163332738281</v>
      </c>
      <c r="J328" s="48" t="n">
        <f aca="false">F328^2</f>
        <v>2.58348891132231</v>
      </c>
      <c r="K328" s="48" t="n">
        <f aca="false">0.5*J328</f>
        <v>1.29174445566115</v>
      </c>
    </row>
    <row r="329" customFormat="false" ht="15" hidden="false" customHeight="false" outlineLevel="0" collapsed="false">
      <c r="A329" s="46" t="str">
        <f aca="false">01_Data!A9</f>
        <v>S04</v>
      </c>
      <c r="B329" s="47" t="n">
        <f aca="false">01_Data!F9</f>
        <v>-1</v>
      </c>
      <c r="C329" s="47" t="n">
        <f aca="false">01_Data!G9</f>
        <v>-0.666666666666667</v>
      </c>
      <c r="D329" s="47" t="n">
        <f aca="false">01_Data!D9</f>
        <v>55</v>
      </c>
      <c r="E329" s="48" t="n">
        <f aca="false">$D$324+$F$324*B329+$H$324*C329</f>
        <v>55.1278956967049</v>
      </c>
      <c r="F329" s="49" t="n">
        <f aca="false">E329-D329</f>
        <v>0.127895696704897</v>
      </c>
      <c r="G329" s="49" t="n">
        <f aca="false">F329</f>
        <v>0.127895696704897</v>
      </c>
      <c r="H329" s="49" t="n">
        <f aca="false">F329*B329</f>
        <v>-0.127895696704897</v>
      </c>
      <c r="I329" s="49" t="n">
        <f aca="false">F329*C329</f>
        <v>-0.0852637978032647</v>
      </c>
      <c r="J329" s="48" t="n">
        <f aca="false">F329^2</f>
        <v>0.016357309235631</v>
      </c>
      <c r="K329" s="48" t="n">
        <f aca="false">0.5*J329</f>
        <v>0.0081786546178155</v>
      </c>
    </row>
    <row r="330" customFormat="false" ht="15" hidden="false" customHeight="false" outlineLevel="0" collapsed="false">
      <c r="A330" s="46" t="str">
        <f aca="false">01_Data!A10</f>
        <v>S05</v>
      </c>
      <c r="B330" s="47" t="n">
        <f aca="false">01_Data!F10</f>
        <v>-0.8</v>
      </c>
      <c r="C330" s="47" t="n">
        <f aca="false">01_Data!G10</f>
        <v>-0.866666666666667</v>
      </c>
      <c r="D330" s="47" t="n">
        <f aca="false">01_Data!D10</f>
        <v>56</v>
      </c>
      <c r="E330" s="48" t="n">
        <f aca="false">$D$324+$F$324*B330+$H$324*C330</f>
        <v>55.9557252767974</v>
      </c>
      <c r="F330" s="49" t="n">
        <f aca="false">E330-D330</f>
        <v>-0.0442747232025695</v>
      </c>
      <c r="G330" s="49" t="n">
        <f aca="false">F330</f>
        <v>-0.0442747232025695</v>
      </c>
      <c r="H330" s="49" t="n">
        <f aca="false">F330*B330</f>
        <v>0.0354197785620556</v>
      </c>
      <c r="I330" s="49" t="n">
        <f aca="false">F330*C330</f>
        <v>0.0383714267755603</v>
      </c>
      <c r="J330" s="48" t="n">
        <f aca="false">F330^2</f>
        <v>0.00196025111466415</v>
      </c>
      <c r="K330" s="48" t="n">
        <f aca="false">0.5*J330</f>
        <v>0.000980125557332075</v>
      </c>
    </row>
    <row r="331" customFormat="false" ht="15" hidden="false" customHeight="false" outlineLevel="0" collapsed="false">
      <c r="A331" s="46" t="str">
        <f aca="false">01_Data!A11</f>
        <v>S06</v>
      </c>
      <c r="B331" s="47" t="n">
        <f aca="false">01_Data!F11</f>
        <v>-0.6</v>
      </c>
      <c r="C331" s="47" t="n">
        <f aca="false">01_Data!G11</f>
        <v>-0.333333333333333</v>
      </c>
      <c r="D331" s="47" t="n">
        <f aca="false">01_Data!D11</f>
        <v>63</v>
      </c>
      <c r="E331" s="48" t="n">
        <f aca="false">$D$324+$F$324*B331+$H$324*C331</f>
        <v>62.181683461741</v>
      </c>
      <c r="F331" s="49" t="n">
        <f aca="false">E331-D331</f>
        <v>-0.818316538259005</v>
      </c>
      <c r="G331" s="49" t="n">
        <f aca="false">F331</f>
        <v>-0.818316538259005</v>
      </c>
      <c r="H331" s="49" t="n">
        <f aca="false">F331*B331</f>
        <v>0.490989922955403</v>
      </c>
      <c r="I331" s="49" t="n">
        <f aca="false">F331*C331</f>
        <v>0.272772179419668</v>
      </c>
      <c r="J331" s="48" t="n">
        <f aca="false">F331^2</f>
        <v>0.669641956788201</v>
      </c>
      <c r="K331" s="48" t="n">
        <f aca="false">0.5*J331</f>
        <v>0.334820978394101</v>
      </c>
    </row>
    <row r="332" customFormat="false" ht="15" hidden="false" customHeight="false" outlineLevel="0" collapsed="false">
      <c r="A332" s="46" t="str">
        <f aca="false">01_Data!A12</f>
        <v>S07</v>
      </c>
      <c r="B332" s="47" t="n">
        <f aca="false">01_Data!F12</f>
        <v>-0.4</v>
      </c>
      <c r="C332" s="47" t="n">
        <f aca="false">01_Data!G12</f>
        <v>-0.466666666666667</v>
      </c>
      <c r="D332" s="47" t="n">
        <f aca="false">01_Data!D12</f>
        <v>61</v>
      </c>
      <c r="E332" s="48" t="n">
        <f aca="false">$D$324+$F$324*B332+$H$324*C332</f>
        <v>63.5002520059109</v>
      </c>
      <c r="F332" s="49" t="n">
        <f aca="false">E332-D332</f>
        <v>2.50025200591089</v>
      </c>
      <c r="G332" s="49" t="n">
        <f aca="false">F332</f>
        <v>2.50025200591089</v>
      </c>
      <c r="H332" s="49" t="n">
        <f aca="false">F332*B332</f>
        <v>-1.00010080236436</v>
      </c>
      <c r="I332" s="49" t="n">
        <f aca="false">F332*C332</f>
        <v>-1.16678426942508</v>
      </c>
      <c r="J332" s="48" t="n">
        <f aca="false">F332^2</f>
        <v>6.25126009306142</v>
      </c>
      <c r="K332" s="48" t="n">
        <f aca="false">0.5*J332</f>
        <v>3.12563004653071</v>
      </c>
    </row>
    <row r="333" customFormat="false" ht="15" hidden="false" customHeight="false" outlineLevel="0" collapsed="false">
      <c r="A333" s="46" t="str">
        <f aca="false">01_Data!A13</f>
        <v>S08</v>
      </c>
      <c r="B333" s="47" t="n">
        <f aca="false">01_Data!F13</f>
        <v>-0.2</v>
      </c>
      <c r="C333" s="47" t="n">
        <f aca="false">01_Data!G13</f>
        <v>-0.2</v>
      </c>
      <c r="D333" s="47" t="n">
        <f aca="false">01_Data!D13</f>
        <v>68</v>
      </c>
      <c r="E333" s="48" t="n">
        <f aca="false">$D$324+$F$324*B333+$H$324*C333</f>
        <v>67.763254334545</v>
      </c>
      <c r="F333" s="49" t="n">
        <f aca="false">E333-D333</f>
        <v>-0.236745665455004</v>
      </c>
      <c r="G333" s="49" t="n">
        <f aca="false">F333</f>
        <v>-0.236745665455004</v>
      </c>
      <c r="H333" s="49" t="n">
        <f aca="false">F333*B333</f>
        <v>0.0473491330910008</v>
      </c>
      <c r="I333" s="49" t="n">
        <f aca="false">F333*C333</f>
        <v>0.0473491330910008</v>
      </c>
      <c r="J333" s="48" t="n">
        <f aca="false">F333^2</f>
        <v>0.0560485101117327</v>
      </c>
      <c r="K333" s="48" t="n">
        <f aca="false">0.5*J333</f>
        <v>0.0280242550558663</v>
      </c>
    </row>
    <row r="334" customFormat="false" ht="15" hidden="false" customHeight="false" outlineLevel="0" collapsed="false">
      <c r="A334" s="46" t="str">
        <f aca="false">01_Data!A14</f>
        <v>S09</v>
      </c>
      <c r="B334" s="47" t="n">
        <f aca="false">01_Data!F14</f>
        <v>0</v>
      </c>
      <c r="C334" s="47" t="n">
        <f aca="false">01_Data!G14</f>
        <v>0</v>
      </c>
      <c r="D334" s="47" t="n">
        <f aca="false">01_Data!D14</f>
        <v>72</v>
      </c>
      <c r="E334" s="48" t="n">
        <f aca="false">$D$324+$F$324*B334+$H$324*C334</f>
        <v>71.5355176991017</v>
      </c>
      <c r="F334" s="49" t="n">
        <f aca="false">E334-D334</f>
        <v>-0.464482300898283</v>
      </c>
      <c r="G334" s="49" t="n">
        <f aca="false">F334</f>
        <v>-0.464482300898283</v>
      </c>
      <c r="H334" s="49" t="n">
        <f aca="false">F334*B334</f>
        <v>-0</v>
      </c>
      <c r="I334" s="49" t="n">
        <f aca="false">F334*C334</f>
        <v>-0</v>
      </c>
      <c r="J334" s="48" t="n">
        <f aca="false">F334^2</f>
        <v>0.215743807847763</v>
      </c>
      <c r="K334" s="48" t="n">
        <f aca="false">0.5*J334</f>
        <v>0.107871903923881</v>
      </c>
    </row>
    <row r="335" customFormat="false" ht="15" hidden="false" customHeight="false" outlineLevel="0" collapsed="false">
      <c r="A335" s="46" t="str">
        <f aca="false">01_Data!A15</f>
        <v>S10</v>
      </c>
      <c r="B335" s="47" t="n">
        <f aca="false">01_Data!F15</f>
        <v>0.2</v>
      </c>
      <c r="C335" s="47" t="n">
        <f aca="false">01_Data!G15</f>
        <v>0.2</v>
      </c>
      <c r="D335" s="47" t="n">
        <f aca="false">01_Data!D15</f>
        <v>76</v>
      </c>
      <c r="E335" s="48" t="n">
        <f aca="false">$D$324+$F$324*B335+$H$324*C335</f>
        <v>75.3077810636584</v>
      </c>
      <c r="F335" s="49" t="n">
        <f aca="false">E335-D335</f>
        <v>-0.692218936341561</v>
      </c>
      <c r="G335" s="49" t="n">
        <f aca="false">F335</f>
        <v>-0.692218936341561</v>
      </c>
      <c r="H335" s="49" t="n">
        <f aca="false">F335*B335</f>
        <v>-0.138443787268312</v>
      </c>
      <c r="I335" s="49" t="n">
        <f aca="false">F335*C335</f>
        <v>-0.138443787268312</v>
      </c>
      <c r="J335" s="48" t="n">
        <f aca="false">F335^2</f>
        <v>0.479167055829842</v>
      </c>
      <c r="K335" s="48" t="n">
        <f aca="false">0.5*J335</f>
        <v>0.239583527914921</v>
      </c>
    </row>
    <row r="336" customFormat="false" ht="15" hidden="false" customHeight="false" outlineLevel="0" collapsed="false">
      <c r="A336" s="46" t="str">
        <f aca="false">01_Data!A16</f>
        <v>S11</v>
      </c>
      <c r="B336" s="47" t="n">
        <f aca="false">01_Data!F16</f>
        <v>0.4</v>
      </c>
      <c r="C336" s="47" t="n">
        <f aca="false">01_Data!G16</f>
        <v>0.333333333333333</v>
      </c>
      <c r="D336" s="47" t="n">
        <f aca="false">01_Data!D16</f>
        <v>79</v>
      </c>
      <c r="E336" s="48" t="n">
        <f aca="false">$D$324+$F$324*B336+$H$324*C336</f>
        <v>78.5893054641378</v>
      </c>
      <c r="F336" s="49" t="n">
        <f aca="false">E336-D336</f>
        <v>-0.410694535862191</v>
      </c>
      <c r="G336" s="49" t="n">
        <f aca="false">F336</f>
        <v>-0.410694535862191</v>
      </c>
      <c r="H336" s="49" t="n">
        <f aca="false">F336*B336</f>
        <v>-0.164277814344877</v>
      </c>
      <c r="I336" s="49" t="n">
        <f aca="false">F336*C336</f>
        <v>-0.13689817862073</v>
      </c>
      <c r="J336" s="48" t="n">
        <f aca="false">F336^2</f>
        <v>0.168670001787061</v>
      </c>
      <c r="K336" s="48" t="n">
        <f aca="false">0.5*J336</f>
        <v>0.0843350008935304</v>
      </c>
    </row>
    <row r="337" customFormat="false" ht="15" hidden="false" customHeight="false" outlineLevel="0" collapsed="false">
      <c r="A337" s="46" t="str">
        <f aca="false">01_Data!A17</f>
        <v>S12</v>
      </c>
      <c r="B337" s="47" t="n">
        <f aca="false">01_Data!F17</f>
        <v>0.6</v>
      </c>
      <c r="C337" s="47" t="n">
        <f aca="false">01_Data!G17</f>
        <v>0.466666666666667</v>
      </c>
      <c r="D337" s="47" t="n">
        <f aca="false">01_Data!D17</f>
        <v>82</v>
      </c>
      <c r="E337" s="48" t="n">
        <f aca="false">$D$324+$F$324*B337+$H$324*C337</f>
        <v>81.8708298646172</v>
      </c>
      <c r="F337" s="49" t="n">
        <f aca="false">E337-D337</f>
        <v>-0.129170135382822</v>
      </c>
      <c r="G337" s="49" t="n">
        <f aca="false">F337</f>
        <v>-0.129170135382822</v>
      </c>
      <c r="H337" s="49" t="n">
        <f aca="false">F337*B337</f>
        <v>-0.077502081229693</v>
      </c>
      <c r="I337" s="49" t="n">
        <f aca="false">F337*C337</f>
        <v>-0.0602793965119834</v>
      </c>
      <c r="J337" s="48" t="n">
        <f aca="false">F337^2</f>
        <v>0.0166849238748165</v>
      </c>
      <c r="K337" s="48" t="n">
        <f aca="false">0.5*J337</f>
        <v>0.00834246193740823</v>
      </c>
    </row>
    <row r="338" customFormat="false" ht="15" hidden="false" customHeight="false" outlineLevel="0" collapsed="false">
      <c r="A338" s="46" t="str">
        <f aca="false">01_Data!A18</f>
        <v>S13</v>
      </c>
      <c r="B338" s="47" t="n">
        <f aca="false">01_Data!F18</f>
        <v>0.8</v>
      </c>
      <c r="C338" s="47" t="n">
        <f aca="false">01_Data!G18</f>
        <v>0.666666666666667</v>
      </c>
      <c r="D338" s="47" t="n">
        <f aca="false">01_Data!D18</f>
        <v>87</v>
      </c>
      <c r="E338" s="48" t="n">
        <f aca="false">$D$324+$F$324*B338+$H$324*C338</f>
        <v>85.6430932291739</v>
      </c>
      <c r="F338" s="49" t="n">
        <f aca="false">E338-D338</f>
        <v>-1.35690677082609</v>
      </c>
      <c r="G338" s="49" t="n">
        <f aca="false">F338</f>
        <v>-1.35690677082609</v>
      </c>
      <c r="H338" s="49" t="n">
        <f aca="false">F338*B338</f>
        <v>-1.08552541666087</v>
      </c>
      <c r="I338" s="49" t="n">
        <f aca="false">F338*C338</f>
        <v>-0.904604513884057</v>
      </c>
      <c r="J338" s="48" t="n">
        <f aca="false">F338^2</f>
        <v>1.84119598471368</v>
      </c>
      <c r="K338" s="48" t="n">
        <f aca="false">0.5*J338</f>
        <v>0.920597992356838</v>
      </c>
    </row>
    <row r="339" customFormat="false" ht="15" hidden="false" customHeight="false" outlineLevel="0" collapsed="false">
      <c r="A339" s="46" t="str">
        <f aca="false">01_Data!A19</f>
        <v>S14</v>
      </c>
      <c r="B339" s="47" t="n">
        <f aca="false">01_Data!F19</f>
        <v>1</v>
      </c>
      <c r="C339" s="47" t="n">
        <f aca="false">01_Data!G19</f>
        <v>0.866666666666667</v>
      </c>
      <c r="D339" s="47" t="n">
        <f aca="false">01_Data!D19</f>
        <v>89</v>
      </c>
      <c r="E339" s="48" t="n">
        <f aca="false">$D$324+$F$324*B339+$H$324*C339</f>
        <v>89.4153565937306</v>
      </c>
      <c r="F339" s="49" t="n">
        <f aca="false">E339-D339</f>
        <v>0.415356593730635</v>
      </c>
      <c r="G339" s="49" t="n">
        <f aca="false">F339</f>
        <v>0.415356593730635</v>
      </c>
      <c r="H339" s="49" t="n">
        <f aca="false">F339*B339</f>
        <v>0.415356593730635</v>
      </c>
      <c r="I339" s="49" t="n">
        <f aca="false">F339*C339</f>
        <v>0.359975714566551</v>
      </c>
      <c r="J339" s="48" t="n">
        <f aca="false">F339^2</f>
        <v>0.172521099955516</v>
      </c>
      <c r="K339" s="48" t="n">
        <f aca="false">0.5*J339</f>
        <v>0.0862605499777581</v>
      </c>
    </row>
    <row r="340" customFormat="false" ht="15" hidden="false" customHeight="false" outlineLevel="0" collapsed="false">
      <c r="A340" s="46" t="str">
        <f aca="false">01_Data!A20</f>
        <v>S15</v>
      </c>
      <c r="B340" s="47" t="n">
        <f aca="false">01_Data!F20</f>
        <v>1.2</v>
      </c>
      <c r="C340" s="47" t="n">
        <f aca="false">01_Data!G20</f>
        <v>1</v>
      </c>
      <c r="D340" s="47" t="n">
        <f aca="false">01_Data!D20</f>
        <v>92</v>
      </c>
      <c r="E340" s="48" t="n">
        <f aca="false">$D$324+$F$324*B340+$H$324*C340</f>
        <v>92.69688099421</v>
      </c>
      <c r="F340" s="49" t="n">
        <f aca="false">E340-D340</f>
        <v>0.696880994209991</v>
      </c>
      <c r="G340" s="49" t="n">
        <f aca="false">F340</f>
        <v>0.696880994209991</v>
      </c>
      <c r="H340" s="49" t="n">
        <f aca="false">F340*B340</f>
        <v>0.836257193051989</v>
      </c>
      <c r="I340" s="49" t="n">
        <f aca="false">F340*C340</f>
        <v>0.696880994209991</v>
      </c>
      <c r="J340" s="48" t="n">
        <f aca="false">F340^2</f>
        <v>0.485643120091105</v>
      </c>
      <c r="K340" s="48" t="n">
        <f aca="false">0.5*J340</f>
        <v>0.242821560045553</v>
      </c>
    </row>
    <row r="341" customFormat="false" ht="15" hidden="false" customHeight="false" outlineLevel="0" collapsed="false">
      <c r="A341" s="46" t="str">
        <f aca="false">01_Data!A21</f>
        <v>S16</v>
      </c>
      <c r="B341" s="47" t="n">
        <f aca="false">01_Data!F21</f>
        <v>1.4</v>
      </c>
      <c r="C341" s="47" t="n">
        <f aca="false">01_Data!G21</f>
        <v>1.13333333333333</v>
      </c>
      <c r="D341" s="47" t="n">
        <f aca="false">01_Data!D21</f>
        <v>96</v>
      </c>
      <c r="E341" s="48" t="n">
        <f aca="false">$D$324+$F$324*B341+$H$324*C341</f>
        <v>95.9784053946894</v>
      </c>
      <c r="F341" s="49" t="n">
        <f aca="false">E341-D341</f>
        <v>-0.0215946053106393</v>
      </c>
      <c r="G341" s="49" t="n">
        <f aca="false">F341</f>
        <v>-0.0215946053106393</v>
      </c>
      <c r="H341" s="49" t="n">
        <f aca="false">F341*B341</f>
        <v>-0.030232447434895</v>
      </c>
      <c r="I341" s="49" t="n">
        <f aca="false">F341*C341</f>
        <v>-0.0244738860187245</v>
      </c>
      <c r="J341" s="48" t="n">
        <f aca="false">F341^2</f>
        <v>0.00046632697852229</v>
      </c>
      <c r="K341" s="48" t="n">
        <f aca="false">0.5*J341</f>
        <v>0.000233163489261145</v>
      </c>
    </row>
    <row r="342" customFormat="false" ht="15" hidden="false" customHeight="false" outlineLevel="0" collapsed="false">
      <c r="A342" s="46" t="str">
        <f aca="false">01_Data!A22</f>
        <v>S17</v>
      </c>
      <c r="B342" s="47" t="n">
        <f aca="false">01_Data!F22</f>
        <v>1.6</v>
      </c>
      <c r="C342" s="47" t="n">
        <f aca="false">01_Data!G22</f>
        <v>1.33333333333333</v>
      </c>
      <c r="D342" s="47" t="n">
        <f aca="false">01_Data!D22</f>
        <v>99</v>
      </c>
      <c r="E342" s="48" t="n">
        <f aca="false">$D$324+$F$324*B342+$H$324*C342</f>
        <v>99.7506687592461</v>
      </c>
      <c r="F342" s="49" t="n">
        <f aca="false">E342-D342</f>
        <v>0.750668759246096</v>
      </c>
      <c r="G342" s="49" t="n">
        <f aca="false">F342</f>
        <v>0.750668759246096</v>
      </c>
      <c r="H342" s="49" t="n">
        <f aca="false">F342*B342</f>
        <v>1.20107001479375</v>
      </c>
      <c r="I342" s="49" t="n">
        <f aca="false">F342*C342</f>
        <v>1.0008916789948</v>
      </c>
      <c r="J342" s="48" t="n">
        <f aca="false">F342^2</f>
        <v>0.563503586108074</v>
      </c>
      <c r="K342" s="48" t="n">
        <f aca="false">0.5*J342</f>
        <v>0.281751793054037</v>
      </c>
    </row>
    <row r="343" customFormat="false" ht="15" hidden="false" customHeight="false" outlineLevel="0" collapsed="false">
      <c r="A343" s="46" t="str">
        <f aca="false">01_Data!A23</f>
        <v>S18</v>
      </c>
      <c r="B343" s="47" t="n">
        <f aca="false">01_Data!F23</f>
        <v>0</v>
      </c>
      <c r="C343" s="47" t="n">
        <f aca="false">01_Data!G23</f>
        <v>-0.666666666666667</v>
      </c>
      <c r="D343" s="47" t="n">
        <f aca="false">01_Data!D23</f>
        <v>65</v>
      </c>
      <c r="E343" s="48" t="n">
        <f aca="false">$D$324+$F$324*B343+$H$324*C343</f>
        <v>66.628128058328</v>
      </c>
      <c r="F343" s="49" t="n">
        <f aca="false">E343-D343</f>
        <v>1.62812805832804</v>
      </c>
      <c r="G343" s="49" t="n">
        <f aca="false">F343</f>
        <v>1.62812805832804</v>
      </c>
      <c r="H343" s="49" t="n">
        <f aca="false">F343*B343</f>
        <v>0</v>
      </c>
      <c r="I343" s="49" t="n">
        <f aca="false">F343*C343</f>
        <v>-1.08541870555203</v>
      </c>
      <c r="J343" s="48" t="n">
        <f aca="false">F343^2</f>
        <v>2.65080097431505</v>
      </c>
      <c r="K343" s="48" t="n">
        <f aca="false">0.5*J343</f>
        <v>1.32540048715752</v>
      </c>
    </row>
    <row r="344" customFormat="false" ht="15" hidden="false" customHeight="false" outlineLevel="0" collapsed="false">
      <c r="A344" s="46" t="str">
        <f aca="false">01_Data!A24</f>
        <v>S19</v>
      </c>
      <c r="B344" s="47" t="n">
        <f aca="false">01_Data!F24</f>
        <v>-0.8</v>
      </c>
      <c r="C344" s="47" t="n">
        <f aca="false">01_Data!G24</f>
        <v>0.666666666666667</v>
      </c>
      <c r="D344" s="47" t="n">
        <f aca="false">01_Data!D24</f>
        <v>70</v>
      </c>
      <c r="E344" s="48" t="n">
        <f aca="false">$D$324+$F$324*B344+$H$324*C344</f>
        <v>67.2427214505769</v>
      </c>
      <c r="F344" s="49" t="n">
        <f aca="false">E344-D344</f>
        <v>-2.75727854942313</v>
      </c>
      <c r="G344" s="49" t="n">
        <f aca="false">F344</f>
        <v>-2.75727854942313</v>
      </c>
      <c r="H344" s="49" t="n">
        <f aca="false">F344*B344</f>
        <v>2.20582283953851</v>
      </c>
      <c r="I344" s="49" t="n">
        <f aca="false">F344*C344</f>
        <v>-1.83818569961542</v>
      </c>
      <c r="J344" s="48" t="n">
        <f aca="false">F344^2</f>
        <v>7.60258499910894</v>
      </c>
      <c r="K344" s="48" t="n">
        <f aca="false">0.5*J344</f>
        <v>3.80129249955447</v>
      </c>
    </row>
    <row r="345" customFormat="false" ht="15" hidden="false" customHeight="false" outlineLevel="0" collapsed="false">
      <c r="A345" s="46" t="str">
        <f aca="false">01_Data!A25</f>
        <v>S20</v>
      </c>
      <c r="B345" s="47" t="n">
        <f aca="false">01_Data!F25</f>
        <v>0.8</v>
      </c>
      <c r="C345" s="47" t="n">
        <f aca="false">01_Data!G25</f>
        <v>-0.666666666666667</v>
      </c>
      <c r="D345" s="47" t="n">
        <f aca="false">01_Data!D25</f>
        <v>78</v>
      </c>
      <c r="E345" s="48" t="n">
        <f aca="false">$D$324+$F$324*B345+$H$324*C345</f>
        <v>75.8283139476266</v>
      </c>
      <c r="F345" s="49" t="n">
        <f aca="false">E345-D345</f>
        <v>-2.17168605237343</v>
      </c>
      <c r="G345" s="49" t="n">
        <f aca="false">F345</f>
        <v>-2.17168605237343</v>
      </c>
      <c r="H345" s="49" t="n">
        <f aca="false">F345*B345</f>
        <v>-1.73734884189875</v>
      </c>
      <c r="I345" s="49" t="n">
        <f aca="false">F345*C345</f>
        <v>1.44779070158229</v>
      </c>
      <c r="J345" s="48" t="n">
        <f aca="false">F345^2</f>
        <v>4.7162203100733</v>
      </c>
      <c r="K345" s="48" t="n">
        <f aca="false">0.5*J345</f>
        <v>2.35811015503665</v>
      </c>
    </row>
    <row r="346" customFormat="false" ht="15" hidden="false" customHeight="false" outlineLevel="0" collapsed="false">
      <c r="A346" s="50" t="s">
        <v>134</v>
      </c>
      <c r="B346" s="50"/>
      <c r="C346" s="50"/>
      <c r="D346" s="50"/>
      <c r="E346" s="50"/>
      <c r="F346" s="50"/>
      <c r="G346" s="51" t="n">
        <f aca="false">AVERAGE(G326:G345)</f>
        <v>-0.159851782936967</v>
      </c>
      <c r="H346" s="51" t="n">
        <f aca="false">AVERAGE(H326:H345)</f>
        <v>0.0391694545071103</v>
      </c>
      <c r="I346" s="51" t="n">
        <f aca="false">AVERAGE(I326:I345)</f>
        <v>-0.0627975264477764</v>
      </c>
      <c r="J346" s="51" t="n">
        <f aca="false">AVERAGE(J326:J345)</f>
        <v>1.48741509272741</v>
      </c>
      <c r="K346" s="51" t="n">
        <f aca="false">AVERAGE(K326:K345)</f>
        <v>0.743707546363707</v>
      </c>
    </row>
    <row r="347" customFormat="false" ht="22.35" hidden="false" customHeight="true" outlineLevel="0" collapsed="false">
      <c r="A347" s="43" t="s">
        <v>135</v>
      </c>
      <c r="B347" s="43"/>
      <c r="C347" s="43" t="s">
        <v>136</v>
      </c>
      <c r="D347" s="52" t="n">
        <f aca="false">D324-$B$4*G346</f>
        <v>71.5994584122765</v>
      </c>
      <c r="E347" s="43" t="s">
        <v>137</v>
      </c>
      <c r="F347" s="52" t="n">
        <f aca="false">F324-$B$4*H346</f>
        <v>11.4845645798203</v>
      </c>
      <c r="G347" s="43" t="s">
        <v>138</v>
      </c>
      <c r="H347" s="52" t="n">
        <f aca="false">H324-$B$4*I346</f>
        <v>7.38620347173962</v>
      </c>
      <c r="I347" s="44" t="s">
        <v>139</v>
      </c>
      <c r="J347" s="44"/>
      <c r="K347" s="44"/>
    </row>
    <row r="349" customFormat="false" ht="22.5" hidden="false" customHeight="true" outlineLevel="0" collapsed="false">
      <c r="A349" s="53" t="s">
        <v>152</v>
      </c>
      <c r="B349" s="53"/>
      <c r="C349" s="53"/>
      <c r="D349" s="53"/>
      <c r="E349" s="53"/>
      <c r="F349" s="53"/>
      <c r="G349" s="53"/>
      <c r="H349" s="53"/>
      <c r="I349" s="53"/>
      <c r="J349" s="53"/>
      <c r="K349" s="53"/>
    </row>
    <row r="350" customFormat="false" ht="15" hidden="false" customHeight="true" outlineLevel="0" collapsed="false">
      <c r="A350" s="43" t="s">
        <v>118</v>
      </c>
      <c r="B350" s="44" t="n">
        <v>14</v>
      </c>
      <c r="C350" s="43" t="s">
        <v>119</v>
      </c>
      <c r="D350" s="54" t="n">
        <f aca="false">D347</f>
        <v>71.5994584122765</v>
      </c>
      <c r="E350" s="43" t="s">
        <v>120</v>
      </c>
      <c r="F350" s="54" t="n">
        <f aca="false">F347</f>
        <v>11.4845645798203</v>
      </c>
      <c r="G350" s="43" t="s">
        <v>121</v>
      </c>
      <c r="H350" s="54" t="n">
        <f aca="false">H347</f>
        <v>7.38620347173962</v>
      </c>
      <c r="I350" s="44" t="s">
        <v>122</v>
      </c>
      <c r="J350" s="44"/>
      <c r="K350" s="44"/>
    </row>
    <row r="351" customFormat="false" ht="33.75" hidden="false" customHeight="true" outlineLevel="0" collapsed="false">
      <c r="A351" s="13" t="s">
        <v>123</v>
      </c>
      <c r="B351" s="13" t="s">
        <v>124</v>
      </c>
      <c r="C351" s="13" t="s">
        <v>125</v>
      </c>
      <c r="D351" s="13" t="s">
        <v>126</v>
      </c>
      <c r="E351" s="13" t="s">
        <v>127</v>
      </c>
      <c r="F351" s="13" t="s">
        <v>128</v>
      </c>
      <c r="G351" s="13" t="s">
        <v>129</v>
      </c>
      <c r="H351" s="13" t="s">
        <v>130</v>
      </c>
      <c r="I351" s="13" t="s">
        <v>131</v>
      </c>
      <c r="J351" s="13" t="s">
        <v>132</v>
      </c>
      <c r="K351" s="13" t="s">
        <v>133</v>
      </c>
    </row>
    <row r="352" customFormat="false" ht="15" hidden="false" customHeight="false" outlineLevel="0" collapsed="false">
      <c r="A352" s="46" t="str">
        <f aca="false">01_Data!A6</f>
        <v>S01</v>
      </c>
      <c r="B352" s="47" t="n">
        <f aca="false">01_Data!F6</f>
        <v>-1.6</v>
      </c>
      <c r="C352" s="47" t="n">
        <f aca="false">01_Data!G6</f>
        <v>-1.33333333333333</v>
      </c>
      <c r="D352" s="47" t="n">
        <f aca="false">01_Data!D6</f>
        <v>43</v>
      </c>
      <c r="E352" s="48" t="n">
        <f aca="false">$D$350+$F$350*B352+$H$350*C352</f>
        <v>43.3758837889112</v>
      </c>
      <c r="F352" s="49" t="n">
        <f aca="false">E352-D352</f>
        <v>0.375883788911196</v>
      </c>
      <c r="G352" s="49" t="n">
        <f aca="false">F352</f>
        <v>0.375883788911196</v>
      </c>
      <c r="H352" s="49" t="n">
        <f aca="false">F352*B352</f>
        <v>-0.601414062257914</v>
      </c>
      <c r="I352" s="49" t="n">
        <f aca="false">F352*C352</f>
        <v>-0.501178385214928</v>
      </c>
      <c r="J352" s="48" t="n">
        <f aca="false">F352^2</f>
        <v>0.141288622766236</v>
      </c>
      <c r="K352" s="48" t="n">
        <f aca="false">0.5*J352</f>
        <v>0.0706443113831182</v>
      </c>
    </row>
    <row r="353" customFormat="false" ht="15" hidden="false" customHeight="false" outlineLevel="0" collapsed="false">
      <c r="A353" s="46" t="str">
        <f aca="false">01_Data!A7</f>
        <v>S02</v>
      </c>
      <c r="B353" s="47" t="n">
        <f aca="false">01_Data!F7</f>
        <v>-1.4</v>
      </c>
      <c r="C353" s="47" t="n">
        <f aca="false">01_Data!G7</f>
        <v>-1</v>
      </c>
      <c r="D353" s="47" t="n">
        <f aca="false">01_Data!D7</f>
        <v>47</v>
      </c>
      <c r="E353" s="48" t="n">
        <f aca="false">$D$350+$F$350*B353+$H$350*C353</f>
        <v>48.1348645287885</v>
      </c>
      <c r="F353" s="49" t="n">
        <f aca="false">E353-D353</f>
        <v>1.13486452878846</v>
      </c>
      <c r="G353" s="49" t="n">
        <f aca="false">F353</f>
        <v>1.13486452878846</v>
      </c>
      <c r="H353" s="49" t="n">
        <f aca="false">F353*B353</f>
        <v>-1.58881034030384</v>
      </c>
      <c r="I353" s="49" t="n">
        <f aca="false">F353*C353</f>
        <v>-1.13486452878846</v>
      </c>
      <c r="J353" s="48" t="n">
        <f aca="false">F353^2</f>
        <v>1.28791749870224</v>
      </c>
      <c r="K353" s="48" t="n">
        <f aca="false">0.5*J353</f>
        <v>0.643958749351121</v>
      </c>
    </row>
    <row r="354" customFormat="false" ht="15" hidden="false" customHeight="false" outlineLevel="0" collapsed="false">
      <c r="A354" s="46" t="str">
        <f aca="false">01_Data!A8</f>
        <v>S03</v>
      </c>
      <c r="B354" s="47" t="n">
        <f aca="false">01_Data!F8</f>
        <v>-1.2</v>
      </c>
      <c r="C354" s="47" t="n">
        <f aca="false">01_Data!G8</f>
        <v>-1.13333333333333</v>
      </c>
      <c r="D354" s="47" t="n">
        <f aca="false">01_Data!D8</f>
        <v>51</v>
      </c>
      <c r="E354" s="48" t="n">
        <f aca="false">$D$350+$F$350*B354+$H$350*C354</f>
        <v>49.4469503151872</v>
      </c>
      <c r="F354" s="49" t="n">
        <f aca="false">E354-D354</f>
        <v>-1.55304968481276</v>
      </c>
      <c r="G354" s="49" t="n">
        <f aca="false">F354</f>
        <v>-1.55304968481276</v>
      </c>
      <c r="H354" s="49" t="n">
        <f aca="false">F354*B354</f>
        <v>1.86365962177532</v>
      </c>
      <c r="I354" s="49" t="n">
        <f aca="false">F354*C354</f>
        <v>1.76012297612113</v>
      </c>
      <c r="J354" s="48" t="n">
        <f aca="false">F354^2</f>
        <v>2.41196332349702</v>
      </c>
      <c r="K354" s="48" t="n">
        <f aca="false">0.5*J354</f>
        <v>1.20598166174851</v>
      </c>
    </row>
    <row r="355" customFormat="false" ht="15" hidden="false" customHeight="false" outlineLevel="0" collapsed="false">
      <c r="A355" s="46" t="str">
        <f aca="false">01_Data!A9</f>
        <v>S04</v>
      </c>
      <c r="B355" s="47" t="n">
        <f aca="false">01_Data!F9</f>
        <v>-1</v>
      </c>
      <c r="C355" s="47" t="n">
        <f aca="false">01_Data!G9</f>
        <v>-0.666666666666667</v>
      </c>
      <c r="D355" s="47" t="n">
        <f aca="false">01_Data!D9</f>
        <v>55</v>
      </c>
      <c r="E355" s="48" t="n">
        <f aca="false">$D$350+$F$350*B355+$H$350*C355</f>
        <v>55.1907581846298</v>
      </c>
      <c r="F355" s="49" t="n">
        <f aca="false">E355-D355</f>
        <v>0.190758184629793</v>
      </c>
      <c r="G355" s="49" t="n">
        <f aca="false">F355</f>
        <v>0.190758184629793</v>
      </c>
      <c r="H355" s="49" t="n">
        <f aca="false">F355*B355</f>
        <v>-0.190758184629793</v>
      </c>
      <c r="I355" s="49" t="n">
        <f aca="false">F355*C355</f>
        <v>-0.127172123086529</v>
      </c>
      <c r="J355" s="48" t="n">
        <f aca="false">F355^2</f>
        <v>0.0363886850032542</v>
      </c>
      <c r="K355" s="48" t="n">
        <f aca="false">0.5*J355</f>
        <v>0.0181943425016271</v>
      </c>
    </row>
    <row r="356" customFormat="false" ht="15" hidden="false" customHeight="false" outlineLevel="0" collapsed="false">
      <c r="A356" s="46" t="str">
        <f aca="false">01_Data!A10</f>
        <v>S05</v>
      </c>
      <c r="B356" s="47" t="n">
        <f aca="false">01_Data!F10</f>
        <v>-0.8</v>
      </c>
      <c r="C356" s="47" t="n">
        <f aca="false">01_Data!G10</f>
        <v>-0.866666666666667</v>
      </c>
      <c r="D356" s="47" t="n">
        <f aca="false">01_Data!D10</f>
        <v>56</v>
      </c>
      <c r="E356" s="48" t="n">
        <f aca="false">$D$350+$F$350*B356+$H$350*C356</f>
        <v>56.0104304062459</v>
      </c>
      <c r="F356" s="49" t="n">
        <f aca="false">E356-D356</f>
        <v>0.0104304062459306</v>
      </c>
      <c r="G356" s="49" t="n">
        <f aca="false">F356</f>
        <v>0.0104304062459306</v>
      </c>
      <c r="H356" s="49" t="n">
        <f aca="false">F356*B356</f>
        <v>-0.00834432499674449</v>
      </c>
      <c r="I356" s="49" t="n">
        <f aca="false">F356*C356</f>
        <v>-0.00903968541313987</v>
      </c>
      <c r="J356" s="48" t="n">
        <f aca="false">F356^2</f>
        <v>0.000108793374455148</v>
      </c>
      <c r="K356" s="48" t="n">
        <f aca="false">0.5*J356</f>
        <v>5.43966872275742E-005</v>
      </c>
    </row>
    <row r="357" customFormat="false" ht="15" hidden="false" customHeight="false" outlineLevel="0" collapsed="false">
      <c r="A357" s="46" t="str">
        <f aca="false">01_Data!A11</f>
        <v>S06</v>
      </c>
      <c r="B357" s="47" t="n">
        <f aca="false">01_Data!F11</f>
        <v>-0.6</v>
      </c>
      <c r="C357" s="47" t="n">
        <f aca="false">01_Data!G11</f>
        <v>-0.333333333333333</v>
      </c>
      <c r="D357" s="47" t="n">
        <f aca="false">01_Data!D11</f>
        <v>63</v>
      </c>
      <c r="E357" s="48" t="n">
        <f aca="false">$D$350+$F$350*B357+$H$350*C357</f>
        <v>62.2466518404711</v>
      </c>
      <c r="F357" s="49" t="n">
        <f aca="false">E357-D357</f>
        <v>-0.753348159528883</v>
      </c>
      <c r="G357" s="49" t="n">
        <f aca="false">F357</f>
        <v>-0.753348159528883</v>
      </c>
      <c r="H357" s="49" t="n">
        <f aca="false">F357*B357</f>
        <v>0.45200889571733</v>
      </c>
      <c r="I357" s="49" t="n">
        <f aca="false">F357*C357</f>
        <v>0.251116053176294</v>
      </c>
      <c r="J357" s="48" t="n">
        <f aca="false">F357^2</f>
        <v>0.567533449465556</v>
      </c>
      <c r="K357" s="48" t="n">
        <f aca="false">0.5*J357</f>
        <v>0.283766724732778</v>
      </c>
    </row>
    <row r="358" customFormat="false" ht="15" hidden="false" customHeight="false" outlineLevel="0" collapsed="false">
      <c r="A358" s="46" t="str">
        <f aca="false">01_Data!A12</f>
        <v>S07</v>
      </c>
      <c r="B358" s="47" t="n">
        <f aca="false">01_Data!F12</f>
        <v>-0.4</v>
      </c>
      <c r="C358" s="47" t="n">
        <f aca="false">01_Data!G12</f>
        <v>-0.466666666666667</v>
      </c>
      <c r="D358" s="47" t="n">
        <f aca="false">01_Data!D12</f>
        <v>61</v>
      </c>
      <c r="E358" s="48" t="n">
        <f aca="false">$D$350+$F$350*B358+$H$350*C358</f>
        <v>63.5587376268699</v>
      </c>
      <c r="F358" s="49" t="n">
        <f aca="false">E358-D358</f>
        <v>2.5587376268699</v>
      </c>
      <c r="G358" s="49" t="n">
        <f aca="false">F358</f>
        <v>2.5587376268699</v>
      </c>
      <c r="H358" s="49" t="n">
        <f aca="false">F358*B358</f>
        <v>-1.02349505074796</v>
      </c>
      <c r="I358" s="49" t="n">
        <f aca="false">F358*C358</f>
        <v>-1.19407755920595</v>
      </c>
      <c r="J358" s="48" t="n">
        <f aca="false">F358^2</f>
        <v>6.5471382431598</v>
      </c>
      <c r="K358" s="48" t="n">
        <f aca="false">0.5*J358</f>
        <v>3.2735691215799</v>
      </c>
    </row>
    <row r="359" customFormat="false" ht="15" hidden="false" customHeight="false" outlineLevel="0" collapsed="false">
      <c r="A359" s="46" t="str">
        <f aca="false">01_Data!A13</f>
        <v>S08</v>
      </c>
      <c r="B359" s="47" t="n">
        <f aca="false">01_Data!F13</f>
        <v>-0.2</v>
      </c>
      <c r="C359" s="47" t="n">
        <f aca="false">01_Data!G13</f>
        <v>-0.2</v>
      </c>
      <c r="D359" s="47" t="n">
        <f aca="false">01_Data!D13</f>
        <v>68</v>
      </c>
      <c r="E359" s="48" t="n">
        <f aca="false">$D$350+$F$350*B359+$H$350*C359</f>
        <v>67.8253048019645</v>
      </c>
      <c r="F359" s="49" t="n">
        <f aca="false">E359-D359</f>
        <v>-0.174695198035479</v>
      </c>
      <c r="G359" s="49" t="n">
        <f aca="false">F359</f>
        <v>-0.174695198035479</v>
      </c>
      <c r="H359" s="49" t="n">
        <f aca="false">F359*B359</f>
        <v>0.0349390396070959</v>
      </c>
      <c r="I359" s="49" t="n">
        <f aca="false">F359*C359</f>
        <v>0.0349390396070959</v>
      </c>
      <c r="J359" s="48" t="n">
        <f aca="false">F359^2</f>
        <v>0.0305184122166554</v>
      </c>
      <c r="K359" s="48" t="n">
        <f aca="false">0.5*J359</f>
        <v>0.0152592061083277</v>
      </c>
    </row>
    <row r="360" customFormat="false" ht="15" hidden="false" customHeight="false" outlineLevel="0" collapsed="false">
      <c r="A360" s="46" t="str">
        <f aca="false">01_Data!A14</f>
        <v>S09</v>
      </c>
      <c r="B360" s="47" t="n">
        <f aca="false">01_Data!F14</f>
        <v>0</v>
      </c>
      <c r="C360" s="47" t="n">
        <f aca="false">01_Data!G14</f>
        <v>0</v>
      </c>
      <c r="D360" s="47" t="n">
        <f aca="false">01_Data!D14</f>
        <v>72</v>
      </c>
      <c r="E360" s="48" t="n">
        <f aca="false">$D$350+$F$350*B360+$H$350*C360</f>
        <v>71.5994584122765</v>
      </c>
      <c r="F360" s="49" t="n">
        <f aca="false">E360-D360</f>
        <v>-0.400541587723495</v>
      </c>
      <c r="G360" s="49" t="n">
        <f aca="false">F360</f>
        <v>-0.400541587723495</v>
      </c>
      <c r="H360" s="49" t="n">
        <f aca="false">F360*B360</f>
        <v>-0</v>
      </c>
      <c r="I360" s="49" t="n">
        <f aca="false">F360*C360</f>
        <v>-0</v>
      </c>
      <c r="J360" s="48" t="n">
        <f aca="false">F360^2</f>
        <v>0.160433563496058</v>
      </c>
      <c r="K360" s="48" t="n">
        <f aca="false">0.5*J360</f>
        <v>0.0802167817480292</v>
      </c>
    </row>
    <row r="361" customFormat="false" ht="15" hidden="false" customHeight="false" outlineLevel="0" collapsed="false">
      <c r="A361" s="46" t="str">
        <f aca="false">01_Data!A15</f>
        <v>S10</v>
      </c>
      <c r="B361" s="47" t="n">
        <f aca="false">01_Data!F15</f>
        <v>0.2</v>
      </c>
      <c r="C361" s="47" t="n">
        <f aca="false">01_Data!G15</f>
        <v>0.2</v>
      </c>
      <c r="D361" s="47" t="n">
        <f aca="false">01_Data!D15</f>
        <v>76</v>
      </c>
      <c r="E361" s="48" t="n">
        <f aca="false">$D$350+$F$350*B361+$H$350*C361</f>
        <v>75.3736120225885</v>
      </c>
      <c r="F361" s="49" t="n">
        <f aca="false">E361-D361</f>
        <v>-0.626387977411511</v>
      </c>
      <c r="G361" s="49" t="n">
        <f aca="false">F361</f>
        <v>-0.626387977411511</v>
      </c>
      <c r="H361" s="49" t="n">
        <f aca="false">F361*B361</f>
        <v>-0.125277595482302</v>
      </c>
      <c r="I361" s="49" t="n">
        <f aca="false">F361*C361</f>
        <v>-0.125277595482302</v>
      </c>
      <c r="J361" s="48" t="n">
        <f aca="false">F361^2</f>
        <v>0.392361898245684</v>
      </c>
      <c r="K361" s="48" t="n">
        <f aca="false">0.5*J361</f>
        <v>0.196180949122842</v>
      </c>
    </row>
    <row r="362" customFormat="false" ht="15" hidden="false" customHeight="false" outlineLevel="0" collapsed="false">
      <c r="A362" s="46" t="str">
        <f aca="false">01_Data!A16</f>
        <v>S11</v>
      </c>
      <c r="B362" s="47" t="n">
        <f aca="false">01_Data!F16</f>
        <v>0.4</v>
      </c>
      <c r="C362" s="47" t="n">
        <f aca="false">01_Data!G16</f>
        <v>0.333333333333333</v>
      </c>
      <c r="D362" s="47" t="n">
        <f aca="false">01_Data!D16</f>
        <v>79</v>
      </c>
      <c r="E362" s="48" t="n">
        <f aca="false">$D$350+$F$350*B362+$H$350*C362</f>
        <v>78.6553520681178</v>
      </c>
      <c r="F362" s="49" t="n">
        <f aca="false">E362-D362</f>
        <v>-0.344647931882179</v>
      </c>
      <c r="G362" s="49" t="n">
        <f aca="false">F362</f>
        <v>-0.344647931882179</v>
      </c>
      <c r="H362" s="49" t="n">
        <f aca="false">F362*B362</f>
        <v>-0.137859172752872</v>
      </c>
      <c r="I362" s="49" t="n">
        <f aca="false">F362*C362</f>
        <v>-0.114882643960726</v>
      </c>
      <c r="J362" s="48" t="n">
        <f aca="false">F362^2</f>
        <v>0.118782196950663</v>
      </c>
      <c r="K362" s="48" t="n">
        <f aca="false">0.5*J362</f>
        <v>0.0593910984753314</v>
      </c>
    </row>
    <row r="363" customFormat="false" ht="15" hidden="false" customHeight="false" outlineLevel="0" collapsed="false">
      <c r="A363" s="46" t="str">
        <f aca="false">01_Data!A17</f>
        <v>S12</v>
      </c>
      <c r="B363" s="47" t="n">
        <f aca="false">01_Data!F17</f>
        <v>0.6</v>
      </c>
      <c r="C363" s="47" t="n">
        <f aca="false">01_Data!G17</f>
        <v>0.466666666666667</v>
      </c>
      <c r="D363" s="47" t="n">
        <f aca="false">01_Data!D17</f>
        <v>82</v>
      </c>
      <c r="E363" s="48" t="n">
        <f aca="false">$D$350+$F$350*B363+$H$350*C363</f>
        <v>81.9370921136472</v>
      </c>
      <c r="F363" s="49" t="n">
        <f aca="false">E363-D363</f>
        <v>-0.0629078863528179</v>
      </c>
      <c r="G363" s="49" t="n">
        <f aca="false">F363</f>
        <v>-0.0629078863528179</v>
      </c>
      <c r="H363" s="49" t="n">
        <f aca="false">F363*B363</f>
        <v>-0.0377447318116907</v>
      </c>
      <c r="I363" s="49" t="n">
        <f aca="false">F363*C363</f>
        <v>-0.029357013631315</v>
      </c>
      <c r="J363" s="48" t="n">
        <f aca="false">F363^2</f>
        <v>0.00395740216537905</v>
      </c>
      <c r="K363" s="48" t="n">
        <f aca="false">0.5*J363</f>
        <v>0.00197870108268952</v>
      </c>
    </row>
    <row r="364" customFormat="false" ht="15" hidden="false" customHeight="false" outlineLevel="0" collapsed="false">
      <c r="A364" s="46" t="str">
        <f aca="false">01_Data!A18</f>
        <v>S13</v>
      </c>
      <c r="B364" s="47" t="n">
        <f aca="false">01_Data!F18</f>
        <v>0.8</v>
      </c>
      <c r="C364" s="47" t="n">
        <f aca="false">01_Data!G18</f>
        <v>0.666666666666667</v>
      </c>
      <c r="D364" s="47" t="n">
        <f aca="false">01_Data!D18</f>
        <v>87</v>
      </c>
      <c r="E364" s="48" t="n">
        <f aca="false">$D$350+$F$350*B364+$H$350*C364</f>
        <v>85.7112457239592</v>
      </c>
      <c r="F364" s="49" t="n">
        <f aca="false">E364-D364</f>
        <v>-1.28875427604083</v>
      </c>
      <c r="G364" s="49" t="n">
        <f aca="false">F364</f>
        <v>-1.28875427604083</v>
      </c>
      <c r="H364" s="49" t="n">
        <f aca="false">F364*B364</f>
        <v>-1.03100342083267</v>
      </c>
      <c r="I364" s="49" t="n">
        <f aca="false">F364*C364</f>
        <v>-0.859169517360556</v>
      </c>
      <c r="J364" s="48" t="n">
        <f aca="false">F364^2</f>
        <v>1.66088758401353</v>
      </c>
      <c r="K364" s="48" t="n">
        <f aca="false">0.5*J364</f>
        <v>0.830443792006767</v>
      </c>
    </row>
    <row r="365" customFormat="false" ht="15" hidden="false" customHeight="false" outlineLevel="0" collapsed="false">
      <c r="A365" s="46" t="str">
        <f aca="false">01_Data!A19</f>
        <v>S14</v>
      </c>
      <c r="B365" s="47" t="n">
        <f aca="false">01_Data!F19</f>
        <v>1</v>
      </c>
      <c r="C365" s="47" t="n">
        <f aca="false">01_Data!G19</f>
        <v>0.866666666666667</v>
      </c>
      <c r="D365" s="47" t="n">
        <f aca="false">01_Data!D19</f>
        <v>89</v>
      </c>
      <c r="E365" s="48" t="n">
        <f aca="false">$D$350+$F$350*B365+$H$350*C365</f>
        <v>89.4853993342711</v>
      </c>
      <c r="F365" s="49" t="n">
        <f aca="false">E365-D365</f>
        <v>0.485399334271136</v>
      </c>
      <c r="G365" s="49" t="n">
        <f aca="false">F365</f>
        <v>0.485399334271136</v>
      </c>
      <c r="H365" s="49" t="n">
        <f aca="false">F365*B365</f>
        <v>0.485399334271136</v>
      </c>
      <c r="I365" s="49" t="n">
        <f aca="false">F365*C365</f>
        <v>0.420679423034985</v>
      </c>
      <c r="J365" s="48" t="n">
        <f aca="false">F365^2</f>
        <v>0.235612513710862</v>
      </c>
      <c r="K365" s="48" t="n">
        <f aca="false">0.5*J365</f>
        <v>0.117806256855431</v>
      </c>
    </row>
    <row r="366" customFormat="false" ht="15" hidden="false" customHeight="false" outlineLevel="0" collapsed="false">
      <c r="A366" s="46" t="str">
        <f aca="false">01_Data!A20</f>
        <v>S15</v>
      </c>
      <c r="B366" s="47" t="n">
        <f aca="false">01_Data!F20</f>
        <v>1.2</v>
      </c>
      <c r="C366" s="47" t="n">
        <f aca="false">01_Data!G20</f>
        <v>1</v>
      </c>
      <c r="D366" s="47" t="n">
        <f aca="false">01_Data!D20</f>
        <v>92</v>
      </c>
      <c r="E366" s="48" t="n">
        <f aca="false">$D$350+$F$350*B366+$H$350*C366</f>
        <v>92.7671393798005</v>
      </c>
      <c r="F366" s="49" t="n">
        <f aca="false">E366-D366</f>
        <v>0.767139379800497</v>
      </c>
      <c r="G366" s="49" t="n">
        <f aca="false">F366</f>
        <v>0.767139379800497</v>
      </c>
      <c r="H366" s="49" t="n">
        <f aca="false">F366*B366</f>
        <v>0.920567255760596</v>
      </c>
      <c r="I366" s="49" t="n">
        <f aca="false">F366*C366</f>
        <v>0.767139379800497</v>
      </c>
      <c r="J366" s="48" t="n">
        <f aca="false">F366^2</f>
        <v>0.588502828040691</v>
      </c>
      <c r="K366" s="48" t="n">
        <f aca="false">0.5*J366</f>
        <v>0.294251414020346</v>
      </c>
    </row>
    <row r="367" customFormat="false" ht="15" hidden="false" customHeight="false" outlineLevel="0" collapsed="false">
      <c r="A367" s="46" t="str">
        <f aca="false">01_Data!A21</f>
        <v>S16</v>
      </c>
      <c r="B367" s="47" t="n">
        <f aca="false">01_Data!F21</f>
        <v>1.4</v>
      </c>
      <c r="C367" s="47" t="n">
        <f aca="false">01_Data!G21</f>
        <v>1.13333333333333</v>
      </c>
      <c r="D367" s="47" t="n">
        <f aca="false">01_Data!D21</f>
        <v>96</v>
      </c>
      <c r="E367" s="48" t="n">
        <f aca="false">$D$350+$F$350*B367+$H$350*C367</f>
        <v>96.0488794253298</v>
      </c>
      <c r="F367" s="49" t="n">
        <f aca="false">E367-D367</f>
        <v>0.0488794253298295</v>
      </c>
      <c r="G367" s="49" t="n">
        <f aca="false">F367</f>
        <v>0.0488794253298295</v>
      </c>
      <c r="H367" s="49" t="n">
        <f aca="false">F367*B367</f>
        <v>0.0684311954617613</v>
      </c>
      <c r="I367" s="49" t="n">
        <f aca="false">F367*C367</f>
        <v>0.0553966820404734</v>
      </c>
      <c r="J367" s="48" t="n">
        <f aca="false">F367^2</f>
        <v>0.00238919822057438</v>
      </c>
      <c r="K367" s="48" t="n">
        <f aca="false">0.5*J367</f>
        <v>0.00119459911028719</v>
      </c>
    </row>
    <row r="368" customFormat="false" ht="15" hidden="false" customHeight="false" outlineLevel="0" collapsed="false">
      <c r="A368" s="46" t="str">
        <f aca="false">01_Data!A22</f>
        <v>S17</v>
      </c>
      <c r="B368" s="47" t="n">
        <f aca="false">01_Data!F22</f>
        <v>1.6</v>
      </c>
      <c r="C368" s="47" t="n">
        <f aca="false">01_Data!G22</f>
        <v>1.33333333333333</v>
      </c>
      <c r="D368" s="47" t="n">
        <f aca="false">01_Data!D22</f>
        <v>99</v>
      </c>
      <c r="E368" s="48" t="n">
        <f aca="false">$D$350+$F$350*B368+$H$350*C368</f>
        <v>99.8230330356418</v>
      </c>
      <c r="F368" s="49" t="n">
        <f aca="false">E368-D368</f>
        <v>0.823033035641814</v>
      </c>
      <c r="G368" s="49" t="n">
        <f aca="false">F368</f>
        <v>0.823033035641814</v>
      </c>
      <c r="H368" s="49" t="n">
        <f aca="false">F368*B368</f>
        <v>1.3168528570269</v>
      </c>
      <c r="I368" s="49" t="n">
        <f aca="false">F368*C368</f>
        <v>1.09737738085575</v>
      </c>
      <c r="J368" s="48" t="n">
        <f aca="false">F368^2</f>
        <v>0.677383377757779</v>
      </c>
      <c r="K368" s="48" t="n">
        <f aca="false">0.5*J368</f>
        <v>0.338691688878889</v>
      </c>
    </row>
    <row r="369" customFormat="false" ht="15" hidden="false" customHeight="false" outlineLevel="0" collapsed="false">
      <c r="A369" s="46" t="str">
        <f aca="false">01_Data!A23</f>
        <v>S18</v>
      </c>
      <c r="B369" s="47" t="n">
        <f aca="false">01_Data!F23</f>
        <v>0</v>
      </c>
      <c r="C369" s="47" t="n">
        <f aca="false">01_Data!G23</f>
        <v>-0.666666666666667</v>
      </c>
      <c r="D369" s="47" t="n">
        <f aca="false">01_Data!D23</f>
        <v>65</v>
      </c>
      <c r="E369" s="48" t="n">
        <f aca="false">$D$350+$F$350*B369+$H$350*C369</f>
        <v>66.6753227644501</v>
      </c>
      <c r="F369" s="49" t="n">
        <f aca="false">E369-D369</f>
        <v>1.6753227644501</v>
      </c>
      <c r="G369" s="49" t="n">
        <f aca="false">F369</f>
        <v>1.6753227644501</v>
      </c>
      <c r="H369" s="49" t="n">
        <f aca="false">F369*B369</f>
        <v>0</v>
      </c>
      <c r="I369" s="49" t="n">
        <f aca="false">F369*C369</f>
        <v>-1.11688184296673</v>
      </c>
      <c r="J369" s="48" t="n">
        <f aca="false">F369^2</f>
        <v>2.80670636508473</v>
      </c>
      <c r="K369" s="48" t="n">
        <f aca="false">0.5*J369</f>
        <v>1.40335318254236</v>
      </c>
    </row>
    <row r="370" customFormat="false" ht="15" hidden="false" customHeight="false" outlineLevel="0" collapsed="false">
      <c r="A370" s="46" t="str">
        <f aca="false">01_Data!A24</f>
        <v>S19</v>
      </c>
      <c r="B370" s="47" t="n">
        <f aca="false">01_Data!F24</f>
        <v>-0.8</v>
      </c>
      <c r="C370" s="47" t="n">
        <f aca="false">01_Data!G24</f>
        <v>0.666666666666667</v>
      </c>
      <c r="D370" s="47" t="n">
        <f aca="false">01_Data!D24</f>
        <v>70</v>
      </c>
      <c r="E370" s="48" t="n">
        <f aca="false">$D$350+$F$350*B370+$H$350*C370</f>
        <v>67.3359423962467</v>
      </c>
      <c r="F370" s="49" t="n">
        <f aca="false">E370-D370</f>
        <v>-2.66405760375332</v>
      </c>
      <c r="G370" s="49" t="n">
        <f aca="false">F370</f>
        <v>-2.66405760375332</v>
      </c>
      <c r="H370" s="49" t="n">
        <f aca="false">F370*B370</f>
        <v>2.13124608300266</v>
      </c>
      <c r="I370" s="49" t="n">
        <f aca="false">F370*C370</f>
        <v>-1.77603840250221</v>
      </c>
      <c r="J370" s="48" t="n">
        <f aca="false">F370^2</f>
        <v>7.09720291611589</v>
      </c>
      <c r="K370" s="48" t="n">
        <f aca="false">0.5*J370</f>
        <v>3.54860145805794</v>
      </c>
    </row>
    <row r="371" customFormat="false" ht="15" hidden="false" customHeight="false" outlineLevel="0" collapsed="false">
      <c r="A371" s="46" t="str">
        <f aca="false">01_Data!A25</f>
        <v>S20</v>
      </c>
      <c r="B371" s="47" t="n">
        <f aca="false">01_Data!F25</f>
        <v>0.8</v>
      </c>
      <c r="C371" s="47" t="n">
        <f aca="false">01_Data!G25</f>
        <v>-0.666666666666667</v>
      </c>
      <c r="D371" s="47" t="n">
        <f aca="false">01_Data!D25</f>
        <v>78</v>
      </c>
      <c r="E371" s="48" t="n">
        <f aca="false">$D$350+$F$350*B371+$H$350*C371</f>
        <v>75.8629744283063</v>
      </c>
      <c r="F371" s="49" t="n">
        <f aca="false">E371-D371</f>
        <v>-2.13702557169367</v>
      </c>
      <c r="G371" s="49" t="n">
        <f aca="false">F371</f>
        <v>-2.13702557169367</v>
      </c>
      <c r="H371" s="49" t="n">
        <f aca="false">F371*B371</f>
        <v>-1.70962045735494</v>
      </c>
      <c r="I371" s="49" t="n">
        <f aca="false">F371*C371</f>
        <v>1.42468371446245</v>
      </c>
      <c r="J371" s="48" t="n">
        <f aca="false">F371^2</f>
        <v>4.56687829407266</v>
      </c>
      <c r="K371" s="48" t="n">
        <f aca="false">0.5*J371</f>
        <v>2.28343914703633</v>
      </c>
    </row>
    <row r="372" customFormat="false" ht="15" hidden="false" customHeight="false" outlineLevel="0" collapsed="false">
      <c r="A372" s="50" t="s">
        <v>134</v>
      </c>
      <c r="B372" s="50"/>
      <c r="C372" s="50"/>
      <c r="D372" s="50"/>
      <c r="E372" s="50"/>
      <c r="F372" s="50"/>
      <c r="G372" s="51" t="n">
        <f aca="false">AVERAGE(G352:G371)</f>
        <v>-0.0967483701148151</v>
      </c>
      <c r="H372" s="51" t="n">
        <f aca="false">AVERAGE(H352:H371)</f>
        <v>0.0409388470726039</v>
      </c>
      <c r="I372" s="51" t="n">
        <f aca="false">AVERAGE(I352:I371)</f>
        <v>-0.0588242324257089</v>
      </c>
      <c r="J372" s="51" t="n">
        <f aca="false">AVERAGE(J352:J371)</f>
        <v>1.46669775830299</v>
      </c>
      <c r="K372" s="51" t="n">
        <f aca="false">AVERAGE(K352:K371)</f>
        <v>0.733348879151493</v>
      </c>
    </row>
    <row r="373" customFormat="false" ht="22.35" hidden="false" customHeight="true" outlineLevel="0" collapsed="false">
      <c r="A373" s="43" t="s">
        <v>135</v>
      </c>
      <c r="B373" s="43"/>
      <c r="C373" s="43" t="s">
        <v>136</v>
      </c>
      <c r="D373" s="52" t="n">
        <f aca="false">D350-$B$4*G372</f>
        <v>71.6381577603224</v>
      </c>
      <c r="E373" s="43" t="s">
        <v>137</v>
      </c>
      <c r="F373" s="52" t="n">
        <f aca="false">F350-$B$4*H372</f>
        <v>11.4681890409913</v>
      </c>
      <c r="G373" s="43" t="s">
        <v>138</v>
      </c>
      <c r="H373" s="52" t="n">
        <f aca="false">H350-$B$4*I372</f>
        <v>7.4097331647099</v>
      </c>
      <c r="I373" s="44" t="s">
        <v>139</v>
      </c>
      <c r="J373" s="44"/>
      <c r="K373" s="44"/>
    </row>
    <row r="375" customFormat="false" ht="22.5" hidden="false" customHeight="true" outlineLevel="0" collapsed="false">
      <c r="A375" s="4" t="s">
        <v>153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customFormat="false" ht="15" hidden="false" customHeight="true" outlineLevel="0" collapsed="false">
      <c r="A376" s="43" t="s">
        <v>118</v>
      </c>
      <c r="B376" s="44" t="n">
        <v>15</v>
      </c>
      <c r="C376" s="43" t="s">
        <v>119</v>
      </c>
      <c r="D376" s="54" t="n">
        <f aca="false">D373</f>
        <v>71.6381577603224</v>
      </c>
      <c r="E376" s="43" t="s">
        <v>120</v>
      </c>
      <c r="F376" s="54" t="n">
        <f aca="false">F373</f>
        <v>11.4681890409913</v>
      </c>
      <c r="G376" s="43" t="s">
        <v>121</v>
      </c>
      <c r="H376" s="54" t="n">
        <f aca="false">H373</f>
        <v>7.4097331647099</v>
      </c>
      <c r="I376" s="44" t="s">
        <v>122</v>
      </c>
      <c r="J376" s="44"/>
      <c r="K376" s="44"/>
    </row>
    <row r="377" customFormat="false" ht="33.75" hidden="false" customHeight="true" outlineLevel="0" collapsed="false">
      <c r="A377" s="13" t="s">
        <v>123</v>
      </c>
      <c r="B377" s="13" t="s">
        <v>124</v>
      </c>
      <c r="C377" s="13" t="s">
        <v>125</v>
      </c>
      <c r="D377" s="13" t="s">
        <v>126</v>
      </c>
      <c r="E377" s="13" t="s">
        <v>127</v>
      </c>
      <c r="F377" s="13" t="s">
        <v>128</v>
      </c>
      <c r="G377" s="13" t="s">
        <v>129</v>
      </c>
      <c r="H377" s="13" t="s">
        <v>130</v>
      </c>
      <c r="I377" s="13" t="s">
        <v>131</v>
      </c>
      <c r="J377" s="13" t="s">
        <v>132</v>
      </c>
      <c r="K377" s="13" t="s">
        <v>133</v>
      </c>
    </row>
    <row r="378" customFormat="false" ht="15" hidden="false" customHeight="false" outlineLevel="0" collapsed="false">
      <c r="A378" s="46" t="str">
        <f aca="false">01_Data!A6</f>
        <v>S01</v>
      </c>
      <c r="B378" s="47" t="n">
        <f aca="false">01_Data!F6</f>
        <v>-1.6</v>
      </c>
      <c r="C378" s="47" t="n">
        <f aca="false">01_Data!G6</f>
        <v>-1.33333333333333</v>
      </c>
      <c r="D378" s="47" t="n">
        <f aca="false">01_Data!D6</f>
        <v>43</v>
      </c>
      <c r="E378" s="48" t="n">
        <f aca="false">$D$376+$F$376*B378+$H$376*C378</f>
        <v>43.4094110751232</v>
      </c>
      <c r="F378" s="49" t="n">
        <f aca="false">E378-D378</f>
        <v>0.409411075123209</v>
      </c>
      <c r="G378" s="49" t="n">
        <f aca="false">F378</f>
        <v>0.409411075123209</v>
      </c>
      <c r="H378" s="49" t="n">
        <f aca="false">F378*B378</f>
        <v>-0.655057720197135</v>
      </c>
      <c r="I378" s="49" t="n">
        <f aca="false">F378*C378</f>
        <v>-0.545881433497613</v>
      </c>
      <c r="J378" s="48" t="n">
        <f aca="false">F378^2</f>
        <v>0.167617428433542</v>
      </c>
      <c r="K378" s="48" t="n">
        <f aca="false">0.5*J378</f>
        <v>0.0838087142167711</v>
      </c>
    </row>
    <row r="379" customFormat="false" ht="15" hidden="false" customHeight="false" outlineLevel="0" collapsed="false">
      <c r="A379" s="46" t="str">
        <f aca="false">01_Data!A7</f>
        <v>S02</v>
      </c>
      <c r="B379" s="47" t="n">
        <f aca="false">01_Data!F7</f>
        <v>-1.4</v>
      </c>
      <c r="C379" s="47" t="n">
        <f aca="false">01_Data!G7</f>
        <v>-1</v>
      </c>
      <c r="D379" s="47" t="n">
        <f aca="false">01_Data!D7</f>
        <v>47</v>
      </c>
      <c r="E379" s="48" t="n">
        <f aca="false">$D$376+$F$376*B379+$H$376*C379</f>
        <v>48.1729599382248</v>
      </c>
      <c r="F379" s="49" t="n">
        <f aca="false">E379-D379</f>
        <v>1.17295993822476</v>
      </c>
      <c r="G379" s="49" t="n">
        <f aca="false">F379</f>
        <v>1.17295993822476</v>
      </c>
      <c r="H379" s="49" t="n">
        <f aca="false">F379*B379</f>
        <v>-1.64214391351467</v>
      </c>
      <c r="I379" s="49" t="n">
        <f aca="false">F379*C379</f>
        <v>-1.17295993822476</v>
      </c>
      <c r="J379" s="48" t="n">
        <f aca="false">F379^2</f>
        <v>1.37583501668024</v>
      </c>
      <c r="K379" s="48" t="n">
        <f aca="false">0.5*J379</f>
        <v>0.687917508340121</v>
      </c>
    </row>
    <row r="380" customFormat="false" ht="15" hidden="false" customHeight="false" outlineLevel="0" collapsed="false">
      <c r="A380" s="46" t="str">
        <f aca="false">01_Data!A8</f>
        <v>S03</v>
      </c>
      <c r="B380" s="47" t="n">
        <f aca="false">01_Data!F8</f>
        <v>-1.2</v>
      </c>
      <c r="C380" s="47" t="n">
        <f aca="false">01_Data!G8</f>
        <v>-1.13333333333333</v>
      </c>
      <c r="D380" s="47" t="n">
        <f aca="false">01_Data!D8</f>
        <v>51</v>
      </c>
      <c r="E380" s="48" t="n">
        <f aca="false">$D$376+$F$376*B380+$H$376*C380</f>
        <v>49.4786333244617</v>
      </c>
      <c r="F380" s="49" t="n">
        <f aca="false">E380-D380</f>
        <v>-1.52136667553831</v>
      </c>
      <c r="G380" s="49" t="n">
        <f aca="false">F380</f>
        <v>-1.52136667553831</v>
      </c>
      <c r="H380" s="49" t="n">
        <f aca="false">F380*B380</f>
        <v>1.82564001064597</v>
      </c>
      <c r="I380" s="49" t="n">
        <f aca="false">F380*C380</f>
        <v>1.72421556561008</v>
      </c>
      <c r="J380" s="48" t="n">
        <f aca="false">F380^2</f>
        <v>2.31455656143849</v>
      </c>
      <c r="K380" s="48" t="n">
        <f aca="false">0.5*J380</f>
        <v>1.15727828071925</v>
      </c>
    </row>
    <row r="381" customFormat="false" ht="15" hidden="false" customHeight="false" outlineLevel="0" collapsed="false">
      <c r="A381" s="46" t="str">
        <f aca="false">01_Data!A9</f>
        <v>S04</v>
      </c>
      <c r="B381" s="47" t="n">
        <f aca="false">01_Data!F9</f>
        <v>-1</v>
      </c>
      <c r="C381" s="47" t="n">
        <f aca="false">01_Data!G9</f>
        <v>-0.666666666666667</v>
      </c>
      <c r="D381" s="47" t="n">
        <f aca="false">01_Data!D9</f>
        <v>55</v>
      </c>
      <c r="E381" s="48" t="n">
        <f aca="false">$D$376+$F$376*B381+$H$376*C381</f>
        <v>55.2301466095246</v>
      </c>
      <c r="F381" s="49" t="n">
        <f aca="false">E381-D381</f>
        <v>0.230146609524567</v>
      </c>
      <c r="G381" s="49" t="n">
        <f aca="false">F381</f>
        <v>0.230146609524567</v>
      </c>
      <c r="H381" s="49" t="n">
        <f aca="false">F381*B381</f>
        <v>-0.230146609524567</v>
      </c>
      <c r="I381" s="49" t="n">
        <f aca="false">F381*C381</f>
        <v>-0.153431073016378</v>
      </c>
      <c r="J381" s="48" t="n">
        <f aca="false">F381^2</f>
        <v>0.0529674618756536</v>
      </c>
      <c r="K381" s="48" t="n">
        <f aca="false">0.5*J381</f>
        <v>0.0264837309378268</v>
      </c>
    </row>
    <row r="382" customFormat="false" ht="15" hidden="false" customHeight="false" outlineLevel="0" collapsed="false">
      <c r="A382" s="46" t="str">
        <f aca="false">01_Data!A10</f>
        <v>S05</v>
      </c>
      <c r="B382" s="47" t="n">
        <f aca="false">01_Data!F10</f>
        <v>-0.8</v>
      </c>
      <c r="C382" s="47" t="n">
        <f aca="false">01_Data!G10</f>
        <v>-0.866666666666667</v>
      </c>
      <c r="D382" s="47" t="n">
        <f aca="false">01_Data!D10</f>
        <v>56</v>
      </c>
      <c r="E382" s="48" t="n">
        <f aca="false">$D$376+$F$376*B382+$H$376*C382</f>
        <v>56.0418377847808</v>
      </c>
      <c r="F382" s="49" t="n">
        <f aca="false">E382-D382</f>
        <v>0.0418377847808387</v>
      </c>
      <c r="G382" s="49" t="n">
        <f aca="false">F382</f>
        <v>0.0418377847808387</v>
      </c>
      <c r="H382" s="49" t="n">
        <f aca="false">F382*B382</f>
        <v>-0.0334702278246709</v>
      </c>
      <c r="I382" s="49" t="n">
        <f aca="false">F382*C382</f>
        <v>-0.0362594134767268</v>
      </c>
      <c r="J382" s="48" t="n">
        <f aca="false">F382^2</f>
        <v>0.00175040023536778</v>
      </c>
      <c r="K382" s="48" t="n">
        <f aca="false">0.5*J382</f>
        <v>0.000875200117683888</v>
      </c>
    </row>
    <row r="383" customFormat="false" ht="15" hidden="false" customHeight="false" outlineLevel="0" collapsed="false">
      <c r="A383" s="46" t="str">
        <f aca="false">01_Data!A11</f>
        <v>S06</v>
      </c>
      <c r="B383" s="47" t="n">
        <f aca="false">01_Data!F11</f>
        <v>-0.6</v>
      </c>
      <c r="C383" s="47" t="n">
        <f aca="false">01_Data!G11</f>
        <v>-0.333333333333333</v>
      </c>
      <c r="D383" s="47" t="n">
        <f aca="false">01_Data!D11</f>
        <v>63</v>
      </c>
      <c r="E383" s="48" t="n">
        <f aca="false">$D$376+$F$376*B383+$H$376*C383</f>
        <v>62.2873332808244</v>
      </c>
      <c r="F383" s="49" t="n">
        <f aca="false">E383-D383</f>
        <v>-0.712666719175623</v>
      </c>
      <c r="G383" s="49" t="n">
        <f aca="false">F383</f>
        <v>-0.712666719175623</v>
      </c>
      <c r="H383" s="49" t="n">
        <f aca="false">F383*B383</f>
        <v>0.427600031505374</v>
      </c>
      <c r="I383" s="49" t="n">
        <f aca="false">F383*C383</f>
        <v>0.237555573058541</v>
      </c>
      <c r="J383" s="48" t="n">
        <f aca="false">F383^2</f>
        <v>0.507893852620546</v>
      </c>
      <c r="K383" s="48" t="n">
        <f aca="false">0.5*J383</f>
        <v>0.253946926310273</v>
      </c>
    </row>
    <row r="384" customFormat="false" ht="15" hidden="false" customHeight="false" outlineLevel="0" collapsed="false">
      <c r="A384" s="46" t="str">
        <f aca="false">01_Data!A12</f>
        <v>S07</v>
      </c>
      <c r="B384" s="47" t="n">
        <f aca="false">01_Data!F12</f>
        <v>-0.4</v>
      </c>
      <c r="C384" s="47" t="n">
        <f aca="false">01_Data!G12</f>
        <v>-0.466666666666667</v>
      </c>
      <c r="D384" s="47" t="n">
        <f aca="false">01_Data!D12</f>
        <v>61</v>
      </c>
      <c r="E384" s="48" t="n">
        <f aca="false">$D$376+$F$376*B384+$H$376*C384</f>
        <v>63.5930066670613</v>
      </c>
      <c r="F384" s="49" t="n">
        <f aca="false">E384-D384</f>
        <v>2.5930066670613</v>
      </c>
      <c r="G384" s="49" t="n">
        <f aca="false">F384</f>
        <v>2.5930066670613</v>
      </c>
      <c r="H384" s="49" t="n">
        <f aca="false">F384*B384</f>
        <v>-1.03720266682452</v>
      </c>
      <c r="I384" s="49" t="n">
        <f aca="false">F384*C384</f>
        <v>-1.21006977796194</v>
      </c>
      <c r="J384" s="48" t="n">
        <f aca="false">F384^2</f>
        <v>6.72368357542433</v>
      </c>
      <c r="K384" s="48" t="n">
        <f aca="false">0.5*J384</f>
        <v>3.36184178771217</v>
      </c>
    </row>
    <row r="385" customFormat="false" ht="15" hidden="false" customHeight="false" outlineLevel="0" collapsed="false">
      <c r="A385" s="46" t="str">
        <f aca="false">01_Data!A13</f>
        <v>S08</v>
      </c>
      <c r="B385" s="47" t="n">
        <f aca="false">01_Data!F13</f>
        <v>-0.2</v>
      </c>
      <c r="C385" s="47" t="n">
        <f aca="false">01_Data!G13</f>
        <v>-0.2</v>
      </c>
      <c r="D385" s="47" t="n">
        <f aca="false">01_Data!D13</f>
        <v>68</v>
      </c>
      <c r="E385" s="48" t="n">
        <f aca="false">$D$376+$F$376*B385+$H$376*C385</f>
        <v>67.8625733191822</v>
      </c>
      <c r="F385" s="49" t="n">
        <f aca="false">E385-D385</f>
        <v>-0.137426680817811</v>
      </c>
      <c r="G385" s="49" t="n">
        <f aca="false">F385</f>
        <v>-0.137426680817811</v>
      </c>
      <c r="H385" s="49" t="n">
        <f aca="false">F385*B385</f>
        <v>0.0274853361635621</v>
      </c>
      <c r="I385" s="49" t="n">
        <f aca="false">F385*C385</f>
        <v>0.0274853361635621</v>
      </c>
      <c r="J385" s="48" t="n">
        <f aca="false">F385^2</f>
        <v>0.0188860926006004</v>
      </c>
      <c r="K385" s="48" t="n">
        <f aca="false">0.5*J385</f>
        <v>0.0094430463003002</v>
      </c>
    </row>
    <row r="386" customFormat="false" ht="15" hidden="false" customHeight="false" outlineLevel="0" collapsed="false">
      <c r="A386" s="46" t="str">
        <f aca="false">01_Data!A14</f>
        <v>S09</v>
      </c>
      <c r="B386" s="47" t="n">
        <f aca="false">01_Data!F14</f>
        <v>0</v>
      </c>
      <c r="C386" s="47" t="n">
        <f aca="false">01_Data!G14</f>
        <v>0</v>
      </c>
      <c r="D386" s="47" t="n">
        <f aca="false">01_Data!D14</f>
        <v>72</v>
      </c>
      <c r="E386" s="48" t="n">
        <f aca="false">$D$376+$F$376*B386+$H$376*C386</f>
        <v>71.6381577603224</v>
      </c>
      <c r="F386" s="49" t="n">
        <f aca="false">E386-D386</f>
        <v>-0.361842239677571</v>
      </c>
      <c r="G386" s="49" t="n">
        <f aca="false">F386</f>
        <v>-0.361842239677571</v>
      </c>
      <c r="H386" s="49" t="n">
        <f aca="false">F386*B386</f>
        <v>-0</v>
      </c>
      <c r="I386" s="49" t="n">
        <f aca="false">F386*C386</f>
        <v>-0</v>
      </c>
      <c r="J386" s="48" t="n">
        <f aca="false">F386^2</f>
        <v>0.130929806414881</v>
      </c>
      <c r="K386" s="48" t="n">
        <f aca="false">0.5*J386</f>
        <v>0.0654649032074405</v>
      </c>
    </row>
    <row r="387" customFormat="false" ht="15" hidden="false" customHeight="false" outlineLevel="0" collapsed="false">
      <c r="A387" s="46" t="str">
        <f aca="false">01_Data!A15</f>
        <v>S10</v>
      </c>
      <c r="B387" s="47" t="n">
        <f aca="false">01_Data!F15</f>
        <v>0.2</v>
      </c>
      <c r="C387" s="47" t="n">
        <f aca="false">01_Data!G15</f>
        <v>0.2</v>
      </c>
      <c r="D387" s="47" t="n">
        <f aca="false">01_Data!D15</f>
        <v>76</v>
      </c>
      <c r="E387" s="48" t="n">
        <f aca="false">$D$376+$F$376*B387+$H$376*C387</f>
        <v>75.4137422014627</v>
      </c>
      <c r="F387" s="49" t="n">
        <f aca="false">E387-D387</f>
        <v>-0.586257798537332</v>
      </c>
      <c r="G387" s="49" t="n">
        <f aca="false">F387</f>
        <v>-0.586257798537332</v>
      </c>
      <c r="H387" s="49" t="n">
        <f aca="false">F387*B387</f>
        <v>-0.117251559707466</v>
      </c>
      <c r="I387" s="49" t="n">
        <f aca="false">F387*C387</f>
        <v>-0.117251559707466</v>
      </c>
      <c r="J387" s="48" t="n">
        <f aca="false">F387^2</f>
        <v>0.343698206345839</v>
      </c>
      <c r="K387" s="48" t="n">
        <f aca="false">0.5*J387</f>
        <v>0.17184910317292</v>
      </c>
    </row>
    <row r="388" customFormat="false" ht="15" hidden="false" customHeight="false" outlineLevel="0" collapsed="false">
      <c r="A388" s="46" t="str">
        <f aca="false">01_Data!A16</f>
        <v>S11</v>
      </c>
      <c r="B388" s="47" t="n">
        <f aca="false">01_Data!F16</f>
        <v>0.4</v>
      </c>
      <c r="C388" s="47" t="n">
        <f aca="false">01_Data!G16</f>
        <v>0.333333333333333</v>
      </c>
      <c r="D388" s="47" t="n">
        <f aca="false">01_Data!D16</f>
        <v>79</v>
      </c>
      <c r="E388" s="48" t="n">
        <f aca="false">$D$376+$F$376*B388+$H$376*C388</f>
        <v>78.6953444316223</v>
      </c>
      <c r="F388" s="49" t="n">
        <f aca="false">E388-D388</f>
        <v>-0.304655568377754</v>
      </c>
      <c r="G388" s="49" t="n">
        <f aca="false">F388</f>
        <v>-0.304655568377754</v>
      </c>
      <c r="H388" s="49" t="n">
        <f aca="false">F388*B388</f>
        <v>-0.121862227351102</v>
      </c>
      <c r="I388" s="49" t="n">
        <f aca="false">F388*C388</f>
        <v>-0.101551856125918</v>
      </c>
      <c r="J388" s="48" t="n">
        <f aca="false">F388^2</f>
        <v>0.0928150153435724</v>
      </c>
      <c r="K388" s="48" t="n">
        <f aca="false">0.5*J388</f>
        <v>0.0464075076717862</v>
      </c>
    </row>
    <row r="389" customFormat="false" ht="15" hidden="false" customHeight="false" outlineLevel="0" collapsed="false">
      <c r="A389" s="46" t="str">
        <f aca="false">01_Data!A17</f>
        <v>S12</v>
      </c>
      <c r="B389" s="47" t="n">
        <f aca="false">01_Data!F17</f>
        <v>0.6</v>
      </c>
      <c r="C389" s="47" t="n">
        <f aca="false">01_Data!G17</f>
        <v>0.466666666666667</v>
      </c>
      <c r="D389" s="47" t="n">
        <f aca="false">01_Data!D17</f>
        <v>82</v>
      </c>
      <c r="E389" s="48" t="n">
        <f aca="false">$D$376+$F$376*B389+$H$376*C389</f>
        <v>81.9769466617818</v>
      </c>
      <c r="F389" s="49" t="n">
        <f aca="false">E389-D389</f>
        <v>-0.0230533382182045</v>
      </c>
      <c r="G389" s="49" t="n">
        <f aca="false">F389</f>
        <v>-0.0230533382182045</v>
      </c>
      <c r="H389" s="49" t="n">
        <f aca="false">F389*B389</f>
        <v>-0.0138320029309227</v>
      </c>
      <c r="I389" s="49" t="n">
        <f aca="false">F389*C389</f>
        <v>-0.0107582245018288</v>
      </c>
      <c r="J389" s="48" t="n">
        <f aca="false">F389^2</f>
        <v>0.00053145640300293</v>
      </c>
      <c r="K389" s="48" t="n">
        <f aca="false">0.5*J389</f>
        <v>0.000265728201501465</v>
      </c>
    </row>
    <row r="390" customFormat="false" ht="15" hidden="false" customHeight="false" outlineLevel="0" collapsed="false">
      <c r="A390" s="46" t="str">
        <f aca="false">01_Data!A18</f>
        <v>S13</v>
      </c>
      <c r="B390" s="47" t="n">
        <f aca="false">01_Data!F18</f>
        <v>0.8</v>
      </c>
      <c r="C390" s="47" t="n">
        <f aca="false">01_Data!G18</f>
        <v>0.666666666666667</v>
      </c>
      <c r="D390" s="47" t="n">
        <f aca="false">01_Data!D18</f>
        <v>87</v>
      </c>
      <c r="E390" s="48" t="n">
        <f aca="false">$D$376+$F$376*B390+$H$376*C390</f>
        <v>85.752531102922</v>
      </c>
      <c r="F390" s="49" t="n">
        <f aca="false">E390-D390</f>
        <v>-1.24746889707797</v>
      </c>
      <c r="G390" s="49" t="n">
        <f aca="false">F390</f>
        <v>-1.24746889707797</v>
      </c>
      <c r="H390" s="49" t="n">
        <f aca="false">F390*B390</f>
        <v>-0.997975117662372</v>
      </c>
      <c r="I390" s="49" t="n">
        <f aca="false">F390*C390</f>
        <v>-0.83164593138531</v>
      </c>
      <c r="J390" s="48" t="n">
        <f aca="false">F390^2</f>
        <v>1.55617864917692</v>
      </c>
      <c r="K390" s="48" t="n">
        <f aca="false">0.5*J390</f>
        <v>0.778089324588458</v>
      </c>
    </row>
    <row r="391" customFormat="false" ht="15" hidden="false" customHeight="false" outlineLevel="0" collapsed="false">
      <c r="A391" s="46" t="str">
        <f aca="false">01_Data!A19</f>
        <v>S14</v>
      </c>
      <c r="B391" s="47" t="n">
        <f aca="false">01_Data!F19</f>
        <v>1</v>
      </c>
      <c r="C391" s="47" t="n">
        <f aca="false">01_Data!G19</f>
        <v>0.866666666666667</v>
      </c>
      <c r="D391" s="47" t="n">
        <f aca="false">01_Data!D19</f>
        <v>89</v>
      </c>
      <c r="E391" s="48" t="n">
        <f aca="false">$D$376+$F$376*B391+$H$376*C391</f>
        <v>89.5281155440623</v>
      </c>
      <c r="F391" s="49" t="n">
        <f aca="false">E391-D391</f>
        <v>0.528115544062274</v>
      </c>
      <c r="G391" s="49" t="n">
        <f aca="false">F391</f>
        <v>0.528115544062274</v>
      </c>
      <c r="H391" s="49" t="n">
        <f aca="false">F391*B391</f>
        <v>0.528115544062274</v>
      </c>
      <c r="I391" s="49" t="n">
        <f aca="false">F391*C391</f>
        <v>0.457700138187304</v>
      </c>
      <c r="J391" s="48" t="n">
        <f aca="false">F391^2</f>
        <v>0.278906027880192</v>
      </c>
      <c r="K391" s="48" t="n">
        <f aca="false">0.5*J391</f>
        <v>0.139453013940096</v>
      </c>
    </row>
    <row r="392" customFormat="false" ht="15" hidden="false" customHeight="false" outlineLevel="0" collapsed="false">
      <c r="A392" s="46" t="str">
        <f aca="false">01_Data!A20</f>
        <v>S15</v>
      </c>
      <c r="B392" s="47" t="n">
        <f aca="false">01_Data!F20</f>
        <v>1.2</v>
      </c>
      <c r="C392" s="47" t="n">
        <f aca="false">01_Data!G20</f>
        <v>1</v>
      </c>
      <c r="D392" s="47" t="n">
        <f aca="false">01_Data!D20</f>
        <v>92</v>
      </c>
      <c r="E392" s="48" t="n">
        <f aca="false">$D$376+$F$376*B392+$H$376*C392</f>
        <v>92.8097177742219</v>
      </c>
      <c r="F392" s="49" t="n">
        <f aca="false">E392-D392</f>
        <v>0.809717774221852</v>
      </c>
      <c r="G392" s="49" t="n">
        <f aca="false">F392</f>
        <v>0.809717774221852</v>
      </c>
      <c r="H392" s="49" t="n">
        <f aca="false">F392*B392</f>
        <v>0.971661329066222</v>
      </c>
      <c r="I392" s="49" t="n">
        <f aca="false">F392*C392</f>
        <v>0.809717774221852</v>
      </c>
      <c r="J392" s="48" t="n">
        <f aca="false">F392^2</f>
        <v>0.65564287389079</v>
      </c>
      <c r="K392" s="48" t="n">
        <f aca="false">0.5*J392</f>
        <v>0.327821436945395</v>
      </c>
    </row>
    <row r="393" customFormat="false" ht="15" hidden="false" customHeight="false" outlineLevel="0" collapsed="false">
      <c r="A393" s="46" t="str">
        <f aca="false">01_Data!A21</f>
        <v>S16</v>
      </c>
      <c r="B393" s="47" t="n">
        <f aca="false">01_Data!F21</f>
        <v>1.4</v>
      </c>
      <c r="C393" s="47" t="n">
        <f aca="false">01_Data!G21</f>
        <v>1.13333333333333</v>
      </c>
      <c r="D393" s="47" t="n">
        <f aca="false">01_Data!D21</f>
        <v>96</v>
      </c>
      <c r="E393" s="48" t="n">
        <f aca="false">$D$376+$F$376*B393+$H$376*C393</f>
        <v>96.0913200043814</v>
      </c>
      <c r="F393" s="49" t="n">
        <f aca="false">E393-D393</f>
        <v>0.0913200043814157</v>
      </c>
      <c r="G393" s="49" t="n">
        <f aca="false">F393</f>
        <v>0.0913200043814157</v>
      </c>
      <c r="H393" s="49" t="n">
        <f aca="false">F393*B393</f>
        <v>0.127848006133982</v>
      </c>
      <c r="I393" s="49" t="n">
        <f aca="false">F393*C393</f>
        <v>0.103496004965605</v>
      </c>
      <c r="J393" s="48" t="n">
        <f aca="false">F393^2</f>
        <v>0.00833934320022179</v>
      </c>
      <c r="K393" s="48" t="n">
        <f aca="false">0.5*J393</f>
        <v>0.0041696716001109</v>
      </c>
    </row>
    <row r="394" customFormat="false" ht="15" hidden="false" customHeight="false" outlineLevel="0" collapsed="false">
      <c r="A394" s="46" t="str">
        <f aca="false">01_Data!A22</f>
        <v>S17</v>
      </c>
      <c r="B394" s="47" t="n">
        <f aca="false">01_Data!F22</f>
        <v>1.6</v>
      </c>
      <c r="C394" s="47" t="n">
        <f aca="false">01_Data!G22</f>
        <v>1.33333333333333</v>
      </c>
      <c r="D394" s="47" t="n">
        <f aca="false">01_Data!D22</f>
        <v>99</v>
      </c>
      <c r="E394" s="48" t="n">
        <f aca="false">$D$376+$F$376*B394+$H$376*C394</f>
        <v>99.8669044455216</v>
      </c>
      <c r="F394" s="49" t="n">
        <f aca="false">E394-D394</f>
        <v>0.866904445521641</v>
      </c>
      <c r="G394" s="49" t="n">
        <f aca="false">F394</f>
        <v>0.866904445521641</v>
      </c>
      <c r="H394" s="49" t="n">
        <f aca="false">F394*B394</f>
        <v>1.38704711283463</v>
      </c>
      <c r="I394" s="49" t="n">
        <f aca="false">F394*C394</f>
        <v>1.15587259402885</v>
      </c>
      <c r="J394" s="48" t="n">
        <f aca="false">F394^2</f>
        <v>0.751523317665184</v>
      </c>
      <c r="K394" s="48" t="n">
        <f aca="false">0.5*J394</f>
        <v>0.375761658832592</v>
      </c>
    </row>
    <row r="395" customFormat="false" ht="15" hidden="false" customHeight="false" outlineLevel="0" collapsed="false">
      <c r="A395" s="46" t="str">
        <f aca="false">01_Data!A23</f>
        <v>S18</v>
      </c>
      <c r="B395" s="47" t="n">
        <f aca="false">01_Data!F23</f>
        <v>0</v>
      </c>
      <c r="C395" s="47" t="n">
        <f aca="false">01_Data!G23</f>
        <v>-0.666666666666667</v>
      </c>
      <c r="D395" s="47" t="n">
        <f aca="false">01_Data!D23</f>
        <v>65</v>
      </c>
      <c r="E395" s="48" t="n">
        <f aca="false">$D$376+$F$376*B395+$H$376*C395</f>
        <v>66.6983356505158</v>
      </c>
      <c r="F395" s="49" t="n">
        <f aca="false">E395-D395</f>
        <v>1.69833565051583</v>
      </c>
      <c r="G395" s="49" t="n">
        <f aca="false">F395</f>
        <v>1.69833565051583</v>
      </c>
      <c r="H395" s="49" t="n">
        <f aca="false">F395*B395</f>
        <v>0</v>
      </c>
      <c r="I395" s="49" t="n">
        <f aca="false">F395*C395</f>
        <v>-1.13222376701055</v>
      </c>
      <c r="J395" s="48" t="n">
        <f aca="false">F395^2</f>
        <v>2.88434398181303</v>
      </c>
      <c r="K395" s="48" t="n">
        <f aca="false">0.5*J395</f>
        <v>1.44217199090651</v>
      </c>
    </row>
    <row r="396" customFormat="false" ht="15" hidden="false" customHeight="false" outlineLevel="0" collapsed="false">
      <c r="A396" s="46" t="str">
        <f aca="false">01_Data!A24</f>
        <v>S19</v>
      </c>
      <c r="B396" s="47" t="n">
        <f aca="false">01_Data!F24</f>
        <v>-0.8</v>
      </c>
      <c r="C396" s="47" t="n">
        <f aca="false">01_Data!G24</f>
        <v>0.666666666666667</v>
      </c>
      <c r="D396" s="47" t="n">
        <f aca="false">01_Data!D24</f>
        <v>70</v>
      </c>
      <c r="E396" s="48" t="n">
        <f aca="false">$D$376+$F$376*B396+$H$376*C396</f>
        <v>67.403428637336</v>
      </c>
      <c r="F396" s="49" t="n">
        <f aca="false">E396-D396</f>
        <v>-2.59657136266398</v>
      </c>
      <c r="G396" s="49" t="n">
        <f aca="false">F396</f>
        <v>-2.59657136266398</v>
      </c>
      <c r="H396" s="49" t="n">
        <f aca="false">F396*B396</f>
        <v>2.07725709013118</v>
      </c>
      <c r="I396" s="49" t="n">
        <f aca="false">F396*C396</f>
        <v>-1.73104757510932</v>
      </c>
      <c r="J396" s="48" t="n">
        <f aca="false">F396^2</f>
        <v>6.74218284140668</v>
      </c>
      <c r="K396" s="48" t="n">
        <f aca="false">0.5*J396</f>
        <v>3.37109142070334</v>
      </c>
    </row>
    <row r="397" customFormat="false" ht="15" hidden="false" customHeight="false" outlineLevel="0" collapsed="false">
      <c r="A397" s="46" t="str">
        <f aca="false">01_Data!A25</f>
        <v>S20</v>
      </c>
      <c r="B397" s="47" t="n">
        <f aca="false">01_Data!F25</f>
        <v>0.8</v>
      </c>
      <c r="C397" s="47" t="n">
        <f aca="false">01_Data!G25</f>
        <v>-0.666666666666667</v>
      </c>
      <c r="D397" s="47" t="n">
        <f aca="false">01_Data!D25</f>
        <v>78</v>
      </c>
      <c r="E397" s="48" t="n">
        <f aca="false">$D$376+$F$376*B397+$H$376*C397</f>
        <v>75.8728868833088</v>
      </c>
      <c r="F397" s="49" t="n">
        <f aca="false">E397-D397</f>
        <v>-2.12711311669116</v>
      </c>
      <c r="G397" s="49" t="n">
        <f aca="false">F397</f>
        <v>-2.12711311669116</v>
      </c>
      <c r="H397" s="49" t="n">
        <f aca="false">F397*B397</f>
        <v>-1.70169049335293</v>
      </c>
      <c r="I397" s="49" t="n">
        <f aca="false">F397*C397</f>
        <v>1.41807541112744</v>
      </c>
      <c r="J397" s="48" t="n">
        <f aca="false">F397^2</f>
        <v>4.52461021119959</v>
      </c>
      <c r="K397" s="48" t="n">
        <f aca="false">0.5*J397</f>
        <v>2.2623051055998</v>
      </c>
    </row>
    <row r="398" customFormat="false" ht="15" hidden="false" customHeight="false" outlineLevel="0" collapsed="false">
      <c r="A398" s="50" t="s">
        <v>134</v>
      </c>
      <c r="B398" s="50"/>
      <c r="C398" s="50"/>
      <c r="D398" s="50"/>
      <c r="E398" s="50"/>
      <c r="F398" s="50"/>
      <c r="G398" s="51" t="n">
        <f aca="false">AVERAGE(G378:G397)</f>
        <v>-0.0588333451679013</v>
      </c>
      <c r="H398" s="51" t="n">
        <f aca="false">AVERAGE(H378:H397)</f>
        <v>0.041101096082642</v>
      </c>
      <c r="I398" s="51" t="n">
        <f aca="false">AVERAGE(I378:I397)</f>
        <v>-0.0554481076327286</v>
      </c>
      <c r="J398" s="51" t="n">
        <f aca="false">AVERAGE(J378:J397)</f>
        <v>1.45664460600243</v>
      </c>
      <c r="K398" s="51" t="n">
        <f aca="false">AVERAGE(K378:K397)</f>
        <v>0.728322303001217</v>
      </c>
    </row>
    <row r="399" customFormat="false" ht="22.35" hidden="false" customHeight="true" outlineLevel="0" collapsed="false">
      <c r="A399" s="43" t="s">
        <v>135</v>
      </c>
      <c r="B399" s="43"/>
      <c r="C399" s="43" t="s">
        <v>136</v>
      </c>
      <c r="D399" s="52" t="n">
        <f aca="false">D376-$B$4*G398</f>
        <v>71.6616910983896</v>
      </c>
      <c r="E399" s="43" t="s">
        <v>137</v>
      </c>
      <c r="F399" s="52" t="n">
        <f aca="false">F376-$B$4*H398</f>
        <v>11.4517486025582</v>
      </c>
      <c r="G399" s="43" t="s">
        <v>138</v>
      </c>
      <c r="H399" s="52" t="n">
        <f aca="false">H376-$B$4*I398</f>
        <v>7.43191240776299</v>
      </c>
      <c r="I399" s="44" t="s">
        <v>139</v>
      </c>
      <c r="J399" s="44"/>
      <c r="K399" s="44"/>
    </row>
  </sheetData>
  <mergeCells count="78">
    <mergeCell ref="A1:K1"/>
    <mergeCell ref="A2:K2"/>
    <mergeCell ref="A3:F3"/>
    <mergeCell ref="A11:K11"/>
    <mergeCell ref="I12:K12"/>
    <mergeCell ref="A34:F34"/>
    <mergeCell ref="A35:B35"/>
    <mergeCell ref="I35:K35"/>
    <mergeCell ref="A37:K37"/>
    <mergeCell ref="I38:K38"/>
    <mergeCell ref="A60:F60"/>
    <mergeCell ref="A61:B61"/>
    <mergeCell ref="I61:K61"/>
    <mergeCell ref="A63:K63"/>
    <mergeCell ref="I64:K64"/>
    <mergeCell ref="A86:F86"/>
    <mergeCell ref="A87:B87"/>
    <mergeCell ref="I87:K87"/>
    <mergeCell ref="A89:K89"/>
    <mergeCell ref="I90:K90"/>
    <mergeCell ref="A112:F112"/>
    <mergeCell ref="A113:B113"/>
    <mergeCell ref="I113:K113"/>
    <mergeCell ref="A115:K115"/>
    <mergeCell ref="I116:K116"/>
    <mergeCell ref="A138:F138"/>
    <mergeCell ref="A139:B139"/>
    <mergeCell ref="I139:K139"/>
    <mergeCell ref="A141:K141"/>
    <mergeCell ref="I142:K142"/>
    <mergeCell ref="A164:F164"/>
    <mergeCell ref="A165:B165"/>
    <mergeCell ref="I165:K165"/>
    <mergeCell ref="A167:K167"/>
    <mergeCell ref="I168:K168"/>
    <mergeCell ref="A190:F190"/>
    <mergeCell ref="A191:B191"/>
    <mergeCell ref="I191:K191"/>
    <mergeCell ref="A193:K193"/>
    <mergeCell ref="I194:K194"/>
    <mergeCell ref="A216:F216"/>
    <mergeCell ref="A217:B217"/>
    <mergeCell ref="I217:K217"/>
    <mergeCell ref="A219:K219"/>
    <mergeCell ref="I220:K220"/>
    <mergeCell ref="A242:F242"/>
    <mergeCell ref="A243:B243"/>
    <mergeCell ref="I243:K243"/>
    <mergeCell ref="A245:K245"/>
    <mergeCell ref="I246:K246"/>
    <mergeCell ref="A268:F268"/>
    <mergeCell ref="A269:B269"/>
    <mergeCell ref="I269:K269"/>
    <mergeCell ref="A271:K271"/>
    <mergeCell ref="I272:K272"/>
    <mergeCell ref="A294:F294"/>
    <mergeCell ref="A295:B295"/>
    <mergeCell ref="I295:K295"/>
    <mergeCell ref="A297:K297"/>
    <mergeCell ref="I298:K298"/>
    <mergeCell ref="A320:F320"/>
    <mergeCell ref="A321:B321"/>
    <mergeCell ref="I321:K321"/>
    <mergeCell ref="A323:K323"/>
    <mergeCell ref="I324:K324"/>
    <mergeCell ref="A346:F346"/>
    <mergeCell ref="A347:B347"/>
    <mergeCell ref="I347:K347"/>
    <mergeCell ref="A349:K349"/>
    <mergeCell ref="I350:K350"/>
    <mergeCell ref="A372:F372"/>
    <mergeCell ref="A373:B373"/>
    <mergeCell ref="I373:K373"/>
    <mergeCell ref="A375:K375"/>
    <mergeCell ref="I376:K376"/>
    <mergeCell ref="A398:F398"/>
    <mergeCell ref="A399:B399"/>
    <mergeCell ref="I399:K399"/>
  </mergeCells>
  <dataValidations count="1">
    <dataValidation allowBlank="false" error="Learning rate ต้องอยู่ระหว่าง 0.01 ถึง 1.00" errorStyle="stop" operator="between" showDropDown="false" showErrorMessage="true" showInputMessage="false" sqref="B4" type="decimal">
      <formula1>0.01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6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5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1" width="13"/>
  </cols>
  <sheetData>
    <row r="1" customFormat="false" ht="33.75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24.7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5" customFormat="false" ht="33.75" hidden="false" customHeight="true" outlineLevel="0" collapsed="false">
      <c r="A5" s="13" t="s">
        <v>118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164</v>
      </c>
      <c r="K5" s="13" t="s">
        <v>165</v>
      </c>
      <c r="L5" s="13" t="s">
        <v>166</v>
      </c>
    </row>
    <row r="6" customFormat="false" ht="22.5" hidden="false" customHeight="true" outlineLevel="0" collapsed="false">
      <c r="A6" s="55" t="n">
        <v>1</v>
      </c>
      <c r="B6" s="56" t="n">
        <f aca="false">02_Training_Detail!D12</f>
        <v>0</v>
      </c>
      <c r="C6" s="56" t="n">
        <f aca="false">02_Training_Detail!F12</f>
        <v>0</v>
      </c>
      <c r="D6" s="56" t="n">
        <f aca="false">02_Training_Detail!H12</f>
        <v>0</v>
      </c>
      <c r="E6" s="56" t="n">
        <f aca="false">02_Training_Detail!K34</f>
        <v>2680.975</v>
      </c>
      <c r="F6" s="56" t="n">
        <f aca="false">02_Training_Detail!J34</f>
        <v>5361.95</v>
      </c>
      <c r="G6" s="56" t="n">
        <f aca="false">02_Training_Detail!G34</f>
        <v>-71.45</v>
      </c>
      <c r="H6" s="56" t="n">
        <f aca="false">02_Training_Detail!H34</f>
        <v>-14.64</v>
      </c>
      <c r="I6" s="56" t="n">
        <f aca="false">02_Training_Detail!I34</f>
        <v>-9.43333333333333</v>
      </c>
      <c r="J6" s="56" t="n">
        <f aca="false">02_Training_Detail!D35</f>
        <v>28.58</v>
      </c>
      <c r="K6" s="56" t="n">
        <f aca="false">02_Training_Detail!F35</f>
        <v>5.856</v>
      </c>
      <c r="L6" s="56" t="n">
        <f aca="false">02_Training_Detail!H35</f>
        <v>3.77333333333333</v>
      </c>
    </row>
    <row r="7" customFormat="false" ht="22.5" hidden="false" customHeight="true" outlineLevel="0" collapsed="false">
      <c r="A7" s="57" t="n">
        <v>2</v>
      </c>
      <c r="B7" s="58" t="n">
        <f aca="false">02_Training_Detail!D38</f>
        <v>28.58</v>
      </c>
      <c r="C7" s="58" t="n">
        <f aca="false">02_Training_Detail!F38</f>
        <v>5.856</v>
      </c>
      <c r="D7" s="58" t="n">
        <f aca="false">02_Training_Detail!H38</f>
        <v>3.77333333333333</v>
      </c>
      <c r="E7" s="58" t="n">
        <f aca="false">02_Training_Detail!K60</f>
        <v>955.674747531852</v>
      </c>
      <c r="F7" s="58" t="n">
        <f aca="false">02_Training_Detail!J60</f>
        <v>1911.3494950637</v>
      </c>
      <c r="G7" s="58" t="n">
        <f aca="false">02_Training_Detail!G60</f>
        <v>-42.9957777777778</v>
      </c>
      <c r="H7" s="58" t="n">
        <f aca="false">02_Training_Detail!H60</f>
        <v>-7.14976888888889</v>
      </c>
      <c r="I7" s="58" t="n">
        <f aca="false">02_Training_Detail!I60</f>
        <v>-4.38449955555556</v>
      </c>
      <c r="J7" s="58" t="n">
        <f aca="false">02_Training_Detail!D61</f>
        <v>45.7783111111111</v>
      </c>
      <c r="K7" s="58" t="n">
        <f aca="false">02_Training_Detail!F61</f>
        <v>8.71590755555556</v>
      </c>
      <c r="L7" s="58" t="n">
        <f aca="false">02_Training_Detail!H61</f>
        <v>5.52713315555556</v>
      </c>
    </row>
    <row r="8" customFormat="false" ht="22.5" hidden="false" customHeight="true" outlineLevel="0" collapsed="false">
      <c r="A8" s="55" t="n">
        <v>3</v>
      </c>
      <c r="B8" s="56" t="n">
        <f aca="false">02_Training_Detail!D64</f>
        <v>45.7783111111111</v>
      </c>
      <c r="C8" s="56" t="n">
        <f aca="false">02_Training_Detail!F64</f>
        <v>8.71590755555556</v>
      </c>
      <c r="D8" s="56" t="n">
        <f aca="false">02_Training_Detail!H64</f>
        <v>5.52713315555556</v>
      </c>
      <c r="E8" s="56" t="n">
        <f aca="false">02_Training_Detail!K86</f>
        <v>342.641352551863</v>
      </c>
      <c r="F8" s="56" t="n">
        <f aca="false">02_Training_Detail!J86</f>
        <v>685.282705103727</v>
      </c>
      <c r="G8" s="56" t="n">
        <f aca="false">02_Training_Detail!G86</f>
        <v>-25.8559266607407</v>
      </c>
      <c r="H8" s="56" t="n">
        <f aca="false">02_Training_Detail!H86</f>
        <v>-3.5468635501037</v>
      </c>
      <c r="I8" s="56" t="n">
        <f aca="false">02_Training_Detail!I86</f>
        <v>-2.08281582506667</v>
      </c>
      <c r="J8" s="56" t="n">
        <f aca="false">02_Training_Detail!D87</f>
        <v>56.1206817754074</v>
      </c>
      <c r="K8" s="56" t="n">
        <f aca="false">02_Training_Detail!F87</f>
        <v>10.134652975597</v>
      </c>
      <c r="L8" s="56" t="n">
        <f aca="false">02_Training_Detail!H87</f>
        <v>6.36025948558222</v>
      </c>
    </row>
    <row r="9" customFormat="false" ht="22.5" hidden="false" customHeight="true" outlineLevel="0" collapsed="false">
      <c r="A9" s="57" t="n">
        <v>4</v>
      </c>
      <c r="B9" s="58" t="n">
        <f aca="false">02_Training_Detail!D90</f>
        <v>56.1206817754074</v>
      </c>
      <c r="C9" s="58" t="n">
        <f aca="false">02_Training_Detail!F90</f>
        <v>10.134652975597</v>
      </c>
      <c r="D9" s="58" t="n">
        <f aca="false">02_Training_Detail!H90</f>
        <v>6.36025948558222</v>
      </c>
      <c r="E9" s="58" t="n">
        <f aca="false">02_Training_Detail!K112</f>
        <v>123.493636130193</v>
      </c>
      <c r="F9" s="58" t="n">
        <f aca="false">02_Training_Detail!J112</f>
        <v>246.987272260386</v>
      </c>
      <c r="G9" s="58" t="n">
        <f aca="false">02_Training_Detail!G112</f>
        <v>-15.541326874112</v>
      </c>
      <c r="H9" s="58" t="n">
        <f aca="false">02_Training_Detail!H112</f>
        <v>-1.78238467340402</v>
      </c>
      <c r="I9" s="58" t="n">
        <f aca="false">02_Training_Detail!I112</f>
        <v>-1.0245710133674</v>
      </c>
      <c r="J9" s="58" t="n">
        <f aca="false">02_Training_Detail!D113</f>
        <v>62.3372125250522</v>
      </c>
      <c r="K9" s="58" t="n">
        <f aca="false">02_Training_Detail!F113</f>
        <v>10.8476068449586</v>
      </c>
      <c r="L9" s="58" t="n">
        <f aca="false">02_Training_Detail!H113</f>
        <v>6.77008789092918</v>
      </c>
    </row>
    <row r="10" customFormat="false" ht="22.5" hidden="false" customHeight="true" outlineLevel="0" collapsed="false">
      <c r="A10" s="55" t="n">
        <v>5</v>
      </c>
      <c r="B10" s="56" t="n">
        <f aca="false">02_Training_Detail!D116</f>
        <v>62.3372125250522</v>
      </c>
      <c r="C10" s="56" t="n">
        <f aca="false">02_Training_Detail!F116</f>
        <v>10.8476068449586</v>
      </c>
      <c r="D10" s="56" t="n">
        <f aca="false">02_Training_Detail!H116</f>
        <v>6.77008789092918</v>
      </c>
      <c r="E10" s="56" t="n">
        <f aca="false">02_Training_Detail!K138</f>
        <v>44.8850138048695</v>
      </c>
      <c r="F10" s="56" t="n">
        <f aca="false">02_Training_Detail!J138</f>
        <v>89.770027609739</v>
      </c>
      <c r="G10" s="56" t="n">
        <f aca="false">02_Training_Detail!G138</f>
        <v>-9.3384570713121</v>
      </c>
      <c r="H10" s="56" t="n">
        <f aca="false">02_Training_Detail!H138</f>
        <v>-0.901164875987584</v>
      </c>
      <c r="I10" s="56" t="n">
        <f aca="false">02_Training_Detail!I138</f>
        <v>-0.532313932165919</v>
      </c>
      <c r="J10" s="56" t="n">
        <f aca="false">02_Training_Detail!D139</f>
        <v>66.072595353577</v>
      </c>
      <c r="K10" s="56" t="n">
        <f aca="false">02_Training_Detail!F139</f>
        <v>11.2080727953537</v>
      </c>
      <c r="L10" s="56" t="n">
        <f aca="false">02_Training_Detail!H139</f>
        <v>6.98301346379555</v>
      </c>
    </row>
    <row r="11" customFormat="false" ht="22.5" hidden="false" customHeight="true" outlineLevel="0" collapsed="false">
      <c r="A11" s="57" t="n">
        <v>6</v>
      </c>
      <c r="B11" s="58" t="n">
        <f aca="false">02_Training_Detail!D142</f>
        <v>66.072595353577</v>
      </c>
      <c r="C11" s="58" t="n">
        <f aca="false">02_Training_Detail!F142</f>
        <v>11.2080727953537</v>
      </c>
      <c r="D11" s="58" t="n">
        <f aca="false">02_Training_Detail!H142</f>
        <v>6.98301346379555</v>
      </c>
      <c r="E11" s="58" t="n">
        <f aca="false">02_Training_Detail!K164</f>
        <v>16.6331227772423</v>
      </c>
      <c r="F11" s="58" t="n">
        <f aca="false">02_Training_Detail!J164</f>
        <v>33.2662455544846</v>
      </c>
      <c r="G11" s="58" t="n">
        <f aca="false">02_Training_Detail!G164</f>
        <v>-5.61017176188281</v>
      </c>
      <c r="H11" s="58" t="n">
        <f aca="false">02_Training_Detail!H164</f>
        <v>-0.452082934844718</v>
      </c>
      <c r="I11" s="58" t="n">
        <f aca="false">02_Training_Detail!I164</f>
        <v>-0.299576953981523</v>
      </c>
      <c r="J11" s="58" t="n">
        <f aca="false">02_Training_Detail!D165</f>
        <v>68.3166640583302</v>
      </c>
      <c r="K11" s="58" t="n">
        <f aca="false">02_Training_Detail!F165</f>
        <v>11.3889059692916</v>
      </c>
      <c r="L11" s="58" t="n">
        <f aca="false">02_Training_Detail!H165</f>
        <v>7.10284424538816</v>
      </c>
    </row>
    <row r="12" customFormat="false" ht="22.5" hidden="false" customHeight="true" outlineLevel="0" collapsed="false">
      <c r="A12" s="55" t="n">
        <v>7</v>
      </c>
      <c r="B12" s="56" t="n">
        <f aca="false">02_Training_Detail!D168</f>
        <v>68.3166640583302</v>
      </c>
      <c r="C12" s="56" t="n">
        <f aca="false">02_Training_Detail!F168</f>
        <v>11.3889059692916</v>
      </c>
      <c r="D12" s="56" t="n">
        <f aca="false">02_Training_Detail!H168</f>
        <v>7.10284424538816</v>
      </c>
      <c r="E12" s="56" t="n">
        <f aca="false">02_Training_Detail!K190</f>
        <v>6.46714760403611</v>
      </c>
      <c r="F12" s="56" t="n">
        <f aca="false">02_Training_Detail!J190</f>
        <v>12.9342952080722</v>
      </c>
      <c r="G12" s="56" t="n">
        <f aca="false">02_Training_Detail!G190</f>
        <v>-3.37009741651611</v>
      </c>
      <c r="H12" s="56" t="n">
        <f aca="false">02_Training_Detail!H190</f>
        <v>-0.218734544379688</v>
      </c>
      <c r="I12" s="56" t="n">
        <f aca="false">02_Training_Detail!I190</f>
        <v>-0.186969726532146</v>
      </c>
      <c r="J12" s="56" t="n">
        <f aca="false">02_Training_Detail!D191</f>
        <v>69.6647030249366</v>
      </c>
      <c r="K12" s="56" t="n">
        <f aca="false">02_Training_Detail!F191</f>
        <v>11.4763997870434</v>
      </c>
      <c r="L12" s="56" t="n">
        <f aca="false">02_Training_Detail!H191</f>
        <v>7.17763213600102</v>
      </c>
    </row>
    <row r="13" customFormat="false" ht="22.5" hidden="false" customHeight="true" outlineLevel="0" collapsed="false">
      <c r="A13" s="57" t="n">
        <v>8</v>
      </c>
      <c r="B13" s="58" t="n">
        <f aca="false">02_Training_Detail!D194</f>
        <v>69.6647030249366</v>
      </c>
      <c r="C13" s="58" t="n">
        <f aca="false">02_Training_Detail!F194</f>
        <v>11.4763997870434</v>
      </c>
      <c r="D13" s="58" t="n">
        <f aca="false">02_Training_Detail!H194</f>
        <v>7.17763213600102</v>
      </c>
      <c r="E13" s="58" t="n">
        <f aca="false">02_Training_Detail!K216</f>
        <v>2.80542880554348</v>
      </c>
      <c r="F13" s="58" t="n">
        <f aca="false">02_Training_Detail!J216</f>
        <v>5.61085761108697</v>
      </c>
      <c r="G13" s="58" t="n">
        <f aca="false">02_Training_Detail!G216</f>
        <v>-2.02455137959677</v>
      </c>
      <c r="H13" s="58" t="n">
        <f aca="false">02_Training_Detail!H216</f>
        <v>-0.0954213511718074</v>
      </c>
      <c r="I13" s="58" t="n">
        <f aca="false">02_Training_Detail!I216</f>
        <v>-0.130650008465674</v>
      </c>
      <c r="J13" s="58" t="n">
        <f aca="false">02_Training_Detail!D217</f>
        <v>70.4745235767753</v>
      </c>
      <c r="K13" s="58" t="n">
        <f aca="false">02_Training_Detail!F217</f>
        <v>11.5145683275122</v>
      </c>
      <c r="L13" s="58" t="n">
        <f aca="false">02_Training_Detail!H217</f>
        <v>7.22989213938729</v>
      </c>
    </row>
    <row r="14" customFormat="false" ht="22.5" hidden="false" customHeight="true" outlineLevel="0" collapsed="false">
      <c r="A14" s="55" t="n">
        <v>9</v>
      </c>
      <c r="B14" s="56" t="n">
        <f aca="false">02_Training_Detail!D220</f>
        <v>70.4745235767753</v>
      </c>
      <c r="C14" s="56" t="n">
        <f aca="false">02_Training_Detail!F220</f>
        <v>11.5145683275122</v>
      </c>
      <c r="D14" s="56" t="n">
        <f aca="false">02_Training_Detail!H220</f>
        <v>7.22989213938729</v>
      </c>
      <c r="E14" s="56" t="n">
        <f aca="false">02_Training_Detail!K242</f>
        <v>1.48466535603103</v>
      </c>
      <c r="F14" s="56" t="n">
        <f aca="false">02_Training_Detail!J242</f>
        <v>2.96933071206205</v>
      </c>
      <c r="G14" s="56" t="n">
        <f aca="false">02_Training_Detail!G242</f>
        <v>-1.21647282787093</v>
      </c>
      <c r="H14" s="56" t="n">
        <f aca="false">02_Training_Detail!H242</f>
        <v>-0.0294666734620993</v>
      </c>
      <c r="I14" s="56" t="n">
        <f aca="false">02_Training_Detail!I242</f>
        <v>-0.101116015332243</v>
      </c>
      <c r="J14" s="56" t="n">
        <f aca="false">02_Training_Detail!D243</f>
        <v>70.9611127079237</v>
      </c>
      <c r="K14" s="56" t="n">
        <f aca="false">02_Training_Detail!F243</f>
        <v>11.526354996897</v>
      </c>
      <c r="L14" s="56" t="n">
        <f aca="false">02_Training_Detail!H243</f>
        <v>7.27033854552019</v>
      </c>
    </row>
    <row r="15" customFormat="false" ht="22.5" hidden="false" customHeight="true" outlineLevel="0" collapsed="false">
      <c r="A15" s="57" t="n">
        <v>10</v>
      </c>
      <c r="B15" s="58" t="n">
        <f aca="false">02_Training_Detail!D246</f>
        <v>70.9611127079237</v>
      </c>
      <c r="C15" s="58" t="n">
        <f aca="false">02_Training_Detail!F246</f>
        <v>11.526354996897</v>
      </c>
      <c r="D15" s="58" t="n">
        <f aca="false">02_Training_Detail!H246</f>
        <v>7.27033854552019</v>
      </c>
      <c r="E15" s="58" t="n">
        <f aca="false">02_Training_Detail!K268</f>
        <v>1.00690541946893</v>
      </c>
      <c r="F15" s="58" t="n">
        <f aca="false">02_Training_Detail!J268</f>
        <v>2.01381083893786</v>
      </c>
      <c r="G15" s="58" t="n">
        <f aca="false">02_Training_Detail!G268</f>
        <v>-0.731231910260317</v>
      </c>
      <c r="H15" s="58" t="n">
        <f aca="false">02_Training_Detail!H268</f>
        <v>0.00595540312820057</v>
      </c>
      <c r="I15" s="58" t="n">
        <f aca="false">02_Training_Detail!I268</f>
        <v>-0.0845815042052071</v>
      </c>
      <c r="J15" s="58" t="n">
        <f aca="false">02_Training_Detail!D269</f>
        <v>71.2536054720278</v>
      </c>
      <c r="K15" s="58" t="n">
        <f aca="false">02_Training_Detail!F269</f>
        <v>11.5239728356457</v>
      </c>
      <c r="L15" s="58" t="n">
        <f aca="false">02_Training_Detail!H269</f>
        <v>7.30417114720227</v>
      </c>
    </row>
    <row r="16" customFormat="false" ht="22.5" hidden="false" customHeight="true" outlineLevel="0" collapsed="false">
      <c r="A16" s="55" t="n">
        <v>11</v>
      </c>
      <c r="B16" s="56" t="n">
        <f aca="false">02_Training_Detail!D272</f>
        <v>71.2536054720278</v>
      </c>
      <c r="C16" s="56" t="n">
        <f aca="false">02_Training_Detail!F272</f>
        <v>11.5239728356457</v>
      </c>
      <c r="D16" s="56" t="n">
        <f aca="false">02_Training_Detail!H272</f>
        <v>7.30417114720227</v>
      </c>
      <c r="E16" s="56" t="n">
        <f aca="false">02_Training_Detail!K294</f>
        <v>0.832908490063469</v>
      </c>
      <c r="F16" s="56" t="n">
        <f aca="false">02_Training_Detail!J294</f>
        <v>1.66581698012694</v>
      </c>
      <c r="G16" s="56" t="n">
        <f aca="false">02_Training_Detail!G294</f>
        <v>-0.439866899545593</v>
      </c>
      <c r="H16" s="56" t="n">
        <f aca="false">02_Training_Detail!H294</f>
        <v>0.0248127592021773</v>
      </c>
      <c r="I16" s="56" t="n">
        <f aca="false">02_Training_Detail!I294</f>
        <v>-0.074514630885047</v>
      </c>
      <c r="J16" s="56" t="n">
        <f aca="false">02_Training_Detail!D295</f>
        <v>71.4295522318461</v>
      </c>
      <c r="K16" s="56" t="n">
        <f aca="false">02_Training_Detail!F295</f>
        <v>11.5140477319649</v>
      </c>
      <c r="L16" s="56" t="n">
        <f aca="false">02_Training_Detail!H295</f>
        <v>7.33397699955629</v>
      </c>
    </row>
    <row r="17" customFormat="false" ht="22.5" hidden="false" customHeight="true" outlineLevel="0" collapsed="false">
      <c r="A17" s="57" t="n">
        <v>12</v>
      </c>
      <c r="B17" s="58" t="n">
        <f aca="false">02_Training_Detail!D298</f>
        <v>71.4295522318461</v>
      </c>
      <c r="C17" s="58" t="n">
        <f aca="false">02_Training_Detail!F298</f>
        <v>11.5140477319649</v>
      </c>
      <c r="D17" s="58" t="n">
        <f aca="false">02_Training_Detail!H298</f>
        <v>7.33397699955629</v>
      </c>
      <c r="E17" s="58" t="n">
        <f aca="false">02_Training_Detail!K320</f>
        <v>0.768491590806321</v>
      </c>
      <c r="F17" s="58" t="n">
        <f aca="false">02_Training_Detail!J320</f>
        <v>1.53698318161264</v>
      </c>
      <c r="G17" s="58" t="n">
        <f aca="false">02_Training_Detail!G320</f>
        <v>-0.264913668139163</v>
      </c>
      <c r="H17" s="58" t="n">
        <f aca="false">02_Training_Detail!H320</f>
        <v>0.0345384258542664</v>
      </c>
      <c r="I17" s="58" t="n">
        <f aca="false">02_Training_Detail!I320</f>
        <v>-0.0677686540105449</v>
      </c>
      <c r="J17" s="58" t="n">
        <f aca="false">02_Training_Detail!D321</f>
        <v>71.5355176991017</v>
      </c>
      <c r="K17" s="58" t="n">
        <f aca="false">02_Training_Detail!F321</f>
        <v>11.5002323616231</v>
      </c>
      <c r="L17" s="58" t="n">
        <f aca="false">02_Training_Detail!H321</f>
        <v>7.36108446116051</v>
      </c>
    </row>
    <row r="18" customFormat="false" ht="22.5" hidden="false" customHeight="true" outlineLevel="0" collapsed="false">
      <c r="A18" s="55" t="n">
        <v>13</v>
      </c>
      <c r="B18" s="56" t="n">
        <f aca="false">02_Training_Detail!D324</f>
        <v>71.5355176991017</v>
      </c>
      <c r="C18" s="56" t="n">
        <f aca="false">02_Training_Detail!F324</f>
        <v>11.5002323616231</v>
      </c>
      <c r="D18" s="56" t="n">
        <f aca="false">02_Training_Detail!H324</f>
        <v>7.36108446116051</v>
      </c>
      <c r="E18" s="56" t="n">
        <f aca="false">02_Training_Detail!K346</f>
        <v>0.743707546363707</v>
      </c>
      <c r="F18" s="56" t="n">
        <f aca="false">02_Training_Detail!J346</f>
        <v>1.48741509272741</v>
      </c>
      <c r="G18" s="56" t="n">
        <f aca="false">02_Training_Detail!G346</f>
        <v>-0.159851782936967</v>
      </c>
      <c r="H18" s="56" t="n">
        <f aca="false">02_Training_Detail!H346</f>
        <v>0.0391694545071103</v>
      </c>
      <c r="I18" s="56" t="n">
        <f aca="false">02_Training_Detail!I346</f>
        <v>-0.0627975264477764</v>
      </c>
      <c r="J18" s="56" t="n">
        <f aca="false">02_Training_Detail!D347</f>
        <v>71.5994584122765</v>
      </c>
      <c r="K18" s="56" t="n">
        <f aca="false">02_Training_Detail!F347</f>
        <v>11.4845645798203</v>
      </c>
      <c r="L18" s="56" t="n">
        <f aca="false">02_Training_Detail!H347</f>
        <v>7.38620347173962</v>
      </c>
    </row>
    <row r="19" customFormat="false" ht="22.5" hidden="false" customHeight="true" outlineLevel="0" collapsed="false">
      <c r="A19" s="57" t="n">
        <v>14</v>
      </c>
      <c r="B19" s="58" t="n">
        <f aca="false">02_Training_Detail!D350</f>
        <v>71.5994584122765</v>
      </c>
      <c r="C19" s="58" t="n">
        <f aca="false">02_Training_Detail!F350</f>
        <v>11.4845645798203</v>
      </c>
      <c r="D19" s="58" t="n">
        <f aca="false">02_Training_Detail!H350</f>
        <v>7.38620347173962</v>
      </c>
      <c r="E19" s="58" t="n">
        <f aca="false">02_Training_Detail!K372</f>
        <v>0.733348879151493</v>
      </c>
      <c r="F19" s="58" t="n">
        <f aca="false">02_Training_Detail!J372</f>
        <v>1.46669775830299</v>
      </c>
      <c r="G19" s="58" t="n">
        <f aca="false">02_Training_Detail!G372</f>
        <v>-0.0967483701148151</v>
      </c>
      <c r="H19" s="58" t="n">
        <f aca="false">02_Training_Detail!H372</f>
        <v>0.0409388470726039</v>
      </c>
      <c r="I19" s="58" t="n">
        <f aca="false">02_Training_Detail!I372</f>
        <v>-0.0588242324257089</v>
      </c>
      <c r="J19" s="58" t="n">
        <f aca="false">02_Training_Detail!D373</f>
        <v>71.6381577603224</v>
      </c>
      <c r="K19" s="58" t="n">
        <f aca="false">02_Training_Detail!F373</f>
        <v>11.4681890409913</v>
      </c>
      <c r="L19" s="58" t="n">
        <f aca="false">02_Training_Detail!H373</f>
        <v>7.4097331647099</v>
      </c>
    </row>
    <row r="20" customFormat="false" ht="22.5" hidden="false" customHeight="true" outlineLevel="0" collapsed="false">
      <c r="A20" s="55" t="n">
        <v>15</v>
      </c>
      <c r="B20" s="56" t="n">
        <f aca="false">02_Training_Detail!D376</f>
        <v>71.6381577603224</v>
      </c>
      <c r="C20" s="56" t="n">
        <f aca="false">02_Training_Detail!F376</f>
        <v>11.4681890409913</v>
      </c>
      <c r="D20" s="56" t="n">
        <f aca="false">02_Training_Detail!H376</f>
        <v>7.4097331647099</v>
      </c>
      <c r="E20" s="56" t="n">
        <f aca="false">02_Training_Detail!K398</f>
        <v>0.728322303001217</v>
      </c>
      <c r="F20" s="56" t="n">
        <f aca="false">02_Training_Detail!J398</f>
        <v>1.45664460600243</v>
      </c>
      <c r="G20" s="56" t="n">
        <f aca="false">02_Training_Detail!G398</f>
        <v>-0.0588333451679013</v>
      </c>
      <c r="H20" s="56" t="n">
        <f aca="false">02_Training_Detail!H398</f>
        <v>0.041101096082642</v>
      </c>
      <c r="I20" s="56" t="n">
        <f aca="false">02_Training_Detail!I398</f>
        <v>-0.0554481076327286</v>
      </c>
      <c r="J20" s="56" t="n">
        <f aca="false">02_Training_Detail!D399</f>
        <v>71.6616910983896</v>
      </c>
      <c r="K20" s="56" t="n">
        <f aca="false">02_Training_Detail!F399</f>
        <v>11.4517486025582</v>
      </c>
      <c r="L20" s="56" t="n">
        <f aca="false">02_Training_Detail!H399</f>
        <v>7.43191240776299</v>
      </c>
    </row>
    <row r="23" customFormat="false" ht="22.5" hidden="false" customHeight="true" outlineLevel="0" collapsed="false">
      <c r="A23" s="12" t="s">
        <v>167</v>
      </c>
      <c r="B23" s="12"/>
      <c r="C23" s="12"/>
      <c r="D23" s="12"/>
      <c r="E23" s="12"/>
      <c r="F23" s="12"/>
    </row>
    <row r="24" customFormat="false" ht="15" hidden="false" customHeight="false" outlineLevel="0" collapsed="false">
      <c r="A24" s="9" t="s">
        <v>168</v>
      </c>
      <c r="B24" s="59" t="n">
        <f aca="false">J20</f>
        <v>71.6616910983896</v>
      </c>
      <c r="D24" s="60" t="s">
        <v>169</v>
      </c>
      <c r="E24" s="60"/>
      <c r="F24" s="60"/>
      <c r="G24" s="60"/>
      <c r="H24" s="60"/>
      <c r="I24" s="60"/>
      <c r="J24" s="60"/>
      <c r="K24" s="60"/>
      <c r="L24" s="60"/>
    </row>
    <row r="25" customFormat="false" ht="15" hidden="false" customHeight="true" outlineLevel="0" collapsed="false">
      <c r="A25" s="9" t="s">
        <v>170</v>
      </c>
      <c r="B25" s="59" t="n">
        <f aca="false">K20</f>
        <v>11.4517486025582</v>
      </c>
      <c r="D25" s="61" t="s">
        <v>171</v>
      </c>
      <c r="E25" s="61"/>
      <c r="F25" s="61"/>
      <c r="G25" s="61"/>
      <c r="H25" s="61"/>
      <c r="I25" s="61"/>
      <c r="J25" s="61"/>
      <c r="K25" s="61"/>
      <c r="L25" s="61"/>
    </row>
    <row r="26" customFormat="false" ht="15" hidden="false" customHeight="false" outlineLevel="0" collapsed="false">
      <c r="A26" s="9" t="s">
        <v>172</v>
      </c>
      <c r="B26" s="59" t="n">
        <f aca="false">L20</f>
        <v>7.43191240776299</v>
      </c>
      <c r="D26" s="61"/>
      <c r="E26" s="61"/>
      <c r="F26" s="61"/>
      <c r="G26" s="61"/>
      <c r="H26" s="61"/>
      <c r="I26" s="61"/>
      <c r="J26" s="61"/>
      <c r="K26" s="61"/>
      <c r="L26" s="61"/>
    </row>
  </sheetData>
  <mergeCells count="5">
    <mergeCell ref="A1:U1"/>
    <mergeCell ref="A2:U2"/>
    <mergeCell ref="A23:F23"/>
    <mergeCell ref="D24:L24"/>
    <mergeCell ref="D25:L26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21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7" topLeftCell="A8" activePane="bottomLeft" state="frozen"/>
      <selection pane="topLeft" activeCell="A1" activeCellId="0" sqref="A1"/>
      <selection pane="bottomLeft" activeCell="J8" activeCellId="0" sqref="J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7" min="3" style="1" width="11"/>
    <col collapsed="false" customWidth="true" hidden="false" outlineLevel="0" max="9" min="8" style="1" width="12"/>
    <col collapsed="false" customWidth="true" hidden="false" outlineLevel="0" max="14" min="10" style="1" width="14"/>
    <col collapsed="false" customWidth="true" hidden="false" outlineLevel="0" max="15" min="15" style="1" width="16"/>
  </cols>
  <sheetData>
    <row r="1" customFormat="false" ht="33.75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24.75" hidden="false" customHeight="true" outlineLevel="0" collapsed="false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4" customFormat="false" ht="15" hidden="false" customHeight="false" outlineLevel="0" collapsed="false">
      <c r="A4" s="9" t="s">
        <v>168</v>
      </c>
      <c r="B4" s="62" t="n">
        <f aca="false">03_Model_Path!B24</f>
        <v>71.6616910983896</v>
      </c>
      <c r="D4" s="9" t="s">
        <v>170</v>
      </c>
      <c r="E4" s="62" t="n">
        <f aca="false">03_Model_Path!B25</f>
        <v>11.4517486025582</v>
      </c>
      <c r="G4" s="9" t="s">
        <v>172</v>
      </c>
      <c r="H4" s="62" t="n">
        <f aca="false">03_Model_Path!B26</f>
        <v>7.43191240776299</v>
      </c>
    </row>
    <row r="7" customFormat="false" ht="33.75" hidden="false" customHeight="true" outlineLevel="0" collapsed="false">
      <c r="A7" s="13" t="s">
        <v>123</v>
      </c>
      <c r="B7" s="13" t="s">
        <v>175</v>
      </c>
      <c r="C7" s="13" t="s">
        <v>176</v>
      </c>
      <c r="D7" s="13" t="s">
        <v>124</v>
      </c>
      <c r="E7" s="13" t="s">
        <v>125</v>
      </c>
      <c r="F7" s="13" t="s">
        <v>126</v>
      </c>
      <c r="G7" s="13" t="s">
        <v>119</v>
      </c>
      <c r="H7" s="13" t="s">
        <v>177</v>
      </c>
      <c r="I7" s="13" t="s">
        <v>178</v>
      </c>
      <c r="J7" s="13" t="s">
        <v>127</v>
      </c>
      <c r="K7" s="13" t="s">
        <v>128</v>
      </c>
      <c r="L7" s="13" t="s">
        <v>179</v>
      </c>
      <c r="M7" s="13" t="s">
        <v>132</v>
      </c>
      <c r="N7" s="13" t="s">
        <v>180</v>
      </c>
      <c r="O7" s="13" t="s">
        <v>181</v>
      </c>
    </row>
    <row r="8" customFormat="false" ht="25.5" hidden="false" customHeight="true" outlineLevel="0" collapsed="false">
      <c r="A8" s="63" t="str">
        <f aca="false">01_Data!A26</f>
        <v>T01</v>
      </c>
      <c r="B8" s="63" t="n">
        <f aca="false">01_Data!B26</f>
        <v>2</v>
      </c>
      <c r="C8" s="64" t="n">
        <f aca="false">01_Data!C26</f>
        <v>55</v>
      </c>
      <c r="D8" s="65" t="n">
        <f aca="false">01_Data!F26</f>
        <v>-1.2</v>
      </c>
      <c r="E8" s="65" t="n">
        <f aca="false">01_Data!G26</f>
        <v>-1.33333333333333</v>
      </c>
      <c r="F8" s="65" t="n">
        <f aca="false">01_Data!D26</f>
        <v>50</v>
      </c>
      <c r="G8" s="66" t="n">
        <f aca="false">$B$4</f>
        <v>71.6616910983896</v>
      </c>
      <c r="H8" s="66" t="n">
        <f aca="false">$E$4*D8</f>
        <v>-13.7420983230698</v>
      </c>
      <c r="I8" s="66" t="n">
        <f aca="false">$H$4*E8</f>
        <v>-9.90921654368399</v>
      </c>
      <c r="J8" s="66" t="n">
        <f aca="false">SUM(G8:I8)</f>
        <v>48.0103762316357</v>
      </c>
      <c r="K8" s="66" t="n">
        <f aca="false">J8-F8</f>
        <v>-1.98962376836425</v>
      </c>
      <c r="L8" s="66" t="n">
        <f aca="false">ABS(K8)</f>
        <v>1.98962376836425</v>
      </c>
      <c r="M8" s="66" t="n">
        <f aca="false">K8^2</f>
        <v>3.95860273963997</v>
      </c>
      <c r="N8" s="66" t="n">
        <f aca="false">F8-AVERAGE($F$8:$F$17)</f>
        <v>-19.8</v>
      </c>
      <c r="O8" s="66" t="n">
        <f aca="false">N8^2</f>
        <v>392.04</v>
      </c>
    </row>
    <row r="9" customFormat="false" ht="25.5" hidden="false" customHeight="true" outlineLevel="0" collapsed="false">
      <c r="A9" s="63" t="str">
        <f aca="false">01_Data!A27</f>
        <v>T02</v>
      </c>
      <c r="B9" s="63" t="n">
        <f aca="false">01_Data!B27</f>
        <v>3</v>
      </c>
      <c r="C9" s="64" t="n">
        <f aca="false">01_Data!C27</f>
        <v>75</v>
      </c>
      <c r="D9" s="65" t="n">
        <f aca="false">01_Data!F27</f>
        <v>-0.8</v>
      </c>
      <c r="E9" s="65" t="n">
        <f aca="false">01_Data!G27</f>
        <v>0</v>
      </c>
      <c r="F9" s="65" t="n">
        <f aca="false">01_Data!D27</f>
        <v>60</v>
      </c>
      <c r="G9" s="66" t="n">
        <f aca="false">$B$4</f>
        <v>71.6616910983896</v>
      </c>
      <c r="H9" s="66" t="n">
        <f aca="false">$E$4*D9</f>
        <v>-9.16139888204657</v>
      </c>
      <c r="I9" s="66" t="n">
        <f aca="false">$H$4*E9</f>
        <v>0</v>
      </c>
      <c r="J9" s="66" t="n">
        <f aca="false">SUM(G9:I9)</f>
        <v>62.500292216343</v>
      </c>
      <c r="K9" s="66" t="n">
        <f aca="false">J9-F9</f>
        <v>2.50029221634301</v>
      </c>
      <c r="L9" s="66" t="n">
        <f aca="false">ABS(K9)</f>
        <v>2.50029221634301</v>
      </c>
      <c r="M9" s="66" t="n">
        <f aca="false">K9^2</f>
        <v>6.25146116710546</v>
      </c>
      <c r="N9" s="66" t="n">
        <f aca="false">F9-AVERAGE($F$8:$F$17)</f>
        <v>-9.8</v>
      </c>
      <c r="O9" s="66" t="n">
        <f aca="false">N9^2</f>
        <v>96.04</v>
      </c>
    </row>
    <row r="10" customFormat="false" ht="25.5" hidden="false" customHeight="true" outlineLevel="0" collapsed="false">
      <c r="A10" s="63" t="str">
        <f aca="false">01_Data!A28</f>
        <v>T03</v>
      </c>
      <c r="B10" s="63" t="n">
        <f aca="false">01_Data!B28</f>
        <v>4</v>
      </c>
      <c r="C10" s="64" t="n">
        <f aca="false">01_Data!C28</f>
        <v>82</v>
      </c>
      <c r="D10" s="65" t="n">
        <f aca="false">01_Data!F28</f>
        <v>-0.4</v>
      </c>
      <c r="E10" s="65" t="n">
        <f aca="false">01_Data!G28</f>
        <v>0.466666666666667</v>
      </c>
      <c r="F10" s="65" t="n">
        <f aca="false">01_Data!D28</f>
        <v>72</v>
      </c>
      <c r="G10" s="66" t="n">
        <f aca="false">$B$4</f>
        <v>71.6616910983896</v>
      </c>
      <c r="H10" s="66" t="n">
        <f aca="false">$E$4*D10</f>
        <v>-4.58069944102328</v>
      </c>
      <c r="I10" s="66" t="n">
        <f aca="false">$H$4*E10</f>
        <v>3.4682257902894</v>
      </c>
      <c r="J10" s="66" t="n">
        <f aca="false">SUM(G10:I10)</f>
        <v>70.5492174476557</v>
      </c>
      <c r="K10" s="66" t="n">
        <f aca="false">J10-F10</f>
        <v>-1.45078255234431</v>
      </c>
      <c r="L10" s="66" t="n">
        <f aca="false">ABS(K10)</f>
        <v>1.45078255234431</v>
      </c>
      <c r="M10" s="66" t="n">
        <f aca="false">K10^2</f>
        <v>2.10477001418666</v>
      </c>
      <c r="N10" s="66" t="n">
        <f aca="false">F10-AVERAGE($F$8:$F$17)</f>
        <v>2.2</v>
      </c>
      <c r="O10" s="66" t="n">
        <f aca="false">N10^2</f>
        <v>4.84000000000001</v>
      </c>
    </row>
    <row r="11" customFormat="false" ht="25.5" hidden="false" customHeight="true" outlineLevel="0" collapsed="false">
      <c r="A11" s="63" t="str">
        <f aca="false">01_Data!A29</f>
        <v>T04</v>
      </c>
      <c r="B11" s="63" t="n">
        <f aca="false">01_Data!B29</f>
        <v>5</v>
      </c>
      <c r="C11" s="64" t="n">
        <f aca="false">01_Data!C29</f>
        <v>65</v>
      </c>
      <c r="D11" s="65" t="n">
        <f aca="false">01_Data!F29</f>
        <v>0</v>
      </c>
      <c r="E11" s="65" t="n">
        <f aca="false">01_Data!G29</f>
        <v>-0.666666666666667</v>
      </c>
      <c r="F11" s="65" t="n">
        <f aca="false">01_Data!D29</f>
        <v>67</v>
      </c>
      <c r="G11" s="66" t="n">
        <f aca="false">$B$4</f>
        <v>71.6616910983896</v>
      </c>
      <c r="H11" s="66" t="n">
        <f aca="false">$E$4*D11</f>
        <v>0</v>
      </c>
      <c r="I11" s="66" t="n">
        <f aca="false">$H$4*E11</f>
        <v>-4.954608271842</v>
      </c>
      <c r="J11" s="66" t="n">
        <f aca="false">SUM(G11:I11)</f>
        <v>66.7070828265476</v>
      </c>
      <c r="K11" s="66" t="n">
        <f aca="false">J11-F11</f>
        <v>-0.292917173452409</v>
      </c>
      <c r="L11" s="66" t="n">
        <f aca="false">ABS(K11)</f>
        <v>0.292917173452409</v>
      </c>
      <c r="M11" s="66" t="n">
        <f aca="false">K11^2</f>
        <v>0.0858004705033486</v>
      </c>
      <c r="N11" s="66" t="n">
        <f aca="false">F11-AVERAGE($F$8:$F$17)</f>
        <v>-2.8</v>
      </c>
      <c r="O11" s="66" t="n">
        <f aca="false">N11^2</f>
        <v>7.83999999999998</v>
      </c>
    </row>
    <row r="12" customFormat="false" ht="25.5" hidden="false" customHeight="true" outlineLevel="0" collapsed="false">
      <c r="A12" s="63" t="str">
        <f aca="false">01_Data!A30</f>
        <v>T05</v>
      </c>
      <c r="B12" s="63" t="n">
        <f aca="false">01_Data!B30</f>
        <v>5</v>
      </c>
      <c r="C12" s="64" t="n">
        <f aca="false">01_Data!C30</f>
        <v>90</v>
      </c>
      <c r="D12" s="65" t="n">
        <f aca="false">01_Data!F30</f>
        <v>0</v>
      </c>
      <c r="E12" s="65" t="n">
        <f aca="false">01_Data!G30</f>
        <v>1</v>
      </c>
      <c r="F12" s="65" t="n">
        <f aca="false">01_Data!D30</f>
        <v>80</v>
      </c>
      <c r="G12" s="66" t="n">
        <f aca="false">$B$4</f>
        <v>71.6616910983896</v>
      </c>
      <c r="H12" s="66" t="n">
        <f aca="false">$E$4*D12</f>
        <v>0</v>
      </c>
      <c r="I12" s="66" t="n">
        <f aca="false">$H$4*E12</f>
        <v>7.43191240776299</v>
      </c>
      <c r="J12" s="66" t="n">
        <f aca="false">SUM(G12:I12)</f>
        <v>79.0936035061526</v>
      </c>
      <c r="K12" s="66" t="n">
        <f aca="false">J12-F12</f>
        <v>-0.906396493847424</v>
      </c>
      <c r="L12" s="66" t="n">
        <f aca="false">ABS(K12)</f>
        <v>0.906396493847424</v>
      </c>
      <c r="M12" s="66" t="n">
        <f aca="false">K12^2</f>
        <v>0.821554604058904</v>
      </c>
      <c r="N12" s="66" t="n">
        <f aca="false">F12-AVERAGE($F$8:$F$17)</f>
        <v>10.2</v>
      </c>
      <c r="O12" s="66" t="n">
        <f aca="false">N12^2</f>
        <v>104.04</v>
      </c>
    </row>
    <row r="13" customFormat="false" ht="25.5" hidden="false" customHeight="true" outlineLevel="0" collapsed="false">
      <c r="A13" s="63" t="str">
        <f aca="false">01_Data!A31</f>
        <v>T06</v>
      </c>
      <c r="B13" s="63" t="n">
        <f aca="false">01_Data!B31</f>
        <v>6</v>
      </c>
      <c r="C13" s="64" t="n">
        <f aca="false">01_Data!C31</f>
        <v>72</v>
      </c>
      <c r="D13" s="65" t="n">
        <f aca="false">01_Data!F31</f>
        <v>0.4</v>
      </c>
      <c r="E13" s="65" t="n">
        <f aca="false">01_Data!G31</f>
        <v>-0.2</v>
      </c>
      <c r="F13" s="65" t="n">
        <f aca="false">01_Data!D31</f>
        <v>73</v>
      </c>
      <c r="G13" s="66" t="n">
        <f aca="false">$B$4</f>
        <v>71.6616910983896</v>
      </c>
      <c r="H13" s="66" t="n">
        <f aca="false">$E$4*D13</f>
        <v>4.58069944102328</v>
      </c>
      <c r="I13" s="66" t="n">
        <f aca="false">$H$4*E13</f>
        <v>-1.4863824815526</v>
      </c>
      <c r="J13" s="66" t="n">
        <f aca="false">SUM(G13:I13)</f>
        <v>74.7560080578603</v>
      </c>
      <c r="K13" s="66" t="n">
        <f aca="false">J13-F13</f>
        <v>1.75600805786027</v>
      </c>
      <c r="L13" s="66" t="n">
        <f aca="false">ABS(K13)</f>
        <v>1.75600805786027</v>
      </c>
      <c r="M13" s="66" t="n">
        <f aca="false">K13^2</f>
        <v>3.0835642992702</v>
      </c>
      <c r="N13" s="66" t="n">
        <f aca="false">F13-AVERAGE($F$8:$F$17)</f>
        <v>3.2</v>
      </c>
      <c r="O13" s="66" t="n">
        <f aca="false">N13^2</f>
        <v>10.24</v>
      </c>
    </row>
    <row r="14" customFormat="false" ht="25.5" hidden="false" customHeight="true" outlineLevel="0" collapsed="false">
      <c r="A14" s="63" t="str">
        <f aca="false">01_Data!A32</f>
        <v>T07</v>
      </c>
      <c r="B14" s="63" t="n">
        <f aca="false">01_Data!B32</f>
        <v>7</v>
      </c>
      <c r="C14" s="64" t="n">
        <f aca="false">01_Data!C32</f>
        <v>60</v>
      </c>
      <c r="D14" s="65" t="n">
        <f aca="false">01_Data!F32</f>
        <v>0.8</v>
      </c>
      <c r="E14" s="65" t="n">
        <f aca="false">01_Data!G32</f>
        <v>-1</v>
      </c>
      <c r="F14" s="65" t="n">
        <f aca="false">01_Data!D32</f>
        <v>71</v>
      </c>
      <c r="G14" s="66" t="n">
        <f aca="false">$B$4</f>
        <v>71.6616910983896</v>
      </c>
      <c r="H14" s="66" t="n">
        <f aca="false">$E$4*D14</f>
        <v>9.16139888204657</v>
      </c>
      <c r="I14" s="66" t="n">
        <f aca="false">$H$4*E14</f>
        <v>-7.43191240776299</v>
      </c>
      <c r="J14" s="66" t="n">
        <f aca="false">SUM(G14:I14)</f>
        <v>73.3911775726732</v>
      </c>
      <c r="K14" s="66" t="n">
        <f aca="false">J14-F14</f>
        <v>2.39117757267316</v>
      </c>
      <c r="L14" s="66" t="n">
        <f aca="false">ABS(K14)</f>
        <v>2.39117757267316</v>
      </c>
      <c r="M14" s="66" t="n">
        <f aca="false">K14^2</f>
        <v>5.71773018405509</v>
      </c>
      <c r="N14" s="66" t="n">
        <f aca="false">F14-AVERAGE($F$8:$F$17)</f>
        <v>1.2</v>
      </c>
      <c r="O14" s="66" t="n">
        <f aca="false">N14^2</f>
        <v>1.44000000000001</v>
      </c>
    </row>
    <row r="15" customFormat="false" ht="25.5" hidden="false" customHeight="true" outlineLevel="0" collapsed="false">
      <c r="A15" s="63" t="str">
        <f aca="false">01_Data!A33</f>
        <v>T08</v>
      </c>
      <c r="B15" s="63" t="n">
        <f aca="false">01_Data!B33</f>
        <v>2.5</v>
      </c>
      <c r="C15" s="64" t="n">
        <f aca="false">01_Data!C33</f>
        <v>95</v>
      </c>
      <c r="D15" s="65" t="n">
        <f aca="false">01_Data!F33</f>
        <v>-1</v>
      </c>
      <c r="E15" s="65" t="n">
        <f aca="false">01_Data!G33</f>
        <v>1.33333333333333</v>
      </c>
      <c r="F15" s="65" t="n">
        <f aca="false">01_Data!D33</f>
        <v>72</v>
      </c>
      <c r="G15" s="66" t="n">
        <f aca="false">$B$4</f>
        <v>71.6616910983896</v>
      </c>
      <c r="H15" s="66" t="n">
        <f aca="false">$E$4*D15</f>
        <v>-11.4517486025582</v>
      </c>
      <c r="I15" s="66" t="n">
        <f aca="false">$H$4*E15</f>
        <v>9.90921654368399</v>
      </c>
      <c r="J15" s="66" t="n">
        <f aca="false">SUM(G15:I15)</f>
        <v>70.1191590395154</v>
      </c>
      <c r="K15" s="66" t="n">
        <f aca="false">J15-F15</f>
        <v>-1.88084096048463</v>
      </c>
      <c r="L15" s="66" t="n">
        <f aca="false">ABS(K15)</f>
        <v>1.88084096048463</v>
      </c>
      <c r="M15" s="66" t="n">
        <f aca="false">K15^2</f>
        <v>3.53756271863676</v>
      </c>
      <c r="N15" s="66" t="n">
        <f aca="false">F15-AVERAGE($F$8:$F$17)</f>
        <v>2.2</v>
      </c>
      <c r="O15" s="66" t="n">
        <f aca="false">N15^2</f>
        <v>4.84000000000001</v>
      </c>
    </row>
    <row r="16" customFormat="false" ht="25.5" hidden="false" customHeight="true" outlineLevel="0" collapsed="false">
      <c r="A16" s="63" t="str">
        <f aca="false">01_Data!A34</f>
        <v>T09</v>
      </c>
      <c r="B16" s="63" t="n">
        <f aca="false">01_Data!B34</f>
        <v>8</v>
      </c>
      <c r="C16" s="64" t="n">
        <f aca="false">01_Data!C34</f>
        <v>80</v>
      </c>
      <c r="D16" s="65" t="n">
        <f aca="false">01_Data!F34</f>
        <v>1.2</v>
      </c>
      <c r="E16" s="65" t="n">
        <f aca="false">01_Data!G34</f>
        <v>0.333333333333333</v>
      </c>
      <c r="F16" s="65" t="n">
        <f aca="false">01_Data!D34</f>
        <v>88</v>
      </c>
      <c r="G16" s="66" t="n">
        <f aca="false">$B$4</f>
        <v>71.6616910983896</v>
      </c>
      <c r="H16" s="66" t="n">
        <f aca="false">$E$4*D16</f>
        <v>13.7420983230698</v>
      </c>
      <c r="I16" s="66" t="n">
        <f aca="false">$H$4*E16</f>
        <v>2.477304135921</v>
      </c>
      <c r="J16" s="66" t="n">
        <f aca="false">SUM(G16:I16)</f>
        <v>87.8810935573804</v>
      </c>
      <c r="K16" s="66" t="n">
        <f aca="false">J16-F16</f>
        <v>-0.118906442619576</v>
      </c>
      <c r="L16" s="66" t="n">
        <f aca="false">ABS(K16)</f>
        <v>0.118906442619576</v>
      </c>
      <c r="M16" s="66" t="n">
        <f aca="false">K16^2</f>
        <v>0.0141387420964424</v>
      </c>
      <c r="N16" s="66" t="n">
        <f aca="false">F16-AVERAGE($F$8:$F$17)</f>
        <v>18.2</v>
      </c>
      <c r="O16" s="66" t="n">
        <f aca="false">N16^2</f>
        <v>331.24</v>
      </c>
    </row>
    <row r="17" customFormat="false" ht="25.5" hidden="false" customHeight="true" outlineLevel="0" collapsed="false">
      <c r="A17" s="63" t="str">
        <f aca="false">01_Data!A35</f>
        <v>T10</v>
      </c>
      <c r="B17" s="63" t="n">
        <f aca="false">01_Data!B35</f>
        <v>4.5</v>
      </c>
      <c r="C17" s="64" t="n">
        <f aca="false">01_Data!C35</f>
        <v>70</v>
      </c>
      <c r="D17" s="65" t="n">
        <f aca="false">01_Data!F35</f>
        <v>-0.2</v>
      </c>
      <c r="E17" s="65" t="n">
        <f aca="false">01_Data!G35</f>
        <v>-0.333333333333333</v>
      </c>
      <c r="F17" s="65" t="n">
        <f aca="false">01_Data!D35</f>
        <v>65</v>
      </c>
      <c r="G17" s="66" t="n">
        <f aca="false">$B$4</f>
        <v>71.6616910983896</v>
      </c>
      <c r="H17" s="66" t="n">
        <f aca="false">$E$4*D17</f>
        <v>-2.29034972051164</v>
      </c>
      <c r="I17" s="66" t="n">
        <f aca="false">$H$4*E17</f>
        <v>-2.477304135921</v>
      </c>
      <c r="J17" s="66" t="n">
        <f aca="false">SUM(G17:I17)</f>
        <v>66.8940372419569</v>
      </c>
      <c r="K17" s="66" t="n">
        <f aca="false">J17-F17</f>
        <v>1.89403724195694</v>
      </c>
      <c r="L17" s="66" t="n">
        <f aca="false">ABS(K17)</f>
        <v>1.89403724195694</v>
      </c>
      <c r="M17" s="66" t="n">
        <f aca="false">K17^2</f>
        <v>3.58737707391984</v>
      </c>
      <c r="N17" s="66" t="n">
        <f aca="false">F17-AVERAGE($F$8:$F$17)</f>
        <v>-4.8</v>
      </c>
      <c r="O17" s="66" t="n">
        <f aca="false">N17^2</f>
        <v>23.04</v>
      </c>
    </row>
    <row r="20" customFormat="false" ht="24.75" hidden="false" customHeight="true" outlineLevel="0" collapsed="false">
      <c r="A20" s="67" t="s">
        <v>182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</row>
    <row r="21" customFormat="false" ht="24.75" hidden="false" customHeight="true" outlineLevel="0" collapsed="false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</row>
  </sheetData>
  <autoFilter ref="A7:O17"/>
  <mergeCells count="3">
    <mergeCell ref="A1:Y1"/>
    <mergeCell ref="A2:Y2"/>
    <mergeCell ref="A20:O21"/>
  </mergeCells>
  <conditionalFormatting sqref="L8:L17">
    <cfRule type="cellIs" priority="2" operator="lessThanOrEqual" aboveAverage="0" equalAverage="0" bottom="0" percent="0" rank="0" text="" dxfId="11">
      <formula>2</formula>
    </cfRule>
    <cfRule type="cellIs" priority="3" operator="greaterThan" aboveAverage="0" equalAverage="0" bottom="0" percent="0" rank="0" text="" dxfId="12">
      <formula>2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C14" activeCellId="0" sqref="C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25"/>
    <col collapsed="false" customWidth="true" hidden="false" outlineLevel="0" max="6" min="6" style="1" width="4"/>
    <col collapsed="false" customWidth="true" hidden="false" outlineLevel="0" max="9" min="7" style="1" width="24"/>
    <col collapsed="false" customWidth="true" hidden="false" outlineLevel="0" max="10" min="10" style="1" width="4"/>
  </cols>
  <sheetData>
    <row r="1" customFormat="false" ht="33.75" hidden="false" customHeight="true" outlineLevel="0" collapsed="false">
      <c r="A1" s="2" t="s">
        <v>183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184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2.5" hidden="false" customHeight="true" outlineLevel="0" collapsed="false">
      <c r="B4" s="4" t="s">
        <v>185</v>
      </c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B5" s="68" t="s">
        <v>186</v>
      </c>
      <c r="C5" s="69" t="n">
        <f aca="false">COUNT(04_Test_Prediction!F8:F17)</f>
        <v>10</v>
      </c>
      <c r="D5" s="70" t="s">
        <v>187</v>
      </c>
      <c r="E5" s="70"/>
      <c r="F5" s="70"/>
      <c r="G5" s="70"/>
      <c r="H5" s="70"/>
      <c r="I5" s="70"/>
    </row>
    <row r="6" customFormat="false" ht="27.75" hidden="false" customHeight="true" outlineLevel="0" collapsed="false">
      <c r="B6" s="71" t="s">
        <v>188</v>
      </c>
      <c r="C6" s="72" t="n">
        <f aca="false">SUM(04_Test_Prediction!M8:M17)</f>
        <v>29.1625620134727</v>
      </c>
      <c r="D6" s="73" t="s">
        <v>189</v>
      </c>
      <c r="E6" s="73"/>
      <c r="F6" s="73"/>
      <c r="G6" s="73"/>
      <c r="H6" s="73"/>
      <c r="I6" s="73"/>
    </row>
    <row r="7" customFormat="false" ht="27.75" hidden="false" customHeight="true" outlineLevel="0" collapsed="false">
      <c r="B7" s="68" t="s">
        <v>190</v>
      </c>
      <c r="C7" s="69" t="n">
        <f aca="false">SUM(04_Test_Prediction!O8:O17)</f>
        <v>975.6</v>
      </c>
      <c r="D7" s="70" t="s">
        <v>191</v>
      </c>
      <c r="E7" s="70"/>
      <c r="F7" s="70"/>
      <c r="G7" s="70"/>
      <c r="H7" s="70"/>
      <c r="I7" s="70"/>
    </row>
    <row r="9" customFormat="false" ht="22.5" hidden="false" customHeight="true" outlineLevel="0" collapsed="false">
      <c r="B9" s="12" t="s">
        <v>192</v>
      </c>
      <c r="C9" s="12"/>
      <c r="D9" s="12"/>
      <c r="E9" s="12"/>
      <c r="F9" s="12"/>
      <c r="G9" s="12"/>
      <c r="H9" s="12"/>
      <c r="I9" s="12"/>
    </row>
    <row r="10" customFormat="false" ht="33.75" hidden="false" customHeight="true" outlineLevel="0" collapsed="false">
      <c r="B10" s="13" t="s">
        <v>193</v>
      </c>
      <c r="C10" s="13" t="s">
        <v>194</v>
      </c>
      <c r="D10" s="13" t="s">
        <v>62</v>
      </c>
      <c r="E10" s="13"/>
      <c r="F10" s="13"/>
      <c r="G10" s="13" t="s">
        <v>195</v>
      </c>
      <c r="H10" s="13"/>
      <c r="I10" s="13"/>
    </row>
    <row r="11" customFormat="false" ht="37.5" hidden="false" customHeight="true" outlineLevel="0" collapsed="false">
      <c r="B11" s="68" t="s">
        <v>196</v>
      </c>
      <c r="C11" s="74" t="n">
        <f aca="false">AVERAGE(04_Test_Prediction!L8:L17)</f>
        <v>1.5180982479946</v>
      </c>
      <c r="D11" s="70" t="s">
        <v>197</v>
      </c>
      <c r="E11" s="70"/>
      <c r="F11" s="70"/>
      <c r="G11" s="70" t="s">
        <v>198</v>
      </c>
      <c r="H11" s="70"/>
      <c r="I11" s="70"/>
    </row>
    <row r="12" customFormat="false" ht="37.5" hidden="false" customHeight="true" outlineLevel="0" collapsed="false">
      <c r="B12" s="71" t="s">
        <v>160</v>
      </c>
      <c r="C12" s="75" t="n">
        <f aca="false">AVERAGE(04_Test_Prediction!M8:M17)</f>
        <v>2.91625620134727</v>
      </c>
      <c r="D12" s="73" t="s">
        <v>199</v>
      </c>
      <c r="E12" s="73"/>
      <c r="F12" s="73"/>
      <c r="G12" s="73" t="s">
        <v>200</v>
      </c>
      <c r="H12" s="73"/>
      <c r="I12" s="73"/>
    </row>
    <row r="13" customFormat="false" ht="37.5" hidden="false" customHeight="true" outlineLevel="0" collapsed="false">
      <c r="B13" s="68" t="s">
        <v>201</v>
      </c>
      <c r="C13" s="74" t="n">
        <f aca="false">SQRT(C12)</f>
        <v>1.70770495149111</v>
      </c>
      <c r="D13" s="70" t="s">
        <v>202</v>
      </c>
      <c r="E13" s="70"/>
      <c r="F13" s="70"/>
      <c r="G13" s="70" t="s">
        <v>203</v>
      </c>
      <c r="H13" s="70"/>
      <c r="I13" s="70"/>
    </row>
    <row r="14" customFormat="false" ht="37.5" hidden="false" customHeight="true" outlineLevel="0" collapsed="false">
      <c r="B14" s="71" t="s">
        <v>33</v>
      </c>
      <c r="C14" s="76" t="n">
        <f aca="false">1-C6/C7</f>
        <v>0.970108075016941</v>
      </c>
      <c r="D14" s="73" t="s">
        <v>204</v>
      </c>
      <c r="E14" s="73"/>
      <c r="F14" s="73"/>
      <c r="G14" s="73" t="s">
        <v>205</v>
      </c>
      <c r="H14" s="73"/>
      <c r="I14" s="73"/>
    </row>
    <row r="15" customFormat="false" ht="37.5" hidden="false" customHeight="true" outlineLevel="0" collapsed="false">
      <c r="B15" s="68" t="s">
        <v>206</v>
      </c>
      <c r="C15" s="74" t="n">
        <f aca="false">AVERAGE(04_Test_Prediction!K8:K17)</f>
        <v>0.190204769772078</v>
      </c>
      <c r="D15" s="70" t="s">
        <v>207</v>
      </c>
      <c r="E15" s="70"/>
      <c r="F15" s="70"/>
      <c r="G15" s="70" t="s">
        <v>208</v>
      </c>
      <c r="H15" s="70"/>
      <c r="I15" s="70"/>
    </row>
    <row r="18" customFormat="false" ht="24.75" hidden="false" customHeight="true" outlineLevel="0" collapsed="false">
      <c r="B18" s="77" t="str">
        <f aca="false">"ผล Test: MAE "&amp;TEXT(C11,"0.00")&amp;" คะแนน | RMSE "&amp;TEXT(C13,"0.00")&amp;" คะแนน | R² "&amp;TEXT(C14,"0.0%")</f>
        <v>ผล Test: MAE 1.52 คะแนน | RMSE 1.71 คะแนน | R² 97.0%</v>
      </c>
      <c r="C18" s="77"/>
      <c r="D18" s="77"/>
      <c r="E18" s="77"/>
      <c r="F18" s="77"/>
      <c r="G18" s="77"/>
      <c r="H18" s="77"/>
      <c r="I18" s="77"/>
    </row>
    <row r="19" customFormat="false" ht="24.75" hidden="false" customHeight="true" outlineLevel="0" collapsed="false">
      <c r="B19" s="77"/>
      <c r="C19" s="77"/>
      <c r="D19" s="77"/>
      <c r="E19" s="77"/>
      <c r="F19" s="77"/>
      <c r="G19" s="77"/>
      <c r="H19" s="77"/>
      <c r="I19" s="77"/>
    </row>
    <row r="21" customFormat="false" ht="15" hidden="false" customHeight="true" outlineLevel="0" collapsed="false">
      <c r="B21" s="22" t="s">
        <v>209</v>
      </c>
      <c r="C21" s="22"/>
      <c r="D21" s="22"/>
      <c r="E21" s="22"/>
      <c r="F21" s="22"/>
      <c r="G21" s="22"/>
      <c r="H21" s="22"/>
      <c r="I21" s="22"/>
    </row>
    <row r="22" customFormat="false" ht="15" hidden="false" customHeight="false" outlineLevel="0" collapsed="false"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B23" s="22"/>
      <c r="C23" s="22"/>
      <c r="D23" s="22"/>
      <c r="E23" s="22"/>
      <c r="F23" s="22"/>
      <c r="G23" s="22"/>
      <c r="H23" s="22"/>
      <c r="I23" s="22"/>
    </row>
  </sheetData>
  <mergeCells count="21">
    <mergeCell ref="A1:J1"/>
    <mergeCell ref="A2:J2"/>
    <mergeCell ref="B4:I4"/>
    <mergeCell ref="D5:I5"/>
    <mergeCell ref="D6:I6"/>
    <mergeCell ref="D7:I7"/>
    <mergeCell ref="B9:I9"/>
    <mergeCell ref="D10:F10"/>
    <mergeCell ref="G10:I10"/>
    <mergeCell ref="D11:F11"/>
    <mergeCell ref="G11:I11"/>
    <mergeCell ref="D12:F12"/>
    <mergeCell ref="G12:I12"/>
    <mergeCell ref="D13:F13"/>
    <mergeCell ref="G13:I13"/>
    <mergeCell ref="D14:F14"/>
    <mergeCell ref="G14:I14"/>
    <mergeCell ref="D15:F15"/>
    <mergeCell ref="G15:I15"/>
    <mergeCell ref="B18:I19"/>
    <mergeCell ref="B21:I23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7"/>
    <col collapsed="false" customWidth="true" hidden="false" outlineLevel="0" max="6" min="4" style="1" width="20"/>
    <col collapsed="false" customWidth="true" hidden="false" outlineLevel="0" max="10" min="7" style="1" width="21"/>
  </cols>
  <sheetData>
    <row r="1" customFormat="false" ht="33.75" hidden="false" customHeight="true" outlineLevel="0" collapsed="false">
      <c r="A1" s="2" t="s">
        <v>210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211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.75" hidden="false" customHeight="true" outlineLevel="0" collapsed="false">
      <c r="A4" s="67" t="s">
        <v>212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24.75" hidden="false" customHeight="true" outlineLevel="0" collapsed="false">
      <c r="A5" s="67"/>
      <c r="B5" s="67"/>
      <c r="C5" s="67"/>
      <c r="D5" s="67"/>
      <c r="E5" s="67"/>
      <c r="F5" s="67"/>
      <c r="G5" s="67"/>
      <c r="H5" s="67"/>
      <c r="I5" s="67"/>
      <c r="J5" s="67"/>
    </row>
    <row r="7" customFormat="false" ht="22.5" hidden="false" customHeight="true" outlineLevel="0" collapsed="false">
      <c r="A7" s="4" t="s">
        <v>213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33.75" hidden="false" customHeight="true" outlineLevel="0" collapsed="false">
      <c r="A8" s="13" t="s">
        <v>214</v>
      </c>
      <c r="B8" s="13" t="s">
        <v>215</v>
      </c>
      <c r="C8" s="13"/>
      <c r="D8" s="13" t="s">
        <v>195</v>
      </c>
      <c r="E8" s="13"/>
      <c r="F8" s="13"/>
      <c r="G8" s="13" t="s">
        <v>216</v>
      </c>
      <c r="H8" s="13"/>
      <c r="I8" s="13"/>
      <c r="J8" s="13"/>
    </row>
    <row r="9" customFormat="false" ht="51.75" hidden="false" customHeight="true" outlineLevel="0" collapsed="false">
      <c r="A9" s="78" t="s">
        <v>217</v>
      </c>
      <c r="B9" s="79" t="s">
        <v>218</v>
      </c>
      <c r="C9" s="79"/>
      <c r="D9" s="80" t="s">
        <v>219</v>
      </c>
      <c r="E9" s="80"/>
      <c r="F9" s="80"/>
      <c r="G9" s="80" t="s">
        <v>220</v>
      </c>
      <c r="H9" s="80"/>
      <c r="I9" s="80"/>
      <c r="J9" s="80"/>
    </row>
    <row r="10" customFormat="false" ht="51.75" hidden="false" customHeight="true" outlineLevel="0" collapsed="false">
      <c r="A10" s="81" t="s">
        <v>221</v>
      </c>
      <c r="B10" s="82" t="s">
        <v>222</v>
      </c>
      <c r="C10" s="82"/>
      <c r="D10" s="83" t="s">
        <v>223</v>
      </c>
      <c r="E10" s="83"/>
      <c r="F10" s="83"/>
      <c r="G10" s="83" t="s">
        <v>224</v>
      </c>
      <c r="H10" s="83"/>
      <c r="I10" s="83"/>
      <c r="J10" s="83"/>
    </row>
    <row r="11" customFormat="false" ht="51.75" hidden="false" customHeight="true" outlineLevel="0" collapsed="false">
      <c r="A11" s="78" t="s">
        <v>225</v>
      </c>
      <c r="B11" s="79" t="s">
        <v>226</v>
      </c>
      <c r="C11" s="79"/>
      <c r="D11" s="80" t="s">
        <v>227</v>
      </c>
      <c r="E11" s="80"/>
      <c r="F11" s="80"/>
      <c r="G11" s="80" t="s">
        <v>228</v>
      </c>
      <c r="H11" s="80"/>
      <c r="I11" s="80"/>
      <c r="J11" s="80"/>
    </row>
    <row r="12" customFormat="false" ht="51.75" hidden="false" customHeight="true" outlineLevel="0" collapsed="false">
      <c r="A12" s="81" t="s">
        <v>229</v>
      </c>
      <c r="B12" s="82" t="s">
        <v>230</v>
      </c>
      <c r="C12" s="82"/>
      <c r="D12" s="83" t="s">
        <v>231</v>
      </c>
      <c r="E12" s="83"/>
      <c r="F12" s="83"/>
      <c r="G12" s="83" t="s">
        <v>232</v>
      </c>
      <c r="H12" s="83"/>
      <c r="I12" s="83"/>
      <c r="J12" s="83"/>
    </row>
    <row r="13" customFormat="false" ht="51.75" hidden="false" customHeight="true" outlineLevel="0" collapsed="false">
      <c r="A13" s="78" t="s">
        <v>233</v>
      </c>
      <c r="B13" s="79" t="s">
        <v>234</v>
      </c>
      <c r="C13" s="79"/>
      <c r="D13" s="80" t="s">
        <v>235</v>
      </c>
      <c r="E13" s="80"/>
      <c r="F13" s="80"/>
      <c r="G13" s="80" t="s">
        <v>236</v>
      </c>
      <c r="H13" s="80"/>
      <c r="I13" s="80"/>
      <c r="J13" s="80"/>
    </row>
    <row r="14" customFormat="false" ht="51.75" hidden="false" customHeight="true" outlineLevel="0" collapsed="false">
      <c r="A14" s="81" t="s">
        <v>237</v>
      </c>
      <c r="B14" s="82" t="s">
        <v>127</v>
      </c>
      <c r="C14" s="82"/>
      <c r="D14" s="83" t="s">
        <v>238</v>
      </c>
      <c r="E14" s="83"/>
      <c r="F14" s="83"/>
      <c r="G14" s="83" t="s">
        <v>239</v>
      </c>
      <c r="H14" s="83"/>
      <c r="I14" s="83"/>
      <c r="J14" s="83"/>
    </row>
    <row r="15" customFormat="false" ht="51.75" hidden="false" customHeight="true" outlineLevel="0" collapsed="false">
      <c r="A15" s="78" t="s">
        <v>240</v>
      </c>
      <c r="B15" s="79" t="s">
        <v>25</v>
      </c>
      <c r="C15" s="79"/>
      <c r="D15" s="80" t="s">
        <v>241</v>
      </c>
      <c r="E15" s="80"/>
      <c r="F15" s="80"/>
      <c r="G15" s="80" t="s">
        <v>242</v>
      </c>
      <c r="H15" s="80"/>
      <c r="I15" s="80"/>
      <c r="J15" s="80"/>
    </row>
    <row r="16" customFormat="false" ht="51.75" hidden="false" customHeight="true" outlineLevel="0" collapsed="false">
      <c r="A16" s="81" t="s">
        <v>243</v>
      </c>
      <c r="B16" s="82" t="s">
        <v>132</v>
      </c>
      <c r="C16" s="82"/>
      <c r="D16" s="83" t="s">
        <v>244</v>
      </c>
      <c r="E16" s="83"/>
      <c r="F16" s="83"/>
      <c r="G16" s="83" t="s">
        <v>245</v>
      </c>
      <c r="H16" s="83"/>
      <c r="I16" s="83"/>
      <c r="J16" s="83"/>
    </row>
    <row r="17" customFormat="false" ht="51.75" hidden="false" customHeight="true" outlineLevel="0" collapsed="false">
      <c r="A17" s="78" t="s">
        <v>246</v>
      </c>
      <c r="B17" s="79" t="s">
        <v>247</v>
      </c>
      <c r="C17" s="79"/>
      <c r="D17" s="80" t="s">
        <v>248</v>
      </c>
      <c r="E17" s="80"/>
      <c r="F17" s="80"/>
      <c r="G17" s="80" t="s">
        <v>249</v>
      </c>
      <c r="H17" s="80"/>
      <c r="I17" s="80"/>
      <c r="J17" s="80"/>
    </row>
    <row r="18" customFormat="false" ht="51.75" hidden="false" customHeight="true" outlineLevel="0" collapsed="false">
      <c r="A18" s="81" t="s">
        <v>250</v>
      </c>
      <c r="B18" s="82" t="s">
        <v>29</v>
      </c>
      <c r="C18" s="82"/>
      <c r="D18" s="83" t="s">
        <v>251</v>
      </c>
      <c r="E18" s="83"/>
      <c r="F18" s="83"/>
      <c r="G18" s="83" t="s">
        <v>252</v>
      </c>
      <c r="H18" s="83"/>
      <c r="I18" s="83"/>
      <c r="J18" s="83"/>
    </row>
    <row r="19" customFormat="false" ht="51.75" hidden="false" customHeight="true" outlineLevel="0" collapsed="false">
      <c r="A19" s="78" t="s">
        <v>253</v>
      </c>
      <c r="B19" s="79" t="s">
        <v>254</v>
      </c>
      <c r="C19" s="79"/>
      <c r="D19" s="80" t="s">
        <v>255</v>
      </c>
      <c r="E19" s="80"/>
      <c r="F19" s="80"/>
      <c r="G19" s="80" t="s">
        <v>256</v>
      </c>
      <c r="H19" s="80"/>
      <c r="I19" s="80"/>
      <c r="J19" s="80"/>
    </row>
    <row r="20" customFormat="false" ht="51.75" hidden="false" customHeight="true" outlineLevel="0" collapsed="false">
      <c r="A20" s="81" t="s">
        <v>257</v>
      </c>
      <c r="B20" s="82" t="s">
        <v>196</v>
      </c>
      <c r="C20" s="82"/>
      <c r="D20" s="83" t="s">
        <v>258</v>
      </c>
      <c r="E20" s="83"/>
      <c r="F20" s="83"/>
      <c r="G20" s="83" t="s">
        <v>259</v>
      </c>
      <c r="H20" s="83"/>
      <c r="I20" s="83"/>
      <c r="J20" s="83"/>
    </row>
    <row r="21" customFormat="false" ht="51.75" hidden="false" customHeight="true" outlineLevel="0" collapsed="false">
      <c r="A21" s="78" t="s">
        <v>260</v>
      </c>
      <c r="B21" s="79" t="s">
        <v>261</v>
      </c>
      <c r="C21" s="79"/>
      <c r="D21" s="80" t="s">
        <v>262</v>
      </c>
      <c r="E21" s="80"/>
      <c r="F21" s="80"/>
      <c r="G21" s="80" t="s">
        <v>263</v>
      </c>
      <c r="H21" s="80"/>
      <c r="I21" s="80"/>
      <c r="J21" s="80"/>
    </row>
    <row r="22" customFormat="false" ht="51.75" hidden="false" customHeight="true" outlineLevel="0" collapsed="false">
      <c r="A22" s="81" t="s">
        <v>264</v>
      </c>
      <c r="B22" s="82" t="s">
        <v>33</v>
      </c>
      <c r="C22" s="82"/>
      <c r="D22" s="83" t="s">
        <v>265</v>
      </c>
      <c r="E22" s="83"/>
      <c r="F22" s="83"/>
      <c r="G22" s="83" t="s">
        <v>266</v>
      </c>
      <c r="H22" s="83"/>
      <c r="I22" s="83"/>
      <c r="J22" s="83"/>
    </row>
    <row r="23" customFormat="false" ht="51.75" hidden="false" customHeight="true" outlineLevel="0" collapsed="false">
      <c r="A23" s="78" t="s">
        <v>267</v>
      </c>
      <c r="B23" s="79" t="s">
        <v>268</v>
      </c>
      <c r="C23" s="79"/>
      <c r="D23" s="80" t="s">
        <v>269</v>
      </c>
      <c r="E23" s="80"/>
      <c r="F23" s="80"/>
      <c r="G23" s="80" t="s">
        <v>270</v>
      </c>
      <c r="H23" s="80"/>
      <c r="I23" s="80"/>
      <c r="J23" s="80"/>
    </row>
    <row r="25" customFormat="false" ht="22.5" hidden="false" customHeight="true" outlineLevel="0" collapsed="false">
      <c r="A25" s="12" t="s">
        <v>271</v>
      </c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15" hidden="false" customHeight="true" outlineLevel="0" collapsed="false">
      <c r="A26" s="26" t="s">
        <v>272</v>
      </c>
      <c r="B26" s="26"/>
      <c r="C26" s="26"/>
      <c r="D26" s="26"/>
      <c r="E26" s="26"/>
      <c r="F26" s="26"/>
      <c r="G26" s="26"/>
      <c r="H26" s="26"/>
      <c r="I26" s="26"/>
      <c r="J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30" customFormat="false" ht="24.75" hidden="false" customHeight="true" outlineLevel="0" collapsed="false">
      <c r="A30" s="84" t="s">
        <v>273</v>
      </c>
      <c r="B30" s="84"/>
      <c r="C30" s="84"/>
      <c r="D30" s="84"/>
      <c r="E30" s="84"/>
      <c r="F30" s="84"/>
      <c r="G30" s="84"/>
      <c r="H30" s="84"/>
      <c r="I30" s="84"/>
      <c r="J30" s="84"/>
    </row>
    <row r="31" customFormat="false" ht="24.75" hidden="false" customHeight="true" outlineLevel="0" collapsed="false">
      <c r="A31" s="84"/>
      <c r="B31" s="84"/>
      <c r="C31" s="84"/>
      <c r="D31" s="84"/>
      <c r="E31" s="84"/>
      <c r="F31" s="84"/>
      <c r="G31" s="84"/>
      <c r="H31" s="84"/>
      <c r="I31" s="84"/>
      <c r="J31" s="84"/>
    </row>
  </sheetData>
  <mergeCells count="55">
    <mergeCell ref="A1:J1"/>
    <mergeCell ref="A2:J2"/>
    <mergeCell ref="A4:J5"/>
    <mergeCell ref="A7:J7"/>
    <mergeCell ref="B8:C8"/>
    <mergeCell ref="D8:F8"/>
    <mergeCell ref="G8:J8"/>
    <mergeCell ref="B9:C9"/>
    <mergeCell ref="D9:F9"/>
    <mergeCell ref="G9:J9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  <mergeCell ref="D13:F13"/>
    <mergeCell ref="G13:J13"/>
    <mergeCell ref="B14:C14"/>
    <mergeCell ref="D14:F14"/>
    <mergeCell ref="G14:J14"/>
    <mergeCell ref="B15:C15"/>
    <mergeCell ref="D15:F15"/>
    <mergeCell ref="G15:J15"/>
    <mergeCell ref="B16:C16"/>
    <mergeCell ref="D16:F16"/>
    <mergeCell ref="G16:J16"/>
    <mergeCell ref="B17:C17"/>
    <mergeCell ref="D17:F17"/>
    <mergeCell ref="G17:J17"/>
    <mergeCell ref="B18:C18"/>
    <mergeCell ref="D18:F18"/>
    <mergeCell ref="G18:J18"/>
    <mergeCell ref="B19:C19"/>
    <mergeCell ref="D19:F19"/>
    <mergeCell ref="G19:J19"/>
    <mergeCell ref="B20:C20"/>
    <mergeCell ref="D20:F20"/>
    <mergeCell ref="G20:J20"/>
    <mergeCell ref="B21:C21"/>
    <mergeCell ref="D21:F21"/>
    <mergeCell ref="G21:J21"/>
    <mergeCell ref="B22:C22"/>
    <mergeCell ref="D22:F22"/>
    <mergeCell ref="G22:J22"/>
    <mergeCell ref="B23:C23"/>
    <mergeCell ref="D23:F23"/>
    <mergeCell ref="G23:J23"/>
    <mergeCell ref="A25:J25"/>
    <mergeCell ref="A26:J28"/>
    <mergeCell ref="A30:J31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6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16" activeCellId="0" sqref="F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7" min="4" style="1" width="18"/>
    <col collapsed="false" customWidth="true" hidden="false" outlineLevel="0" max="8" min="8" style="1" width="4"/>
    <col collapsed="false" customWidth="true" hidden="false" outlineLevel="0" max="12" min="9" style="1" width="24"/>
  </cols>
  <sheetData>
    <row r="1" customFormat="false" ht="33.75" hidden="false" customHeight="true" outlineLevel="0" collapsed="false">
      <c r="A1" s="2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.75" hidden="false" customHeight="true" outlineLevel="0" collapsed="false">
      <c r="A2" s="3" t="s">
        <v>275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2.5" hidden="false" customHeight="true" outlineLevel="0" collapsed="false">
      <c r="A4" s="12" t="s">
        <v>276</v>
      </c>
      <c r="B4" s="12"/>
      <c r="C4" s="12"/>
      <c r="D4" s="12"/>
      <c r="E4" s="12"/>
      <c r="F4" s="12"/>
      <c r="G4" s="12"/>
      <c r="I4" s="22" t="s">
        <v>277</v>
      </c>
      <c r="J4" s="22"/>
      <c r="K4" s="22"/>
      <c r="L4" s="22"/>
    </row>
    <row r="5" customFormat="false" ht="15" hidden="false" customHeight="true" outlineLevel="0" collapsed="false">
      <c r="A5" s="9" t="s">
        <v>175</v>
      </c>
      <c r="B5" s="39" t="n">
        <v>4</v>
      </c>
      <c r="D5" s="85" t="s">
        <v>278</v>
      </c>
      <c r="E5" s="85"/>
      <c r="F5" s="85"/>
      <c r="G5" s="85"/>
      <c r="I5" s="22"/>
      <c r="J5" s="22"/>
      <c r="K5" s="22"/>
      <c r="L5" s="22"/>
    </row>
    <row r="6" customFormat="false" ht="15" hidden="false" customHeight="false" outlineLevel="0" collapsed="false">
      <c r="A6" s="9" t="s">
        <v>279</v>
      </c>
      <c r="B6" s="39" t="n">
        <v>80</v>
      </c>
      <c r="D6" s="85"/>
      <c r="E6" s="85"/>
      <c r="F6" s="85"/>
      <c r="G6" s="85"/>
      <c r="I6" s="22"/>
      <c r="J6" s="22"/>
      <c r="K6" s="22"/>
      <c r="L6" s="22"/>
    </row>
    <row r="7" customFormat="false" ht="15" hidden="false" customHeight="false" outlineLevel="0" collapsed="false">
      <c r="D7" s="85"/>
      <c r="E7" s="85"/>
      <c r="F7" s="85"/>
      <c r="G7" s="85"/>
      <c r="I7" s="22"/>
      <c r="J7" s="22"/>
      <c r="K7" s="22"/>
      <c r="L7" s="22"/>
    </row>
    <row r="8" customFormat="false" ht="15" hidden="false" customHeight="false" outlineLevel="0" collapsed="false">
      <c r="A8" s="9" t="s">
        <v>124</v>
      </c>
      <c r="B8" s="86" t="n">
        <f aca="false">(B5-01_Data!K6)/01_Data!K7</f>
        <v>-0.4</v>
      </c>
      <c r="D8" s="85"/>
      <c r="E8" s="85"/>
      <c r="F8" s="85"/>
      <c r="G8" s="85"/>
      <c r="I8" s="22"/>
      <c r="J8" s="22"/>
      <c r="K8" s="22"/>
      <c r="L8" s="22"/>
    </row>
    <row r="9" customFormat="false" ht="15" hidden="false" customHeight="false" outlineLevel="0" collapsed="false">
      <c r="A9" s="9" t="s">
        <v>125</v>
      </c>
      <c r="B9" s="86" t="n">
        <f aca="false">(B6-01_Data!K8)/01_Data!K9</f>
        <v>0.333333333333333</v>
      </c>
      <c r="D9" s="85"/>
      <c r="E9" s="85"/>
      <c r="F9" s="85"/>
      <c r="G9" s="85"/>
      <c r="I9" s="22"/>
      <c r="J9" s="22"/>
      <c r="K9" s="22"/>
      <c r="L9" s="22"/>
    </row>
    <row r="10" customFormat="false" ht="15" hidden="false" customHeight="false" outlineLevel="0" collapsed="false">
      <c r="D10" s="85"/>
      <c r="E10" s="85"/>
      <c r="F10" s="85"/>
      <c r="G10" s="85"/>
      <c r="I10" s="22"/>
      <c r="J10" s="22"/>
      <c r="K10" s="22"/>
      <c r="L10" s="22"/>
    </row>
    <row r="11" customFormat="false" ht="15" hidden="false" customHeight="false" outlineLevel="0" collapsed="false">
      <c r="A11" s="9" t="s">
        <v>280</v>
      </c>
      <c r="B11" s="87" t="n">
        <f aca="false">03_Model_Path!B24+03_Model_Path!B25*B8+03_Model_Path!B26*B9</f>
        <v>69.5582957932873</v>
      </c>
      <c r="D11" s="85"/>
      <c r="E11" s="85"/>
      <c r="F11" s="85"/>
      <c r="G11" s="85"/>
      <c r="I11" s="22"/>
      <c r="J11" s="22"/>
      <c r="K11" s="22"/>
      <c r="L11" s="22"/>
    </row>
    <row r="14" customFormat="false" ht="22.5" hidden="false" customHeight="true" outlineLevel="0" collapsed="false">
      <c r="A14" s="4" t="s">
        <v>281</v>
      </c>
      <c r="B14" s="4"/>
      <c r="C14" s="4"/>
      <c r="D14" s="4"/>
      <c r="E14" s="4"/>
      <c r="F14" s="4"/>
      <c r="G14" s="4"/>
    </row>
    <row r="15" customFormat="false" ht="33.75" hidden="false" customHeight="true" outlineLevel="0" collapsed="false">
      <c r="A15" s="13" t="s">
        <v>254</v>
      </c>
      <c r="B15" s="13" t="s">
        <v>282</v>
      </c>
      <c r="C15" s="13" t="s">
        <v>196</v>
      </c>
      <c r="D15" s="13" t="s">
        <v>201</v>
      </c>
      <c r="E15" s="13" t="s">
        <v>33</v>
      </c>
      <c r="F15" s="13" t="s">
        <v>283</v>
      </c>
      <c r="G15" s="13" t="s">
        <v>284</v>
      </c>
    </row>
    <row r="16" customFormat="false" ht="33.75" hidden="false" customHeight="true" outlineLevel="0" collapsed="false">
      <c r="A16" s="88" t="n">
        <v>0.1</v>
      </c>
      <c r="B16" s="89"/>
      <c r="C16" s="89"/>
      <c r="D16" s="89"/>
      <c r="E16" s="89"/>
      <c r="F16" s="89"/>
      <c r="G16" s="89"/>
    </row>
    <row r="17" customFormat="false" ht="33.75" hidden="false" customHeight="true" outlineLevel="0" collapsed="false">
      <c r="A17" s="88" t="n">
        <v>0.4</v>
      </c>
      <c r="B17" s="89"/>
      <c r="C17" s="89"/>
      <c r="D17" s="89"/>
      <c r="E17" s="89"/>
      <c r="F17" s="89"/>
      <c r="G17" s="89"/>
    </row>
    <row r="18" customFormat="false" ht="33.75" hidden="false" customHeight="true" outlineLevel="0" collapsed="false">
      <c r="A18" s="88" t="n">
        <v>0.8</v>
      </c>
      <c r="B18" s="89"/>
      <c r="C18" s="89"/>
      <c r="D18" s="89"/>
      <c r="E18" s="89"/>
      <c r="F18" s="89"/>
      <c r="G18" s="89"/>
    </row>
    <row r="21" customFormat="false" ht="22.5" hidden="false" customHeight="true" outlineLevel="0" collapsed="false">
      <c r="A21" s="12" t="s">
        <v>285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36" hidden="false" customHeight="true" outlineLevel="0" collapsed="false">
      <c r="A22" s="90" t="s">
        <v>286</v>
      </c>
      <c r="B22" s="90"/>
      <c r="C22" s="90"/>
      <c r="D22" s="90"/>
      <c r="E22" s="90"/>
      <c r="F22" s="90"/>
      <c r="G22" s="90"/>
      <c r="H22" s="90"/>
      <c r="I22" s="91" t="s">
        <v>287</v>
      </c>
      <c r="J22" s="91"/>
      <c r="K22" s="91"/>
      <c r="L22" s="91"/>
    </row>
    <row r="23" customFormat="false" ht="36" hidden="false" customHeight="true" outlineLevel="0" collapsed="false">
      <c r="A23" s="5" t="s">
        <v>288</v>
      </c>
      <c r="B23" s="5"/>
      <c r="C23" s="5"/>
      <c r="D23" s="5"/>
      <c r="E23" s="5"/>
      <c r="F23" s="5"/>
      <c r="G23" s="5"/>
      <c r="H23" s="5"/>
      <c r="I23" s="91" t="s">
        <v>287</v>
      </c>
      <c r="J23" s="91"/>
      <c r="K23" s="91"/>
      <c r="L23" s="91"/>
    </row>
    <row r="24" customFormat="false" ht="36" hidden="false" customHeight="true" outlineLevel="0" collapsed="false">
      <c r="A24" s="92" t="s">
        <v>289</v>
      </c>
      <c r="B24" s="92"/>
      <c r="C24" s="92"/>
      <c r="D24" s="92"/>
      <c r="E24" s="92"/>
      <c r="F24" s="92"/>
      <c r="G24" s="92"/>
      <c r="H24" s="92"/>
      <c r="I24" s="91" t="s">
        <v>287</v>
      </c>
      <c r="J24" s="91"/>
      <c r="K24" s="91"/>
      <c r="L24" s="91"/>
    </row>
    <row r="25" customFormat="false" ht="36" hidden="false" customHeight="true" outlineLevel="0" collapsed="false">
      <c r="A25" s="5" t="s">
        <v>290</v>
      </c>
      <c r="B25" s="5"/>
      <c r="C25" s="5"/>
      <c r="D25" s="5"/>
      <c r="E25" s="5"/>
      <c r="F25" s="5"/>
      <c r="G25" s="5"/>
      <c r="H25" s="5"/>
      <c r="I25" s="91" t="s">
        <v>287</v>
      </c>
      <c r="J25" s="91"/>
      <c r="K25" s="91"/>
      <c r="L25" s="91"/>
    </row>
    <row r="26" customFormat="false" ht="36" hidden="false" customHeight="true" outlineLevel="0" collapsed="false">
      <c r="A26" s="92" t="s">
        <v>291</v>
      </c>
      <c r="B26" s="92"/>
      <c r="C26" s="92"/>
      <c r="D26" s="92"/>
      <c r="E26" s="92"/>
      <c r="F26" s="92"/>
      <c r="G26" s="92"/>
      <c r="H26" s="92"/>
      <c r="I26" s="91" t="s">
        <v>287</v>
      </c>
      <c r="J26" s="91"/>
      <c r="K26" s="91"/>
      <c r="L26" s="91"/>
    </row>
  </sheetData>
  <mergeCells count="17">
    <mergeCell ref="A1:L1"/>
    <mergeCell ref="A2:L2"/>
    <mergeCell ref="A4:G4"/>
    <mergeCell ref="I4:L11"/>
    <mergeCell ref="D5:G11"/>
    <mergeCell ref="A14:G14"/>
    <mergeCell ref="A21:L21"/>
    <mergeCell ref="A22:H22"/>
    <mergeCell ref="I22:L22"/>
    <mergeCell ref="A23:H23"/>
    <mergeCell ref="I23:L23"/>
    <mergeCell ref="A24:H24"/>
    <mergeCell ref="I24:L24"/>
    <mergeCell ref="A25:H25"/>
    <mergeCell ref="I25:L25"/>
    <mergeCell ref="A26:H26"/>
    <mergeCell ref="I26:L26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2026-07-16T06:18:08Z</dcterms:created>
  <dc:creator>OpenAI</dc:creator>
  <dc:description>Thai classroom workbook with formula-driven gradient descent, residual analysis, and regression metrics</dc:description>
  <dc:language>en-US</dc:language>
  <cp:lastModifiedBy/>
  <dcterms:modified xsi:type="dcterms:W3CDTF">2026-07-16T16:42:46Z</dcterms:modified>
  <cp:revision>1</cp:revision>
  <dc:subject>Excel-based Linear Regression teaching workbook</dc:subject>
  <dc:title>Linear Regression Step by Step for Students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