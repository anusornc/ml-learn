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Data" sheetId="2" state="visible" r:id="rId4"/>
    <sheet name="02_Training_Detail" sheetId="3" state="visible" r:id="rId5"/>
    <sheet name="03_Model_Path" sheetId="4" state="visible" r:id="rId6"/>
    <sheet name="04_Test_Prediction" sheetId="5" state="visible" r:id="rId7"/>
    <sheet name="05_Evaluation" sheetId="6" state="visible" r:id="rId8"/>
    <sheet name="06_Key_Concepts" sheetId="7" state="visible" r:id="rId9"/>
    <sheet name="07_Exercises" sheetId="8" state="visible" r:id="rId10"/>
  </sheets>
  <definedNames>
    <definedName function="false" hidden="false" localSheetId="0" name="_xlnm.Print_Area" vbProcedure="false">00_Guide!$A$1:$H$35</definedName>
    <definedName function="false" hidden="false" localSheetId="1" name="_xlnm.Print_Area" vbProcedure="false">01_Data!$A$1:$Q$37</definedName>
    <definedName function="false" hidden="false" localSheetId="1" name="_xlnm.Print_Titles" vbProcedure="false">01_Data!$1:$5</definedName>
    <definedName function="false" hidden="true" localSheetId="1" name="_xlnm._FilterDatabase" vbProcedure="false">01_Data!$A$5:$H$35</definedName>
    <definedName function="false" hidden="false" localSheetId="2" name="_xlnm.Print_Area" vbProcedure="false">02_Training_Detail!$A$1:$K$529</definedName>
    <definedName function="false" hidden="false" localSheetId="2" name="_xlnm.Print_Titles" vbProcedure="false">02_Training_Detail!$1:$10</definedName>
    <definedName function="false" hidden="false" localSheetId="3" name="_xlnm.Print_Area" vbProcedure="false">03_Model_Path!$A$1:$U$38</definedName>
    <definedName function="false" hidden="false" localSheetId="4" name="_xlnm.Print_Area" vbProcedure="false">04_Test_Prediction!$A$1:$W$28</definedName>
    <definedName function="false" hidden="true" localSheetId="4" name="_xlnm._FilterDatabase" vbProcedure="false">04_Test_Prediction!$A$7:$O$17</definedName>
    <definedName function="false" hidden="false" localSheetId="5" name="_xlnm.Print_Area" vbProcedure="false">05_Evaluation!$A$1:$J$24</definedName>
    <definedName function="false" hidden="false" localSheetId="6" name="_xlnm.Print_Area" vbProcedure="false">06_Key_Concepts!$A$1:$J$33</definedName>
    <definedName function="false" hidden="false" localSheetId="7" name="_xlnm.Print_Area" vbProcedure="false">07_Exercises!$A$1:$L$22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K6" authorId="0">
      <text>
        <r>
          <rPr>
            <sz val="10"/>
            <rFont val="Arial Unicode MS"/>
            <family val="2"/>
          </rPr>
          <t xml:space="preserve">ค่าเฉลี่ยของชั่วโมงอ่านในชุด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5.00 </t>
        </r>
        <r>
          <rPr>
            <sz val="10"/>
            <rFont val="Arial Unicode MS"/>
            <family val="2"/>
          </rPr>
          <t xml:space="preserve">จึงใช้เป็นจุดกึ่งกลาง ทำให้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Arial Unicode MS"/>
            <family val="2"/>
          </rPr>
          <t xml:space="preserve">ชั่วโมงแปลงเป็น </t>
        </r>
        <r>
          <rPr>
            <sz val="10"/>
            <rFont val="Arial"/>
            <family val="2"/>
          </rPr>
          <t xml:space="preserve">x1 = 0</t>
        </r>
      </text>
    </comment>
    <comment ref="K7" authorId="0">
      <text>
        <r>
          <rPr>
            <sz val="10"/>
            <rFont val="Arial Unicode MS"/>
            <family val="2"/>
          </rPr>
          <t xml:space="preserve">ส่วนเบี่ยงเบนมาตรฐานจริงประมาณ </t>
        </r>
        <r>
          <rPr>
            <sz val="10"/>
            <rFont val="Arial"/>
            <family val="2"/>
          </rPr>
          <t xml:space="preserve">2.35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2.5 </t>
        </r>
        <r>
          <rPr>
            <sz val="10"/>
            <rFont val="Arial Unicode MS"/>
            <family val="2"/>
          </rPr>
          <t xml:space="preserve">เพื่อให้คำนวณมือและตีความง่าย ค่านี้เป็น </t>
        </r>
        <r>
          <rPr>
            <sz val="10"/>
            <rFont val="Arial"/>
            <family val="2"/>
          </rPr>
          <t xml:space="preserve">teaching scale </t>
        </r>
        <r>
          <rPr>
            <sz val="10"/>
            <rFont val="Arial Unicode MS"/>
            <family val="2"/>
          </rPr>
          <t xml:space="preserve">ไม่ใช่ </t>
        </r>
        <r>
          <rPr>
            <sz val="10"/>
            <rFont val="Arial"/>
            <family val="2"/>
          </rPr>
          <t xml:space="preserve">z-score </t>
        </r>
        <r>
          <rPr>
            <sz val="10"/>
            <rFont val="Arial Unicode MS"/>
            <family val="2"/>
          </rPr>
          <t xml:space="preserve">แบบเคร่งครัด</t>
        </r>
      </text>
    </comment>
    <comment ref="K8" authorId="0">
      <text>
        <r>
          <rPr>
            <sz val="10"/>
            <rFont val="Arial Unicode MS"/>
            <family val="2"/>
          </rPr>
          <t xml:space="preserve">ค่าเฉลี่ย </t>
        </r>
        <r>
          <rPr>
            <sz val="10"/>
            <rFont val="Arial"/>
            <family val="2"/>
          </rPr>
          <t xml:space="preserve">Attendance </t>
        </r>
        <r>
          <rPr>
            <sz val="10"/>
            <rFont val="Arial Unicode MS"/>
            <family val="2"/>
          </rPr>
          <t xml:space="preserve">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74.5%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75% </t>
        </r>
        <r>
          <rPr>
            <sz val="10"/>
            <rFont val="Arial Unicode MS"/>
            <family val="2"/>
          </rPr>
          <t xml:space="preserve">เพื่อใช้เป็นจุดกึ่งกลางที่จำง่าย</t>
        </r>
      </text>
    </comment>
    <comment ref="K9" authorId="0">
      <text>
        <r>
          <rPr>
            <sz val="10"/>
            <rFont val="Arial Unicode MS"/>
            <family val="2"/>
          </rPr>
          <t xml:space="preserve">เลือก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Arial Unicode MS"/>
            <family val="2"/>
          </rPr>
          <t xml:space="preserve">จุดเปอร์เซ็นต์เพื่อให้ </t>
        </r>
        <r>
          <rPr>
            <sz val="10"/>
            <rFont val="Arial"/>
            <family val="2"/>
          </rPr>
          <t xml:space="preserve">60% </t>
        </r>
        <r>
          <rPr>
            <sz val="10"/>
            <rFont val="Arial Unicode MS"/>
            <family val="2"/>
          </rPr>
          <t xml:space="preserve">แปลงเป็น </t>
        </r>
        <r>
          <rPr>
            <sz val="10"/>
            <rFont val="Arial"/>
            <family val="2"/>
          </rPr>
          <t xml:space="preserve">-1, 75%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90%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+1 </t>
        </r>
        <r>
          <rPr>
            <sz val="10"/>
            <rFont val="Arial Unicode MS"/>
            <family val="2"/>
          </rPr>
          <t xml:space="preserve">ค่านี้เน้นการสอนและการคำนวณมือ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ลองปรับ </t>
        </r>
        <r>
          <rPr>
            <sz val="10"/>
            <rFont val="Arial"/>
            <family val="2"/>
          </rPr>
          <t xml:space="preserve">0.10–0.80 </t>
        </r>
        <r>
          <rPr>
            <sz val="10"/>
            <rFont val="Arial Unicode MS"/>
            <family val="2"/>
          </rPr>
          <t xml:space="preserve">แล้วสังเกตกราฟ </t>
        </r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</rPr>
          <t xml:space="preserve">ในชีต </t>
        </r>
        <r>
          <rPr>
            <sz val="10"/>
            <rFont val="Arial"/>
            <family val="2"/>
          </rPr>
          <t xml:space="preserve">03_Model_Path</t>
        </r>
      </text>
    </comment>
    <comment ref="B5" authorId="0">
      <text>
        <r>
          <rPr>
            <sz val="10"/>
            <rFont val="Arial Unicode MS"/>
            <family val="2"/>
          </rPr>
          <t xml:space="preserve">ไฟล์นี้เตรียมพื้นที่ฝึกไว้ </t>
        </r>
        <r>
          <rPr>
            <sz val="10"/>
            <rFont val="Arial"/>
            <family val="2"/>
          </rPr>
          <t xml:space="preserve">20 </t>
        </r>
        <r>
          <rPr>
            <sz val="10"/>
            <rFont val="Arial Unicode MS"/>
            <family val="2"/>
          </rPr>
          <t xml:space="preserve">รอบ</t>
        </r>
      </text>
    </comment>
    <comment ref="E14" authorId="0">
      <text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คือคะแนนเชิงเส้นก่อนผ่าน </t>
        </r>
        <r>
          <rPr>
            <sz val="10"/>
            <rFont val="Arial"/>
            <family val="2"/>
          </rPr>
          <t xml:space="preserve">sigmoid</t>
        </r>
      </text>
    </comment>
    <comment ref="F14" authorId="0">
      <text>
        <r>
          <rPr>
            <sz val="10"/>
            <rFont val="Arial"/>
            <family val="2"/>
          </rPr>
          <t xml:space="preserve">sigmoid </t>
        </r>
        <r>
          <rPr>
            <sz val="10"/>
            <rFont val="Arial Unicode MS"/>
            <family val="2"/>
          </rPr>
          <t xml:space="preserve">แปลง </t>
        </r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ให้เป็นความน่าจะเป็นระหว่าง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1</t>
        </r>
      </text>
    </comment>
    <comment ref="G14" authorId="0">
      <text>
        <r>
          <rPr>
            <sz val="10"/>
            <rFont val="Arial"/>
            <family val="2"/>
          </rPr>
          <t xml:space="preserve">error = p - y </t>
        </r>
        <r>
          <rPr>
            <sz val="10"/>
            <rFont val="Arial Unicode MS"/>
            <family val="2"/>
          </rPr>
          <t xml:space="preserve">เป็นทิศทางความคลาดเคลื่อนของแถวนั้น</t>
        </r>
      </text>
    </comment>
    <comment ref="K14" authorId="0">
      <text>
        <r>
          <rPr>
            <sz val="10"/>
            <rFont val="Arial"/>
            <family val="2"/>
          </rPr>
          <t xml:space="preserve">Log Loss </t>
        </r>
        <r>
          <rPr>
            <sz val="10"/>
            <rFont val="Arial Unicode MS"/>
            <family val="2"/>
          </rPr>
          <t xml:space="preserve">ลงโทษการทำนายที่มั่นใจแต่ผิดมากเป็นพิเศษ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ลองเปลี่ยนเป็น </t>
        </r>
        <r>
          <rPr>
            <sz val="10"/>
            <rFont val="Arial"/>
            <family val="2"/>
          </rPr>
          <t xml:space="preserve">0.40 </t>
        </r>
        <r>
          <rPr>
            <sz val="10"/>
            <rFont val="Arial Unicode M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0.60 </t>
        </r>
        <r>
          <rPr>
            <sz val="10"/>
            <rFont val="Arial Unicode MS"/>
            <family val="2"/>
          </rPr>
          <t xml:space="preserve">แล้วดูผลที่ชีต </t>
        </r>
        <r>
          <rPr>
            <sz val="10"/>
            <rFont val="Arial"/>
            <family val="2"/>
          </rPr>
          <t xml:space="preserve">05_Evaluation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C8" authorId="0">
      <text>
        <r>
          <rPr>
            <sz val="10"/>
            <rFont val="Arial"/>
            <family val="2"/>
          </rPr>
          <t xml:space="preserve">True Positive (TP)</t>
        </r>
      </text>
    </comment>
    <comment ref="C9" authorId="0">
      <text>
        <r>
          <rPr>
            <sz val="10"/>
            <rFont val="Arial"/>
            <family val="2"/>
          </rPr>
          <t xml:space="preserve">False Positive (FP)</t>
        </r>
      </text>
    </comment>
    <comment ref="D8" authorId="0">
      <text>
        <r>
          <rPr>
            <sz val="10"/>
            <rFont val="Arial"/>
            <family val="2"/>
          </rPr>
          <t xml:space="preserve">False Negative (FN)</t>
        </r>
      </text>
    </comment>
    <comment ref="D9" authorId="0">
      <text>
        <r>
          <rPr>
            <sz val="10"/>
            <rFont val="Arial"/>
            <family val="2"/>
          </rPr>
          <t xml:space="preserve">True Negative (TN)</t>
        </r>
      </text>
    </comment>
  </commentList>
</comments>
</file>

<file path=xl/sharedStrings.xml><?xml version="1.0" encoding="utf-8"?>
<sst xmlns="http://schemas.openxmlformats.org/spreadsheetml/2006/main" count="823" uniqueCount="315">
  <si>
    <t xml:space="preserve">Logistic Regression — แบบฝึกคำนวณทีละขั้นใน Excel</t>
  </si>
  <si>
    <t xml:space="preserve">แบบฝึกก่อนสอบ: เติมช่องสีเหลืองให้ครบ 20 รอบ แล้วตรวจเส้นทางการเรียนรู้ของโมเดล</t>
  </si>
  <si>
    <t xml:space="preserve">เป้าหมายการเรียนรู้</t>
  </si>
  <si>
    <t xml:space="preserve">1. อธิบายสมการ z = w1x1 + w2x2 + b และ sigmoid ได้</t>
  </si>
  <si>
    <t xml:space="preserve">2. เห็นว่า Gradient Descent ปรับค่าน้ำหนักอย่างไรในแต่ละรอบ</t>
  </si>
  <si>
    <t xml:space="preserve">3. เปลี่ยน probability เป็น class ด้วย threshold และอธิบาย TP/FP/FN/TN ได้</t>
  </si>
  <si>
    <t xml:space="preserve">4. คำนวณ Accuracy, Precision, Recall และ F1-score จาก Confusion Matrix ได้</t>
  </si>
  <si>
    <t xml:space="preserve">เส้นทางการเรียนใน Workbook</t>
  </si>
  <si>
    <t xml:space="preserve">01_Data</t>
  </si>
  <si>
    <t xml:space="preserve">ข้อมูลนักศึกษา 30 คน พร้อมการปรับสเกล x1 และ x2</t>
  </si>
  <si>
    <t xml:space="preserve">02_Training_Detail</t>
  </si>
  <si>
    <t xml:space="preserve">คำนวณ z, p, error, gradient, log loss และอัปเดต w1, w2, b ทีละรอบ</t>
  </si>
  <si>
    <t xml:space="preserve">03_Model_Path</t>
  </si>
  <si>
    <t xml:space="preserve">ดูตารางสรุปค่าน้ำหนักและกราฟ loss ตลอด 20 รอบ</t>
  </si>
  <si>
    <t xml:space="preserve">04_Test_Prediction</t>
  </si>
  <si>
    <t xml:space="preserve">ใช้โมเดลกับข้อมูล Test และทดลองเปลี่ยน threshold</t>
  </si>
  <si>
    <t xml:space="preserve">05_Evaluation</t>
  </si>
  <si>
    <t xml:space="preserve">สร้าง Confusion Matrix และคำนวณ metrics จากสูตร</t>
  </si>
  <si>
    <t xml:space="preserve">06_Key_Concepts</t>
  </si>
  <si>
    <t xml:space="preserve">อ่านคำอธิบายแนวคิดสำคัญและเหตุผลของแต่ละขั้นตอน</t>
  </si>
  <si>
    <t xml:space="preserve">07_Exercises</t>
  </si>
  <si>
    <t xml:space="preserve">ทดลอง threshold หลายค่าและตอบคำถามอภิปราย</t>
  </si>
  <si>
    <t xml:space="preserve">สูตรหลัก</t>
  </si>
  <si>
    <t xml:space="preserve">Linear score</t>
  </si>
  <si>
    <t xml:space="preserve">z = w1x1 + w2x2 + b</t>
  </si>
  <si>
    <t xml:space="preserve">Sigmoid</t>
  </si>
  <si>
    <t xml:space="preserve">p = 1 / (1 + EXP(-z))</t>
  </si>
  <si>
    <t xml:space="preserve">Error</t>
  </si>
  <si>
    <t xml:space="preserve">error = p - y</t>
  </si>
  <si>
    <t xml:space="preserve">Gradient</t>
  </si>
  <si>
    <t xml:space="preserve">grad b = AVERAGE(error); grad w1 = AVERAGE(error×x1); grad w2 = AVERAGE(error×x2)</t>
  </si>
  <si>
    <t xml:space="preserve">Update</t>
  </si>
  <si>
    <t xml:space="preserve">พารามิเตอร์ใหม่ = พารามิเตอร์เดิม - learning rate × gradient</t>
  </si>
  <si>
    <t xml:space="preserve">Log Loss</t>
  </si>
  <si>
    <t xml:space="preserve">-[y·LN(p) + (1-y)·LN(1-p)]</t>
  </si>
  <si>
    <t xml:space="preserve">รหัสสีและวิธีทดลอง</t>
  </si>
  <si>
    <t xml:space="preserve">ช่องสีเหลือง = ช่องว่างที่นักศึกษาต้องเติม</t>
  </si>
  <si>
    <t xml:space="preserve">ตัวอักษรสีดำ = สูตรคำนวณภายในชีต</t>
  </si>
  <si>
    <t xml:space="preserve">ตัวอักษรสีเขียว = สูตรที่ดึงค่าจากชีตอื่น</t>
  </si>
  <si>
    <t xml:space="preserve">สีเขียว = ผลลัพธ์ถูกต้อง / TP / TN</t>
  </si>
  <si>
    <t xml:space="preserve">สีแดง = ผลลัพธ์คลาดเคลื่อน / FP / FN</t>
  </si>
  <si>
    <t xml:space="preserve">คำแนะนำ: เริ่มจาก 01_Data แล้วเติมช่องสีเหลืองใน 02_Training_Detail ตามลำดับรอบที่ 1–20 เมื่อกรอกครบ 03_Model_Path และชีตถัดไปจะแสดงผลจากคำตอบของนักศึกษา</t>
  </si>
  <si>
    <t xml:space="preserve">01 • ข้อมูลและการเตรียมฟีเจอร์</t>
  </si>
  <si>
    <t xml:space="preserve">ข้อมูลจำลองเพื่อการเรียนการสอน: 20 แถวแรกเป็น Train และ 10 แถวท้ายเป็น Test • ด้านขวามีคำอธิบายที่มาของการปรับสเกล</t>
  </si>
  <si>
    <t xml:space="preserve">ข้อมูลหลัก</t>
  </si>
  <si>
    <t xml:space="preserve">ค่าที่ใช้ปรับสเกล</t>
  </si>
  <si>
    <t xml:space="preserve">ทำไมต้องปรับสเกล และตัวเลขมาจากไหน</t>
  </si>
  <si>
    <t xml:space="preserve">Student ID</t>
  </si>
  <si>
    <t xml:space="preserve">ชั่วโมงอ่าน/วัน</t>
  </si>
  <si>
    <t xml:space="preserve">เข้าเรียน (%)</t>
  </si>
  <si>
    <t xml:space="preserve">ผลจริง y
(1=ผ่าน)</t>
  </si>
  <si>
    <t xml:space="preserve">Split</t>
  </si>
  <si>
    <t xml:space="preserve">x1
(Centered &amp; scaled hours)</t>
  </si>
  <si>
    <t xml:space="preserve">x2
(Centered &amp; scaled attendance)</t>
  </si>
  <si>
    <t xml:space="preserve">คำอธิบาย</t>
  </si>
  <si>
    <t xml:space="preserve">ทำไมต้องปรับสเกล?
Hours อยู่ประมาณ 1–9 แต่ Attendance อยู่ประมาณ 55–95 หากใช้ค่าดิบ Gradient ของ Attendance อาจมีขนาดใหญ่กว่าเพียงเพราะหน่วยต่างกัน การปรับสเกลทำให้ทั้งสองฟีเจอร์มีขนาดใกล้กัน เรียนรู้เสถียรขึ้น และใช้ learning rate เดียวกันได้เหมาะสมกว่า</t>
  </si>
  <si>
    <t xml:space="preserve">S01</t>
  </si>
  <si>
    <t xml:space="preserve">Train</t>
  </si>
  <si>
    <t xml:space="preserve">Hours center</t>
  </si>
  <si>
    <t xml:space="preserve">S02</t>
  </si>
  <si>
    <t xml:space="preserve">Hours scale</t>
  </si>
  <si>
    <t xml:space="preserve">S03</t>
  </si>
  <si>
    <t xml:space="preserve">Attendance center</t>
  </si>
  <si>
    <t xml:space="preserve">สูตรที่ใช้
x_scaled = (ค่าดิบ - center) / scale
การลบ center ทำให้ค่าทั่วไปอยู่ใกล้ 0 ส่วนการหาร scale ทำให้ระยะห่างอยู่ราว -1 ถึง +1 โดยไฟล์นี้ใช้ Center-and-Scale แบบออกแบบเพื่อการสอน ไม่ใช่ z-score แบบเคร่งครัด</t>
  </si>
  <si>
    <t xml:space="preserve">S04</t>
  </si>
  <si>
    <t xml:space="preserve">Attendance scale</t>
  </si>
  <si>
    <t xml:space="preserve">S05</t>
  </si>
  <si>
    <t xml:space="preserve">S06</t>
  </si>
  <si>
    <t xml:space="preserve">สูตร</t>
  </si>
  <si>
    <t xml:space="preserve">x = (ค่าดิบ - center) / scale</t>
  </si>
  <si>
    <t xml:space="preserve">S07</t>
  </si>
  <si>
    <t xml:space="preserve">Hours center = 5 มาจากไหน?
ค่าเฉลี่ยชั่วโมงอ่านของข้อมูล Train เท่ากับ 5.00 ชั่วโมงพอดี จึงใช้ 5 เป็นจุดอ้างอิง เมื่ออ่าน 5 ชั่วโมง จะได้ x1 = (5-5)/2.5 = 0</t>
  </si>
  <si>
    <t xml:space="preserve">S08</t>
  </si>
  <si>
    <t xml:space="preserve">S09</t>
  </si>
  <si>
    <t xml:space="preserve">S10</t>
  </si>
  <si>
    <t xml:space="preserve">Hours scale = 2.5 มาจากไหน?
ส่วนเบี่ยงเบนมาตรฐานจริงของ Train ≈ 2.35 ชั่วโมง จึงปัดเป็น 2.5 เพื่อให้นักศึกษาคำนวณง่าย เช่น 2.5 ชม. → -1, 5 ชม. → 0, 7.5 ชม. → +1</t>
  </si>
  <si>
    <t xml:space="preserve">S11</t>
  </si>
  <si>
    <t xml:space="preserve">S12</t>
  </si>
  <si>
    <t xml:space="preserve">S13</t>
  </si>
  <si>
    <t xml:space="preserve">Attendance center = 75 มาจากไหน?
ค่าเฉลี่ย Attendance ของ Train = 74.5% จึงปัดเป็น 75% ซึ่งเป็นค่ากลางที่จำง่าย เมื่อเข้าเรียน 75% จะได้ x2 = 0</t>
  </si>
  <si>
    <t xml:space="preserve">S14</t>
  </si>
  <si>
    <t xml:space="preserve">S15</t>
  </si>
  <si>
    <t xml:space="preserve">S16</t>
  </si>
  <si>
    <t xml:space="preserve">Attendance scale = 15 มาจากไหน?
เลือก 15 จุดเปอร์เซ็นต์เพื่อให้ตีความง่าย: 60% → -1, 75% → 0, 90% → +1 และทำให้ช่วงข้อมูล Train 55–95% อยู่ราว -1.33 ถึง +1.33</t>
  </si>
  <si>
    <t xml:space="preserve">S17</t>
  </si>
  <si>
    <t xml:space="preserve">S18</t>
  </si>
  <si>
    <t xml:space="preserve">S19</t>
  </si>
  <si>
    <t xml:space="preserve">S20</t>
  </si>
  <si>
    <t xml:space="preserve">ข้อควรจำ
Center กำหนดว่า “ค่าใดควรเป็นศูนย์” ส่วน Scale กำหนดว่า “การเปลี่ยนเท่าใดควรนับเป็นหนึ่งหน่วย” ค่าน้ำหนัก w1 และ w2 หลังการ scaling จึงเปรียบเทียบกันได้ง่ายขึ้น</t>
  </si>
  <si>
    <t xml:space="preserve">T01</t>
  </si>
  <si>
    <t xml:space="preserve">Test</t>
  </si>
  <si>
    <t xml:space="preserve">T02</t>
  </si>
  <si>
    <t xml:space="preserve">T03</t>
  </si>
  <si>
    <t xml:space="preserve">T04</t>
  </si>
  <si>
    <t xml:space="preserve">เปรียบเทียบค่าที่ใช้กับสถิติจริงของ Train</t>
  </si>
  <si>
    <t xml:space="preserve">T05</t>
  </si>
  <si>
    <t xml:space="preserve">รายการ</t>
  </si>
  <si>
    <t xml:space="preserve">ค่าในไฟล์</t>
  </si>
  <si>
    <t xml:space="preserve">ค่าสถิติจริง</t>
  </si>
  <si>
    <t xml:space="preserve">เหตุผลที่เลือก</t>
  </si>
  <si>
    <t xml:space="preserve">T06</t>
  </si>
  <si>
    <t xml:space="preserve">ใช้ค่าเฉลี่ยจริงของ Train</t>
  </si>
  <si>
    <t xml:space="preserve">T07</t>
  </si>
  <si>
    <t xml:space="preserve">ปัดจาก 2.35 เป็น 2.5 เพื่อคำนวณง่าย</t>
  </si>
  <si>
    <t xml:space="preserve">T08</t>
  </si>
  <si>
    <t xml:space="preserve">ปัดจาก 74.5 เป็น 75 เพื่อจำง่าย</t>
  </si>
  <si>
    <t xml:space="preserve">T09</t>
  </si>
  <si>
    <t xml:space="preserve">ใช้ 15 เพื่อให้ 60/75/90 แปลงเป็น -1/0/+1</t>
  </si>
  <si>
    <t xml:space="preserve">T10</t>
  </si>
  <si>
    <t xml:space="preserve">หากต้องการ z-score แบบมาตรฐาน ให้ใช้ center = AVERAGE(Train) และ scale = STDEV.P(Train) โดยตรง แต่ตัวอย่างนี้ตั้งใจปัดค่าเพื่อให้ติดตามสูตรด้วยมือได้ง่าย</t>
  </si>
  <si>
    <t xml:space="preserve">แหล่งข้อมูล</t>
  </si>
  <si>
    <t xml:space="preserve">Synthetic dataset สร้างเพื่อการเรียนการสอน Logistic Regression (15 กรกฎาคม 2026)</t>
  </si>
  <si>
    <t xml:space="preserve">02 • ฝึกโมเดลแบบ Step by Step</t>
  </si>
  <si>
    <t xml:space="preserve">แบบฝึก Batch Gradient Descent: เติมค่าที่คำนวณได้ด้วยตนเองให้ครบ 20 รอบ</t>
  </si>
  <si>
    <t xml:space="preserve">ค่าตั้งต้นที่ปรับทดลองได้</t>
  </si>
  <si>
    <t xml:space="preserve">Learning rate (α)</t>
  </si>
  <si>
    <t xml:space="preserve">จำนวนรอบ</t>
  </si>
  <si>
    <t xml:space="preserve">จำนวน Train</t>
  </si>
  <si>
    <t xml:space="preserve">b เริ่มต้น</t>
  </si>
  <si>
    <t xml:space="preserve">w1 เริ่มต้น</t>
  </si>
  <si>
    <t xml:space="preserve">w2 เริ่มต้น</t>
  </si>
  <si>
    <t xml:space="preserve">วิธีทำ: ข้อมูลพื้นสีน้ำเงินเป็นโจทย์ที่กำหนดให้ • เติมสูตรหรือค่าที่คำนวณได้ในช่องสีเหลือง • ทำ Summary และ Update ก่อนขึ้นรอบถัดไป</t>
  </si>
  <si>
    <t xml:space="preserve">รอบที่ 01  •  พารามิเตอร์ปัจจุบัน → z → sigmoid p → error → gradient → log loss → พารามิเตอร์ใหม่</t>
  </si>
  <si>
    <t xml:space="preserve">Iteration</t>
  </si>
  <si>
    <t xml:space="preserve">b</t>
  </si>
  <si>
    <t xml:space="preserve">w1</t>
  </si>
  <si>
    <t xml:space="preserve">w2</t>
  </si>
  <si>
    <t xml:space="preserve">ใช้ค่าน้ำหนักชุดนี้กับข้อมูล Train ทุกแถว</t>
  </si>
  <si>
    <t xml:space="preserve">ID</t>
  </si>
  <si>
    <t xml:space="preserve">x1</t>
  </si>
  <si>
    <t xml:space="preserve">x2</t>
  </si>
  <si>
    <t xml:space="preserve">y</t>
  </si>
  <si>
    <t xml:space="preserve">z</t>
  </si>
  <si>
    <t xml:space="preserve">p = sigmoid(z)</t>
  </si>
  <si>
    <t xml:space="preserve">error = p-y</t>
  </si>
  <si>
    <t xml:space="preserve">grad b = error</t>
  </si>
  <si>
    <t xml:space="preserve">grad w1 = error×x1</t>
  </si>
  <si>
    <t xml:space="preserve">grad w2 = error×x2</t>
  </si>
  <si>
    <t xml:space="preserve">สรุป Gradient และ Loss</t>
  </si>
  <si>
    <t xml:space="preserve">ค่าเฉลี่ย</t>
  </si>
  <si>
    <t xml:space="preserve">Update: พารามิเตอร์ใหม่ = ค่าเดิม - α × gradient</t>
  </si>
  <si>
    <t xml:space="preserve">b ใหม่</t>
  </si>
  <si>
    <t xml:space="preserve">w1 ใหม่</t>
  </si>
  <si>
    <t xml:space="preserve">w2 ใหม่</t>
  </si>
  <si>
    <t xml:space="preserve">ค่าชุดนี้จะเป็นพารามิเตอร์ปัจจุบันของรอบถัดไป</t>
  </si>
  <si>
    <t xml:space="preserve">รอบที่ 02  •  พารามิเตอร์ปัจจุบัน → z → sigmoid p → error → gradient → log loss → พารามิเตอร์ใหม่</t>
  </si>
  <si>
    <t xml:space="preserve">รอบที่ 03  •  พารามิเตอร์ปัจจุบัน → z → sigmoid p → error → gradient → log loss → พารามิเตอร์ใหม่</t>
  </si>
  <si>
    <t xml:space="preserve">รอบที่ 04  •  พารามิเตอร์ปัจจุบัน → z → sigmoid p → error → gradient → log loss → พารามิเตอร์ใหม่</t>
  </si>
  <si>
    <t xml:space="preserve">รอบที่ 05  •  พารามิเตอร์ปัจจุบัน → z → sigmoid p → error → gradient → log loss → พารามิเตอร์ใหม่</t>
  </si>
  <si>
    <t xml:space="preserve">รอบที่ 06  •  พารามิเตอร์ปัจจุบัน → z → sigmoid p → error → gradient → log loss → พารามิเตอร์ใหม่</t>
  </si>
  <si>
    <t xml:space="preserve">รอบที่ 07  •  พารามิเตอร์ปัจจุบัน → z → sigmoid p → error → gradient → log loss → พารามิเตอร์ใหม่</t>
  </si>
  <si>
    <t xml:space="preserve">รอบที่ 08  •  พารามิเตอร์ปัจจุบัน → z → sigmoid p → error → gradient → log loss → พารามิเตอร์ใหม่</t>
  </si>
  <si>
    <t xml:space="preserve">รอบที่ 09  •  พารามิเตอร์ปัจจุบัน → z → sigmoid p → error → gradient → log loss → พารามิเตอร์ใหม่</t>
  </si>
  <si>
    <t xml:space="preserve">รอบที่ 10  •  พารามิเตอร์ปัจจุบัน → z → sigmoid p → error → gradient → log loss → พารามิเตอร์ใหม่</t>
  </si>
  <si>
    <t xml:space="preserve">รอบที่ 11  •  พารามิเตอร์ปัจจุบัน → z → sigmoid p → error → gradient → log loss → พารามิเตอร์ใหม่</t>
  </si>
  <si>
    <t xml:space="preserve">รอบที่ 12  •  พารามิเตอร์ปัจจุบัน → z → sigmoid p → error → gradient → log loss → พารามิเตอร์ใหม่</t>
  </si>
  <si>
    <t xml:space="preserve">รอบที่ 13  •  พารามิเตอร์ปัจจุบัน → z → sigmoid p → error → gradient → log loss → พารามิเตอร์ใหม่</t>
  </si>
  <si>
    <t xml:space="preserve">รอบที่ 14  •  พารามิเตอร์ปัจจุบัน → z → sigmoid p → error → gradient → log loss → พารามิเตอร์ใหม่</t>
  </si>
  <si>
    <t xml:space="preserve">รอบที่ 15  •  พารามิเตอร์ปัจจุบัน → z → sigmoid p → error → gradient → log loss → พารามิเตอร์ใหม่</t>
  </si>
  <si>
    <t xml:space="preserve">รอบที่ 16  •  พารามิเตอร์ปัจจุบัน → z → sigmoid p → error → gradient → log loss → พารามิเตอร์ใหม่</t>
  </si>
  <si>
    <t xml:space="preserve">รอบที่ 17  •  พารามิเตอร์ปัจจุบัน → z → sigmoid p → error → gradient → log loss → พารามิเตอร์ใหม่</t>
  </si>
  <si>
    <t xml:space="preserve">รอบที่ 18  •  พารามิเตอร์ปัจจุบัน → z → sigmoid p → error → gradient → log loss → พารามิเตอร์ใหม่</t>
  </si>
  <si>
    <t xml:space="preserve">รอบที่ 19  •  พารามิเตอร์ปัจจุบัน → z → sigmoid p → error → gradient → log loss → พารามิเตอร์ใหม่</t>
  </si>
  <si>
    <t xml:space="preserve">รอบที่ 20  •  พารามิเตอร์ปัจจุบัน → z → sigmoid p → error → gradient → log loss → พารามิเตอร์ใหม่</t>
  </si>
  <si>
    <t xml:space="preserve">03 • เส้นทางการเรียนรู้ของโมเดล</t>
  </si>
  <si>
    <t xml:space="preserve">ติดตามค่าน้ำหนัก Gradient และ Average Log Loss ตลอด 20 รอบ</t>
  </si>
  <si>
    <t xml:space="preserve">b ก่อน</t>
  </si>
  <si>
    <t xml:space="preserve">w1 ก่อน</t>
  </si>
  <si>
    <t xml:space="preserve">w2 ก่อน</t>
  </si>
  <si>
    <t xml:space="preserve">Avg Loss</t>
  </si>
  <si>
    <t xml:space="preserve">grad b</t>
  </si>
  <si>
    <t xml:space="preserve">grad w1</t>
  </si>
  <si>
    <t xml:space="preserve">grad w2</t>
  </si>
  <si>
    <t xml:space="preserve">b หลัง</t>
  </si>
  <si>
    <t xml:space="preserve">w1 หลัง</t>
  </si>
  <si>
    <t xml:space="preserve">w2 หลัง</t>
  </si>
  <si>
    <t xml:space="preserve">โมเดลสุดท้าย</t>
  </si>
  <si>
    <t xml:space="preserve">Final b</t>
  </si>
  <si>
    <t xml:space="preserve">สมการสุดท้าย: z = w1x1 + w2x2 + b</t>
  </si>
  <si>
    <t xml:space="preserve">Final w1</t>
  </si>
  <si>
    <t xml:space="preserve">Probability: p = 1 / (1 + EXP(-z))</t>
  </si>
  <si>
    <t xml:space="preserve">Final w2</t>
  </si>
  <si>
    <t xml:space="preserve">ถ้า p ≥ threshold → ทำนาย 1, ถ้า p &lt; threshold → ทำนาย 0</t>
  </si>
  <si>
    <t xml:space="preserve">04 • ทำนายข้อมูล Test</t>
  </si>
  <si>
    <t xml:space="preserve">แยก contribution ของ w1x1, w2x2 และ b เพื่อให้เห็นที่มาของ z และ probability</t>
  </si>
  <si>
    <t xml:space="preserve">Threshold</t>
  </si>
  <si>
    <t xml:space="preserve">Hours</t>
  </si>
  <si>
    <t xml:space="preserve">Attend %</t>
  </si>
  <si>
    <t xml:space="preserve">Actual y</t>
  </si>
  <si>
    <t xml:space="preserve">w1×x1</t>
  </si>
  <si>
    <t xml:space="preserve">w2×x2</t>
  </si>
  <si>
    <t xml:space="preserve">Probability p</t>
  </si>
  <si>
    <t xml:space="preserve">Predicted</t>
  </si>
  <si>
    <t xml:space="preserve">Outcome</t>
  </si>
  <si>
    <t xml:space="preserve">Correct</t>
  </si>
  <si>
    <t xml:space="preserve">อ่าน Outcome: TP = ผ่านจริงและทำนายว่าผ่าน, TN = ไม่ผ่านจริงและทำนายว่าไม่ผ่าน, FP/FN คือกรณีที่โมเดลทำนายคลาดเคลื่อน</t>
  </si>
  <si>
    <t xml:space="preserve">05 • Confusion Matrix และ Model Metrics</t>
  </si>
  <si>
    <t xml:space="preserve">คำนวณ Accuracy, Precision, Recall และ F1-score จากผลทำนายชุด Test</t>
  </si>
  <si>
    <t xml:space="preserve">Threshold ปัจจุบัน</t>
  </si>
  <si>
    <t xml:space="preserve">Confusion Matrix</t>
  </si>
  <si>
    <t xml:space="preserve">Actual / Predicted</t>
  </si>
  <si>
    <t xml:space="preserve">Predicted = 1</t>
  </si>
  <si>
    <t xml:space="preserve">Predicted = 0</t>
  </si>
  <si>
    <t xml:space="preserve">รวม Actual</t>
  </si>
  <si>
    <t xml:space="preserve">สัญลักษณ์</t>
  </si>
  <si>
    <t xml:space="preserve">ความหมาย</t>
  </si>
  <si>
    <t xml:space="preserve">Actual = 1</t>
  </si>
  <si>
    <t xml:space="preserve">TP</t>
  </si>
  <si>
    <t xml:space="preserve">ผ่านจริง และโมเดลทำนายว่าผ่าน</t>
  </si>
  <si>
    <t xml:space="preserve">Actual = 0</t>
  </si>
  <si>
    <t xml:space="preserve">FP</t>
  </si>
  <si>
    <t xml:space="preserve">ไม่ผ่านจริง แต่โมเดลทำนายว่าผ่าน</t>
  </si>
  <si>
    <t xml:space="preserve">รวม Predicted</t>
  </si>
  <si>
    <t xml:space="preserve">FN</t>
  </si>
  <si>
    <t xml:space="preserve">ผ่านจริง แต่โมเดลทำนายว่าไม่ผ่าน</t>
  </si>
  <si>
    <t xml:space="preserve">TN</t>
  </si>
  <si>
    <t xml:space="preserve">ไม่ผ่านจริง และโมเดลทำนายว่าไม่ผ่าน</t>
  </si>
  <si>
    <t xml:space="preserve">Metrics</t>
  </si>
  <si>
    <t xml:space="preserve">Metric</t>
  </si>
  <si>
    <t xml:space="preserve">ค่า</t>
  </si>
  <si>
    <t xml:space="preserve">สูตรจาก Matrix</t>
  </si>
  <si>
    <t xml:space="preserve">คำถามที่ metric ตอบ</t>
  </si>
  <si>
    <t xml:space="preserve">Accuracy</t>
  </si>
  <si>
    <t xml:space="preserve">(TP+TN)/(TP+TN+FP+FN)</t>
  </si>
  <si>
    <t xml:space="preserve">โดยรวมโมเดลทำนายถูกกี่เปอร์เซ็นต์?</t>
  </si>
  <si>
    <t xml:space="preserve">Precision</t>
  </si>
  <si>
    <t xml:space="preserve">TP/(TP+FP)</t>
  </si>
  <si>
    <t xml:space="preserve">ในคนที่โมเดลบอกว่าผ่าน มีผ่านจริงกี่เปอร์เซ็นต์?</t>
  </si>
  <si>
    <t xml:space="preserve">Recall</t>
  </si>
  <si>
    <t xml:space="preserve">TP/(TP+FN)</t>
  </si>
  <si>
    <t xml:space="preserve">ในคนที่ผ่านจริง โมเดลค้นพบได้กี่เปอร์เซ็นต์?</t>
  </si>
  <si>
    <t xml:space="preserve">F1-score</t>
  </si>
  <si>
    <t xml:space="preserve">2×Precision×Recall/(Precision+Recall)</t>
  </si>
  <si>
    <t xml:space="preserve">Precision และ Recall สมดุลกันดีเพียงใด?</t>
  </si>
  <si>
    <t xml:space="preserve">Error rate</t>
  </si>
  <si>
    <t xml:space="preserve">1-Accuracy</t>
  </si>
  <si>
    <t xml:space="preserve">โดยรวมโมเดลทำนายผิดกี่เปอร์เซ็นต์?</t>
  </si>
  <si>
    <t xml:space="preserve">06 • แนวคิดสำคัญที่ต้องเข้าใจ</t>
  </si>
  <si>
    <t xml:space="preserve">คำอธิบายว่าแต่ละขั้นตอนทำอะไร ทำไปทำไม และควรตีความอย่างไร</t>
  </si>
  <si>
    <t xml:space="preserve">ภาพรวม: ข้อมูล Train ใช้เรียนรู้ค่าน้ำหนัก → โมเดลแปลงข้อมูลเป็น z และ probability → threshold เปลี่ยน probability เป็น class → ข้อมูล Test ใช้วัดผลด้วย Confusion Matrix และ Metrics</t>
  </si>
  <si>
    <t xml:space="preserve">คำอธิบายแต่ละแนวคิด</t>
  </si>
  <si>
    <t xml:space="preserve">ขั้น</t>
  </si>
  <si>
    <t xml:space="preserve">แนวคิด</t>
  </si>
  <si>
    <t xml:space="preserve">ทำไมจึงสำคัญ / ข้อควรจำ</t>
  </si>
  <si>
    <t xml:space="preserve">1</t>
  </si>
  <si>
    <t xml:space="preserve">Train / Test split</t>
  </si>
  <si>
    <t xml:space="preserve">Train ใช้ปรับ weights w1, w2 และ bias b ส่วน Test กันไว้เพื่อวัดผลหลังฝึก</t>
  </si>
  <si>
    <t xml:space="preserve">ห้ามใช้ Test ฝึกโมเดล เพราะจะทำให้คะแนนประเมินดูดีเกินจริงและไม่สะท้อนข้อมูลใหม่</t>
  </si>
  <si>
    <t xml:space="preserve">2</t>
  </si>
  <si>
    <t xml:space="preserve">Feature scaling</t>
  </si>
  <si>
    <t xml:space="preserve">ทำให้ฟีเจอร์ที่มีหน่วยต่างกันมีขนาดใกล้กัน เช่น Hours 1–9 กับ Attendance 55–95</t>
  </si>
  <si>
    <t xml:space="preserve">ช่วยให้ Gradient Descent เสถียรและไม่ให้ฟีเจอร์หนึ่งดูสำคัญเพียงเพราะตัวเลขมีหน่วยใหญ่กว่า</t>
  </si>
  <si>
    <t xml:space="preserve">3</t>
  </si>
  <si>
    <t xml:space="preserve">Center</t>
  </si>
  <si>
    <t xml:space="preserve">ค่าดิบที่ต้องการให้แปลงเป็น 0 เช่น Hours center = 5</t>
  </si>
  <si>
    <t xml:space="preserve">เมื่อ x = 0 ส่วนของฟีเจอร์นั้นจะไม่เพิ่มหรือลด z ทำให้ bias/intercept b ตีความง่ายขึ้น</t>
  </si>
  <si>
    <t xml:space="preserve">4</t>
  </si>
  <si>
    <t xml:space="preserve">Scale</t>
  </si>
  <si>
    <t xml:space="preserve">ระยะของค่าดิบที่นับเป็น 1 หน่วยหลัง scaling เช่น Hours scale = 2.5</t>
  </si>
  <si>
    <t xml:space="preserve">Scale ไม่ใช่ค่าสูงสุด แต่เป็นตัวกำหนดขนาดของหนึ่งก้าวบนแกนฟีเจอร์</t>
  </si>
  <si>
    <t xml:space="preserve">5</t>
  </si>
  <si>
    <t xml:space="preserve">Linear score z</t>
  </si>
  <si>
    <t xml:space="preserve">z = w1x1 + w2x2 + b เป็นคะแนนรวมก่อนแปลงเป็น probability</t>
  </si>
  <si>
    <t xml:space="preserve">z ยังไม่ใช่ความน่าจะเป็นและอาจน้อยกว่า 0 หรือมากกว่า 1 ได้</t>
  </si>
  <si>
    <t xml:space="preserve">6</t>
  </si>
  <si>
    <t xml:space="preserve">p = 1/(1+EXP(-z)) แปลง z เป็นค่าระหว่าง 0 ถึง 1</t>
  </si>
  <si>
    <t xml:space="preserve">p ใช้สื่อระดับความมั่นใจของโมเดล แต่ไม่ใช่ class จนกว่าจะเลือก threshold</t>
  </si>
  <si>
    <t xml:space="preserve">7</t>
  </si>
  <si>
    <t xml:space="preserve">วัดระยะห่างระหว่าง probability กับคำตอบจริง y และลงโทษการมั่นใจผิดอย่างมาก</t>
  </si>
  <si>
    <t xml:space="preserve">ใช้ probability โดยตรง จึงละเอียดกว่าแค่ดูว่าทำนาย class ถูกหรือผิด</t>
  </si>
  <si>
    <t xml:space="preserve">8</t>
  </si>
  <si>
    <t xml:space="preserve">ค่าเฉลี่ยของ error และ error×x บอกทิศทางที่ควรปรับน้ำหนัก</t>
  </si>
  <si>
    <t xml:space="preserve">เครื่องหมายของ Gradient บอกทิศทาง ส่วนขนาดบอกความแรงของการปรับ</t>
  </si>
  <si>
    <t xml:space="preserve">9</t>
  </si>
  <si>
    <t xml:space="preserve">Learning rate α</t>
  </si>
  <si>
    <t xml:space="preserve">กำหนดขนาดก้าวในการอัปเดตพารามิเตอร์ใหม่ = ค่าเดิม - α×gradient</t>
  </si>
  <si>
    <t xml:space="preserve">เล็กเกินไปเรียนช้า ใหญ่เกินไปอาจแกว่งหรือทำให้ Loss เพิ่มขึ้น</t>
  </si>
  <si>
    <t xml:space="preserve">10</t>
  </si>
  <si>
    <t xml:space="preserve">กติกาเปลี่ยน probability เป็น class เช่น p ≥ 0.50 ให้ทำนาย 1</t>
  </si>
  <si>
    <t xml:space="preserve">Threshold ไม่ได้ถูกเรียนรู้ในตัวอย่างนี้ และการเปลี่ยน threshold ทำให้ FP/FN เปลี่ยน</t>
  </si>
  <si>
    <t xml:space="preserve">11</t>
  </si>
  <si>
    <t xml:space="preserve">นับ TP, FP, FN, TN เพื่อแยกประเภทการทำนายถูกและผิด</t>
  </si>
  <si>
    <t xml:space="preserve">บอกชนิดของความผิดพลาดได้ละเอียดกว่า Accuracy เพียงค่าเดียว</t>
  </si>
  <si>
    <t xml:space="preserve">12</t>
  </si>
  <si>
    <t xml:space="preserve">สัดส่วนที่ทำนายถูกทั้งหมด: (TP+TN)/(TP+TN+FP+FN)</t>
  </si>
  <si>
    <t xml:space="preserve">เข้าใจง่ายแต่ต้องระวัง หาก class หนึ่งมีจำนวนมากกว่าอีก class มาก Accuracy อาจดูสูงทั้งที่โมเดลพลาด class สำคัญ</t>
  </si>
  <si>
    <t xml:space="preserve">13</t>
  </si>
  <si>
    <t xml:space="preserve">ในคนที่โมเดลทำนายเป็น 1 มีเป็น 1 จริงกี่ส่วน: TP/(TP+FP)</t>
  </si>
  <si>
    <t xml:space="preserve">สำคัญเมื่อ False Positive มีต้นทุนสูง</t>
  </si>
  <si>
    <t xml:space="preserve">14</t>
  </si>
  <si>
    <t xml:space="preserve">ในคนที่เป็น 1 จริง โมเดลค้นพบได้กี่ส่วน: TP/(TP+FN)</t>
  </si>
  <si>
    <t xml:space="preserve">สำคัญเมื่อการพลาดกรณี Positive หรือ False Negative มีต้นทุนสูง</t>
  </si>
  <si>
    <t xml:space="preserve">15</t>
  </si>
  <si>
    <t xml:space="preserve">ค่าเฉลี่ยแบบ harmonic ของ Precision และ Recall</t>
  </si>
  <si>
    <t xml:space="preserve">ใช้เมื่ออยากให้ Precision และ Recall สมดุล โดยเฉพาะเมื่อจำนวนแต่ละ class ไม่เท่ากัน</t>
  </si>
  <si>
    <t xml:space="preserve">สรุปที่มาของค่าปรับสเกลใน 01_Data</t>
  </si>
  <si>
    <t xml:space="preserve">พารามิเตอร์</t>
  </si>
  <si>
    <t xml:space="preserve">ที่มา</t>
  </si>
  <si>
    <t xml:space="preserve">ความหมายหลังแปลง</t>
  </si>
  <si>
    <t xml:space="preserve">5 ชั่วโมง → x1 = 0</t>
  </si>
  <si>
    <t xml:space="preserve">2.5/5/7.5 ชั่วโมง → -1/0/+1</t>
  </si>
  <si>
    <t xml:space="preserve">75% → x2 = 0</t>
  </si>
  <si>
    <t xml:space="preserve">60/75/90% → -1/0/+1</t>
  </si>
  <si>
    <t xml:space="preserve">คำสำคัญ: Center-and-Scale ในไฟล์นี้ใช้ค่าที่ใกล้สถิติจริงแต่ปัดให้คำนวณง่าย หากต้องการ z-score มาตรฐาน ให้ใช้ Mean และ Standard Deviation จริงโดยไม่ปัดค่า</t>
  </si>
  <si>
    <t xml:space="preserve">07 • แบบฝึกหัดและการทดลอง Threshold</t>
  </si>
  <si>
    <t xml:space="preserve">ใช้ probability เดิม แต่จำแนก class ที่ threshold ต่างกัน เพื่อเปรียบเทียบ trade-off</t>
  </si>
  <si>
    <t xml:space="preserve">ตารางทดลองอัตโนมัติ</t>
  </si>
  <si>
    <t xml:space="preserve">คำถามสำหรับอภิปราย</t>
  </si>
  <si>
    <t xml:space="preserve">1. Threshold ใดให้ F1-score สูงที่สุด? เหตุใดจึงไม่จำเป็นต้องเป็น 0.50 เสมอไป?</t>
  </si>
  <si>
    <t xml:space="preserve">บันทึกคำตอบ:</t>
  </si>
  <si>
    <t xml:space="preserve">2. เมื่อเพิ่ม threshold จำนวน FP และ FN เปลี่ยนอย่างไร? อธิบายจากตาราง</t>
  </si>
  <si>
    <t xml:space="preserve">3. ถ้าโจทย์คือคัดกรองนักศึกษาที่เสี่ยงตก และไม่อยากพลาดผู้ที่ต้องช่วยเหลือ ควรเน้น metric ใด?</t>
  </si>
  <si>
    <t xml:space="preserve">4. กลับไปปรับ Learning rate ใน 02_Training_Detail เป็น 0.10 และ 0.80 แล้วเปรียบเทียบกราฟ Loss</t>
  </si>
  <si>
    <t xml:space="preserve">5. เปลี่ยนค่า y ของข้อมูล Train หนึ่งแถว แล้วสังเกตว่าค่าน้ำหนักสุดท้ายและ metrics เปลี่ยนอย่างไร</t>
  </si>
  <si>
    <t xml:space="preserve">แนวคิดสำคัญ: metric ที่ดีที่สุดขึ้นอยู่กับต้นทุนของ FP และ FN ในบริบทจริง ไม่ใช่เลือก Accuracy สูงสุดเพียงอย่างเดียว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</si>
</sst>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%"/>
    <numFmt numFmtId="166" formatCode="0.000"/>
    <numFmt numFmtId="167" formatCode="0.00"/>
    <numFmt numFmtId="168" formatCode="0.0000"/>
    <numFmt numFmtId="169" formatCode="0.0%"/>
  </numFmts>
  <fonts count="3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7324D"/>
      <name val="Arial"/>
      <family val="0"/>
      <charset val="1"/>
    </font>
    <font>
      <b val="true"/>
      <sz val="10"/>
      <color rgb="FF0B7285"/>
      <name val="Arial"/>
      <family val="0"/>
      <charset val="1"/>
    </font>
    <font>
      <b val="true"/>
      <sz val="10"/>
      <color rgb="FF17324D"/>
      <name val="Arial"/>
      <family val="0"/>
      <charset val="1"/>
    </font>
    <font>
      <sz val="10"/>
      <color rgb="FF7048E8"/>
      <name val="Arial"/>
      <family val="0"/>
      <charset val="1"/>
    </font>
    <font>
      <b val="true"/>
      <sz val="10"/>
      <color rgb="FF1971C2"/>
      <name val="Arial"/>
      <family val="0"/>
      <charset val="1"/>
    </font>
    <font>
      <sz val="10"/>
      <color rgb="FF2B8A3E"/>
      <name val="Arial"/>
      <family val="0"/>
      <charset val="1"/>
    </font>
    <font>
      <sz val="10"/>
      <color rgb="FFC92A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7324D"/>
      <name val="Arial"/>
      <family val="0"/>
      <charset val="1"/>
    </font>
    <font>
      <sz val="10"/>
      <color rgb="FF1971C2"/>
      <name val="Arial"/>
      <family val="0"/>
      <charset val="1"/>
    </font>
    <font>
      <sz val="9"/>
      <color rgb="FF7048E8"/>
      <name val="Arial"/>
      <family val="0"/>
      <charset val="1"/>
    </font>
    <font>
      <sz val="9"/>
      <color rgb="FF2B8A3E"/>
      <name val="Arial"/>
      <family val="0"/>
      <charset val="1"/>
    </font>
    <font>
      <sz val="9"/>
      <color rgb="FF17324D"/>
      <name val="Arial"/>
      <family val="0"/>
      <charset val="1"/>
    </font>
    <font>
      <b val="true"/>
      <sz val="9"/>
      <color rgb="FF7048E8"/>
      <name val="Arial"/>
      <family val="0"/>
      <charset val="1"/>
    </font>
    <font>
      <i val="true"/>
      <sz val="9"/>
      <color rgb="FF495057"/>
      <name val="Arial"/>
      <family val="0"/>
      <charset val="1"/>
    </font>
    <font>
      <sz val="10"/>
      <name val="Arial Unicode MS"/>
      <family val="2"/>
    </font>
    <font>
      <sz val="10"/>
      <name val="Arial"/>
      <family val="2"/>
    </font>
    <font>
      <b val="true"/>
      <sz val="10"/>
      <color rgb="FF2B8A3E"/>
      <name val="Arial"/>
      <family val="0"/>
      <charset val="1"/>
    </font>
    <font>
      <sz val="9"/>
      <color rgb="FF1971C2"/>
      <name val="Arial"/>
      <family val="0"/>
      <charset val="1"/>
    </font>
    <font>
      <b val="true"/>
      <sz val="9"/>
      <color rgb="FF1971C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7048E8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Arial Unicode M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971C2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2B8A3E"/>
      <name val="Arial"/>
      <family val="0"/>
      <charset val="1"/>
    </font>
    <font>
      <b val="true"/>
      <sz val="12"/>
      <color rgb="FF0B7285"/>
      <name val="Arial"/>
      <family val="0"/>
      <charset val="1"/>
    </font>
    <font>
      <b val="true"/>
      <sz val="9"/>
      <color rgb="FF0B728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003300"/>
      </patternFill>
    </fill>
    <fill>
      <patternFill patternType="solid">
        <fgColor rgb="FF0B7285"/>
        <bgColor rgb="FF008080"/>
      </patternFill>
    </fill>
    <fill>
      <patternFill patternType="solid">
        <fgColor rgb="FFE7F5FF"/>
        <bgColor rgb="FFF1F3F5"/>
      </patternFill>
    </fill>
    <fill>
      <patternFill patternType="solid">
        <fgColor rgb="FFF1F3F5"/>
        <bgColor rgb="FFE7F5FF"/>
      </patternFill>
    </fill>
    <fill>
      <patternFill patternType="solid">
        <fgColor rgb="FFD0EBFF"/>
        <bgColor rgb="FFE7F5FF"/>
      </patternFill>
    </fill>
    <fill>
      <patternFill patternType="solid">
        <fgColor rgb="FFFFFFFF"/>
        <bgColor rgb="FFF1F3F5"/>
      </patternFill>
    </fill>
    <fill>
      <patternFill patternType="solid">
        <fgColor rgb="FFE5DBFF"/>
        <bgColor rgb="FFD9D9D9"/>
      </patternFill>
    </fill>
    <fill>
      <patternFill patternType="solid">
        <fgColor rgb="FFFFF3BF"/>
        <bgColor rgb="FFFFE3E3"/>
      </patternFill>
    </fill>
    <fill>
      <patternFill patternType="solid">
        <fgColor rgb="FFD3F9D8"/>
        <bgColor rgb="FFD0EBFF"/>
      </patternFill>
    </fill>
    <fill>
      <patternFill patternType="solid">
        <fgColor rgb="FFFFE3E3"/>
        <bgColor rgb="FFF1F3F5"/>
      </patternFill>
    </fill>
    <fill>
      <patternFill patternType="solid">
        <fgColor rgb="FFF59F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 diagonalUp="false" diagonalDown="false">
      <left style="medium">
        <color rgb="FF17324D"/>
      </left>
      <right/>
      <top style="thin">
        <color rgb="FFCED4D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3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971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3F9D8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D0EB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3F9D8"/>
        </patternFill>
      </fill>
    </dxf>
    <dxf>
      <fill>
        <patternFill>
          <bgColor rgb="FFF1F3F5"/>
        </patternFill>
      </fill>
    </dxf>
    <dxf>
      <fill>
        <patternFill patternType="solid">
          <fgColor rgb="FFE7F5FF"/>
          <bgColor rgb="FF000000"/>
        </patternFill>
      </fill>
    </dxf>
    <dxf>
      <fill>
        <patternFill patternType="solid">
          <fgColor rgb="FF2B8A3E"/>
          <bgColor rgb="FF000000"/>
        </patternFill>
      </fill>
    </dxf>
    <dxf>
      <font>
        <name val="Arial"/>
        <charset val="1"/>
        <family val="0"/>
        <b val="1"/>
        <color rgb="FF2B8A3E"/>
        <sz val="9"/>
      </font>
      <fill>
        <patternFill>
          <bgColor rgb="FFD3F9D8"/>
        </patternFill>
      </fill>
    </dxf>
    <dxf>
      <font>
        <name val="Arial"/>
        <charset val="1"/>
        <family val="0"/>
        <b val="1"/>
        <color rgb="FFC92A2A"/>
        <sz val="9"/>
      </font>
      <fill>
        <patternFill>
          <bgColor rgb="FFFFE3E3"/>
        </patternFill>
      </fill>
    </dxf>
    <dxf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B3C992"/>
      <rgbColor rgb="FF878787"/>
      <rgbColor rgb="FF9999FF"/>
      <rgbColor rgb="FF9D3E3B"/>
      <rgbColor rgb="FFFFF3BF"/>
      <rgbColor rgb="FFD0EBFF"/>
      <rgbColor rgb="FF660066"/>
      <rgbColor rgb="FFFF8080"/>
      <rgbColor rgb="FF1971C2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FF"/>
      <rgbColor rgb="FFD3F9D8"/>
      <rgbColor rgb="FFF1F3F5"/>
      <rgbColor rgb="FFD9D9D9"/>
      <rgbColor rgb="FFD4A5A4"/>
      <rgbColor rgb="FFE5DBFF"/>
      <rgbColor rgb="FFFFE3E3"/>
      <rgbColor rgb="FF3366FF"/>
      <rgbColor rgb="FF33CCCC"/>
      <rgbColor rgb="FF98B855"/>
      <rgbColor rgb="FFFFCC00"/>
      <rgbColor rgb="FFF59F00"/>
      <rgbColor rgb="FFFF6600"/>
      <rgbColor rgb="FF7048E8"/>
      <rgbColor rgb="FF87A44B"/>
      <rgbColor rgb="FF17324D"/>
      <rgbColor rgb="FF2B8A3E"/>
      <rgbColor rgb="FF003300"/>
      <rgbColor rgb="FF333300"/>
      <rgbColor rgb="FFC92A2A"/>
      <rgbColor rgb="FFBE4B48"/>
      <rgbColor rgb="FF333399"/>
      <rgbColor rgb="FF495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Log Loss ลดลงในแต่ละรอบ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03_Model_Path!E5</c:f>
              <c:strCache>
                <c:ptCount val="1"/>
                <c:pt idx="0">
                  <c:v>Avg Loss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03_Model_Path!$E$6:$E$25</c:f>
              <c:numCache>
                <c:formatCode>General</c:formatCode>
                <c:ptCount val="2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317136"/>
        <c:axId val="41679123"/>
      </c:lineChart>
      <c:catAx>
        <c:axId val="74317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679123"/>
        <c:crosses val="autoZero"/>
        <c:auto val="1"/>
        <c:lblAlgn val="ctr"/>
        <c:lblOffset val="100"/>
        <c:noMultiLvlLbl val="0"/>
      </c:catAx>
      <c:valAx>
        <c:axId val="41679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Log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171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การเปลี่ยนแปลงของ b, w1, w2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03_Model_Path!I5</c:f>
              <c:strCache>
                <c:ptCount val="1"/>
                <c:pt idx="0">
                  <c:v>b หลัง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03_Model_Path!$I$6:$I$25</c:f>
              <c:numCache>
                <c:formatCode>General</c:formatCode>
                <c:ptCount val="20"/>
              </c:numCache>
            </c:numRef>
          </c:val>
          <c:smooth val="1"/>
        </c:ser>
        <c:ser>
          <c:idx val="1"/>
          <c:order val="1"/>
          <c:tx>
            <c:strRef>
              <c:f>03_Model_Path!J5</c:f>
              <c:strCache>
                <c:ptCount val="1"/>
                <c:pt idx="0">
                  <c:v>w1 หลัง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03_Model_Path!$J$6:$J$25</c:f>
              <c:numCache>
                <c:formatCode>General</c:formatCode>
                <c:ptCount val="20"/>
              </c:numCache>
            </c:numRef>
          </c:val>
          <c:smooth val="1"/>
        </c:ser>
        <c:ser>
          <c:idx val="2"/>
          <c:order val="2"/>
          <c:tx>
            <c:strRef>
              <c:f>03_Model_Path!K5</c:f>
              <c:strCache>
                <c:ptCount val="1"/>
                <c:pt idx="0">
                  <c:v>w2 หลัง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03_Model_Path!$K$6:$K$25</c:f>
              <c:numCache>
                <c:formatCode>General</c:formatCode>
                <c:ptCount val="2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89845"/>
        <c:axId val="19695291"/>
      </c:lineChart>
      <c:catAx>
        <c:axId val="20189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95291"/>
        <c:crosses val="autoZero"/>
        <c:auto val="1"/>
        <c:lblAlgn val="ctr"/>
        <c:lblOffset val="100"/>
        <c:noMultiLvlLbl val="0"/>
      </c:catAx>
      <c:valAx>
        <c:axId val="19695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Weight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1898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Probability เทียบกับ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04_Test_Prediction!K7</c:f>
              <c:strCache>
                <c:ptCount val="1"/>
                <c:pt idx="0">
                  <c:v>Probability p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04_Test_Prediction!$K$8:$K$17</c:f>
              <c:numCache>
                <c:formatCode>General</c:formatCode>
                <c:ptCount val="10"/>
              </c:numCache>
            </c:numRef>
          </c:val>
          <c:smooth val="1"/>
        </c:ser>
        <c:ser>
          <c:idx val="1"/>
          <c:order val="1"/>
          <c:tx>
            <c:strRef>
              <c:f>04_Test_Prediction!O7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04_Test_Prediction!$O$8:$O$17</c:f>
              <c:numCache>
                <c:formatCode>0.00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614333"/>
        <c:axId val="35652234"/>
      </c:lineChart>
      <c:catAx>
        <c:axId val="74614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Student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652234"/>
        <c:crosses val="autoZero"/>
        <c:auto val="1"/>
        <c:lblAlgn val="ctr"/>
        <c:lblOffset val="100"/>
        <c:noMultiLvlLbl val="0"/>
      </c:catAx>
      <c:valAx>
        <c:axId val="3565223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6143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0</xdr:rowOff>
    </xdr:from>
    <xdr:to>
      <xdr:col>20</xdr:col>
      <xdr:colOff>507600</xdr:colOff>
      <xdr:row>12</xdr:row>
      <xdr:rowOff>270720</xdr:rowOff>
    </xdr:to>
    <xdr:graphicFrame>
      <xdr:nvGraphicFramePr>
        <xdr:cNvPr id="1" name="Chart 1"/>
        <xdr:cNvGraphicFramePr/>
      </xdr:nvGraphicFramePr>
      <xdr:xfrm>
        <a:off x="10690920" y="11239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20</xdr:col>
      <xdr:colOff>507600</xdr:colOff>
      <xdr:row>31</xdr:row>
      <xdr:rowOff>32760</xdr:rowOff>
    </xdr:to>
    <xdr:graphicFrame>
      <xdr:nvGraphicFramePr>
        <xdr:cNvPr id="2" name="Chart 2"/>
        <xdr:cNvGraphicFramePr/>
      </xdr:nvGraphicFramePr>
      <xdr:xfrm>
        <a:off x="10690920" y="5838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0</xdr:rowOff>
    </xdr:from>
    <xdr:to>
      <xdr:col>25</xdr:col>
      <xdr:colOff>256320</xdr:colOff>
      <xdr:row>14</xdr:row>
      <xdr:rowOff>183960</xdr:rowOff>
    </xdr:to>
    <xdr:graphicFrame>
      <xdr:nvGraphicFramePr>
        <xdr:cNvPr id="3" name="Chart 1"/>
        <xdr:cNvGraphicFramePr/>
      </xdr:nvGraphicFramePr>
      <xdr:xfrm>
        <a:off x="12805560" y="1504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24"/>
    <col collapsed="false" customWidth="true" hidden="false" outlineLevel="0" max="8" min="8" style="0" width="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2.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7.75" hidden="false" customHeight="true" outlineLevel="0" collapsed="false">
      <c r="B5" s="4" t="s">
        <v>3</v>
      </c>
      <c r="C5" s="4"/>
      <c r="D5" s="4"/>
      <c r="E5" s="4"/>
      <c r="F5" s="4"/>
      <c r="G5" s="4"/>
    </row>
    <row r="6" customFormat="false" ht="27.75" hidden="false" customHeight="true" outlineLevel="0" collapsed="false">
      <c r="B6" s="5" t="s">
        <v>4</v>
      </c>
      <c r="C6" s="5"/>
      <c r="D6" s="5"/>
      <c r="E6" s="5"/>
      <c r="F6" s="5"/>
      <c r="G6" s="5"/>
    </row>
    <row r="7" customFormat="false" ht="27.75" hidden="false" customHeight="true" outlineLevel="0" collapsed="false">
      <c r="B7" s="4" t="s">
        <v>5</v>
      </c>
      <c r="C7" s="4"/>
      <c r="D7" s="4"/>
      <c r="E7" s="4"/>
      <c r="F7" s="4"/>
      <c r="G7" s="4"/>
    </row>
    <row r="8" customFormat="false" ht="27.75" hidden="false" customHeight="true" outlineLevel="0" collapsed="false">
      <c r="B8" s="5" t="s">
        <v>6</v>
      </c>
      <c r="C8" s="5"/>
      <c r="D8" s="5"/>
      <c r="E8" s="5"/>
      <c r="F8" s="5"/>
      <c r="G8" s="5"/>
    </row>
    <row r="10" customFormat="false" ht="22.5" hidden="false" customHeight="true" outlineLevel="0" collapsed="false">
      <c r="B10" s="3" t="s">
        <v>7</v>
      </c>
      <c r="C10" s="3"/>
      <c r="D10" s="3"/>
      <c r="E10" s="3"/>
      <c r="F10" s="3"/>
      <c r="G10" s="3"/>
    </row>
    <row r="11" customFormat="false" ht="25.5" hidden="false" customHeight="true" outlineLevel="0" collapsed="false">
      <c r="B11" s="6" t="s">
        <v>8</v>
      </c>
      <c r="C11" s="7" t="s">
        <v>9</v>
      </c>
      <c r="D11" s="7"/>
      <c r="E11" s="7"/>
      <c r="F11" s="7"/>
      <c r="G11" s="7"/>
    </row>
    <row r="12" customFormat="false" ht="25.5" hidden="false" customHeight="true" outlineLevel="0" collapsed="false">
      <c r="B12" s="6" t="s">
        <v>10</v>
      </c>
      <c r="C12" s="7" t="s">
        <v>11</v>
      </c>
      <c r="D12" s="7"/>
      <c r="E12" s="7"/>
      <c r="F12" s="7"/>
      <c r="G12" s="7"/>
    </row>
    <row r="13" customFormat="false" ht="25.5" hidden="false" customHeight="true" outlineLevel="0" collapsed="false">
      <c r="B13" s="6" t="s">
        <v>12</v>
      </c>
      <c r="C13" s="7" t="s">
        <v>13</v>
      </c>
      <c r="D13" s="7"/>
      <c r="E13" s="7"/>
      <c r="F13" s="7"/>
      <c r="G13" s="7"/>
    </row>
    <row r="14" customFormat="false" ht="25.5" hidden="false" customHeight="true" outlineLevel="0" collapsed="false">
      <c r="B14" s="6" t="s">
        <v>14</v>
      </c>
      <c r="C14" s="7" t="s">
        <v>15</v>
      </c>
      <c r="D14" s="7"/>
      <c r="E14" s="7"/>
      <c r="F14" s="7"/>
      <c r="G14" s="7"/>
    </row>
    <row r="15" customFormat="false" ht="25.5" hidden="false" customHeight="true" outlineLevel="0" collapsed="false">
      <c r="B15" s="6" t="s">
        <v>16</v>
      </c>
      <c r="C15" s="7" t="s">
        <v>17</v>
      </c>
      <c r="D15" s="7"/>
      <c r="E15" s="7"/>
      <c r="F15" s="7"/>
      <c r="G15" s="7"/>
    </row>
    <row r="16" customFormat="false" ht="25.5" hidden="false" customHeight="true" outlineLevel="0" collapsed="false">
      <c r="B16" s="6" t="s">
        <v>18</v>
      </c>
      <c r="C16" s="7" t="s">
        <v>19</v>
      </c>
      <c r="D16" s="7"/>
      <c r="E16" s="7"/>
      <c r="F16" s="7"/>
      <c r="G16" s="7"/>
    </row>
    <row r="17" customFormat="false" ht="25.5" hidden="false" customHeight="true" outlineLevel="0" collapsed="false">
      <c r="B17" s="6" t="s">
        <v>20</v>
      </c>
      <c r="C17" s="7" t="s">
        <v>21</v>
      </c>
      <c r="D17" s="7"/>
      <c r="E17" s="7"/>
      <c r="F17" s="7"/>
      <c r="G17" s="7"/>
    </row>
    <row r="18" customFormat="false" ht="22.5" hidden="false" customHeight="true" outlineLevel="0" collapsed="false">
      <c r="B18" s="3" t="s">
        <v>22</v>
      </c>
      <c r="C18" s="3"/>
      <c r="D18" s="3"/>
      <c r="E18" s="3"/>
      <c r="F18" s="3"/>
      <c r="G18" s="3"/>
    </row>
    <row r="19" customFormat="false" ht="24.75" hidden="false" customHeight="true" outlineLevel="0" collapsed="false">
      <c r="B19" s="8" t="s">
        <v>23</v>
      </c>
      <c r="C19" s="9" t="s">
        <v>24</v>
      </c>
      <c r="D19" s="9"/>
      <c r="E19" s="9"/>
      <c r="F19" s="9"/>
      <c r="G19" s="9"/>
    </row>
    <row r="20" customFormat="false" ht="24.75" hidden="false" customHeight="true" outlineLevel="0" collapsed="false">
      <c r="B20" s="8" t="s">
        <v>25</v>
      </c>
      <c r="C20" s="9" t="s">
        <v>26</v>
      </c>
      <c r="D20" s="9"/>
      <c r="E20" s="9"/>
      <c r="F20" s="9"/>
      <c r="G20" s="9"/>
    </row>
    <row r="21" customFormat="false" ht="24.75" hidden="false" customHeight="true" outlineLevel="0" collapsed="false">
      <c r="B21" s="8" t="s">
        <v>27</v>
      </c>
      <c r="C21" s="9" t="s">
        <v>28</v>
      </c>
      <c r="D21" s="9"/>
      <c r="E21" s="9"/>
      <c r="F21" s="9"/>
      <c r="G21" s="9"/>
    </row>
    <row r="22" customFormat="false" ht="24.75" hidden="false" customHeight="true" outlineLevel="0" collapsed="false">
      <c r="B22" s="8" t="s">
        <v>29</v>
      </c>
      <c r="C22" s="9" t="s">
        <v>30</v>
      </c>
      <c r="D22" s="9"/>
      <c r="E22" s="9"/>
      <c r="F22" s="9"/>
      <c r="G22" s="9"/>
    </row>
    <row r="23" customFormat="false" ht="24.75" hidden="false" customHeight="true" outlineLevel="0" collapsed="false">
      <c r="B23" s="8" t="s">
        <v>31</v>
      </c>
      <c r="C23" s="9" t="s">
        <v>32</v>
      </c>
      <c r="D23" s="9"/>
      <c r="E23" s="9"/>
      <c r="F23" s="9"/>
      <c r="G23" s="9"/>
    </row>
    <row r="24" customFormat="false" ht="24.75" hidden="false" customHeight="true" outlineLevel="0" collapsed="false">
      <c r="B24" s="8" t="s">
        <v>33</v>
      </c>
      <c r="C24" s="9" t="s">
        <v>34</v>
      </c>
      <c r="D24" s="9"/>
      <c r="E24" s="9"/>
      <c r="F24" s="9"/>
      <c r="G24" s="9"/>
    </row>
    <row r="26" customFormat="false" ht="22.5" hidden="false" customHeight="true" outlineLevel="0" collapsed="false">
      <c r="B26" s="3" t="s">
        <v>35</v>
      </c>
      <c r="C26" s="3"/>
      <c r="D26" s="3"/>
      <c r="E26" s="3"/>
      <c r="F26" s="3"/>
      <c r="G26" s="3"/>
    </row>
    <row r="27" customFormat="false" ht="24" hidden="false" customHeight="true" outlineLevel="0" collapsed="false">
      <c r="B27" s="10" t="s">
        <v>36</v>
      </c>
      <c r="C27" s="10"/>
      <c r="D27" s="10"/>
      <c r="E27" s="10"/>
      <c r="F27" s="10"/>
      <c r="G27" s="10"/>
    </row>
    <row r="28" customFormat="false" ht="24" hidden="false" customHeight="true" outlineLevel="0" collapsed="false">
      <c r="B28" s="11" t="s">
        <v>37</v>
      </c>
      <c r="C28" s="11"/>
      <c r="D28" s="11"/>
      <c r="E28" s="11"/>
      <c r="F28" s="11"/>
      <c r="G28" s="11"/>
    </row>
    <row r="29" customFormat="false" ht="24" hidden="false" customHeight="true" outlineLevel="0" collapsed="false">
      <c r="B29" s="12" t="s">
        <v>38</v>
      </c>
      <c r="C29" s="12"/>
      <c r="D29" s="12"/>
      <c r="E29" s="12"/>
      <c r="F29" s="12"/>
      <c r="G29" s="12"/>
    </row>
    <row r="30" customFormat="false" ht="24" hidden="false" customHeight="true" outlineLevel="0" collapsed="false">
      <c r="B30" s="13" t="s">
        <v>39</v>
      </c>
      <c r="C30" s="13"/>
      <c r="D30" s="13"/>
      <c r="E30" s="13"/>
      <c r="F30" s="13"/>
      <c r="G30" s="13"/>
    </row>
    <row r="31" customFormat="false" ht="24" hidden="false" customHeight="true" outlineLevel="0" collapsed="false">
      <c r="B31" s="14" t="s">
        <v>40</v>
      </c>
      <c r="C31" s="14"/>
      <c r="D31" s="14"/>
      <c r="E31" s="14"/>
      <c r="F31" s="14"/>
      <c r="G31" s="14"/>
    </row>
    <row r="33" customFormat="false" ht="24.75" hidden="false" customHeight="true" outlineLevel="0" collapsed="false">
      <c r="B33" s="15" t="s">
        <v>41</v>
      </c>
      <c r="C33" s="15"/>
      <c r="D33" s="15"/>
      <c r="E33" s="15"/>
      <c r="F33" s="15"/>
      <c r="G33" s="15"/>
    </row>
    <row r="34" customFormat="false" ht="24.75" hidden="false" customHeight="true" outlineLevel="0" collapsed="false">
      <c r="B34" s="15"/>
      <c r="C34" s="15"/>
      <c r="D34" s="15"/>
      <c r="E34" s="15"/>
      <c r="F34" s="15"/>
      <c r="G34" s="15"/>
    </row>
  </sheetData>
  <mergeCells count="29">
    <mergeCell ref="A1:H1"/>
    <mergeCell ref="A2:H2"/>
    <mergeCell ref="B4:G4"/>
    <mergeCell ref="B5:G5"/>
    <mergeCell ref="B6:G6"/>
    <mergeCell ref="B7:G7"/>
    <mergeCell ref="B8:G8"/>
    <mergeCell ref="B10:G10"/>
    <mergeCell ref="C11:G11"/>
    <mergeCell ref="C12:G12"/>
    <mergeCell ref="C13:G13"/>
    <mergeCell ref="C14:G14"/>
    <mergeCell ref="C15:G15"/>
    <mergeCell ref="C16:G16"/>
    <mergeCell ref="C17:G17"/>
    <mergeCell ref="B18:G18"/>
    <mergeCell ref="C19:G19"/>
    <mergeCell ref="C20:G20"/>
    <mergeCell ref="C21:G21"/>
    <mergeCell ref="C22:G22"/>
    <mergeCell ref="C23:G23"/>
    <mergeCell ref="C24:G24"/>
    <mergeCell ref="B26:G26"/>
    <mergeCell ref="B27:G27"/>
    <mergeCell ref="B28:G28"/>
    <mergeCell ref="B29:G29"/>
    <mergeCell ref="B30:G30"/>
    <mergeCell ref="B31:G31"/>
    <mergeCell ref="B33:G34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8" min="7" style="0" width="22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15"/>
    <col collapsed="false" customWidth="true" hidden="false" outlineLevel="0" max="12" min="12" style="0" width="3"/>
    <col collapsed="false" customWidth="true" hidden="false" outlineLevel="0" max="13" min="13" style="0" width="21"/>
    <col collapsed="false" customWidth="true" hidden="false" outlineLevel="0" max="15" min="14" style="0" width="16"/>
    <col collapsed="false" customWidth="true" hidden="false" outlineLevel="0" max="17" min="16" style="0" width="22"/>
  </cols>
  <sheetData>
    <row r="1" customFormat="false" ht="33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.7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2.5" hidden="false" customHeight="true" outlineLevel="0" collapsed="false">
      <c r="A4" s="3" t="s">
        <v>44</v>
      </c>
      <c r="B4" s="3"/>
      <c r="C4" s="3"/>
      <c r="D4" s="3"/>
      <c r="E4" s="3"/>
      <c r="F4" s="3"/>
      <c r="G4" s="3"/>
      <c r="H4" s="3"/>
      <c r="J4" s="16" t="s">
        <v>45</v>
      </c>
      <c r="K4" s="16"/>
      <c r="M4" s="16" t="s">
        <v>46</v>
      </c>
      <c r="N4" s="16"/>
      <c r="O4" s="16"/>
      <c r="P4" s="16"/>
      <c r="Q4" s="16"/>
    </row>
    <row r="5" customFormat="false" ht="33.75" hidden="false" customHeight="true" outlineLevel="0" collapsed="false">
      <c r="A5" s="17" t="s">
        <v>47</v>
      </c>
      <c r="B5" s="17" t="s">
        <v>48</v>
      </c>
      <c r="C5" s="17" t="s">
        <v>49</v>
      </c>
      <c r="D5" s="17" t="s">
        <v>50</v>
      </c>
      <c r="E5" s="17" t="s">
        <v>51</v>
      </c>
      <c r="F5" s="17" t="s">
        <v>52</v>
      </c>
      <c r="G5" s="17" t="s">
        <v>53</v>
      </c>
      <c r="H5" s="17" t="s">
        <v>54</v>
      </c>
      <c r="M5" s="18" t="s">
        <v>55</v>
      </c>
      <c r="N5" s="18"/>
      <c r="O5" s="18"/>
      <c r="P5" s="18"/>
      <c r="Q5" s="18"/>
    </row>
    <row r="6" customFormat="false" ht="22.5" hidden="false" customHeight="true" outlineLevel="0" collapsed="false">
      <c r="A6" s="19" t="s">
        <v>56</v>
      </c>
      <c r="B6" s="19" t="n">
        <v>1</v>
      </c>
      <c r="C6" s="20" t="n">
        <v>55</v>
      </c>
      <c r="D6" s="19" t="n">
        <v>0</v>
      </c>
      <c r="E6" s="21" t="s">
        <v>57</v>
      </c>
      <c r="F6" s="22" t="n">
        <f aca="false">(B6-$K$6)/$K$7</f>
        <v>-1.6</v>
      </c>
      <c r="G6" s="22" t="n">
        <f aca="false">(C6-$K$8)/$K$9</f>
        <v>-1.33333333333333</v>
      </c>
      <c r="H6" s="23" t="str">
        <f aca="false">IF(E6="Train","ใช้ฝึกโมเดล","เก็บไว้ประเมิน")</f>
        <v>ใช้ฝึกโมเดล</v>
      </c>
      <c r="J6" s="24" t="s">
        <v>58</v>
      </c>
      <c r="K6" s="25" t="n">
        <v>5</v>
      </c>
      <c r="M6" s="18"/>
      <c r="N6" s="18"/>
      <c r="O6" s="18"/>
      <c r="P6" s="18"/>
      <c r="Q6" s="18"/>
    </row>
    <row r="7" customFormat="false" ht="22.5" hidden="false" customHeight="true" outlineLevel="0" collapsed="false">
      <c r="A7" s="19" t="s">
        <v>59</v>
      </c>
      <c r="B7" s="19" t="n">
        <v>1.5</v>
      </c>
      <c r="C7" s="20" t="n">
        <v>60</v>
      </c>
      <c r="D7" s="19" t="n">
        <v>0</v>
      </c>
      <c r="E7" s="21" t="s">
        <v>57</v>
      </c>
      <c r="F7" s="22" t="n">
        <f aca="false">(B7-$K$6)/$K$7</f>
        <v>-1.4</v>
      </c>
      <c r="G7" s="22" t="n">
        <f aca="false">(C7-$K$8)/$K$9</f>
        <v>-1</v>
      </c>
      <c r="H7" s="23" t="str">
        <f aca="false">IF(E7="Train","ใช้ฝึกโมเดล","เก็บไว้ประเมิน")</f>
        <v>ใช้ฝึกโมเดล</v>
      </c>
      <c r="J7" s="24" t="s">
        <v>60</v>
      </c>
      <c r="K7" s="25" t="n">
        <v>2.5</v>
      </c>
      <c r="M7" s="18"/>
      <c r="N7" s="18"/>
      <c r="O7" s="18"/>
      <c r="P7" s="18"/>
      <c r="Q7" s="18"/>
    </row>
    <row r="8" customFormat="false" ht="22.5" hidden="false" customHeight="true" outlineLevel="0" collapsed="false">
      <c r="A8" s="19" t="s">
        <v>61</v>
      </c>
      <c r="B8" s="19" t="n">
        <v>2</v>
      </c>
      <c r="C8" s="20" t="n">
        <v>58</v>
      </c>
      <c r="D8" s="19" t="n">
        <v>0</v>
      </c>
      <c r="E8" s="21" t="s">
        <v>57</v>
      </c>
      <c r="F8" s="22" t="n">
        <f aca="false">(B8-$K$6)/$K$7</f>
        <v>-1.2</v>
      </c>
      <c r="G8" s="22" t="n">
        <f aca="false">(C8-$K$8)/$K$9</f>
        <v>-1.13333333333333</v>
      </c>
      <c r="H8" s="23" t="str">
        <f aca="false">IF(E8="Train","ใช้ฝึกโมเดล","เก็บไว้ประเมิน")</f>
        <v>ใช้ฝึกโมเดล</v>
      </c>
      <c r="J8" s="24" t="s">
        <v>62</v>
      </c>
      <c r="K8" s="25" t="n">
        <v>75</v>
      </c>
      <c r="M8" s="26" t="s">
        <v>63</v>
      </c>
      <c r="N8" s="26"/>
      <c r="O8" s="26"/>
      <c r="P8" s="26"/>
      <c r="Q8" s="26"/>
    </row>
    <row r="9" customFormat="false" ht="22.5" hidden="false" customHeight="true" outlineLevel="0" collapsed="false">
      <c r="A9" s="19" t="s">
        <v>64</v>
      </c>
      <c r="B9" s="19" t="n">
        <v>2.5</v>
      </c>
      <c r="C9" s="20" t="n">
        <v>65</v>
      </c>
      <c r="D9" s="19" t="n">
        <v>0</v>
      </c>
      <c r="E9" s="21" t="s">
        <v>57</v>
      </c>
      <c r="F9" s="22" t="n">
        <f aca="false">(B9-$K$6)/$K$7</f>
        <v>-1</v>
      </c>
      <c r="G9" s="22" t="n">
        <f aca="false">(C9-$K$8)/$K$9</f>
        <v>-0.666666666666667</v>
      </c>
      <c r="H9" s="23" t="str">
        <f aca="false">IF(E9="Train","ใช้ฝึกโมเดล","เก็บไว้ประเมิน")</f>
        <v>ใช้ฝึกโมเดล</v>
      </c>
      <c r="J9" s="24" t="s">
        <v>65</v>
      </c>
      <c r="K9" s="25" t="n">
        <v>15</v>
      </c>
      <c r="M9" s="26"/>
      <c r="N9" s="26"/>
      <c r="O9" s="26"/>
      <c r="P9" s="26"/>
      <c r="Q9" s="26"/>
    </row>
    <row r="10" customFormat="false" ht="22.5" hidden="false" customHeight="true" outlineLevel="0" collapsed="false">
      <c r="A10" s="19" t="s">
        <v>66</v>
      </c>
      <c r="B10" s="19" t="n">
        <v>3</v>
      </c>
      <c r="C10" s="20" t="n">
        <v>62</v>
      </c>
      <c r="D10" s="19" t="n">
        <v>0</v>
      </c>
      <c r="E10" s="21" t="s">
        <v>57</v>
      </c>
      <c r="F10" s="22" t="n">
        <f aca="false">(B10-$K$6)/$K$7</f>
        <v>-0.8</v>
      </c>
      <c r="G10" s="22" t="n">
        <f aca="false">(C10-$K$8)/$K$9</f>
        <v>-0.866666666666667</v>
      </c>
      <c r="H10" s="23" t="str">
        <f aca="false">IF(E10="Train","ใช้ฝึกโมเดล","เก็บไว้ประเมิน")</f>
        <v>ใช้ฝึกโมเดล</v>
      </c>
      <c r="M10" s="26"/>
      <c r="N10" s="26"/>
      <c r="O10" s="26"/>
      <c r="P10" s="26"/>
      <c r="Q10" s="26"/>
    </row>
    <row r="11" customFormat="false" ht="22.5" hidden="false" customHeight="true" outlineLevel="0" collapsed="false">
      <c r="A11" s="19" t="s">
        <v>67</v>
      </c>
      <c r="B11" s="19" t="n">
        <v>3.5</v>
      </c>
      <c r="C11" s="20" t="n">
        <v>70</v>
      </c>
      <c r="D11" s="19" t="n">
        <v>0</v>
      </c>
      <c r="E11" s="21" t="s">
        <v>57</v>
      </c>
      <c r="F11" s="22" t="n">
        <f aca="false">(B11-$K$6)/$K$7</f>
        <v>-0.6</v>
      </c>
      <c r="G11" s="22" t="n">
        <f aca="false">(C11-$K$8)/$K$9</f>
        <v>-0.333333333333333</v>
      </c>
      <c r="H11" s="23" t="str">
        <f aca="false">IF(E11="Train","ใช้ฝึกโมเดล","เก็บไว้ประเมิน")</f>
        <v>ใช้ฝึกโมเดล</v>
      </c>
      <c r="J11" s="27" t="s">
        <v>68</v>
      </c>
      <c r="K11" s="28" t="s">
        <v>69</v>
      </c>
    </row>
    <row r="12" customFormat="false" ht="22.5" hidden="false" customHeight="true" outlineLevel="0" collapsed="false">
      <c r="A12" s="19" t="s">
        <v>70</v>
      </c>
      <c r="B12" s="19" t="n">
        <v>4</v>
      </c>
      <c r="C12" s="20" t="n">
        <v>68</v>
      </c>
      <c r="D12" s="19" t="n">
        <v>0</v>
      </c>
      <c r="E12" s="21" t="s">
        <v>57</v>
      </c>
      <c r="F12" s="22" t="n">
        <f aca="false">(B12-$K$6)/$K$7</f>
        <v>-0.4</v>
      </c>
      <c r="G12" s="22" t="n">
        <f aca="false">(C12-$K$8)/$K$9</f>
        <v>-0.466666666666667</v>
      </c>
      <c r="H12" s="23" t="str">
        <f aca="false">IF(E12="Train","ใช้ฝึกโมเดล","เก็บไว้ประเมิน")</f>
        <v>ใช้ฝึกโมเดล</v>
      </c>
      <c r="M12" s="29" t="s">
        <v>71</v>
      </c>
      <c r="N12" s="29"/>
      <c r="O12" s="29"/>
      <c r="P12" s="29"/>
      <c r="Q12" s="29"/>
    </row>
    <row r="13" customFormat="false" ht="22.5" hidden="false" customHeight="true" outlineLevel="0" collapsed="false">
      <c r="A13" s="19" t="s">
        <v>72</v>
      </c>
      <c r="B13" s="19" t="n">
        <v>4.5</v>
      </c>
      <c r="C13" s="20" t="n">
        <v>72</v>
      </c>
      <c r="D13" s="19" t="n">
        <v>1</v>
      </c>
      <c r="E13" s="21" t="s">
        <v>57</v>
      </c>
      <c r="F13" s="22" t="n">
        <f aca="false">(B13-$K$6)/$K$7</f>
        <v>-0.2</v>
      </c>
      <c r="G13" s="22" t="n">
        <f aca="false">(C13-$K$8)/$K$9</f>
        <v>-0.2</v>
      </c>
      <c r="H13" s="23" t="str">
        <f aca="false">IF(E13="Train","ใช้ฝึกโมเดล","เก็บไว้ประเมิน")</f>
        <v>ใช้ฝึกโมเดล</v>
      </c>
      <c r="M13" s="29"/>
      <c r="N13" s="29"/>
      <c r="O13" s="29"/>
      <c r="P13" s="29"/>
      <c r="Q13" s="29"/>
    </row>
    <row r="14" customFormat="false" ht="22.5" hidden="false" customHeight="true" outlineLevel="0" collapsed="false">
      <c r="A14" s="19" t="s">
        <v>73</v>
      </c>
      <c r="B14" s="19" t="n">
        <v>5</v>
      </c>
      <c r="C14" s="20" t="n">
        <v>75</v>
      </c>
      <c r="D14" s="19" t="n">
        <v>1</v>
      </c>
      <c r="E14" s="21" t="s">
        <v>57</v>
      </c>
      <c r="F14" s="22" t="n">
        <f aca="false">(B14-$K$6)/$K$7</f>
        <v>0</v>
      </c>
      <c r="G14" s="22" t="n">
        <f aca="false">(C14-$K$8)/$K$9</f>
        <v>0</v>
      </c>
      <c r="H14" s="23" t="str">
        <f aca="false">IF(E14="Train","ใช้ฝึกโมเดล","เก็บไว้ประเมิน")</f>
        <v>ใช้ฝึกโมเดล</v>
      </c>
      <c r="M14" s="29"/>
      <c r="N14" s="29"/>
      <c r="O14" s="29"/>
      <c r="P14" s="29"/>
      <c r="Q14" s="29"/>
    </row>
    <row r="15" customFormat="false" ht="22.5" hidden="false" customHeight="true" outlineLevel="0" collapsed="false">
      <c r="A15" s="19" t="s">
        <v>74</v>
      </c>
      <c r="B15" s="19" t="n">
        <v>5.5</v>
      </c>
      <c r="C15" s="20" t="n">
        <v>78</v>
      </c>
      <c r="D15" s="19" t="n">
        <v>1</v>
      </c>
      <c r="E15" s="21" t="s">
        <v>57</v>
      </c>
      <c r="F15" s="22" t="n">
        <f aca="false">(B15-$K$6)/$K$7</f>
        <v>0.2</v>
      </c>
      <c r="G15" s="22" t="n">
        <f aca="false">(C15-$K$8)/$K$9</f>
        <v>0.2</v>
      </c>
      <c r="H15" s="23" t="str">
        <f aca="false">IF(E15="Train","ใช้ฝึกโมเดล","เก็บไว้ประเมิน")</f>
        <v>ใช้ฝึกโมเดล</v>
      </c>
      <c r="M15" s="30" t="s">
        <v>75</v>
      </c>
      <c r="N15" s="30"/>
      <c r="O15" s="30"/>
      <c r="P15" s="30"/>
      <c r="Q15" s="30"/>
    </row>
    <row r="16" customFormat="false" ht="22.5" hidden="false" customHeight="true" outlineLevel="0" collapsed="false">
      <c r="A16" s="19" t="s">
        <v>76</v>
      </c>
      <c r="B16" s="19" t="n">
        <v>6</v>
      </c>
      <c r="C16" s="20" t="n">
        <v>80</v>
      </c>
      <c r="D16" s="19" t="n">
        <v>1</v>
      </c>
      <c r="E16" s="21" t="s">
        <v>57</v>
      </c>
      <c r="F16" s="22" t="n">
        <f aca="false">(B16-$K$6)/$K$7</f>
        <v>0.4</v>
      </c>
      <c r="G16" s="22" t="n">
        <f aca="false">(C16-$K$8)/$K$9</f>
        <v>0.333333333333333</v>
      </c>
      <c r="H16" s="23" t="str">
        <f aca="false">IF(E16="Train","ใช้ฝึกโมเดล","เก็บไว้ประเมิน")</f>
        <v>ใช้ฝึกโมเดล</v>
      </c>
      <c r="M16" s="30"/>
      <c r="N16" s="30"/>
      <c r="O16" s="30"/>
      <c r="P16" s="30"/>
      <c r="Q16" s="30"/>
    </row>
    <row r="17" customFormat="false" ht="22.5" hidden="false" customHeight="true" outlineLevel="0" collapsed="false">
      <c r="A17" s="19" t="s">
        <v>77</v>
      </c>
      <c r="B17" s="19" t="n">
        <v>6.5</v>
      </c>
      <c r="C17" s="20" t="n">
        <v>82</v>
      </c>
      <c r="D17" s="19" t="n">
        <v>1</v>
      </c>
      <c r="E17" s="21" t="s">
        <v>57</v>
      </c>
      <c r="F17" s="22" t="n">
        <f aca="false">(B17-$K$6)/$K$7</f>
        <v>0.6</v>
      </c>
      <c r="G17" s="22" t="n">
        <f aca="false">(C17-$K$8)/$K$9</f>
        <v>0.466666666666667</v>
      </c>
      <c r="H17" s="23" t="str">
        <f aca="false">IF(E17="Train","ใช้ฝึกโมเดล","เก็บไว้ประเมิน")</f>
        <v>ใช้ฝึกโมเดล</v>
      </c>
      <c r="M17" s="30"/>
      <c r="N17" s="30"/>
      <c r="O17" s="30"/>
      <c r="P17" s="30"/>
      <c r="Q17" s="30"/>
    </row>
    <row r="18" customFormat="false" ht="22.5" hidden="false" customHeight="true" outlineLevel="0" collapsed="false">
      <c r="A18" s="19" t="s">
        <v>78</v>
      </c>
      <c r="B18" s="19" t="n">
        <v>7</v>
      </c>
      <c r="C18" s="20" t="n">
        <v>85</v>
      </c>
      <c r="D18" s="19" t="n">
        <v>1</v>
      </c>
      <c r="E18" s="21" t="s">
        <v>57</v>
      </c>
      <c r="F18" s="22" t="n">
        <f aca="false">(B18-$K$6)/$K$7</f>
        <v>0.8</v>
      </c>
      <c r="G18" s="22" t="n">
        <f aca="false">(C18-$K$8)/$K$9</f>
        <v>0.666666666666667</v>
      </c>
      <c r="H18" s="23" t="str">
        <f aca="false">IF(E18="Train","ใช้ฝึกโมเดล","เก็บไว้ประเมิน")</f>
        <v>ใช้ฝึกโมเดล</v>
      </c>
      <c r="M18" s="29" t="s">
        <v>79</v>
      </c>
      <c r="N18" s="29"/>
      <c r="O18" s="29"/>
      <c r="P18" s="29"/>
      <c r="Q18" s="29"/>
    </row>
    <row r="19" customFormat="false" ht="22.5" hidden="false" customHeight="true" outlineLevel="0" collapsed="false">
      <c r="A19" s="19" t="s">
        <v>80</v>
      </c>
      <c r="B19" s="19" t="n">
        <v>7.5</v>
      </c>
      <c r="C19" s="20" t="n">
        <v>88</v>
      </c>
      <c r="D19" s="19" t="n">
        <v>1</v>
      </c>
      <c r="E19" s="21" t="s">
        <v>57</v>
      </c>
      <c r="F19" s="22" t="n">
        <f aca="false">(B19-$K$6)/$K$7</f>
        <v>1</v>
      </c>
      <c r="G19" s="22" t="n">
        <f aca="false">(C19-$K$8)/$K$9</f>
        <v>0.866666666666667</v>
      </c>
      <c r="H19" s="23" t="str">
        <f aca="false">IF(E19="Train","ใช้ฝึกโมเดล","เก็บไว้ประเมิน")</f>
        <v>ใช้ฝึกโมเดล</v>
      </c>
      <c r="M19" s="29"/>
      <c r="N19" s="29"/>
      <c r="O19" s="29"/>
      <c r="P19" s="29"/>
      <c r="Q19" s="29"/>
    </row>
    <row r="20" customFormat="false" ht="22.5" hidden="false" customHeight="true" outlineLevel="0" collapsed="false">
      <c r="A20" s="19" t="s">
        <v>81</v>
      </c>
      <c r="B20" s="19" t="n">
        <v>8</v>
      </c>
      <c r="C20" s="20" t="n">
        <v>90</v>
      </c>
      <c r="D20" s="19" t="n">
        <v>1</v>
      </c>
      <c r="E20" s="21" t="s">
        <v>57</v>
      </c>
      <c r="F20" s="22" t="n">
        <f aca="false">(B20-$K$6)/$K$7</f>
        <v>1.2</v>
      </c>
      <c r="G20" s="22" t="n">
        <f aca="false">(C20-$K$8)/$K$9</f>
        <v>1</v>
      </c>
      <c r="H20" s="23" t="str">
        <f aca="false">IF(E20="Train","ใช้ฝึกโมเดล","เก็บไว้ประเมิน")</f>
        <v>ใช้ฝึกโมเดล</v>
      </c>
      <c r="M20" s="29"/>
      <c r="N20" s="29"/>
      <c r="O20" s="29"/>
      <c r="P20" s="29"/>
      <c r="Q20" s="29"/>
    </row>
    <row r="21" customFormat="false" ht="22.5" hidden="false" customHeight="true" outlineLevel="0" collapsed="false">
      <c r="A21" s="19" t="s">
        <v>82</v>
      </c>
      <c r="B21" s="19" t="n">
        <v>8.5</v>
      </c>
      <c r="C21" s="20" t="n">
        <v>92</v>
      </c>
      <c r="D21" s="19" t="n">
        <v>1</v>
      </c>
      <c r="E21" s="21" t="s">
        <v>57</v>
      </c>
      <c r="F21" s="22" t="n">
        <f aca="false">(B21-$K$6)/$K$7</f>
        <v>1.4</v>
      </c>
      <c r="G21" s="22" t="n">
        <f aca="false">(C21-$K$8)/$K$9</f>
        <v>1.13333333333333</v>
      </c>
      <c r="H21" s="23" t="str">
        <f aca="false">IF(E21="Train","ใช้ฝึกโมเดล","เก็บไว้ประเมิน")</f>
        <v>ใช้ฝึกโมเดล</v>
      </c>
      <c r="M21" s="30" t="s">
        <v>83</v>
      </c>
      <c r="N21" s="30"/>
      <c r="O21" s="30"/>
      <c r="P21" s="30"/>
      <c r="Q21" s="30"/>
    </row>
    <row r="22" customFormat="false" ht="22.5" hidden="false" customHeight="true" outlineLevel="0" collapsed="false">
      <c r="A22" s="19" t="s">
        <v>84</v>
      </c>
      <c r="B22" s="19" t="n">
        <v>9</v>
      </c>
      <c r="C22" s="20" t="n">
        <v>95</v>
      </c>
      <c r="D22" s="19" t="n">
        <v>1</v>
      </c>
      <c r="E22" s="21" t="s">
        <v>57</v>
      </c>
      <c r="F22" s="22" t="n">
        <f aca="false">(B22-$K$6)/$K$7</f>
        <v>1.6</v>
      </c>
      <c r="G22" s="22" t="n">
        <f aca="false">(C22-$K$8)/$K$9</f>
        <v>1.33333333333333</v>
      </c>
      <c r="H22" s="23" t="str">
        <f aca="false">IF(E22="Train","ใช้ฝึกโมเดล","เก็บไว้ประเมิน")</f>
        <v>ใช้ฝึกโมเดล</v>
      </c>
      <c r="M22" s="30"/>
      <c r="N22" s="30"/>
      <c r="O22" s="30"/>
      <c r="P22" s="30"/>
      <c r="Q22" s="30"/>
    </row>
    <row r="23" customFormat="false" ht="22.5" hidden="false" customHeight="true" outlineLevel="0" collapsed="false">
      <c r="A23" s="19" t="s">
        <v>85</v>
      </c>
      <c r="B23" s="19" t="n">
        <v>5</v>
      </c>
      <c r="C23" s="20" t="n">
        <v>65</v>
      </c>
      <c r="D23" s="19" t="n">
        <v>0</v>
      </c>
      <c r="E23" s="21" t="s">
        <v>57</v>
      </c>
      <c r="F23" s="22" t="n">
        <f aca="false">(B23-$K$6)/$K$7</f>
        <v>0</v>
      </c>
      <c r="G23" s="22" t="n">
        <f aca="false">(C23-$K$8)/$K$9</f>
        <v>-0.666666666666667</v>
      </c>
      <c r="H23" s="23" t="str">
        <f aca="false">IF(E23="Train","ใช้ฝึกโมเดล","เก็บไว้ประเมิน")</f>
        <v>ใช้ฝึกโมเดล</v>
      </c>
      <c r="M23" s="30"/>
      <c r="N23" s="30"/>
      <c r="O23" s="30"/>
      <c r="P23" s="30"/>
      <c r="Q23" s="30"/>
    </row>
    <row r="24" customFormat="false" ht="22.5" hidden="false" customHeight="true" outlineLevel="0" collapsed="false">
      <c r="A24" s="19" t="s">
        <v>86</v>
      </c>
      <c r="B24" s="19" t="n">
        <v>3</v>
      </c>
      <c r="C24" s="20" t="n">
        <v>85</v>
      </c>
      <c r="D24" s="19" t="n">
        <v>1</v>
      </c>
      <c r="E24" s="21" t="s">
        <v>57</v>
      </c>
      <c r="F24" s="22" t="n">
        <f aca="false">(B24-$K$6)/$K$7</f>
        <v>-0.8</v>
      </c>
      <c r="G24" s="22" t="n">
        <f aca="false">(C24-$K$8)/$K$9</f>
        <v>0.666666666666667</v>
      </c>
      <c r="H24" s="23" t="str">
        <f aca="false">IF(E24="Train","ใช้ฝึกโมเดล","เก็บไว้ประเมิน")</f>
        <v>ใช้ฝึกโมเดล</v>
      </c>
    </row>
    <row r="25" customFormat="false" ht="22.5" hidden="false" customHeight="true" outlineLevel="0" collapsed="false">
      <c r="A25" s="19" t="s">
        <v>87</v>
      </c>
      <c r="B25" s="19" t="n">
        <v>7</v>
      </c>
      <c r="C25" s="20" t="n">
        <v>65</v>
      </c>
      <c r="D25" s="19" t="n">
        <v>1</v>
      </c>
      <c r="E25" s="21" t="s">
        <v>57</v>
      </c>
      <c r="F25" s="22" t="n">
        <f aca="false">(B25-$K$6)/$K$7</f>
        <v>0.8</v>
      </c>
      <c r="G25" s="22" t="n">
        <f aca="false">(C25-$K$8)/$K$9</f>
        <v>-0.666666666666667</v>
      </c>
      <c r="H25" s="23" t="str">
        <f aca="false">IF(E25="Train","ใช้ฝึกโมเดล","เก็บไว้ประเมิน")</f>
        <v>ใช้ฝึกโมเดล</v>
      </c>
      <c r="M25" s="18" t="s">
        <v>88</v>
      </c>
      <c r="N25" s="18"/>
      <c r="O25" s="18"/>
      <c r="P25" s="18"/>
      <c r="Q25" s="18"/>
    </row>
    <row r="26" customFormat="false" ht="22.5" hidden="false" customHeight="true" outlineLevel="0" collapsed="false">
      <c r="A26" s="19" t="s">
        <v>89</v>
      </c>
      <c r="B26" s="19" t="n">
        <v>2</v>
      </c>
      <c r="C26" s="20" t="n">
        <v>55</v>
      </c>
      <c r="D26" s="19" t="n">
        <v>0</v>
      </c>
      <c r="E26" s="31" t="s">
        <v>90</v>
      </c>
      <c r="F26" s="22" t="n">
        <f aca="false">(B26-$K$6)/$K$7</f>
        <v>-1.2</v>
      </c>
      <c r="G26" s="22" t="n">
        <f aca="false">(C26-$K$8)/$K$9</f>
        <v>-1.33333333333333</v>
      </c>
      <c r="H26" s="23" t="str">
        <f aca="false">IF(E26="Train","ใช้ฝึกโมเดล","เก็บไว้ประเมิน")</f>
        <v>เก็บไว้ประเมิน</v>
      </c>
      <c r="M26" s="18"/>
      <c r="N26" s="18"/>
      <c r="O26" s="18"/>
      <c r="P26" s="18"/>
      <c r="Q26" s="18"/>
    </row>
    <row r="27" customFormat="false" ht="22.5" hidden="false" customHeight="true" outlineLevel="0" collapsed="false">
      <c r="A27" s="19" t="s">
        <v>91</v>
      </c>
      <c r="B27" s="19" t="n">
        <v>3</v>
      </c>
      <c r="C27" s="20" t="n">
        <v>75</v>
      </c>
      <c r="D27" s="19" t="n">
        <v>0</v>
      </c>
      <c r="E27" s="31" t="s">
        <v>90</v>
      </c>
      <c r="F27" s="22" t="n">
        <f aca="false">(B27-$K$6)/$K$7</f>
        <v>-0.8</v>
      </c>
      <c r="G27" s="22" t="n">
        <f aca="false">(C27-$K$8)/$K$9</f>
        <v>0</v>
      </c>
      <c r="H27" s="23" t="str">
        <f aca="false">IF(E27="Train","ใช้ฝึกโมเดล","เก็บไว้ประเมิน")</f>
        <v>เก็บไว้ประเมิน</v>
      </c>
      <c r="M27" s="18"/>
      <c r="N27" s="18"/>
      <c r="O27" s="18"/>
      <c r="P27" s="18"/>
      <c r="Q27" s="18"/>
    </row>
    <row r="28" customFormat="false" ht="22.5" hidden="false" customHeight="true" outlineLevel="0" collapsed="false">
      <c r="A28" s="19" t="s">
        <v>92</v>
      </c>
      <c r="B28" s="19" t="n">
        <v>4</v>
      </c>
      <c r="C28" s="20" t="n">
        <v>82</v>
      </c>
      <c r="D28" s="19" t="n">
        <v>1</v>
      </c>
      <c r="E28" s="31" t="s">
        <v>90</v>
      </c>
      <c r="F28" s="22" t="n">
        <f aca="false">(B28-$K$6)/$K$7</f>
        <v>-0.4</v>
      </c>
      <c r="G28" s="22" t="n">
        <f aca="false">(C28-$K$8)/$K$9</f>
        <v>0.466666666666667</v>
      </c>
      <c r="H28" s="23" t="str">
        <f aca="false">IF(E28="Train","ใช้ฝึกโมเดล","เก็บไว้ประเมิน")</f>
        <v>เก็บไว้ประเมิน</v>
      </c>
    </row>
    <row r="29" customFormat="false" ht="22.5" hidden="false" customHeight="true" outlineLevel="0" collapsed="false">
      <c r="A29" s="19" t="s">
        <v>93</v>
      </c>
      <c r="B29" s="19" t="n">
        <v>5</v>
      </c>
      <c r="C29" s="20" t="n">
        <v>65</v>
      </c>
      <c r="D29" s="19" t="n">
        <v>0</v>
      </c>
      <c r="E29" s="31" t="s">
        <v>90</v>
      </c>
      <c r="F29" s="22" t="n">
        <f aca="false">(B29-$K$6)/$K$7</f>
        <v>0</v>
      </c>
      <c r="G29" s="22" t="n">
        <f aca="false">(C29-$K$8)/$K$9</f>
        <v>-0.666666666666667</v>
      </c>
      <c r="H29" s="23" t="str">
        <f aca="false">IF(E29="Train","ใช้ฝึกโมเดล","เก็บไว้ประเมิน")</f>
        <v>เก็บไว้ประเมิน</v>
      </c>
      <c r="M29" s="3" t="s">
        <v>94</v>
      </c>
      <c r="N29" s="3"/>
      <c r="O29" s="3"/>
      <c r="P29" s="3"/>
      <c r="Q29" s="3"/>
    </row>
    <row r="30" customFormat="false" ht="33.75" hidden="false" customHeight="true" outlineLevel="0" collapsed="false">
      <c r="A30" s="19" t="s">
        <v>95</v>
      </c>
      <c r="B30" s="19" t="n">
        <v>5</v>
      </c>
      <c r="C30" s="20" t="n">
        <v>90</v>
      </c>
      <c r="D30" s="19" t="n">
        <v>1</v>
      </c>
      <c r="E30" s="31" t="s">
        <v>90</v>
      </c>
      <c r="F30" s="22" t="n">
        <f aca="false">(B30-$K$6)/$K$7</f>
        <v>0</v>
      </c>
      <c r="G30" s="22" t="n">
        <f aca="false">(C30-$K$8)/$K$9</f>
        <v>1</v>
      </c>
      <c r="H30" s="23" t="str">
        <f aca="false">IF(E30="Train","ใช้ฝึกโมเดล","เก็บไว้ประเมิน")</f>
        <v>เก็บไว้ประเมิน</v>
      </c>
      <c r="M30" s="17" t="s">
        <v>96</v>
      </c>
      <c r="N30" s="17" t="s">
        <v>97</v>
      </c>
      <c r="O30" s="17" t="s">
        <v>98</v>
      </c>
      <c r="P30" s="17" t="s">
        <v>99</v>
      </c>
      <c r="Q30" s="17"/>
    </row>
    <row r="31" customFormat="false" ht="30" hidden="false" customHeight="true" outlineLevel="0" collapsed="false">
      <c r="A31" s="19" t="s">
        <v>100</v>
      </c>
      <c r="B31" s="19" t="n">
        <v>6</v>
      </c>
      <c r="C31" s="20" t="n">
        <v>72</v>
      </c>
      <c r="D31" s="19" t="n">
        <v>1</v>
      </c>
      <c r="E31" s="31" t="s">
        <v>90</v>
      </c>
      <c r="F31" s="22" t="n">
        <f aca="false">(B31-$K$6)/$K$7</f>
        <v>0.4</v>
      </c>
      <c r="G31" s="22" t="n">
        <f aca="false">(C31-$K$8)/$K$9</f>
        <v>-0.2</v>
      </c>
      <c r="H31" s="23" t="str">
        <f aca="false">IF(E31="Train","ใช้ฝึกโมเดล","เก็บไว้ประเมิน")</f>
        <v>เก็บไว้ประเมิน</v>
      </c>
      <c r="M31" s="32" t="s">
        <v>58</v>
      </c>
      <c r="N31" s="33" t="n">
        <f aca="false">$K$6</f>
        <v>5</v>
      </c>
      <c r="O31" s="33" t="n">
        <f aca="false">AVERAGE($B$6:$B$25)</f>
        <v>5</v>
      </c>
      <c r="P31" s="34" t="s">
        <v>101</v>
      </c>
      <c r="Q31" s="34"/>
    </row>
    <row r="32" customFormat="false" ht="30" hidden="false" customHeight="true" outlineLevel="0" collapsed="false">
      <c r="A32" s="19" t="s">
        <v>102</v>
      </c>
      <c r="B32" s="19" t="n">
        <v>7</v>
      </c>
      <c r="C32" s="20" t="n">
        <v>60</v>
      </c>
      <c r="D32" s="19" t="n">
        <v>0</v>
      </c>
      <c r="E32" s="31" t="s">
        <v>90</v>
      </c>
      <c r="F32" s="22" t="n">
        <f aca="false">(B32-$K$6)/$K$7</f>
        <v>0.8</v>
      </c>
      <c r="G32" s="22" t="n">
        <f aca="false">(C32-$K$8)/$K$9</f>
        <v>-1</v>
      </c>
      <c r="H32" s="23" t="str">
        <f aca="false">IF(E32="Train","ใช้ฝึกโมเดล","เก็บไว้ประเมิน")</f>
        <v>เก็บไว้ประเมิน</v>
      </c>
      <c r="M32" s="35" t="s">
        <v>60</v>
      </c>
      <c r="N32" s="36" t="n">
        <f aca="false">$K$7</f>
        <v>2.5</v>
      </c>
      <c r="O32" s="36" t="n">
        <f aca="false">STDEVP($B$6:$B$25)</f>
        <v>2.34520787991172</v>
      </c>
      <c r="P32" s="37" t="s">
        <v>103</v>
      </c>
      <c r="Q32" s="37"/>
    </row>
    <row r="33" customFormat="false" ht="30" hidden="false" customHeight="true" outlineLevel="0" collapsed="false">
      <c r="A33" s="19" t="s">
        <v>104</v>
      </c>
      <c r="B33" s="19" t="n">
        <v>2.5</v>
      </c>
      <c r="C33" s="20" t="n">
        <v>95</v>
      </c>
      <c r="D33" s="19" t="n">
        <v>1</v>
      </c>
      <c r="E33" s="31" t="s">
        <v>90</v>
      </c>
      <c r="F33" s="22" t="n">
        <f aca="false">(B33-$K$6)/$K$7</f>
        <v>-1</v>
      </c>
      <c r="G33" s="22" t="n">
        <f aca="false">(C33-$K$8)/$K$9</f>
        <v>1.33333333333333</v>
      </c>
      <c r="H33" s="23" t="str">
        <f aca="false">IF(E33="Train","ใช้ฝึกโมเดล","เก็บไว้ประเมิน")</f>
        <v>เก็บไว้ประเมิน</v>
      </c>
      <c r="M33" s="32" t="s">
        <v>62</v>
      </c>
      <c r="N33" s="33" t="n">
        <f aca="false">$K$8</f>
        <v>75</v>
      </c>
      <c r="O33" s="33" t="n">
        <f aca="false">AVERAGE($C$6:$C$25)</f>
        <v>74.5</v>
      </c>
      <c r="P33" s="34" t="s">
        <v>105</v>
      </c>
      <c r="Q33" s="34"/>
    </row>
    <row r="34" customFormat="false" ht="30" hidden="false" customHeight="true" outlineLevel="0" collapsed="false">
      <c r="A34" s="19" t="s">
        <v>106</v>
      </c>
      <c r="B34" s="19" t="n">
        <v>8</v>
      </c>
      <c r="C34" s="20" t="n">
        <v>80</v>
      </c>
      <c r="D34" s="19" t="n">
        <v>1</v>
      </c>
      <c r="E34" s="31" t="s">
        <v>90</v>
      </c>
      <c r="F34" s="22" t="n">
        <f aca="false">(B34-$K$6)/$K$7</f>
        <v>1.2</v>
      </c>
      <c r="G34" s="22" t="n">
        <f aca="false">(C34-$K$8)/$K$9</f>
        <v>0.333333333333333</v>
      </c>
      <c r="H34" s="23" t="str">
        <f aca="false">IF(E34="Train","ใช้ฝึกโมเดล","เก็บไว้ประเมิน")</f>
        <v>เก็บไว้ประเมิน</v>
      </c>
      <c r="M34" s="35" t="s">
        <v>65</v>
      </c>
      <c r="N34" s="36" t="n">
        <f aca="false">$K$9</f>
        <v>15</v>
      </c>
      <c r="O34" s="36" t="n">
        <f aca="false">STDEVP($C$6:$C$25)</f>
        <v>11.8890706112799</v>
      </c>
      <c r="P34" s="37" t="s">
        <v>107</v>
      </c>
      <c r="Q34" s="37"/>
    </row>
    <row r="35" customFormat="false" ht="22.5" hidden="false" customHeight="true" outlineLevel="0" collapsed="false">
      <c r="A35" s="19" t="s">
        <v>108</v>
      </c>
      <c r="B35" s="19" t="n">
        <v>4.5</v>
      </c>
      <c r="C35" s="20" t="n">
        <v>70</v>
      </c>
      <c r="D35" s="19" t="n">
        <v>1</v>
      </c>
      <c r="E35" s="31" t="s">
        <v>90</v>
      </c>
      <c r="F35" s="22" t="n">
        <f aca="false">(B35-$K$6)/$K$7</f>
        <v>-0.2</v>
      </c>
      <c r="G35" s="22" t="n">
        <f aca="false">(C35-$K$8)/$K$9</f>
        <v>-0.333333333333333</v>
      </c>
      <c r="H35" s="23" t="str">
        <f aca="false">IF(E35="Train","ใช้ฝึกโมเดล","เก็บไว้ประเมิน")</f>
        <v>เก็บไว้ประเมิน</v>
      </c>
    </row>
    <row r="36" customFormat="false" ht="15" hidden="false" customHeight="true" outlineLevel="0" collapsed="false">
      <c r="M36" s="38" t="s">
        <v>109</v>
      </c>
      <c r="N36" s="38"/>
      <c r="O36" s="38"/>
      <c r="P36" s="38"/>
      <c r="Q36" s="38"/>
    </row>
    <row r="37" customFormat="false" ht="15" hidden="false" customHeight="false" outlineLevel="0" collapsed="false">
      <c r="A37" s="39" t="s">
        <v>110</v>
      </c>
      <c r="B37" s="40" t="s">
        <v>111</v>
      </c>
      <c r="C37" s="40"/>
      <c r="D37" s="40"/>
      <c r="E37" s="40"/>
      <c r="F37" s="40"/>
      <c r="G37" s="40"/>
      <c r="H37" s="40"/>
      <c r="M37" s="38"/>
      <c r="N37" s="38"/>
      <c r="O37" s="38"/>
      <c r="P37" s="38"/>
      <c r="Q37" s="38"/>
    </row>
  </sheetData>
  <autoFilter ref="A5:H35"/>
  <mergeCells count="20">
    <mergeCell ref="A1:Q1"/>
    <mergeCell ref="A2:Q2"/>
    <mergeCell ref="A4:H4"/>
    <mergeCell ref="J4:K4"/>
    <mergeCell ref="M4:Q4"/>
    <mergeCell ref="M5:Q7"/>
    <mergeCell ref="M8:Q10"/>
    <mergeCell ref="M12:Q14"/>
    <mergeCell ref="M15:Q17"/>
    <mergeCell ref="M18:Q20"/>
    <mergeCell ref="M21:Q23"/>
    <mergeCell ref="M25:Q27"/>
    <mergeCell ref="M29:Q29"/>
    <mergeCell ref="P30:Q30"/>
    <mergeCell ref="P31:Q31"/>
    <mergeCell ref="P32:Q32"/>
    <mergeCell ref="P33:Q33"/>
    <mergeCell ref="P34:Q34"/>
    <mergeCell ref="M36:Q37"/>
    <mergeCell ref="B37:H37"/>
  </mergeCells>
  <conditionalFormatting sqref="D6:D35">
    <cfRule type="cellIs" priority="2" operator="equal" aboveAverage="0" equalAverage="0" bottom="0" percent="0" rank="0" text="" dxfId="9">
      <formula>1</formula>
    </cfRule>
    <cfRule type="cellIs" priority="3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10" min="5" style="0" width="13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.75" hidden="false" customHeight="true" outlineLevel="0" collapsed="false">
      <c r="A2" s="2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2.5" hidden="false" customHeight="true" outlineLevel="0" collapsed="false">
      <c r="A3" s="16" t="s">
        <v>114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8" t="s">
        <v>115</v>
      </c>
      <c r="B4" s="41" t="n">
        <v>0.4</v>
      </c>
    </row>
    <row r="5" customFormat="false" ht="15" hidden="false" customHeight="false" outlineLevel="0" collapsed="false">
      <c r="A5" s="8" t="s">
        <v>116</v>
      </c>
      <c r="B5" s="42" t="n">
        <v>20</v>
      </c>
    </row>
    <row r="6" customFormat="false" ht="15" hidden="false" customHeight="false" outlineLevel="0" collapsed="false">
      <c r="A6" s="8" t="s">
        <v>117</v>
      </c>
      <c r="B6" s="43" t="n">
        <f aca="false">COUNTIF(01_Data!E6:E35,"Train")</f>
        <v>20</v>
      </c>
    </row>
    <row r="7" customFormat="false" ht="15" hidden="false" customHeight="false" outlineLevel="0" collapsed="false">
      <c r="C7" s="44" t="s">
        <v>118</v>
      </c>
      <c r="D7" s="45" t="n">
        <v>0</v>
      </c>
      <c r="E7" s="44" t="s">
        <v>119</v>
      </c>
      <c r="F7" s="45" t="n">
        <v>0</v>
      </c>
      <c r="G7" s="44" t="s">
        <v>120</v>
      </c>
      <c r="H7" s="45" t="n">
        <v>0</v>
      </c>
    </row>
    <row r="9" customFormat="false" ht="24.75" hidden="false" customHeight="true" outlineLevel="0" collapsed="false">
      <c r="A9" s="15" t="s">
        <v>121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24.7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22.5" hidden="false" customHeight="true" outlineLevel="0" collapsed="false">
      <c r="A11" s="3" t="s">
        <v>122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46" t="s">
        <v>123</v>
      </c>
      <c r="B12" s="47" t="n">
        <v>1</v>
      </c>
      <c r="C12" s="46" t="s">
        <v>124</v>
      </c>
      <c r="D12" s="48" t="n">
        <f aca="false">$D$7</f>
        <v>0</v>
      </c>
      <c r="E12" s="46" t="s">
        <v>125</v>
      </c>
      <c r="F12" s="48" t="n">
        <f aca="false">$F$7</f>
        <v>0</v>
      </c>
      <c r="G12" s="46" t="s">
        <v>126</v>
      </c>
      <c r="H12" s="48" t="n">
        <f aca="false">$H$7</f>
        <v>0</v>
      </c>
      <c r="I12" s="47" t="s">
        <v>127</v>
      </c>
      <c r="J12" s="47"/>
      <c r="K12" s="47"/>
    </row>
    <row r="13" customFormat="false" ht="33.75" hidden="false" customHeight="true" outlineLevel="0" collapsed="false">
      <c r="A13" s="17" t="s">
        <v>128</v>
      </c>
      <c r="B13" s="17" t="s">
        <v>129</v>
      </c>
      <c r="C13" s="17" t="s">
        <v>130</v>
      </c>
      <c r="D13" s="17" t="s">
        <v>131</v>
      </c>
      <c r="E13" s="17" t="s">
        <v>132</v>
      </c>
      <c r="F13" s="17" t="s">
        <v>133</v>
      </c>
      <c r="G13" s="17" t="s">
        <v>134</v>
      </c>
      <c r="H13" s="17" t="s">
        <v>135</v>
      </c>
      <c r="I13" s="17" t="s">
        <v>136</v>
      </c>
      <c r="J13" s="17" t="s">
        <v>137</v>
      </c>
      <c r="K13" s="17" t="s">
        <v>33</v>
      </c>
    </row>
    <row r="14" customFormat="false" ht="15" hidden="false" customHeight="false" outlineLevel="0" collapsed="false">
      <c r="A14" s="49" t="str">
        <f aca="false">01_Data!A6</f>
        <v>S01</v>
      </c>
      <c r="B14" s="50" t="n">
        <f aca="false">01_Data!F6</f>
        <v>-1.6</v>
      </c>
      <c r="C14" s="50" t="n">
        <f aca="false">01_Data!G6</f>
        <v>-1.33333333333333</v>
      </c>
      <c r="D14" s="50" t="n">
        <f aca="false">01_Data!D6</f>
        <v>0</v>
      </c>
      <c r="E14" s="51"/>
      <c r="F14" s="51"/>
      <c r="G14" s="51"/>
      <c r="H14" s="51"/>
      <c r="I14" s="51"/>
      <c r="J14" s="51"/>
      <c r="K14" s="51"/>
    </row>
    <row r="15" customFormat="false" ht="15" hidden="false" customHeight="false" outlineLevel="0" collapsed="false">
      <c r="A15" s="49" t="str">
        <f aca="false">01_Data!A7</f>
        <v>S02</v>
      </c>
      <c r="B15" s="50" t="n">
        <f aca="false">01_Data!F7</f>
        <v>-1.4</v>
      </c>
      <c r="C15" s="50" t="n">
        <f aca="false">01_Data!G7</f>
        <v>-1</v>
      </c>
      <c r="D15" s="50" t="n">
        <f aca="false">01_Data!D7</f>
        <v>0</v>
      </c>
      <c r="E15" s="51"/>
      <c r="F15" s="51"/>
      <c r="G15" s="51"/>
      <c r="H15" s="51"/>
      <c r="I15" s="51"/>
      <c r="J15" s="51"/>
      <c r="K15" s="51"/>
    </row>
    <row r="16" customFormat="false" ht="15" hidden="false" customHeight="false" outlineLevel="0" collapsed="false">
      <c r="A16" s="49" t="str">
        <f aca="false">01_Data!A8</f>
        <v>S03</v>
      </c>
      <c r="B16" s="50" t="n">
        <f aca="false">01_Data!F8</f>
        <v>-1.2</v>
      </c>
      <c r="C16" s="50" t="n">
        <f aca="false">01_Data!G8</f>
        <v>-1.13333333333333</v>
      </c>
      <c r="D16" s="50" t="n">
        <f aca="false">01_Data!D8</f>
        <v>0</v>
      </c>
      <c r="E16" s="51"/>
      <c r="F16" s="51"/>
      <c r="G16" s="51"/>
      <c r="H16" s="51"/>
      <c r="I16" s="51"/>
      <c r="J16" s="51"/>
      <c r="K16" s="51"/>
    </row>
    <row r="17" customFormat="false" ht="15" hidden="false" customHeight="false" outlineLevel="0" collapsed="false">
      <c r="A17" s="49" t="str">
        <f aca="false">01_Data!A9</f>
        <v>S04</v>
      </c>
      <c r="B17" s="50" t="n">
        <f aca="false">01_Data!F9</f>
        <v>-1</v>
      </c>
      <c r="C17" s="50" t="n">
        <f aca="false">01_Data!G9</f>
        <v>-0.666666666666667</v>
      </c>
      <c r="D17" s="50" t="n">
        <f aca="false">01_Data!D9</f>
        <v>0</v>
      </c>
      <c r="E17" s="51"/>
      <c r="F17" s="51"/>
      <c r="G17" s="51"/>
      <c r="H17" s="51"/>
      <c r="I17" s="51"/>
      <c r="J17" s="51"/>
      <c r="K17" s="51"/>
    </row>
    <row r="18" customFormat="false" ht="15" hidden="false" customHeight="false" outlineLevel="0" collapsed="false">
      <c r="A18" s="49" t="str">
        <f aca="false">01_Data!A10</f>
        <v>S05</v>
      </c>
      <c r="B18" s="50" t="n">
        <f aca="false">01_Data!F10</f>
        <v>-0.8</v>
      </c>
      <c r="C18" s="50" t="n">
        <f aca="false">01_Data!G10</f>
        <v>-0.866666666666667</v>
      </c>
      <c r="D18" s="50" t="n">
        <f aca="false">01_Data!D10</f>
        <v>0</v>
      </c>
      <c r="E18" s="51"/>
      <c r="F18" s="51"/>
      <c r="G18" s="51"/>
      <c r="H18" s="51"/>
      <c r="I18" s="51"/>
      <c r="J18" s="51"/>
      <c r="K18" s="51"/>
    </row>
    <row r="19" customFormat="false" ht="15" hidden="false" customHeight="false" outlineLevel="0" collapsed="false">
      <c r="A19" s="49" t="str">
        <f aca="false">01_Data!A11</f>
        <v>S06</v>
      </c>
      <c r="B19" s="50" t="n">
        <f aca="false">01_Data!F11</f>
        <v>-0.6</v>
      </c>
      <c r="C19" s="50" t="n">
        <f aca="false">01_Data!G11</f>
        <v>-0.333333333333333</v>
      </c>
      <c r="D19" s="50" t="n">
        <f aca="false">01_Data!D11</f>
        <v>0</v>
      </c>
      <c r="E19" s="51"/>
      <c r="F19" s="51"/>
      <c r="G19" s="51"/>
      <c r="H19" s="51"/>
      <c r="I19" s="51"/>
      <c r="J19" s="51"/>
      <c r="K19" s="51"/>
    </row>
    <row r="20" customFormat="false" ht="15" hidden="false" customHeight="false" outlineLevel="0" collapsed="false">
      <c r="A20" s="49" t="str">
        <f aca="false">01_Data!A12</f>
        <v>S07</v>
      </c>
      <c r="B20" s="50" t="n">
        <f aca="false">01_Data!F12</f>
        <v>-0.4</v>
      </c>
      <c r="C20" s="50" t="n">
        <f aca="false">01_Data!G12</f>
        <v>-0.466666666666667</v>
      </c>
      <c r="D20" s="50" t="n">
        <f aca="false">01_Data!D12</f>
        <v>0</v>
      </c>
      <c r="E20" s="51"/>
      <c r="F20" s="51"/>
      <c r="G20" s="51"/>
      <c r="H20" s="51"/>
      <c r="I20" s="51"/>
      <c r="J20" s="51"/>
      <c r="K20" s="51"/>
    </row>
    <row r="21" customFormat="false" ht="15" hidden="false" customHeight="false" outlineLevel="0" collapsed="false">
      <c r="A21" s="49" t="str">
        <f aca="false">01_Data!A13</f>
        <v>S08</v>
      </c>
      <c r="B21" s="50" t="n">
        <f aca="false">01_Data!F13</f>
        <v>-0.2</v>
      </c>
      <c r="C21" s="50" t="n">
        <f aca="false">01_Data!G13</f>
        <v>-0.2</v>
      </c>
      <c r="D21" s="50" t="n">
        <f aca="false">01_Data!D13</f>
        <v>1</v>
      </c>
      <c r="E21" s="51"/>
      <c r="F21" s="51"/>
      <c r="G21" s="51"/>
      <c r="H21" s="51"/>
      <c r="I21" s="51"/>
      <c r="J21" s="51"/>
      <c r="K21" s="51"/>
    </row>
    <row r="22" customFormat="false" ht="15" hidden="false" customHeight="false" outlineLevel="0" collapsed="false">
      <c r="A22" s="49" t="str">
        <f aca="false">01_Data!A14</f>
        <v>S09</v>
      </c>
      <c r="B22" s="50" t="n">
        <f aca="false">01_Data!F14</f>
        <v>0</v>
      </c>
      <c r="C22" s="50" t="n">
        <f aca="false">01_Data!G14</f>
        <v>0</v>
      </c>
      <c r="D22" s="50" t="n">
        <f aca="false">01_Data!D14</f>
        <v>1</v>
      </c>
      <c r="E22" s="51"/>
      <c r="F22" s="51"/>
      <c r="G22" s="51"/>
      <c r="H22" s="51"/>
      <c r="I22" s="51"/>
      <c r="J22" s="51"/>
      <c r="K22" s="51"/>
    </row>
    <row r="23" customFormat="false" ht="15" hidden="false" customHeight="false" outlineLevel="0" collapsed="false">
      <c r="A23" s="49" t="str">
        <f aca="false">01_Data!A15</f>
        <v>S10</v>
      </c>
      <c r="B23" s="50" t="n">
        <f aca="false">01_Data!F15</f>
        <v>0.2</v>
      </c>
      <c r="C23" s="50" t="n">
        <f aca="false">01_Data!G15</f>
        <v>0.2</v>
      </c>
      <c r="D23" s="50" t="n">
        <f aca="false">01_Data!D15</f>
        <v>1</v>
      </c>
      <c r="E23" s="51"/>
      <c r="F23" s="51"/>
      <c r="G23" s="51"/>
      <c r="H23" s="51"/>
      <c r="I23" s="51"/>
      <c r="J23" s="51"/>
      <c r="K23" s="51"/>
    </row>
    <row r="24" customFormat="false" ht="15" hidden="false" customHeight="false" outlineLevel="0" collapsed="false">
      <c r="A24" s="49" t="str">
        <f aca="false">01_Data!A16</f>
        <v>S11</v>
      </c>
      <c r="B24" s="50" t="n">
        <f aca="false">01_Data!F16</f>
        <v>0.4</v>
      </c>
      <c r="C24" s="50" t="n">
        <f aca="false">01_Data!G16</f>
        <v>0.333333333333333</v>
      </c>
      <c r="D24" s="50" t="n">
        <f aca="false">01_Data!D16</f>
        <v>1</v>
      </c>
      <c r="E24" s="51"/>
      <c r="F24" s="51"/>
      <c r="G24" s="51"/>
      <c r="H24" s="51"/>
      <c r="I24" s="51"/>
      <c r="J24" s="51"/>
      <c r="K24" s="51"/>
    </row>
    <row r="25" customFormat="false" ht="15" hidden="false" customHeight="false" outlineLevel="0" collapsed="false">
      <c r="A25" s="49" t="str">
        <f aca="false">01_Data!A17</f>
        <v>S12</v>
      </c>
      <c r="B25" s="50" t="n">
        <f aca="false">01_Data!F17</f>
        <v>0.6</v>
      </c>
      <c r="C25" s="50" t="n">
        <f aca="false">01_Data!G17</f>
        <v>0.466666666666667</v>
      </c>
      <c r="D25" s="50" t="n">
        <f aca="false">01_Data!D17</f>
        <v>1</v>
      </c>
      <c r="E25" s="51"/>
      <c r="F25" s="51"/>
      <c r="G25" s="51"/>
      <c r="H25" s="51"/>
      <c r="I25" s="51"/>
      <c r="J25" s="51"/>
      <c r="K25" s="51"/>
    </row>
    <row r="26" customFormat="false" ht="15" hidden="false" customHeight="false" outlineLevel="0" collapsed="false">
      <c r="A26" s="49" t="str">
        <f aca="false">01_Data!A18</f>
        <v>S13</v>
      </c>
      <c r="B26" s="50" t="n">
        <f aca="false">01_Data!F18</f>
        <v>0.8</v>
      </c>
      <c r="C26" s="50" t="n">
        <f aca="false">01_Data!G18</f>
        <v>0.666666666666667</v>
      </c>
      <c r="D26" s="50" t="n">
        <f aca="false">01_Data!D18</f>
        <v>1</v>
      </c>
      <c r="E26" s="51"/>
      <c r="F26" s="51"/>
      <c r="G26" s="51"/>
      <c r="H26" s="51"/>
      <c r="I26" s="51"/>
      <c r="J26" s="51"/>
      <c r="K26" s="51"/>
    </row>
    <row r="27" customFormat="false" ht="15" hidden="false" customHeight="false" outlineLevel="0" collapsed="false">
      <c r="A27" s="49" t="str">
        <f aca="false">01_Data!A19</f>
        <v>S14</v>
      </c>
      <c r="B27" s="50" t="n">
        <f aca="false">01_Data!F19</f>
        <v>1</v>
      </c>
      <c r="C27" s="50" t="n">
        <f aca="false">01_Data!G19</f>
        <v>0.866666666666667</v>
      </c>
      <c r="D27" s="50" t="n">
        <f aca="false">01_Data!D19</f>
        <v>1</v>
      </c>
      <c r="E27" s="51"/>
      <c r="F27" s="51"/>
      <c r="G27" s="51"/>
      <c r="H27" s="51"/>
      <c r="I27" s="51"/>
      <c r="J27" s="51"/>
      <c r="K27" s="51"/>
    </row>
    <row r="28" customFormat="false" ht="15" hidden="false" customHeight="false" outlineLevel="0" collapsed="false">
      <c r="A28" s="49" t="str">
        <f aca="false">01_Data!A20</f>
        <v>S15</v>
      </c>
      <c r="B28" s="50" t="n">
        <f aca="false">01_Data!F20</f>
        <v>1.2</v>
      </c>
      <c r="C28" s="50" t="n">
        <f aca="false">01_Data!G20</f>
        <v>1</v>
      </c>
      <c r="D28" s="50" t="n">
        <f aca="false">01_Data!D20</f>
        <v>1</v>
      </c>
      <c r="E28" s="51"/>
      <c r="F28" s="51"/>
      <c r="G28" s="51"/>
      <c r="H28" s="51"/>
      <c r="I28" s="51"/>
      <c r="J28" s="51"/>
      <c r="K28" s="51"/>
    </row>
    <row r="29" customFormat="false" ht="15" hidden="false" customHeight="false" outlineLevel="0" collapsed="false">
      <c r="A29" s="49" t="str">
        <f aca="false">01_Data!A21</f>
        <v>S16</v>
      </c>
      <c r="B29" s="50" t="n">
        <f aca="false">01_Data!F21</f>
        <v>1.4</v>
      </c>
      <c r="C29" s="50" t="n">
        <f aca="false">01_Data!G21</f>
        <v>1.13333333333333</v>
      </c>
      <c r="D29" s="50" t="n">
        <f aca="false">01_Data!D21</f>
        <v>1</v>
      </c>
      <c r="E29" s="51"/>
      <c r="F29" s="51"/>
      <c r="G29" s="51"/>
      <c r="H29" s="51"/>
      <c r="I29" s="51"/>
      <c r="J29" s="51"/>
      <c r="K29" s="51"/>
    </row>
    <row r="30" customFormat="false" ht="15" hidden="false" customHeight="false" outlineLevel="0" collapsed="false">
      <c r="A30" s="49" t="str">
        <f aca="false">01_Data!A22</f>
        <v>S17</v>
      </c>
      <c r="B30" s="50" t="n">
        <f aca="false">01_Data!F22</f>
        <v>1.6</v>
      </c>
      <c r="C30" s="50" t="n">
        <f aca="false">01_Data!G22</f>
        <v>1.33333333333333</v>
      </c>
      <c r="D30" s="50" t="n">
        <f aca="false">01_Data!D22</f>
        <v>1</v>
      </c>
      <c r="E30" s="51"/>
      <c r="F30" s="51"/>
      <c r="G30" s="51"/>
      <c r="H30" s="51"/>
      <c r="I30" s="51"/>
      <c r="J30" s="51"/>
      <c r="K30" s="51"/>
    </row>
    <row r="31" customFormat="false" ht="15" hidden="false" customHeight="false" outlineLevel="0" collapsed="false">
      <c r="A31" s="49" t="str">
        <f aca="false">01_Data!A23</f>
        <v>S18</v>
      </c>
      <c r="B31" s="50" t="n">
        <f aca="false">01_Data!F23</f>
        <v>0</v>
      </c>
      <c r="C31" s="50" t="n">
        <f aca="false">01_Data!G23</f>
        <v>-0.666666666666667</v>
      </c>
      <c r="D31" s="50" t="n">
        <f aca="false">01_Data!D23</f>
        <v>0</v>
      </c>
      <c r="E31" s="51"/>
      <c r="F31" s="51"/>
      <c r="G31" s="51"/>
      <c r="H31" s="51"/>
      <c r="I31" s="51"/>
      <c r="J31" s="51"/>
      <c r="K31" s="51"/>
    </row>
    <row r="32" customFormat="false" ht="15" hidden="false" customHeight="false" outlineLevel="0" collapsed="false">
      <c r="A32" s="49" t="str">
        <f aca="false">01_Data!A24</f>
        <v>S19</v>
      </c>
      <c r="B32" s="50" t="n">
        <f aca="false">01_Data!F24</f>
        <v>-0.8</v>
      </c>
      <c r="C32" s="50" t="n">
        <f aca="false">01_Data!G24</f>
        <v>0.666666666666667</v>
      </c>
      <c r="D32" s="50" t="n">
        <f aca="false">01_Data!D24</f>
        <v>1</v>
      </c>
      <c r="E32" s="51"/>
      <c r="F32" s="51"/>
      <c r="G32" s="51"/>
      <c r="H32" s="51"/>
      <c r="I32" s="51"/>
      <c r="J32" s="51"/>
      <c r="K32" s="51"/>
    </row>
    <row r="33" customFormat="false" ht="15" hidden="false" customHeight="false" outlineLevel="0" collapsed="false">
      <c r="A33" s="49" t="str">
        <f aca="false">01_Data!A25</f>
        <v>S20</v>
      </c>
      <c r="B33" s="50" t="n">
        <f aca="false">01_Data!F25</f>
        <v>0.8</v>
      </c>
      <c r="C33" s="50" t="n">
        <f aca="false">01_Data!G25</f>
        <v>-0.666666666666667</v>
      </c>
      <c r="D33" s="50" t="n">
        <f aca="false">01_Data!D25</f>
        <v>1</v>
      </c>
      <c r="E33" s="51"/>
      <c r="F33" s="51"/>
      <c r="G33" s="51"/>
      <c r="H33" s="51"/>
      <c r="I33" s="51"/>
      <c r="J33" s="51"/>
      <c r="K33" s="51"/>
    </row>
    <row r="34" customFormat="false" ht="15" hidden="false" customHeight="false" outlineLevel="0" collapsed="false">
      <c r="A34" s="52" t="s">
        <v>138</v>
      </c>
      <c r="B34" s="52"/>
      <c r="C34" s="52"/>
      <c r="D34" s="52"/>
      <c r="E34" s="52"/>
      <c r="F34" s="52"/>
      <c r="G34" s="52" t="s">
        <v>139</v>
      </c>
      <c r="H34" s="53"/>
      <c r="I34" s="53"/>
      <c r="J34" s="53"/>
      <c r="K34" s="53"/>
    </row>
    <row r="35" customFormat="false" ht="22.35" hidden="false" customHeight="true" outlineLevel="0" collapsed="false">
      <c r="A35" s="46" t="s">
        <v>140</v>
      </c>
      <c r="B35" s="46"/>
      <c r="C35" s="46" t="s">
        <v>141</v>
      </c>
      <c r="D35" s="54"/>
      <c r="E35" s="46" t="s">
        <v>142</v>
      </c>
      <c r="F35" s="54"/>
      <c r="G35" s="46" t="s">
        <v>143</v>
      </c>
      <c r="H35" s="54"/>
      <c r="I35" s="47" t="s">
        <v>144</v>
      </c>
      <c r="J35" s="47"/>
      <c r="K35" s="47"/>
    </row>
    <row r="37" customFormat="false" ht="22.5" hidden="false" customHeight="true" outlineLevel="0" collapsed="false">
      <c r="A37" s="55" t="s">
        <v>145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customFormat="false" ht="15" hidden="false" customHeight="true" outlineLevel="0" collapsed="false">
      <c r="A38" s="46" t="s">
        <v>123</v>
      </c>
      <c r="B38" s="47" t="n">
        <v>2</v>
      </c>
      <c r="C38" s="46" t="s">
        <v>124</v>
      </c>
      <c r="D38" s="48" t="str">
        <f aca="false">IF(D35="","",D35)</f>
        <v/>
      </c>
      <c r="E38" s="46" t="s">
        <v>125</v>
      </c>
      <c r="F38" s="48" t="str">
        <f aca="false">IF(F35="","",F35)</f>
        <v/>
      </c>
      <c r="G38" s="46" t="s">
        <v>126</v>
      </c>
      <c r="H38" s="48" t="str">
        <f aca="false">IF(H35="","",H35)</f>
        <v/>
      </c>
      <c r="I38" s="47" t="s">
        <v>127</v>
      </c>
      <c r="J38" s="47"/>
      <c r="K38" s="47"/>
    </row>
    <row r="39" customFormat="false" ht="33.75" hidden="false" customHeight="true" outlineLevel="0" collapsed="false">
      <c r="A39" s="17" t="s">
        <v>128</v>
      </c>
      <c r="B39" s="17" t="s">
        <v>129</v>
      </c>
      <c r="C39" s="17" t="s">
        <v>130</v>
      </c>
      <c r="D39" s="17" t="s">
        <v>131</v>
      </c>
      <c r="E39" s="17" t="s">
        <v>132</v>
      </c>
      <c r="F39" s="17" t="s">
        <v>133</v>
      </c>
      <c r="G39" s="17" t="s">
        <v>134</v>
      </c>
      <c r="H39" s="17" t="s">
        <v>135</v>
      </c>
      <c r="I39" s="17" t="s">
        <v>136</v>
      </c>
      <c r="J39" s="17" t="s">
        <v>137</v>
      </c>
      <c r="K39" s="17" t="s">
        <v>33</v>
      </c>
    </row>
    <row r="40" customFormat="false" ht="15" hidden="false" customHeight="false" outlineLevel="0" collapsed="false">
      <c r="A40" s="49" t="str">
        <f aca="false">01_Data!A6</f>
        <v>S01</v>
      </c>
      <c r="B40" s="50" t="n">
        <f aca="false">01_Data!F6</f>
        <v>-1.6</v>
      </c>
      <c r="C40" s="50" t="n">
        <f aca="false">01_Data!G6</f>
        <v>-1.33333333333333</v>
      </c>
      <c r="D40" s="50" t="n">
        <f aca="false">01_Data!D6</f>
        <v>0</v>
      </c>
      <c r="E40" s="51"/>
      <c r="F40" s="51"/>
      <c r="G40" s="51"/>
      <c r="H40" s="51"/>
      <c r="I40" s="51"/>
      <c r="J40" s="51"/>
      <c r="K40" s="51"/>
    </row>
    <row r="41" customFormat="false" ht="15" hidden="false" customHeight="false" outlineLevel="0" collapsed="false">
      <c r="A41" s="49" t="str">
        <f aca="false">01_Data!A7</f>
        <v>S02</v>
      </c>
      <c r="B41" s="50" t="n">
        <f aca="false">01_Data!F7</f>
        <v>-1.4</v>
      </c>
      <c r="C41" s="50" t="n">
        <f aca="false">01_Data!G7</f>
        <v>-1</v>
      </c>
      <c r="D41" s="50" t="n">
        <f aca="false">01_Data!D7</f>
        <v>0</v>
      </c>
      <c r="E41" s="51"/>
      <c r="F41" s="51"/>
      <c r="G41" s="51"/>
      <c r="H41" s="51"/>
      <c r="I41" s="51"/>
      <c r="J41" s="51"/>
      <c r="K41" s="51"/>
    </row>
    <row r="42" customFormat="false" ht="15" hidden="false" customHeight="false" outlineLevel="0" collapsed="false">
      <c r="A42" s="49" t="str">
        <f aca="false">01_Data!A8</f>
        <v>S03</v>
      </c>
      <c r="B42" s="50" t="n">
        <f aca="false">01_Data!F8</f>
        <v>-1.2</v>
      </c>
      <c r="C42" s="50" t="n">
        <f aca="false">01_Data!G8</f>
        <v>-1.13333333333333</v>
      </c>
      <c r="D42" s="50" t="n">
        <f aca="false">01_Data!D8</f>
        <v>0</v>
      </c>
      <c r="E42" s="51"/>
      <c r="F42" s="51"/>
      <c r="G42" s="51"/>
      <c r="H42" s="51"/>
      <c r="I42" s="51"/>
      <c r="J42" s="51"/>
      <c r="K42" s="51"/>
    </row>
    <row r="43" customFormat="false" ht="15" hidden="false" customHeight="false" outlineLevel="0" collapsed="false">
      <c r="A43" s="49" t="str">
        <f aca="false">01_Data!A9</f>
        <v>S04</v>
      </c>
      <c r="B43" s="50" t="n">
        <f aca="false">01_Data!F9</f>
        <v>-1</v>
      </c>
      <c r="C43" s="50" t="n">
        <f aca="false">01_Data!G9</f>
        <v>-0.666666666666667</v>
      </c>
      <c r="D43" s="50" t="n">
        <f aca="false">01_Data!D9</f>
        <v>0</v>
      </c>
      <c r="E43" s="51"/>
      <c r="F43" s="51"/>
      <c r="G43" s="51"/>
      <c r="H43" s="51"/>
      <c r="I43" s="51"/>
      <c r="J43" s="51"/>
      <c r="K43" s="51"/>
    </row>
    <row r="44" customFormat="false" ht="15" hidden="false" customHeight="false" outlineLevel="0" collapsed="false">
      <c r="A44" s="49" t="str">
        <f aca="false">01_Data!A10</f>
        <v>S05</v>
      </c>
      <c r="B44" s="50" t="n">
        <f aca="false">01_Data!F10</f>
        <v>-0.8</v>
      </c>
      <c r="C44" s="50" t="n">
        <f aca="false">01_Data!G10</f>
        <v>-0.866666666666667</v>
      </c>
      <c r="D44" s="50" t="n">
        <f aca="false">01_Data!D10</f>
        <v>0</v>
      </c>
      <c r="E44" s="51"/>
      <c r="F44" s="51"/>
      <c r="G44" s="51"/>
      <c r="H44" s="51"/>
      <c r="I44" s="51"/>
      <c r="J44" s="51"/>
      <c r="K44" s="51"/>
    </row>
    <row r="45" customFormat="false" ht="15" hidden="false" customHeight="false" outlineLevel="0" collapsed="false">
      <c r="A45" s="49" t="str">
        <f aca="false">01_Data!A11</f>
        <v>S06</v>
      </c>
      <c r="B45" s="50" t="n">
        <f aca="false">01_Data!F11</f>
        <v>-0.6</v>
      </c>
      <c r="C45" s="50" t="n">
        <f aca="false">01_Data!G11</f>
        <v>-0.333333333333333</v>
      </c>
      <c r="D45" s="50" t="n">
        <f aca="false">01_Data!D11</f>
        <v>0</v>
      </c>
      <c r="E45" s="51"/>
      <c r="F45" s="51"/>
      <c r="G45" s="51"/>
      <c r="H45" s="51"/>
      <c r="I45" s="51"/>
      <c r="J45" s="51"/>
      <c r="K45" s="51"/>
    </row>
    <row r="46" customFormat="false" ht="15" hidden="false" customHeight="false" outlineLevel="0" collapsed="false">
      <c r="A46" s="49" t="str">
        <f aca="false">01_Data!A12</f>
        <v>S07</v>
      </c>
      <c r="B46" s="50" t="n">
        <f aca="false">01_Data!F12</f>
        <v>-0.4</v>
      </c>
      <c r="C46" s="50" t="n">
        <f aca="false">01_Data!G12</f>
        <v>-0.466666666666667</v>
      </c>
      <c r="D46" s="50" t="n">
        <f aca="false">01_Data!D12</f>
        <v>0</v>
      </c>
      <c r="E46" s="51"/>
      <c r="F46" s="51"/>
      <c r="G46" s="51"/>
      <c r="H46" s="51"/>
      <c r="I46" s="51"/>
      <c r="J46" s="51"/>
      <c r="K46" s="51"/>
    </row>
    <row r="47" customFormat="false" ht="15" hidden="false" customHeight="false" outlineLevel="0" collapsed="false">
      <c r="A47" s="49" t="str">
        <f aca="false">01_Data!A13</f>
        <v>S08</v>
      </c>
      <c r="B47" s="50" t="n">
        <f aca="false">01_Data!F13</f>
        <v>-0.2</v>
      </c>
      <c r="C47" s="50" t="n">
        <f aca="false">01_Data!G13</f>
        <v>-0.2</v>
      </c>
      <c r="D47" s="50" t="n">
        <f aca="false">01_Data!D13</f>
        <v>1</v>
      </c>
      <c r="E47" s="51"/>
      <c r="F47" s="51"/>
      <c r="G47" s="51"/>
      <c r="H47" s="51"/>
      <c r="I47" s="51"/>
      <c r="J47" s="51"/>
      <c r="K47" s="51"/>
    </row>
    <row r="48" customFormat="false" ht="15" hidden="false" customHeight="false" outlineLevel="0" collapsed="false">
      <c r="A48" s="49" t="str">
        <f aca="false">01_Data!A14</f>
        <v>S09</v>
      </c>
      <c r="B48" s="50" t="n">
        <f aca="false">01_Data!F14</f>
        <v>0</v>
      </c>
      <c r="C48" s="50" t="n">
        <f aca="false">01_Data!G14</f>
        <v>0</v>
      </c>
      <c r="D48" s="50" t="n">
        <f aca="false">01_Data!D14</f>
        <v>1</v>
      </c>
      <c r="E48" s="51"/>
      <c r="F48" s="51"/>
      <c r="G48" s="51"/>
      <c r="H48" s="51"/>
      <c r="I48" s="51"/>
      <c r="J48" s="51"/>
      <c r="K48" s="51"/>
    </row>
    <row r="49" customFormat="false" ht="15" hidden="false" customHeight="false" outlineLevel="0" collapsed="false">
      <c r="A49" s="49" t="str">
        <f aca="false">01_Data!A15</f>
        <v>S10</v>
      </c>
      <c r="B49" s="50" t="n">
        <f aca="false">01_Data!F15</f>
        <v>0.2</v>
      </c>
      <c r="C49" s="50" t="n">
        <f aca="false">01_Data!G15</f>
        <v>0.2</v>
      </c>
      <c r="D49" s="50" t="n">
        <f aca="false">01_Data!D15</f>
        <v>1</v>
      </c>
      <c r="E49" s="51"/>
      <c r="F49" s="51"/>
      <c r="G49" s="51"/>
      <c r="H49" s="51"/>
      <c r="I49" s="51"/>
      <c r="J49" s="51"/>
      <c r="K49" s="51"/>
    </row>
    <row r="50" customFormat="false" ht="15" hidden="false" customHeight="false" outlineLevel="0" collapsed="false">
      <c r="A50" s="49" t="str">
        <f aca="false">01_Data!A16</f>
        <v>S11</v>
      </c>
      <c r="B50" s="50" t="n">
        <f aca="false">01_Data!F16</f>
        <v>0.4</v>
      </c>
      <c r="C50" s="50" t="n">
        <f aca="false">01_Data!G16</f>
        <v>0.333333333333333</v>
      </c>
      <c r="D50" s="50" t="n">
        <f aca="false">01_Data!D16</f>
        <v>1</v>
      </c>
      <c r="E50" s="51"/>
      <c r="F50" s="51"/>
      <c r="G50" s="51"/>
      <c r="H50" s="51"/>
      <c r="I50" s="51"/>
      <c r="J50" s="51"/>
      <c r="K50" s="51"/>
    </row>
    <row r="51" customFormat="false" ht="15" hidden="false" customHeight="false" outlineLevel="0" collapsed="false">
      <c r="A51" s="49" t="str">
        <f aca="false">01_Data!A17</f>
        <v>S12</v>
      </c>
      <c r="B51" s="50" t="n">
        <f aca="false">01_Data!F17</f>
        <v>0.6</v>
      </c>
      <c r="C51" s="50" t="n">
        <f aca="false">01_Data!G17</f>
        <v>0.466666666666667</v>
      </c>
      <c r="D51" s="50" t="n">
        <f aca="false">01_Data!D17</f>
        <v>1</v>
      </c>
      <c r="E51" s="51"/>
      <c r="F51" s="51"/>
      <c r="G51" s="51"/>
      <c r="H51" s="51"/>
      <c r="I51" s="51"/>
      <c r="J51" s="51"/>
      <c r="K51" s="51"/>
    </row>
    <row r="52" customFormat="false" ht="15" hidden="false" customHeight="false" outlineLevel="0" collapsed="false">
      <c r="A52" s="49" t="str">
        <f aca="false">01_Data!A18</f>
        <v>S13</v>
      </c>
      <c r="B52" s="50" t="n">
        <f aca="false">01_Data!F18</f>
        <v>0.8</v>
      </c>
      <c r="C52" s="50" t="n">
        <f aca="false">01_Data!G18</f>
        <v>0.666666666666667</v>
      </c>
      <c r="D52" s="50" t="n">
        <f aca="false">01_Data!D18</f>
        <v>1</v>
      </c>
      <c r="E52" s="51"/>
      <c r="F52" s="51"/>
      <c r="G52" s="51"/>
      <c r="H52" s="51"/>
      <c r="I52" s="51"/>
      <c r="J52" s="51"/>
      <c r="K52" s="51"/>
    </row>
    <row r="53" customFormat="false" ht="15" hidden="false" customHeight="false" outlineLevel="0" collapsed="false">
      <c r="A53" s="49" t="str">
        <f aca="false">01_Data!A19</f>
        <v>S14</v>
      </c>
      <c r="B53" s="50" t="n">
        <f aca="false">01_Data!F19</f>
        <v>1</v>
      </c>
      <c r="C53" s="50" t="n">
        <f aca="false">01_Data!G19</f>
        <v>0.866666666666667</v>
      </c>
      <c r="D53" s="50" t="n">
        <f aca="false">01_Data!D19</f>
        <v>1</v>
      </c>
      <c r="E53" s="51"/>
      <c r="F53" s="51"/>
      <c r="G53" s="51"/>
      <c r="H53" s="51"/>
      <c r="I53" s="51"/>
      <c r="J53" s="51"/>
      <c r="K53" s="51"/>
    </row>
    <row r="54" customFormat="false" ht="15" hidden="false" customHeight="false" outlineLevel="0" collapsed="false">
      <c r="A54" s="49" t="str">
        <f aca="false">01_Data!A20</f>
        <v>S15</v>
      </c>
      <c r="B54" s="50" t="n">
        <f aca="false">01_Data!F20</f>
        <v>1.2</v>
      </c>
      <c r="C54" s="50" t="n">
        <f aca="false">01_Data!G20</f>
        <v>1</v>
      </c>
      <c r="D54" s="50" t="n">
        <f aca="false">01_Data!D20</f>
        <v>1</v>
      </c>
      <c r="E54" s="51"/>
      <c r="F54" s="51"/>
      <c r="G54" s="51"/>
      <c r="H54" s="51"/>
      <c r="I54" s="51"/>
      <c r="J54" s="51"/>
      <c r="K54" s="51"/>
    </row>
    <row r="55" customFormat="false" ht="15" hidden="false" customHeight="false" outlineLevel="0" collapsed="false">
      <c r="A55" s="49" t="str">
        <f aca="false">01_Data!A21</f>
        <v>S16</v>
      </c>
      <c r="B55" s="50" t="n">
        <f aca="false">01_Data!F21</f>
        <v>1.4</v>
      </c>
      <c r="C55" s="50" t="n">
        <f aca="false">01_Data!G21</f>
        <v>1.13333333333333</v>
      </c>
      <c r="D55" s="50" t="n">
        <f aca="false">01_Data!D21</f>
        <v>1</v>
      </c>
      <c r="E55" s="51"/>
      <c r="F55" s="51"/>
      <c r="G55" s="51"/>
      <c r="H55" s="51"/>
      <c r="I55" s="51"/>
      <c r="J55" s="51"/>
      <c r="K55" s="51"/>
    </row>
    <row r="56" customFormat="false" ht="15" hidden="false" customHeight="false" outlineLevel="0" collapsed="false">
      <c r="A56" s="49" t="str">
        <f aca="false">01_Data!A22</f>
        <v>S17</v>
      </c>
      <c r="B56" s="50" t="n">
        <f aca="false">01_Data!F22</f>
        <v>1.6</v>
      </c>
      <c r="C56" s="50" t="n">
        <f aca="false">01_Data!G22</f>
        <v>1.33333333333333</v>
      </c>
      <c r="D56" s="50" t="n">
        <f aca="false">01_Data!D22</f>
        <v>1</v>
      </c>
      <c r="E56" s="51"/>
      <c r="F56" s="51"/>
      <c r="G56" s="51"/>
      <c r="H56" s="51"/>
      <c r="I56" s="51"/>
      <c r="J56" s="51"/>
      <c r="K56" s="51"/>
    </row>
    <row r="57" customFormat="false" ht="15" hidden="false" customHeight="false" outlineLevel="0" collapsed="false">
      <c r="A57" s="49" t="str">
        <f aca="false">01_Data!A23</f>
        <v>S18</v>
      </c>
      <c r="B57" s="50" t="n">
        <f aca="false">01_Data!F23</f>
        <v>0</v>
      </c>
      <c r="C57" s="50" t="n">
        <f aca="false">01_Data!G23</f>
        <v>-0.666666666666667</v>
      </c>
      <c r="D57" s="50" t="n">
        <f aca="false">01_Data!D23</f>
        <v>0</v>
      </c>
      <c r="E57" s="51"/>
      <c r="F57" s="51"/>
      <c r="G57" s="51"/>
      <c r="H57" s="51"/>
      <c r="I57" s="51"/>
      <c r="J57" s="51"/>
      <c r="K57" s="51"/>
    </row>
    <row r="58" customFormat="false" ht="15" hidden="false" customHeight="false" outlineLevel="0" collapsed="false">
      <c r="A58" s="49" t="str">
        <f aca="false">01_Data!A24</f>
        <v>S19</v>
      </c>
      <c r="B58" s="50" t="n">
        <f aca="false">01_Data!F24</f>
        <v>-0.8</v>
      </c>
      <c r="C58" s="50" t="n">
        <f aca="false">01_Data!G24</f>
        <v>0.666666666666667</v>
      </c>
      <c r="D58" s="50" t="n">
        <f aca="false">01_Data!D24</f>
        <v>1</v>
      </c>
      <c r="E58" s="51"/>
      <c r="F58" s="51"/>
      <c r="G58" s="51"/>
      <c r="H58" s="51"/>
      <c r="I58" s="51"/>
      <c r="J58" s="51"/>
      <c r="K58" s="51"/>
    </row>
    <row r="59" customFormat="false" ht="15" hidden="false" customHeight="false" outlineLevel="0" collapsed="false">
      <c r="A59" s="49" t="str">
        <f aca="false">01_Data!A25</f>
        <v>S20</v>
      </c>
      <c r="B59" s="50" t="n">
        <f aca="false">01_Data!F25</f>
        <v>0.8</v>
      </c>
      <c r="C59" s="50" t="n">
        <f aca="false">01_Data!G25</f>
        <v>-0.666666666666667</v>
      </c>
      <c r="D59" s="50" t="n">
        <f aca="false">01_Data!D25</f>
        <v>1</v>
      </c>
      <c r="E59" s="51"/>
      <c r="F59" s="51"/>
      <c r="G59" s="51"/>
      <c r="H59" s="51"/>
      <c r="I59" s="51"/>
      <c r="J59" s="51"/>
      <c r="K59" s="51"/>
    </row>
    <row r="60" customFormat="false" ht="15" hidden="false" customHeight="false" outlineLevel="0" collapsed="false">
      <c r="A60" s="52" t="s">
        <v>138</v>
      </c>
      <c r="B60" s="52"/>
      <c r="C60" s="52"/>
      <c r="D60" s="52"/>
      <c r="E60" s="52"/>
      <c r="F60" s="52"/>
      <c r="G60" s="52" t="s">
        <v>139</v>
      </c>
      <c r="H60" s="53"/>
      <c r="I60" s="53"/>
      <c r="J60" s="53"/>
      <c r="K60" s="53"/>
    </row>
    <row r="61" customFormat="false" ht="22.35" hidden="false" customHeight="true" outlineLevel="0" collapsed="false">
      <c r="A61" s="46" t="s">
        <v>140</v>
      </c>
      <c r="B61" s="46"/>
      <c r="C61" s="46" t="s">
        <v>141</v>
      </c>
      <c r="D61" s="54"/>
      <c r="E61" s="46" t="s">
        <v>142</v>
      </c>
      <c r="F61" s="54"/>
      <c r="G61" s="46" t="s">
        <v>143</v>
      </c>
      <c r="H61" s="54"/>
      <c r="I61" s="47" t="s">
        <v>144</v>
      </c>
      <c r="J61" s="47"/>
      <c r="K61" s="47"/>
    </row>
    <row r="63" customFormat="false" ht="22.5" hidden="false" customHeight="true" outlineLevel="0" collapsed="false">
      <c r="A63" s="3" t="s">
        <v>146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46" t="s">
        <v>123</v>
      </c>
      <c r="B64" s="47" t="n">
        <v>3</v>
      </c>
      <c r="C64" s="46" t="s">
        <v>124</v>
      </c>
      <c r="D64" s="48" t="str">
        <f aca="false">IF(D61="","",D61)</f>
        <v/>
      </c>
      <c r="E64" s="46" t="s">
        <v>125</v>
      </c>
      <c r="F64" s="48" t="str">
        <f aca="false">IF(F61="","",F61)</f>
        <v/>
      </c>
      <c r="G64" s="46" t="s">
        <v>126</v>
      </c>
      <c r="H64" s="48" t="str">
        <f aca="false">IF(H61="","",H61)</f>
        <v/>
      </c>
      <c r="I64" s="47" t="s">
        <v>127</v>
      </c>
      <c r="J64" s="47"/>
      <c r="K64" s="47"/>
    </row>
    <row r="65" customFormat="false" ht="33.75" hidden="false" customHeight="true" outlineLevel="0" collapsed="false">
      <c r="A65" s="17" t="s">
        <v>128</v>
      </c>
      <c r="B65" s="17" t="s">
        <v>129</v>
      </c>
      <c r="C65" s="17" t="s">
        <v>130</v>
      </c>
      <c r="D65" s="17" t="s">
        <v>131</v>
      </c>
      <c r="E65" s="17" t="s">
        <v>132</v>
      </c>
      <c r="F65" s="17" t="s">
        <v>133</v>
      </c>
      <c r="G65" s="17" t="s">
        <v>134</v>
      </c>
      <c r="H65" s="17" t="s">
        <v>135</v>
      </c>
      <c r="I65" s="17" t="s">
        <v>136</v>
      </c>
      <c r="J65" s="17" t="s">
        <v>137</v>
      </c>
      <c r="K65" s="17" t="s">
        <v>33</v>
      </c>
    </row>
    <row r="66" customFormat="false" ht="15" hidden="false" customHeight="false" outlineLevel="0" collapsed="false">
      <c r="A66" s="49" t="str">
        <f aca="false">01_Data!A6</f>
        <v>S01</v>
      </c>
      <c r="B66" s="50" t="n">
        <f aca="false">01_Data!F6</f>
        <v>-1.6</v>
      </c>
      <c r="C66" s="50" t="n">
        <f aca="false">01_Data!G6</f>
        <v>-1.33333333333333</v>
      </c>
      <c r="D66" s="50" t="n">
        <f aca="false">01_Data!D6</f>
        <v>0</v>
      </c>
      <c r="E66" s="51"/>
      <c r="F66" s="51"/>
      <c r="G66" s="51"/>
      <c r="H66" s="51"/>
      <c r="I66" s="51"/>
      <c r="J66" s="51"/>
      <c r="K66" s="51"/>
    </row>
    <row r="67" customFormat="false" ht="15" hidden="false" customHeight="false" outlineLevel="0" collapsed="false">
      <c r="A67" s="49" t="str">
        <f aca="false">01_Data!A7</f>
        <v>S02</v>
      </c>
      <c r="B67" s="50" t="n">
        <f aca="false">01_Data!F7</f>
        <v>-1.4</v>
      </c>
      <c r="C67" s="50" t="n">
        <f aca="false">01_Data!G7</f>
        <v>-1</v>
      </c>
      <c r="D67" s="50" t="n">
        <f aca="false">01_Data!D7</f>
        <v>0</v>
      </c>
      <c r="E67" s="51"/>
      <c r="F67" s="51"/>
      <c r="G67" s="51"/>
      <c r="H67" s="51"/>
      <c r="I67" s="51"/>
      <c r="J67" s="51"/>
      <c r="K67" s="51"/>
    </row>
    <row r="68" customFormat="false" ht="15" hidden="false" customHeight="false" outlineLevel="0" collapsed="false">
      <c r="A68" s="49" t="str">
        <f aca="false">01_Data!A8</f>
        <v>S03</v>
      </c>
      <c r="B68" s="50" t="n">
        <f aca="false">01_Data!F8</f>
        <v>-1.2</v>
      </c>
      <c r="C68" s="50" t="n">
        <f aca="false">01_Data!G8</f>
        <v>-1.13333333333333</v>
      </c>
      <c r="D68" s="50" t="n">
        <f aca="false">01_Data!D8</f>
        <v>0</v>
      </c>
      <c r="E68" s="51"/>
      <c r="F68" s="51"/>
      <c r="G68" s="51"/>
      <c r="H68" s="51"/>
      <c r="I68" s="51"/>
      <c r="J68" s="51"/>
      <c r="K68" s="51"/>
    </row>
    <row r="69" customFormat="false" ht="15" hidden="false" customHeight="false" outlineLevel="0" collapsed="false">
      <c r="A69" s="49" t="str">
        <f aca="false">01_Data!A9</f>
        <v>S04</v>
      </c>
      <c r="B69" s="50" t="n">
        <f aca="false">01_Data!F9</f>
        <v>-1</v>
      </c>
      <c r="C69" s="50" t="n">
        <f aca="false">01_Data!G9</f>
        <v>-0.666666666666667</v>
      </c>
      <c r="D69" s="50" t="n">
        <f aca="false">01_Data!D9</f>
        <v>0</v>
      </c>
      <c r="E69" s="51"/>
      <c r="F69" s="51"/>
      <c r="G69" s="51"/>
      <c r="H69" s="51"/>
      <c r="I69" s="51"/>
      <c r="J69" s="51"/>
      <c r="K69" s="51"/>
    </row>
    <row r="70" customFormat="false" ht="15" hidden="false" customHeight="false" outlineLevel="0" collapsed="false">
      <c r="A70" s="49" t="str">
        <f aca="false">01_Data!A10</f>
        <v>S05</v>
      </c>
      <c r="B70" s="50" t="n">
        <f aca="false">01_Data!F10</f>
        <v>-0.8</v>
      </c>
      <c r="C70" s="50" t="n">
        <f aca="false">01_Data!G10</f>
        <v>-0.866666666666667</v>
      </c>
      <c r="D70" s="50" t="n">
        <f aca="false">01_Data!D10</f>
        <v>0</v>
      </c>
      <c r="E70" s="51"/>
      <c r="F70" s="51"/>
      <c r="G70" s="51"/>
      <c r="H70" s="51"/>
      <c r="I70" s="51"/>
      <c r="J70" s="51"/>
      <c r="K70" s="51"/>
    </row>
    <row r="71" customFormat="false" ht="15" hidden="false" customHeight="false" outlineLevel="0" collapsed="false">
      <c r="A71" s="49" t="str">
        <f aca="false">01_Data!A11</f>
        <v>S06</v>
      </c>
      <c r="B71" s="50" t="n">
        <f aca="false">01_Data!F11</f>
        <v>-0.6</v>
      </c>
      <c r="C71" s="50" t="n">
        <f aca="false">01_Data!G11</f>
        <v>-0.333333333333333</v>
      </c>
      <c r="D71" s="50" t="n">
        <f aca="false">01_Data!D11</f>
        <v>0</v>
      </c>
      <c r="E71" s="51"/>
      <c r="F71" s="51"/>
      <c r="G71" s="51"/>
      <c r="H71" s="51"/>
      <c r="I71" s="51"/>
      <c r="J71" s="51"/>
      <c r="K71" s="51"/>
    </row>
    <row r="72" customFormat="false" ht="15" hidden="false" customHeight="false" outlineLevel="0" collapsed="false">
      <c r="A72" s="49" t="str">
        <f aca="false">01_Data!A12</f>
        <v>S07</v>
      </c>
      <c r="B72" s="50" t="n">
        <f aca="false">01_Data!F12</f>
        <v>-0.4</v>
      </c>
      <c r="C72" s="50" t="n">
        <f aca="false">01_Data!G12</f>
        <v>-0.466666666666667</v>
      </c>
      <c r="D72" s="50" t="n">
        <f aca="false">01_Data!D12</f>
        <v>0</v>
      </c>
      <c r="E72" s="51"/>
      <c r="F72" s="51"/>
      <c r="G72" s="51"/>
      <c r="H72" s="51"/>
      <c r="I72" s="51"/>
      <c r="J72" s="51"/>
      <c r="K72" s="51"/>
    </row>
    <row r="73" customFormat="false" ht="15" hidden="false" customHeight="false" outlineLevel="0" collapsed="false">
      <c r="A73" s="49" t="str">
        <f aca="false">01_Data!A13</f>
        <v>S08</v>
      </c>
      <c r="B73" s="50" t="n">
        <f aca="false">01_Data!F13</f>
        <v>-0.2</v>
      </c>
      <c r="C73" s="50" t="n">
        <f aca="false">01_Data!G13</f>
        <v>-0.2</v>
      </c>
      <c r="D73" s="50" t="n">
        <f aca="false">01_Data!D13</f>
        <v>1</v>
      </c>
      <c r="E73" s="51"/>
      <c r="F73" s="51"/>
      <c r="G73" s="51"/>
      <c r="H73" s="51"/>
      <c r="I73" s="51"/>
      <c r="J73" s="51"/>
      <c r="K73" s="51"/>
    </row>
    <row r="74" customFormat="false" ht="15" hidden="false" customHeight="false" outlineLevel="0" collapsed="false">
      <c r="A74" s="49" t="str">
        <f aca="false">01_Data!A14</f>
        <v>S09</v>
      </c>
      <c r="B74" s="50" t="n">
        <f aca="false">01_Data!F14</f>
        <v>0</v>
      </c>
      <c r="C74" s="50" t="n">
        <f aca="false">01_Data!G14</f>
        <v>0</v>
      </c>
      <c r="D74" s="50" t="n">
        <f aca="false">01_Data!D14</f>
        <v>1</v>
      </c>
      <c r="E74" s="51"/>
      <c r="F74" s="51"/>
      <c r="G74" s="51"/>
      <c r="H74" s="51"/>
      <c r="I74" s="51"/>
      <c r="J74" s="51"/>
      <c r="K74" s="51"/>
    </row>
    <row r="75" customFormat="false" ht="15" hidden="false" customHeight="false" outlineLevel="0" collapsed="false">
      <c r="A75" s="49" t="str">
        <f aca="false">01_Data!A15</f>
        <v>S10</v>
      </c>
      <c r="B75" s="50" t="n">
        <f aca="false">01_Data!F15</f>
        <v>0.2</v>
      </c>
      <c r="C75" s="50" t="n">
        <f aca="false">01_Data!G15</f>
        <v>0.2</v>
      </c>
      <c r="D75" s="50" t="n">
        <f aca="false">01_Data!D15</f>
        <v>1</v>
      </c>
      <c r="E75" s="51"/>
      <c r="F75" s="51"/>
      <c r="G75" s="51"/>
      <c r="H75" s="51"/>
      <c r="I75" s="51"/>
      <c r="J75" s="51"/>
      <c r="K75" s="51"/>
    </row>
    <row r="76" customFormat="false" ht="15" hidden="false" customHeight="false" outlineLevel="0" collapsed="false">
      <c r="A76" s="49" t="str">
        <f aca="false">01_Data!A16</f>
        <v>S11</v>
      </c>
      <c r="B76" s="50" t="n">
        <f aca="false">01_Data!F16</f>
        <v>0.4</v>
      </c>
      <c r="C76" s="50" t="n">
        <f aca="false">01_Data!G16</f>
        <v>0.333333333333333</v>
      </c>
      <c r="D76" s="50" t="n">
        <f aca="false">01_Data!D16</f>
        <v>1</v>
      </c>
      <c r="E76" s="51"/>
      <c r="F76" s="51"/>
      <c r="G76" s="51"/>
      <c r="H76" s="51"/>
      <c r="I76" s="51"/>
      <c r="J76" s="51"/>
      <c r="K76" s="51"/>
    </row>
    <row r="77" customFormat="false" ht="15" hidden="false" customHeight="false" outlineLevel="0" collapsed="false">
      <c r="A77" s="49" t="str">
        <f aca="false">01_Data!A17</f>
        <v>S12</v>
      </c>
      <c r="B77" s="50" t="n">
        <f aca="false">01_Data!F17</f>
        <v>0.6</v>
      </c>
      <c r="C77" s="50" t="n">
        <f aca="false">01_Data!G17</f>
        <v>0.466666666666667</v>
      </c>
      <c r="D77" s="50" t="n">
        <f aca="false">01_Data!D17</f>
        <v>1</v>
      </c>
      <c r="E77" s="51"/>
      <c r="F77" s="51"/>
      <c r="G77" s="51"/>
      <c r="H77" s="51"/>
      <c r="I77" s="51"/>
      <c r="J77" s="51"/>
      <c r="K77" s="51"/>
    </row>
    <row r="78" customFormat="false" ht="15" hidden="false" customHeight="false" outlineLevel="0" collapsed="false">
      <c r="A78" s="49" t="str">
        <f aca="false">01_Data!A18</f>
        <v>S13</v>
      </c>
      <c r="B78" s="50" t="n">
        <f aca="false">01_Data!F18</f>
        <v>0.8</v>
      </c>
      <c r="C78" s="50" t="n">
        <f aca="false">01_Data!G18</f>
        <v>0.666666666666667</v>
      </c>
      <c r="D78" s="50" t="n">
        <f aca="false">01_Data!D18</f>
        <v>1</v>
      </c>
      <c r="E78" s="51"/>
      <c r="F78" s="51"/>
      <c r="G78" s="51"/>
      <c r="H78" s="51"/>
      <c r="I78" s="51"/>
      <c r="J78" s="51"/>
      <c r="K78" s="51"/>
    </row>
    <row r="79" customFormat="false" ht="15" hidden="false" customHeight="false" outlineLevel="0" collapsed="false">
      <c r="A79" s="49" t="str">
        <f aca="false">01_Data!A19</f>
        <v>S14</v>
      </c>
      <c r="B79" s="50" t="n">
        <f aca="false">01_Data!F19</f>
        <v>1</v>
      </c>
      <c r="C79" s="50" t="n">
        <f aca="false">01_Data!G19</f>
        <v>0.866666666666667</v>
      </c>
      <c r="D79" s="50" t="n">
        <f aca="false">01_Data!D19</f>
        <v>1</v>
      </c>
      <c r="E79" s="51"/>
      <c r="F79" s="51"/>
      <c r="G79" s="51"/>
      <c r="H79" s="51"/>
      <c r="I79" s="51"/>
      <c r="J79" s="51"/>
      <c r="K79" s="51"/>
    </row>
    <row r="80" customFormat="false" ht="15" hidden="false" customHeight="false" outlineLevel="0" collapsed="false">
      <c r="A80" s="49" t="str">
        <f aca="false">01_Data!A20</f>
        <v>S15</v>
      </c>
      <c r="B80" s="50" t="n">
        <f aca="false">01_Data!F20</f>
        <v>1.2</v>
      </c>
      <c r="C80" s="50" t="n">
        <f aca="false">01_Data!G20</f>
        <v>1</v>
      </c>
      <c r="D80" s="50" t="n">
        <f aca="false">01_Data!D20</f>
        <v>1</v>
      </c>
      <c r="E80" s="51"/>
      <c r="F80" s="51"/>
      <c r="G80" s="51"/>
      <c r="H80" s="51"/>
      <c r="I80" s="51"/>
      <c r="J80" s="51"/>
      <c r="K80" s="51"/>
    </row>
    <row r="81" customFormat="false" ht="15" hidden="false" customHeight="false" outlineLevel="0" collapsed="false">
      <c r="A81" s="49" t="str">
        <f aca="false">01_Data!A21</f>
        <v>S16</v>
      </c>
      <c r="B81" s="50" t="n">
        <f aca="false">01_Data!F21</f>
        <v>1.4</v>
      </c>
      <c r="C81" s="50" t="n">
        <f aca="false">01_Data!G21</f>
        <v>1.13333333333333</v>
      </c>
      <c r="D81" s="50" t="n">
        <f aca="false">01_Data!D21</f>
        <v>1</v>
      </c>
      <c r="E81" s="51"/>
      <c r="F81" s="51"/>
      <c r="G81" s="51"/>
      <c r="H81" s="51"/>
      <c r="I81" s="51"/>
      <c r="J81" s="51"/>
      <c r="K81" s="51"/>
    </row>
    <row r="82" customFormat="false" ht="15" hidden="false" customHeight="false" outlineLevel="0" collapsed="false">
      <c r="A82" s="49" t="str">
        <f aca="false">01_Data!A22</f>
        <v>S17</v>
      </c>
      <c r="B82" s="50" t="n">
        <f aca="false">01_Data!F22</f>
        <v>1.6</v>
      </c>
      <c r="C82" s="50" t="n">
        <f aca="false">01_Data!G22</f>
        <v>1.33333333333333</v>
      </c>
      <c r="D82" s="50" t="n">
        <f aca="false">01_Data!D22</f>
        <v>1</v>
      </c>
      <c r="E82" s="51"/>
      <c r="F82" s="51"/>
      <c r="G82" s="51"/>
      <c r="H82" s="51"/>
      <c r="I82" s="51"/>
      <c r="J82" s="51"/>
      <c r="K82" s="51"/>
    </row>
    <row r="83" customFormat="false" ht="15" hidden="false" customHeight="false" outlineLevel="0" collapsed="false">
      <c r="A83" s="49" t="str">
        <f aca="false">01_Data!A23</f>
        <v>S18</v>
      </c>
      <c r="B83" s="50" t="n">
        <f aca="false">01_Data!F23</f>
        <v>0</v>
      </c>
      <c r="C83" s="50" t="n">
        <f aca="false">01_Data!G23</f>
        <v>-0.666666666666667</v>
      </c>
      <c r="D83" s="50" t="n">
        <f aca="false">01_Data!D23</f>
        <v>0</v>
      </c>
      <c r="E83" s="51"/>
      <c r="F83" s="51"/>
      <c r="G83" s="51"/>
      <c r="H83" s="51"/>
      <c r="I83" s="51"/>
      <c r="J83" s="51"/>
      <c r="K83" s="51"/>
    </row>
    <row r="84" customFormat="false" ht="15" hidden="false" customHeight="false" outlineLevel="0" collapsed="false">
      <c r="A84" s="49" t="str">
        <f aca="false">01_Data!A24</f>
        <v>S19</v>
      </c>
      <c r="B84" s="50" t="n">
        <f aca="false">01_Data!F24</f>
        <v>-0.8</v>
      </c>
      <c r="C84" s="50" t="n">
        <f aca="false">01_Data!G24</f>
        <v>0.666666666666667</v>
      </c>
      <c r="D84" s="50" t="n">
        <f aca="false">01_Data!D24</f>
        <v>1</v>
      </c>
      <c r="E84" s="51"/>
      <c r="F84" s="51"/>
      <c r="G84" s="51"/>
      <c r="H84" s="51"/>
      <c r="I84" s="51"/>
      <c r="J84" s="51"/>
      <c r="K84" s="51"/>
    </row>
    <row r="85" customFormat="false" ht="15" hidden="false" customHeight="false" outlineLevel="0" collapsed="false">
      <c r="A85" s="49" t="str">
        <f aca="false">01_Data!A25</f>
        <v>S20</v>
      </c>
      <c r="B85" s="50" t="n">
        <f aca="false">01_Data!F25</f>
        <v>0.8</v>
      </c>
      <c r="C85" s="50" t="n">
        <f aca="false">01_Data!G25</f>
        <v>-0.666666666666667</v>
      </c>
      <c r="D85" s="50" t="n">
        <f aca="false">01_Data!D25</f>
        <v>1</v>
      </c>
      <c r="E85" s="51"/>
      <c r="F85" s="51"/>
      <c r="G85" s="51"/>
      <c r="H85" s="51"/>
      <c r="I85" s="51"/>
      <c r="J85" s="51"/>
      <c r="K85" s="51"/>
    </row>
    <row r="86" customFormat="false" ht="15" hidden="false" customHeight="false" outlineLevel="0" collapsed="false">
      <c r="A86" s="52" t="s">
        <v>138</v>
      </c>
      <c r="B86" s="52"/>
      <c r="C86" s="52"/>
      <c r="D86" s="52"/>
      <c r="E86" s="52"/>
      <c r="F86" s="52"/>
      <c r="G86" s="52" t="s">
        <v>139</v>
      </c>
      <c r="H86" s="53"/>
      <c r="I86" s="53"/>
      <c r="J86" s="53"/>
      <c r="K86" s="53"/>
    </row>
    <row r="87" customFormat="false" ht="22.35" hidden="false" customHeight="true" outlineLevel="0" collapsed="false">
      <c r="A87" s="46" t="s">
        <v>140</v>
      </c>
      <c r="B87" s="46"/>
      <c r="C87" s="46" t="s">
        <v>141</v>
      </c>
      <c r="D87" s="54"/>
      <c r="E87" s="46" t="s">
        <v>142</v>
      </c>
      <c r="F87" s="54"/>
      <c r="G87" s="46" t="s">
        <v>143</v>
      </c>
      <c r="H87" s="54"/>
      <c r="I87" s="47" t="s">
        <v>144</v>
      </c>
      <c r="J87" s="47"/>
      <c r="K87" s="47"/>
    </row>
    <row r="89" customFormat="false" ht="22.5" hidden="false" customHeight="true" outlineLevel="0" collapsed="false">
      <c r="A89" s="55" t="s">
        <v>147</v>
      </c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 customFormat="false" ht="15" hidden="false" customHeight="true" outlineLevel="0" collapsed="false">
      <c r="A90" s="46" t="s">
        <v>123</v>
      </c>
      <c r="B90" s="47" t="n">
        <v>4</v>
      </c>
      <c r="C90" s="46" t="s">
        <v>124</v>
      </c>
      <c r="D90" s="48" t="str">
        <f aca="false">IF(D87="","",D87)</f>
        <v/>
      </c>
      <c r="E90" s="46" t="s">
        <v>125</v>
      </c>
      <c r="F90" s="48" t="str">
        <f aca="false">IF(F87="","",F87)</f>
        <v/>
      </c>
      <c r="G90" s="46" t="s">
        <v>126</v>
      </c>
      <c r="H90" s="48" t="str">
        <f aca="false">IF(H87="","",H87)</f>
        <v/>
      </c>
      <c r="I90" s="47" t="s">
        <v>127</v>
      </c>
      <c r="J90" s="47"/>
      <c r="K90" s="47"/>
    </row>
    <row r="91" customFormat="false" ht="33.75" hidden="false" customHeight="true" outlineLevel="0" collapsed="false">
      <c r="A91" s="17" t="s">
        <v>128</v>
      </c>
      <c r="B91" s="17" t="s">
        <v>129</v>
      </c>
      <c r="C91" s="17" t="s">
        <v>130</v>
      </c>
      <c r="D91" s="17" t="s">
        <v>131</v>
      </c>
      <c r="E91" s="17" t="s">
        <v>132</v>
      </c>
      <c r="F91" s="17" t="s">
        <v>133</v>
      </c>
      <c r="G91" s="17" t="s">
        <v>134</v>
      </c>
      <c r="H91" s="17" t="s">
        <v>135</v>
      </c>
      <c r="I91" s="17" t="s">
        <v>136</v>
      </c>
      <c r="J91" s="17" t="s">
        <v>137</v>
      </c>
      <c r="K91" s="17" t="s">
        <v>33</v>
      </c>
    </row>
    <row r="92" customFormat="false" ht="15" hidden="false" customHeight="false" outlineLevel="0" collapsed="false">
      <c r="A92" s="49" t="str">
        <f aca="false">01_Data!A6</f>
        <v>S01</v>
      </c>
      <c r="B92" s="50" t="n">
        <f aca="false">01_Data!F6</f>
        <v>-1.6</v>
      </c>
      <c r="C92" s="50" t="n">
        <f aca="false">01_Data!G6</f>
        <v>-1.33333333333333</v>
      </c>
      <c r="D92" s="50" t="n">
        <f aca="false">01_Data!D6</f>
        <v>0</v>
      </c>
      <c r="E92" s="51"/>
      <c r="F92" s="51"/>
      <c r="G92" s="51"/>
      <c r="H92" s="51"/>
      <c r="I92" s="51"/>
      <c r="J92" s="51"/>
      <c r="K92" s="51"/>
    </row>
    <row r="93" customFormat="false" ht="15" hidden="false" customHeight="false" outlineLevel="0" collapsed="false">
      <c r="A93" s="49" t="str">
        <f aca="false">01_Data!A7</f>
        <v>S02</v>
      </c>
      <c r="B93" s="50" t="n">
        <f aca="false">01_Data!F7</f>
        <v>-1.4</v>
      </c>
      <c r="C93" s="50" t="n">
        <f aca="false">01_Data!G7</f>
        <v>-1</v>
      </c>
      <c r="D93" s="50" t="n">
        <f aca="false">01_Data!D7</f>
        <v>0</v>
      </c>
      <c r="E93" s="51"/>
      <c r="F93" s="51"/>
      <c r="G93" s="51"/>
      <c r="H93" s="51"/>
      <c r="I93" s="51"/>
      <c r="J93" s="51"/>
      <c r="K93" s="51"/>
    </row>
    <row r="94" customFormat="false" ht="15" hidden="false" customHeight="false" outlineLevel="0" collapsed="false">
      <c r="A94" s="49" t="str">
        <f aca="false">01_Data!A8</f>
        <v>S03</v>
      </c>
      <c r="B94" s="50" t="n">
        <f aca="false">01_Data!F8</f>
        <v>-1.2</v>
      </c>
      <c r="C94" s="50" t="n">
        <f aca="false">01_Data!G8</f>
        <v>-1.13333333333333</v>
      </c>
      <c r="D94" s="50" t="n">
        <f aca="false">01_Data!D8</f>
        <v>0</v>
      </c>
      <c r="E94" s="51"/>
      <c r="F94" s="51"/>
      <c r="G94" s="51"/>
      <c r="H94" s="51"/>
      <c r="I94" s="51"/>
      <c r="J94" s="51"/>
      <c r="K94" s="51"/>
    </row>
    <row r="95" customFormat="false" ht="15" hidden="false" customHeight="false" outlineLevel="0" collapsed="false">
      <c r="A95" s="49" t="str">
        <f aca="false">01_Data!A9</f>
        <v>S04</v>
      </c>
      <c r="B95" s="50" t="n">
        <f aca="false">01_Data!F9</f>
        <v>-1</v>
      </c>
      <c r="C95" s="50" t="n">
        <f aca="false">01_Data!G9</f>
        <v>-0.666666666666667</v>
      </c>
      <c r="D95" s="50" t="n">
        <f aca="false">01_Data!D9</f>
        <v>0</v>
      </c>
      <c r="E95" s="51"/>
      <c r="F95" s="51"/>
      <c r="G95" s="51"/>
      <c r="H95" s="51"/>
      <c r="I95" s="51"/>
      <c r="J95" s="51"/>
      <c r="K95" s="51"/>
    </row>
    <row r="96" customFormat="false" ht="15" hidden="false" customHeight="false" outlineLevel="0" collapsed="false">
      <c r="A96" s="49" t="str">
        <f aca="false">01_Data!A10</f>
        <v>S05</v>
      </c>
      <c r="B96" s="50" t="n">
        <f aca="false">01_Data!F10</f>
        <v>-0.8</v>
      </c>
      <c r="C96" s="50" t="n">
        <f aca="false">01_Data!G10</f>
        <v>-0.866666666666667</v>
      </c>
      <c r="D96" s="50" t="n">
        <f aca="false">01_Data!D10</f>
        <v>0</v>
      </c>
      <c r="E96" s="51"/>
      <c r="F96" s="51"/>
      <c r="G96" s="51"/>
      <c r="H96" s="51"/>
      <c r="I96" s="51"/>
      <c r="J96" s="51"/>
      <c r="K96" s="51"/>
    </row>
    <row r="97" customFormat="false" ht="15" hidden="false" customHeight="false" outlineLevel="0" collapsed="false">
      <c r="A97" s="49" t="str">
        <f aca="false">01_Data!A11</f>
        <v>S06</v>
      </c>
      <c r="B97" s="50" t="n">
        <f aca="false">01_Data!F11</f>
        <v>-0.6</v>
      </c>
      <c r="C97" s="50" t="n">
        <f aca="false">01_Data!G11</f>
        <v>-0.333333333333333</v>
      </c>
      <c r="D97" s="50" t="n">
        <f aca="false">01_Data!D11</f>
        <v>0</v>
      </c>
      <c r="E97" s="51"/>
      <c r="F97" s="51"/>
      <c r="G97" s="51"/>
      <c r="H97" s="51"/>
      <c r="I97" s="51"/>
      <c r="J97" s="51"/>
      <c r="K97" s="51"/>
    </row>
    <row r="98" customFormat="false" ht="15" hidden="false" customHeight="false" outlineLevel="0" collapsed="false">
      <c r="A98" s="49" t="str">
        <f aca="false">01_Data!A12</f>
        <v>S07</v>
      </c>
      <c r="B98" s="50" t="n">
        <f aca="false">01_Data!F12</f>
        <v>-0.4</v>
      </c>
      <c r="C98" s="50" t="n">
        <f aca="false">01_Data!G12</f>
        <v>-0.466666666666667</v>
      </c>
      <c r="D98" s="50" t="n">
        <f aca="false">01_Data!D12</f>
        <v>0</v>
      </c>
      <c r="E98" s="51"/>
      <c r="F98" s="51"/>
      <c r="G98" s="51"/>
      <c r="H98" s="51"/>
      <c r="I98" s="51"/>
      <c r="J98" s="51"/>
      <c r="K98" s="51"/>
    </row>
    <row r="99" customFormat="false" ht="15" hidden="false" customHeight="false" outlineLevel="0" collapsed="false">
      <c r="A99" s="49" t="str">
        <f aca="false">01_Data!A13</f>
        <v>S08</v>
      </c>
      <c r="B99" s="50" t="n">
        <f aca="false">01_Data!F13</f>
        <v>-0.2</v>
      </c>
      <c r="C99" s="50" t="n">
        <f aca="false">01_Data!G13</f>
        <v>-0.2</v>
      </c>
      <c r="D99" s="50" t="n">
        <f aca="false">01_Data!D13</f>
        <v>1</v>
      </c>
      <c r="E99" s="51"/>
      <c r="F99" s="51"/>
      <c r="G99" s="51"/>
      <c r="H99" s="51"/>
      <c r="I99" s="51"/>
      <c r="J99" s="51"/>
      <c r="K99" s="51"/>
    </row>
    <row r="100" customFormat="false" ht="15" hidden="false" customHeight="false" outlineLevel="0" collapsed="false">
      <c r="A100" s="49" t="str">
        <f aca="false">01_Data!A14</f>
        <v>S09</v>
      </c>
      <c r="B100" s="50" t="n">
        <f aca="false">01_Data!F14</f>
        <v>0</v>
      </c>
      <c r="C100" s="50" t="n">
        <f aca="false">01_Data!G14</f>
        <v>0</v>
      </c>
      <c r="D100" s="50" t="n">
        <f aca="false">01_Data!D14</f>
        <v>1</v>
      </c>
      <c r="E100" s="51"/>
      <c r="F100" s="51"/>
      <c r="G100" s="51"/>
      <c r="H100" s="51"/>
      <c r="I100" s="51"/>
      <c r="J100" s="51"/>
      <c r="K100" s="51"/>
    </row>
    <row r="101" customFormat="false" ht="15" hidden="false" customHeight="false" outlineLevel="0" collapsed="false">
      <c r="A101" s="49" t="str">
        <f aca="false">01_Data!A15</f>
        <v>S10</v>
      </c>
      <c r="B101" s="50" t="n">
        <f aca="false">01_Data!F15</f>
        <v>0.2</v>
      </c>
      <c r="C101" s="50" t="n">
        <f aca="false">01_Data!G15</f>
        <v>0.2</v>
      </c>
      <c r="D101" s="50" t="n">
        <f aca="false">01_Data!D15</f>
        <v>1</v>
      </c>
      <c r="E101" s="51"/>
      <c r="F101" s="51"/>
      <c r="G101" s="51"/>
      <c r="H101" s="51"/>
      <c r="I101" s="51"/>
      <c r="J101" s="51"/>
      <c r="K101" s="51"/>
    </row>
    <row r="102" customFormat="false" ht="15" hidden="false" customHeight="false" outlineLevel="0" collapsed="false">
      <c r="A102" s="49" t="str">
        <f aca="false">01_Data!A16</f>
        <v>S11</v>
      </c>
      <c r="B102" s="50" t="n">
        <f aca="false">01_Data!F16</f>
        <v>0.4</v>
      </c>
      <c r="C102" s="50" t="n">
        <f aca="false">01_Data!G16</f>
        <v>0.333333333333333</v>
      </c>
      <c r="D102" s="50" t="n">
        <f aca="false">01_Data!D16</f>
        <v>1</v>
      </c>
      <c r="E102" s="51"/>
      <c r="F102" s="51"/>
      <c r="G102" s="51"/>
      <c r="H102" s="51"/>
      <c r="I102" s="51"/>
      <c r="J102" s="51"/>
      <c r="K102" s="51"/>
    </row>
    <row r="103" customFormat="false" ht="15" hidden="false" customHeight="false" outlineLevel="0" collapsed="false">
      <c r="A103" s="49" t="str">
        <f aca="false">01_Data!A17</f>
        <v>S12</v>
      </c>
      <c r="B103" s="50" t="n">
        <f aca="false">01_Data!F17</f>
        <v>0.6</v>
      </c>
      <c r="C103" s="50" t="n">
        <f aca="false">01_Data!G17</f>
        <v>0.466666666666667</v>
      </c>
      <c r="D103" s="50" t="n">
        <f aca="false">01_Data!D17</f>
        <v>1</v>
      </c>
      <c r="E103" s="51"/>
      <c r="F103" s="51"/>
      <c r="G103" s="51"/>
      <c r="H103" s="51"/>
      <c r="I103" s="51"/>
      <c r="J103" s="51"/>
      <c r="K103" s="51"/>
    </row>
    <row r="104" customFormat="false" ht="15" hidden="false" customHeight="false" outlineLevel="0" collapsed="false">
      <c r="A104" s="49" t="str">
        <f aca="false">01_Data!A18</f>
        <v>S13</v>
      </c>
      <c r="B104" s="50" t="n">
        <f aca="false">01_Data!F18</f>
        <v>0.8</v>
      </c>
      <c r="C104" s="50" t="n">
        <f aca="false">01_Data!G18</f>
        <v>0.666666666666667</v>
      </c>
      <c r="D104" s="50" t="n">
        <f aca="false">01_Data!D18</f>
        <v>1</v>
      </c>
      <c r="E104" s="51"/>
      <c r="F104" s="51"/>
      <c r="G104" s="51"/>
      <c r="H104" s="51"/>
      <c r="I104" s="51"/>
      <c r="J104" s="51"/>
      <c r="K104" s="51"/>
    </row>
    <row r="105" customFormat="false" ht="15" hidden="false" customHeight="false" outlineLevel="0" collapsed="false">
      <c r="A105" s="49" t="str">
        <f aca="false">01_Data!A19</f>
        <v>S14</v>
      </c>
      <c r="B105" s="50" t="n">
        <f aca="false">01_Data!F19</f>
        <v>1</v>
      </c>
      <c r="C105" s="50" t="n">
        <f aca="false">01_Data!G19</f>
        <v>0.866666666666667</v>
      </c>
      <c r="D105" s="50" t="n">
        <f aca="false">01_Data!D19</f>
        <v>1</v>
      </c>
      <c r="E105" s="51"/>
      <c r="F105" s="51"/>
      <c r="G105" s="51"/>
      <c r="H105" s="51"/>
      <c r="I105" s="51"/>
      <c r="J105" s="51"/>
      <c r="K105" s="51"/>
    </row>
    <row r="106" customFormat="false" ht="15" hidden="false" customHeight="false" outlineLevel="0" collapsed="false">
      <c r="A106" s="49" t="str">
        <f aca="false">01_Data!A20</f>
        <v>S15</v>
      </c>
      <c r="B106" s="50" t="n">
        <f aca="false">01_Data!F20</f>
        <v>1.2</v>
      </c>
      <c r="C106" s="50" t="n">
        <f aca="false">01_Data!G20</f>
        <v>1</v>
      </c>
      <c r="D106" s="50" t="n">
        <f aca="false">01_Data!D20</f>
        <v>1</v>
      </c>
      <c r="E106" s="51"/>
      <c r="F106" s="51"/>
      <c r="G106" s="51"/>
      <c r="H106" s="51"/>
      <c r="I106" s="51"/>
      <c r="J106" s="51"/>
      <c r="K106" s="51"/>
    </row>
    <row r="107" customFormat="false" ht="15" hidden="false" customHeight="false" outlineLevel="0" collapsed="false">
      <c r="A107" s="49" t="str">
        <f aca="false">01_Data!A21</f>
        <v>S16</v>
      </c>
      <c r="B107" s="50" t="n">
        <f aca="false">01_Data!F21</f>
        <v>1.4</v>
      </c>
      <c r="C107" s="50" t="n">
        <f aca="false">01_Data!G21</f>
        <v>1.13333333333333</v>
      </c>
      <c r="D107" s="50" t="n">
        <f aca="false">01_Data!D21</f>
        <v>1</v>
      </c>
      <c r="E107" s="51"/>
      <c r="F107" s="51"/>
      <c r="G107" s="51"/>
      <c r="H107" s="51"/>
      <c r="I107" s="51"/>
      <c r="J107" s="51"/>
      <c r="K107" s="51"/>
    </row>
    <row r="108" customFormat="false" ht="15" hidden="false" customHeight="false" outlineLevel="0" collapsed="false">
      <c r="A108" s="49" t="str">
        <f aca="false">01_Data!A22</f>
        <v>S17</v>
      </c>
      <c r="B108" s="50" t="n">
        <f aca="false">01_Data!F22</f>
        <v>1.6</v>
      </c>
      <c r="C108" s="50" t="n">
        <f aca="false">01_Data!G22</f>
        <v>1.33333333333333</v>
      </c>
      <c r="D108" s="50" t="n">
        <f aca="false">01_Data!D22</f>
        <v>1</v>
      </c>
      <c r="E108" s="51"/>
      <c r="F108" s="51"/>
      <c r="G108" s="51"/>
      <c r="H108" s="51"/>
      <c r="I108" s="51"/>
      <c r="J108" s="51"/>
      <c r="K108" s="51"/>
    </row>
    <row r="109" customFormat="false" ht="15" hidden="false" customHeight="false" outlineLevel="0" collapsed="false">
      <c r="A109" s="49" t="str">
        <f aca="false">01_Data!A23</f>
        <v>S18</v>
      </c>
      <c r="B109" s="50" t="n">
        <f aca="false">01_Data!F23</f>
        <v>0</v>
      </c>
      <c r="C109" s="50" t="n">
        <f aca="false">01_Data!G23</f>
        <v>-0.666666666666667</v>
      </c>
      <c r="D109" s="50" t="n">
        <f aca="false">01_Data!D23</f>
        <v>0</v>
      </c>
      <c r="E109" s="51"/>
      <c r="F109" s="51"/>
      <c r="G109" s="51"/>
      <c r="H109" s="51"/>
      <c r="I109" s="51"/>
      <c r="J109" s="51"/>
      <c r="K109" s="51"/>
    </row>
    <row r="110" customFormat="false" ht="15" hidden="false" customHeight="false" outlineLevel="0" collapsed="false">
      <c r="A110" s="49" t="str">
        <f aca="false">01_Data!A24</f>
        <v>S19</v>
      </c>
      <c r="B110" s="50" t="n">
        <f aca="false">01_Data!F24</f>
        <v>-0.8</v>
      </c>
      <c r="C110" s="50" t="n">
        <f aca="false">01_Data!G24</f>
        <v>0.666666666666667</v>
      </c>
      <c r="D110" s="50" t="n">
        <f aca="false">01_Data!D24</f>
        <v>1</v>
      </c>
      <c r="E110" s="51"/>
      <c r="F110" s="51"/>
      <c r="G110" s="51"/>
      <c r="H110" s="51"/>
      <c r="I110" s="51"/>
      <c r="J110" s="51"/>
      <c r="K110" s="51"/>
    </row>
    <row r="111" customFormat="false" ht="15" hidden="false" customHeight="false" outlineLevel="0" collapsed="false">
      <c r="A111" s="49" t="str">
        <f aca="false">01_Data!A25</f>
        <v>S20</v>
      </c>
      <c r="B111" s="50" t="n">
        <f aca="false">01_Data!F25</f>
        <v>0.8</v>
      </c>
      <c r="C111" s="50" t="n">
        <f aca="false">01_Data!G25</f>
        <v>-0.666666666666667</v>
      </c>
      <c r="D111" s="50" t="n">
        <f aca="false">01_Data!D25</f>
        <v>1</v>
      </c>
      <c r="E111" s="51"/>
      <c r="F111" s="51"/>
      <c r="G111" s="51"/>
      <c r="H111" s="51"/>
      <c r="I111" s="51"/>
      <c r="J111" s="51"/>
      <c r="K111" s="51"/>
    </row>
    <row r="112" customFormat="false" ht="15" hidden="false" customHeight="false" outlineLevel="0" collapsed="false">
      <c r="A112" s="52" t="s">
        <v>138</v>
      </c>
      <c r="B112" s="52"/>
      <c r="C112" s="52"/>
      <c r="D112" s="52"/>
      <c r="E112" s="52"/>
      <c r="F112" s="52"/>
      <c r="G112" s="52" t="s">
        <v>139</v>
      </c>
      <c r="H112" s="53"/>
      <c r="I112" s="53"/>
      <c r="J112" s="53"/>
      <c r="K112" s="53"/>
    </row>
    <row r="113" customFormat="false" ht="22.35" hidden="false" customHeight="true" outlineLevel="0" collapsed="false">
      <c r="A113" s="46" t="s">
        <v>140</v>
      </c>
      <c r="B113" s="46"/>
      <c r="C113" s="46" t="s">
        <v>141</v>
      </c>
      <c r="D113" s="54"/>
      <c r="E113" s="46" t="s">
        <v>142</v>
      </c>
      <c r="F113" s="54"/>
      <c r="G113" s="46" t="s">
        <v>143</v>
      </c>
      <c r="H113" s="54"/>
      <c r="I113" s="47" t="s">
        <v>144</v>
      </c>
      <c r="J113" s="47"/>
      <c r="K113" s="47"/>
    </row>
    <row r="115" customFormat="false" ht="22.5" hidden="false" customHeight="true" outlineLevel="0" collapsed="false">
      <c r="A115" s="3" t="s">
        <v>148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customFormat="false" ht="15" hidden="false" customHeight="true" outlineLevel="0" collapsed="false">
      <c r="A116" s="46" t="s">
        <v>123</v>
      </c>
      <c r="B116" s="47" t="n">
        <v>5</v>
      </c>
      <c r="C116" s="46" t="s">
        <v>124</v>
      </c>
      <c r="D116" s="48" t="str">
        <f aca="false">IF(D113="","",D113)</f>
        <v/>
      </c>
      <c r="E116" s="46" t="s">
        <v>125</v>
      </c>
      <c r="F116" s="48" t="str">
        <f aca="false">IF(F113="","",F113)</f>
        <v/>
      </c>
      <c r="G116" s="46" t="s">
        <v>126</v>
      </c>
      <c r="H116" s="48" t="str">
        <f aca="false">IF(H113="","",H113)</f>
        <v/>
      </c>
      <c r="I116" s="47" t="s">
        <v>127</v>
      </c>
      <c r="J116" s="47"/>
      <c r="K116" s="47"/>
    </row>
    <row r="117" customFormat="false" ht="33.75" hidden="false" customHeight="true" outlineLevel="0" collapsed="false">
      <c r="A117" s="17" t="s">
        <v>128</v>
      </c>
      <c r="B117" s="17" t="s">
        <v>129</v>
      </c>
      <c r="C117" s="17" t="s">
        <v>130</v>
      </c>
      <c r="D117" s="17" t="s">
        <v>131</v>
      </c>
      <c r="E117" s="17" t="s">
        <v>132</v>
      </c>
      <c r="F117" s="17" t="s">
        <v>133</v>
      </c>
      <c r="G117" s="17" t="s">
        <v>134</v>
      </c>
      <c r="H117" s="17" t="s">
        <v>135</v>
      </c>
      <c r="I117" s="17" t="s">
        <v>136</v>
      </c>
      <c r="J117" s="17" t="s">
        <v>137</v>
      </c>
      <c r="K117" s="17" t="s">
        <v>33</v>
      </c>
    </row>
    <row r="118" customFormat="false" ht="15" hidden="false" customHeight="false" outlineLevel="0" collapsed="false">
      <c r="A118" s="49" t="str">
        <f aca="false">01_Data!A6</f>
        <v>S01</v>
      </c>
      <c r="B118" s="50" t="n">
        <f aca="false">01_Data!F6</f>
        <v>-1.6</v>
      </c>
      <c r="C118" s="50" t="n">
        <f aca="false">01_Data!G6</f>
        <v>-1.33333333333333</v>
      </c>
      <c r="D118" s="50" t="n">
        <f aca="false">01_Data!D6</f>
        <v>0</v>
      </c>
      <c r="E118" s="51"/>
      <c r="F118" s="51"/>
      <c r="G118" s="51"/>
      <c r="H118" s="51"/>
      <c r="I118" s="51"/>
      <c r="J118" s="51"/>
      <c r="K118" s="51"/>
    </row>
    <row r="119" customFormat="false" ht="15" hidden="false" customHeight="false" outlineLevel="0" collapsed="false">
      <c r="A119" s="49" t="str">
        <f aca="false">01_Data!A7</f>
        <v>S02</v>
      </c>
      <c r="B119" s="50" t="n">
        <f aca="false">01_Data!F7</f>
        <v>-1.4</v>
      </c>
      <c r="C119" s="50" t="n">
        <f aca="false">01_Data!G7</f>
        <v>-1</v>
      </c>
      <c r="D119" s="50" t="n">
        <f aca="false">01_Data!D7</f>
        <v>0</v>
      </c>
      <c r="E119" s="51"/>
      <c r="F119" s="51"/>
      <c r="G119" s="51"/>
      <c r="H119" s="51"/>
      <c r="I119" s="51"/>
      <c r="J119" s="51"/>
      <c r="K119" s="51"/>
    </row>
    <row r="120" customFormat="false" ht="15" hidden="false" customHeight="false" outlineLevel="0" collapsed="false">
      <c r="A120" s="49" t="str">
        <f aca="false">01_Data!A8</f>
        <v>S03</v>
      </c>
      <c r="B120" s="50" t="n">
        <f aca="false">01_Data!F8</f>
        <v>-1.2</v>
      </c>
      <c r="C120" s="50" t="n">
        <f aca="false">01_Data!G8</f>
        <v>-1.13333333333333</v>
      </c>
      <c r="D120" s="50" t="n">
        <f aca="false">01_Data!D8</f>
        <v>0</v>
      </c>
      <c r="E120" s="51"/>
      <c r="F120" s="51"/>
      <c r="G120" s="51"/>
      <c r="H120" s="51"/>
      <c r="I120" s="51"/>
      <c r="J120" s="51"/>
      <c r="K120" s="51"/>
    </row>
    <row r="121" customFormat="false" ht="15" hidden="false" customHeight="false" outlineLevel="0" collapsed="false">
      <c r="A121" s="49" t="str">
        <f aca="false">01_Data!A9</f>
        <v>S04</v>
      </c>
      <c r="B121" s="50" t="n">
        <f aca="false">01_Data!F9</f>
        <v>-1</v>
      </c>
      <c r="C121" s="50" t="n">
        <f aca="false">01_Data!G9</f>
        <v>-0.666666666666667</v>
      </c>
      <c r="D121" s="50" t="n">
        <f aca="false">01_Data!D9</f>
        <v>0</v>
      </c>
      <c r="E121" s="51"/>
      <c r="F121" s="51"/>
      <c r="G121" s="51"/>
      <c r="H121" s="51"/>
      <c r="I121" s="51"/>
      <c r="J121" s="51"/>
      <c r="K121" s="51"/>
    </row>
    <row r="122" customFormat="false" ht="15" hidden="false" customHeight="false" outlineLevel="0" collapsed="false">
      <c r="A122" s="49" t="str">
        <f aca="false">01_Data!A10</f>
        <v>S05</v>
      </c>
      <c r="B122" s="50" t="n">
        <f aca="false">01_Data!F10</f>
        <v>-0.8</v>
      </c>
      <c r="C122" s="50" t="n">
        <f aca="false">01_Data!G10</f>
        <v>-0.866666666666667</v>
      </c>
      <c r="D122" s="50" t="n">
        <f aca="false">01_Data!D10</f>
        <v>0</v>
      </c>
      <c r="E122" s="51"/>
      <c r="F122" s="51"/>
      <c r="G122" s="51"/>
      <c r="H122" s="51"/>
      <c r="I122" s="51"/>
      <c r="J122" s="51"/>
      <c r="K122" s="51"/>
    </row>
    <row r="123" customFormat="false" ht="15" hidden="false" customHeight="false" outlineLevel="0" collapsed="false">
      <c r="A123" s="49" t="str">
        <f aca="false">01_Data!A11</f>
        <v>S06</v>
      </c>
      <c r="B123" s="50" t="n">
        <f aca="false">01_Data!F11</f>
        <v>-0.6</v>
      </c>
      <c r="C123" s="50" t="n">
        <f aca="false">01_Data!G11</f>
        <v>-0.333333333333333</v>
      </c>
      <c r="D123" s="50" t="n">
        <f aca="false">01_Data!D11</f>
        <v>0</v>
      </c>
      <c r="E123" s="51"/>
      <c r="F123" s="51"/>
      <c r="G123" s="51"/>
      <c r="H123" s="51"/>
      <c r="I123" s="51"/>
      <c r="J123" s="51"/>
      <c r="K123" s="51"/>
    </row>
    <row r="124" customFormat="false" ht="15" hidden="false" customHeight="false" outlineLevel="0" collapsed="false">
      <c r="A124" s="49" t="str">
        <f aca="false">01_Data!A12</f>
        <v>S07</v>
      </c>
      <c r="B124" s="50" t="n">
        <f aca="false">01_Data!F12</f>
        <v>-0.4</v>
      </c>
      <c r="C124" s="50" t="n">
        <f aca="false">01_Data!G12</f>
        <v>-0.466666666666667</v>
      </c>
      <c r="D124" s="50" t="n">
        <f aca="false">01_Data!D12</f>
        <v>0</v>
      </c>
      <c r="E124" s="51"/>
      <c r="F124" s="51"/>
      <c r="G124" s="51"/>
      <c r="H124" s="51"/>
      <c r="I124" s="51"/>
      <c r="J124" s="51"/>
      <c r="K124" s="51"/>
    </row>
    <row r="125" customFormat="false" ht="15" hidden="false" customHeight="false" outlineLevel="0" collapsed="false">
      <c r="A125" s="49" t="str">
        <f aca="false">01_Data!A13</f>
        <v>S08</v>
      </c>
      <c r="B125" s="50" t="n">
        <f aca="false">01_Data!F13</f>
        <v>-0.2</v>
      </c>
      <c r="C125" s="50" t="n">
        <f aca="false">01_Data!G13</f>
        <v>-0.2</v>
      </c>
      <c r="D125" s="50" t="n">
        <f aca="false">01_Data!D13</f>
        <v>1</v>
      </c>
      <c r="E125" s="51"/>
      <c r="F125" s="51"/>
      <c r="G125" s="51"/>
      <c r="H125" s="51"/>
      <c r="I125" s="51"/>
      <c r="J125" s="51"/>
      <c r="K125" s="51"/>
    </row>
    <row r="126" customFormat="false" ht="15" hidden="false" customHeight="false" outlineLevel="0" collapsed="false">
      <c r="A126" s="49" t="str">
        <f aca="false">01_Data!A14</f>
        <v>S09</v>
      </c>
      <c r="B126" s="50" t="n">
        <f aca="false">01_Data!F14</f>
        <v>0</v>
      </c>
      <c r="C126" s="50" t="n">
        <f aca="false">01_Data!G14</f>
        <v>0</v>
      </c>
      <c r="D126" s="50" t="n">
        <f aca="false">01_Data!D14</f>
        <v>1</v>
      </c>
      <c r="E126" s="51"/>
      <c r="F126" s="51"/>
      <c r="G126" s="51"/>
      <c r="H126" s="51"/>
      <c r="I126" s="51"/>
      <c r="J126" s="51"/>
      <c r="K126" s="51"/>
    </row>
    <row r="127" customFormat="false" ht="15" hidden="false" customHeight="false" outlineLevel="0" collapsed="false">
      <c r="A127" s="49" t="str">
        <f aca="false">01_Data!A15</f>
        <v>S10</v>
      </c>
      <c r="B127" s="50" t="n">
        <f aca="false">01_Data!F15</f>
        <v>0.2</v>
      </c>
      <c r="C127" s="50" t="n">
        <f aca="false">01_Data!G15</f>
        <v>0.2</v>
      </c>
      <c r="D127" s="50" t="n">
        <f aca="false">01_Data!D15</f>
        <v>1</v>
      </c>
      <c r="E127" s="51"/>
      <c r="F127" s="51"/>
      <c r="G127" s="51"/>
      <c r="H127" s="51"/>
      <c r="I127" s="51"/>
      <c r="J127" s="51"/>
      <c r="K127" s="51"/>
    </row>
    <row r="128" customFormat="false" ht="15" hidden="false" customHeight="false" outlineLevel="0" collapsed="false">
      <c r="A128" s="49" t="str">
        <f aca="false">01_Data!A16</f>
        <v>S11</v>
      </c>
      <c r="B128" s="50" t="n">
        <f aca="false">01_Data!F16</f>
        <v>0.4</v>
      </c>
      <c r="C128" s="50" t="n">
        <f aca="false">01_Data!G16</f>
        <v>0.333333333333333</v>
      </c>
      <c r="D128" s="50" t="n">
        <f aca="false">01_Data!D16</f>
        <v>1</v>
      </c>
      <c r="E128" s="51"/>
      <c r="F128" s="51"/>
      <c r="G128" s="51"/>
      <c r="H128" s="51"/>
      <c r="I128" s="51"/>
      <c r="J128" s="51"/>
      <c r="K128" s="51"/>
    </row>
    <row r="129" customFormat="false" ht="15" hidden="false" customHeight="false" outlineLevel="0" collapsed="false">
      <c r="A129" s="49" t="str">
        <f aca="false">01_Data!A17</f>
        <v>S12</v>
      </c>
      <c r="B129" s="50" t="n">
        <f aca="false">01_Data!F17</f>
        <v>0.6</v>
      </c>
      <c r="C129" s="50" t="n">
        <f aca="false">01_Data!G17</f>
        <v>0.466666666666667</v>
      </c>
      <c r="D129" s="50" t="n">
        <f aca="false">01_Data!D17</f>
        <v>1</v>
      </c>
      <c r="E129" s="51"/>
      <c r="F129" s="51"/>
      <c r="G129" s="51"/>
      <c r="H129" s="51"/>
      <c r="I129" s="51"/>
      <c r="J129" s="51"/>
      <c r="K129" s="51"/>
    </row>
    <row r="130" customFormat="false" ht="15" hidden="false" customHeight="false" outlineLevel="0" collapsed="false">
      <c r="A130" s="49" t="str">
        <f aca="false">01_Data!A18</f>
        <v>S13</v>
      </c>
      <c r="B130" s="50" t="n">
        <f aca="false">01_Data!F18</f>
        <v>0.8</v>
      </c>
      <c r="C130" s="50" t="n">
        <f aca="false">01_Data!G18</f>
        <v>0.666666666666667</v>
      </c>
      <c r="D130" s="50" t="n">
        <f aca="false">01_Data!D18</f>
        <v>1</v>
      </c>
      <c r="E130" s="51"/>
      <c r="F130" s="51"/>
      <c r="G130" s="51"/>
      <c r="H130" s="51"/>
      <c r="I130" s="51"/>
      <c r="J130" s="51"/>
      <c r="K130" s="51"/>
    </row>
    <row r="131" customFormat="false" ht="15" hidden="false" customHeight="false" outlineLevel="0" collapsed="false">
      <c r="A131" s="49" t="str">
        <f aca="false">01_Data!A19</f>
        <v>S14</v>
      </c>
      <c r="B131" s="50" t="n">
        <f aca="false">01_Data!F19</f>
        <v>1</v>
      </c>
      <c r="C131" s="50" t="n">
        <f aca="false">01_Data!G19</f>
        <v>0.866666666666667</v>
      </c>
      <c r="D131" s="50" t="n">
        <f aca="false">01_Data!D19</f>
        <v>1</v>
      </c>
      <c r="E131" s="51"/>
      <c r="F131" s="51"/>
      <c r="G131" s="51"/>
      <c r="H131" s="51"/>
      <c r="I131" s="51"/>
      <c r="J131" s="51"/>
      <c r="K131" s="51"/>
    </row>
    <row r="132" customFormat="false" ht="15" hidden="false" customHeight="false" outlineLevel="0" collapsed="false">
      <c r="A132" s="49" t="str">
        <f aca="false">01_Data!A20</f>
        <v>S15</v>
      </c>
      <c r="B132" s="50" t="n">
        <f aca="false">01_Data!F20</f>
        <v>1.2</v>
      </c>
      <c r="C132" s="50" t="n">
        <f aca="false">01_Data!G20</f>
        <v>1</v>
      </c>
      <c r="D132" s="50" t="n">
        <f aca="false">01_Data!D20</f>
        <v>1</v>
      </c>
      <c r="E132" s="51"/>
      <c r="F132" s="51"/>
      <c r="G132" s="51"/>
      <c r="H132" s="51"/>
      <c r="I132" s="51"/>
      <c r="J132" s="51"/>
      <c r="K132" s="51"/>
    </row>
    <row r="133" customFormat="false" ht="15" hidden="false" customHeight="false" outlineLevel="0" collapsed="false">
      <c r="A133" s="49" t="str">
        <f aca="false">01_Data!A21</f>
        <v>S16</v>
      </c>
      <c r="B133" s="50" t="n">
        <f aca="false">01_Data!F21</f>
        <v>1.4</v>
      </c>
      <c r="C133" s="50" t="n">
        <f aca="false">01_Data!G21</f>
        <v>1.13333333333333</v>
      </c>
      <c r="D133" s="50" t="n">
        <f aca="false">01_Data!D21</f>
        <v>1</v>
      </c>
      <c r="E133" s="51"/>
      <c r="F133" s="51"/>
      <c r="G133" s="51"/>
      <c r="H133" s="51"/>
      <c r="I133" s="51"/>
      <c r="J133" s="51"/>
      <c r="K133" s="51"/>
    </row>
    <row r="134" customFormat="false" ht="15" hidden="false" customHeight="false" outlineLevel="0" collapsed="false">
      <c r="A134" s="49" t="str">
        <f aca="false">01_Data!A22</f>
        <v>S17</v>
      </c>
      <c r="B134" s="50" t="n">
        <f aca="false">01_Data!F22</f>
        <v>1.6</v>
      </c>
      <c r="C134" s="50" t="n">
        <f aca="false">01_Data!G22</f>
        <v>1.33333333333333</v>
      </c>
      <c r="D134" s="50" t="n">
        <f aca="false">01_Data!D22</f>
        <v>1</v>
      </c>
      <c r="E134" s="51"/>
      <c r="F134" s="51"/>
      <c r="G134" s="51"/>
      <c r="H134" s="51"/>
      <c r="I134" s="51"/>
      <c r="J134" s="51"/>
      <c r="K134" s="51"/>
    </row>
    <row r="135" customFormat="false" ht="15" hidden="false" customHeight="false" outlineLevel="0" collapsed="false">
      <c r="A135" s="49" t="str">
        <f aca="false">01_Data!A23</f>
        <v>S18</v>
      </c>
      <c r="B135" s="50" t="n">
        <f aca="false">01_Data!F23</f>
        <v>0</v>
      </c>
      <c r="C135" s="50" t="n">
        <f aca="false">01_Data!G23</f>
        <v>-0.666666666666667</v>
      </c>
      <c r="D135" s="50" t="n">
        <f aca="false">01_Data!D23</f>
        <v>0</v>
      </c>
      <c r="E135" s="51"/>
      <c r="F135" s="51"/>
      <c r="G135" s="51"/>
      <c r="H135" s="51"/>
      <c r="I135" s="51"/>
      <c r="J135" s="51"/>
      <c r="K135" s="51"/>
    </row>
    <row r="136" customFormat="false" ht="15" hidden="false" customHeight="false" outlineLevel="0" collapsed="false">
      <c r="A136" s="49" t="str">
        <f aca="false">01_Data!A24</f>
        <v>S19</v>
      </c>
      <c r="B136" s="50" t="n">
        <f aca="false">01_Data!F24</f>
        <v>-0.8</v>
      </c>
      <c r="C136" s="50" t="n">
        <f aca="false">01_Data!G24</f>
        <v>0.666666666666667</v>
      </c>
      <c r="D136" s="50" t="n">
        <f aca="false">01_Data!D24</f>
        <v>1</v>
      </c>
      <c r="E136" s="51"/>
      <c r="F136" s="51"/>
      <c r="G136" s="51"/>
      <c r="H136" s="51"/>
      <c r="I136" s="51"/>
      <c r="J136" s="51"/>
      <c r="K136" s="51"/>
    </row>
    <row r="137" customFormat="false" ht="15" hidden="false" customHeight="false" outlineLevel="0" collapsed="false">
      <c r="A137" s="49" t="str">
        <f aca="false">01_Data!A25</f>
        <v>S20</v>
      </c>
      <c r="B137" s="50" t="n">
        <f aca="false">01_Data!F25</f>
        <v>0.8</v>
      </c>
      <c r="C137" s="50" t="n">
        <f aca="false">01_Data!G25</f>
        <v>-0.666666666666667</v>
      </c>
      <c r="D137" s="50" t="n">
        <f aca="false">01_Data!D25</f>
        <v>1</v>
      </c>
      <c r="E137" s="51"/>
      <c r="F137" s="51"/>
      <c r="G137" s="51"/>
      <c r="H137" s="51"/>
      <c r="I137" s="51"/>
      <c r="J137" s="51"/>
      <c r="K137" s="51"/>
    </row>
    <row r="138" customFormat="false" ht="15" hidden="false" customHeight="false" outlineLevel="0" collapsed="false">
      <c r="A138" s="52" t="s">
        <v>138</v>
      </c>
      <c r="B138" s="52"/>
      <c r="C138" s="52"/>
      <c r="D138" s="52"/>
      <c r="E138" s="52"/>
      <c r="F138" s="52"/>
      <c r="G138" s="52" t="s">
        <v>139</v>
      </c>
      <c r="H138" s="53"/>
      <c r="I138" s="53"/>
      <c r="J138" s="53"/>
      <c r="K138" s="53"/>
    </row>
    <row r="139" customFormat="false" ht="22.35" hidden="false" customHeight="true" outlineLevel="0" collapsed="false">
      <c r="A139" s="46" t="s">
        <v>140</v>
      </c>
      <c r="B139" s="46"/>
      <c r="C139" s="46" t="s">
        <v>141</v>
      </c>
      <c r="D139" s="54"/>
      <c r="E139" s="46" t="s">
        <v>142</v>
      </c>
      <c r="F139" s="54"/>
      <c r="G139" s="46" t="s">
        <v>143</v>
      </c>
      <c r="H139" s="54"/>
      <c r="I139" s="47" t="s">
        <v>144</v>
      </c>
      <c r="J139" s="47"/>
      <c r="K139" s="47"/>
    </row>
    <row r="141" customFormat="false" ht="22.5" hidden="false" customHeight="true" outlineLevel="0" collapsed="false">
      <c r="A141" s="55" t="s">
        <v>149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</row>
    <row r="142" customFormat="false" ht="15" hidden="false" customHeight="true" outlineLevel="0" collapsed="false">
      <c r="A142" s="46" t="s">
        <v>123</v>
      </c>
      <c r="B142" s="47" t="n">
        <v>6</v>
      </c>
      <c r="C142" s="46" t="s">
        <v>124</v>
      </c>
      <c r="D142" s="48" t="str">
        <f aca="false">IF(D139="","",D139)</f>
        <v/>
      </c>
      <c r="E142" s="46" t="s">
        <v>125</v>
      </c>
      <c r="F142" s="48" t="str">
        <f aca="false">IF(F139="","",F139)</f>
        <v/>
      </c>
      <c r="G142" s="46" t="s">
        <v>126</v>
      </c>
      <c r="H142" s="48" t="str">
        <f aca="false">IF(H139="","",H139)</f>
        <v/>
      </c>
      <c r="I142" s="47" t="s">
        <v>127</v>
      </c>
      <c r="J142" s="47"/>
      <c r="K142" s="47"/>
    </row>
    <row r="143" customFormat="false" ht="33.75" hidden="false" customHeight="true" outlineLevel="0" collapsed="false">
      <c r="A143" s="17" t="s">
        <v>128</v>
      </c>
      <c r="B143" s="17" t="s">
        <v>129</v>
      </c>
      <c r="C143" s="17" t="s">
        <v>130</v>
      </c>
      <c r="D143" s="17" t="s">
        <v>131</v>
      </c>
      <c r="E143" s="17" t="s">
        <v>132</v>
      </c>
      <c r="F143" s="17" t="s">
        <v>133</v>
      </c>
      <c r="G143" s="17" t="s">
        <v>134</v>
      </c>
      <c r="H143" s="17" t="s">
        <v>135</v>
      </c>
      <c r="I143" s="17" t="s">
        <v>136</v>
      </c>
      <c r="J143" s="17" t="s">
        <v>137</v>
      </c>
      <c r="K143" s="17" t="s">
        <v>33</v>
      </c>
    </row>
    <row r="144" customFormat="false" ht="15" hidden="false" customHeight="false" outlineLevel="0" collapsed="false">
      <c r="A144" s="49" t="str">
        <f aca="false">01_Data!A6</f>
        <v>S01</v>
      </c>
      <c r="B144" s="50" t="n">
        <f aca="false">01_Data!F6</f>
        <v>-1.6</v>
      </c>
      <c r="C144" s="50" t="n">
        <f aca="false">01_Data!G6</f>
        <v>-1.33333333333333</v>
      </c>
      <c r="D144" s="50" t="n">
        <f aca="false">01_Data!D6</f>
        <v>0</v>
      </c>
      <c r="E144" s="51"/>
      <c r="F144" s="51"/>
      <c r="G144" s="51"/>
      <c r="H144" s="51"/>
      <c r="I144" s="51"/>
      <c r="J144" s="51"/>
      <c r="K144" s="51"/>
    </row>
    <row r="145" customFormat="false" ht="15" hidden="false" customHeight="false" outlineLevel="0" collapsed="false">
      <c r="A145" s="49" t="str">
        <f aca="false">01_Data!A7</f>
        <v>S02</v>
      </c>
      <c r="B145" s="50" t="n">
        <f aca="false">01_Data!F7</f>
        <v>-1.4</v>
      </c>
      <c r="C145" s="50" t="n">
        <f aca="false">01_Data!G7</f>
        <v>-1</v>
      </c>
      <c r="D145" s="50" t="n">
        <f aca="false">01_Data!D7</f>
        <v>0</v>
      </c>
      <c r="E145" s="51"/>
      <c r="F145" s="51"/>
      <c r="G145" s="51"/>
      <c r="H145" s="51"/>
      <c r="I145" s="51"/>
      <c r="J145" s="51"/>
      <c r="K145" s="51"/>
    </row>
    <row r="146" customFormat="false" ht="15" hidden="false" customHeight="false" outlineLevel="0" collapsed="false">
      <c r="A146" s="49" t="str">
        <f aca="false">01_Data!A8</f>
        <v>S03</v>
      </c>
      <c r="B146" s="50" t="n">
        <f aca="false">01_Data!F8</f>
        <v>-1.2</v>
      </c>
      <c r="C146" s="50" t="n">
        <f aca="false">01_Data!G8</f>
        <v>-1.13333333333333</v>
      </c>
      <c r="D146" s="50" t="n">
        <f aca="false">01_Data!D8</f>
        <v>0</v>
      </c>
      <c r="E146" s="51"/>
      <c r="F146" s="51"/>
      <c r="G146" s="51"/>
      <c r="H146" s="51"/>
      <c r="I146" s="51"/>
      <c r="J146" s="51"/>
      <c r="K146" s="51"/>
    </row>
    <row r="147" customFormat="false" ht="15" hidden="false" customHeight="false" outlineLevel="0" collapsed="false">
      <c r="A147" s="49" t="str">
        <f aca="false">01_Data!A9</f>
        <v>S04</v>
      </c>
      <c r="B147" s="50" t="n">
        <f aca="false">01_Data!F9</f>
        <v>-1</v>
      </c>
      <c r="C147" s="50" t="n">
        <f aca="false">01_Data!G9</f>
        <v>-0.666666666666667</v>
      </c>
      <c r="D147" s="50" t="n">
        <f aca="false">01_Data!D9</f>
        <v>0</v>
      </c>
      <c r="E147" s="51"/>
      <c r="F147" s="51"/>
      <c r="G147" s="51"/>
      <c r="H147" s="51"/>
      <c r="I147" s="51"/>
      <c r="J147" s="51"/>
      <c r="K147" s="51"/>
    </row>
    <row r="148" customFormat="false" ht="15" hidden="false" customHeight="false" outlineLevel="0" collapsed="false">
      <c r="A148" s="49" t="str">
        <f aca="false">01_Data!A10</f>
        <v>S05</v>
      </c>
      <c r="B148" s="50" t="n">
        <f aca="false">01_Data!F10</f>
        <v>-0.8</v>
      </c>
      <c r="C148" s="50" t="n">
        <f aca="false">01_Data!G10</f>
        <v>-0.866666666666667</v>
      </c>
      <c r="D148" s="50" t="n">
        <f aca="false">01_Data!D10</f>
        <v>0</v>
      </c>
      <c r="E148" s="51"/>
      <c r="F148" s="51"/>
      <c r="G148" s="51"/>
      <c r="H148" s="51"/>
      <c r="I148" s="51"/>
      <c r="J148" s="51"/>
      <c r="K148" s="51"/>
    </row>
    <row r="149" customFormat="false" ht="15" hidden="false" customHeight="false" outlineLevel="0" collapsed="false">
      <c r="A149" s="49" t="str">
        <f aca="false">01_Data!A11</f>
        <v>S06</v>
      </c>
      <c r="B149" s="50" t="n">
        <f aca="false">01_Data!F11</f>
        <v>-0.6</v>
      </c>
      <c r="C149" s="50" t="n">
        <f aca="false">01_Data!G11</f>
        <v>-0.333333333333333</v>
      </c>
      <c r="D149" s="50" t="n">
        <f aca="false">01_Data!D11</f>
        <v>0</v>
      </c>
      <c r="E149" s="51"/>
      <c r="F149" s="51"/>
      <c r="G149" s="51"/>
      <c r="H149" s="51"/>
      <c r="I149" s="51"/>
      <c r="J149" s="51"/>
      <c r="K149" s="51"/>
    </row>
    <row r="150" customFormat="false" ht="15" hidden="false" customHeight="false" outlineLevel="0" collapsed="false">
      <c r="A150" s="49" t="str">
        <f aca="false">01_Data!A12</f>
        <v>S07</v>
      </c>
      <c r="B150" s="50" t="n">
        <f aca="false">01_Data!F12</f>
        <v>-0.4</v>
      </c>
      <c r="C150" s="50" t="n">
        <f aca="false">01_Data!G12</f>
        <v>-0.466666666666667</v>
      </c>
      <c r="D150" s="50" t="n">
        <f aca="false">01_Data!D12</f>
        <v>0</v>
      </c>
      <c r="E150" s="51"/>
      <c r="F150" s="51"/>
      <c r="G150" s="51"/>
      <c r="H150" s="51"/>
      <c r="I150" s="51"/>
      <c r="J150" s="51"/>
      <c r="K150" s="51"/>
    </row>
    <row r="151" customFormat="false" ht="15" hidden="false" customHeight="false" outlineLevel="0" collapsed="false">
      <c r="A151" s="49" t="str">
        <f aca="false">01_Data!A13</f>
        <v>S08</v>
      </c>
      <c r="B151" s="50" t="n">
        <f aca="false">01_Data!F13</f>
        <v>-0.2</v>
      </c>
      <c r="C151" s="50" t="n">
        <f aca="false">01_Data!G13</f>
        <v>-0.2</v>
      </c>
      <c r="D151" s="50" t="n">
        <f aca="false">01_Data!D13</f>
        <v>1</v>
      </c>
      <c r="E151" s="51"/>
      <c r="F151" s="51"/>
      <c r="G151" s="51"/>
      <c r="H151" s="51"/>
      <c r="I151" s="51"/>
      <c r="J151" s="51"/>
      <c r="K151" s="51"/>
    </row>
    <row r="152" customFormat="false" ht="15" hidden="false" customHeight="false" outlineLevel="0" collapsed="false">
      <c r="A152" s="49" t="str">
        <f aca="false">01_Data!A14</f>
        <v>S09</v>
      </c>
      <c r="B152" s="50" t="n">
        <f aca="false">01_Data!F14</f>
        <v>0</v>
      </c>
      <c r="C152" s="50" t="n">
        <f aca="false">01_Data!G14</f>
        <v>0</v>
      </c>
      <c r="D152" s="50" t="n">
        <f aca="false">01_Data!D14</f>
        <v>1</v>
      </c>
      <c r="E152" s="51"/>
      <c r="F152" s="51"/>
      <c r="G152" s="51"/>
      <c r="H152" s="51"/>
      <c r="I152" s="51"/>
      <c r="J152" s="51"/>
      <c r="K152" s="51"/>
    </row>
    <row r="153" customFormat="false" ht="15" hidden="false" customHeight="false" outlineLevel="0" collapsed="false">
      <c r="A153" s="49" t="str">
        <f aca="false">01_Data!A15</f>
        <v>S10</v>
      </c>
      <c r="B153" s="50" t="n">
        <f aca="false">01_Data!F15</f>
        <v>0.2</v>
      </c>
      <c r="C153" s="50" t="n">
        <f aca="false">01_Data!G15</f>
        <v>0.2</v>
      </c>
      <c r="D153" s="50" t="n">
        <f aca="false">01_Data!D15</f>
        <v>1</v>
      </c>
      <c r="E153" s="51"/>
      <c r="F153" s="51"/>
      <c r="G153" s="51"/>
      <c r="H153" s="51"/>
      <c r="I153" s="51"/>
      <c r="J153" s="51"/>
      <c r="K153" s="51"/>
    </row>
    <row r="154" customFormat="false" ht="15" hidden="false" customHeight="false" outlineLevel="0" collapsed="false">
      <c r="A154" s="49" t="str">
        <f aca="false">01_Data!A16</f>
        <v>S11</v>
      </c>
      <c r="B154" s="50" t="n">
        <f aca="false">01_Data!F16</f>
        <v>0.4</v>
      </c>
      <c r="C154" s="50" t="n">
        <f aca="false">01_Data!G16</f>
        <v>0.333333333333333</v>
      </c>
      <c r="D154" s="50" t="n">
        <f aca="false">01_Data!D16</f>
        <v>1</v>
      </c>
      <c r="E154" s="51"/>
      <c r="F154" s="51"/>
      <c r="G154" s="51"/>
      <c r="H154" s="51"/>
      <c r="I154" s="51"/>
      <c r="J154" s="51"/>
      <c r="K154" s="51"/>
    </row>
    <row r="155" customFormat="false" ht="15" hidden="false" customHeight="false" outlineLevel="0" collapsed="false">
      <c r="A155" s="49" t="str">
        <f aca="false">01_Data!A17</f>
        <v>S12</v>
      </c>
      <c r="B155" s="50" t="n">
        <f aca="false">01_Data!F17</f>
        <v>0.6</v>
      </c>
      <c r="C155" s="50" t="n">
        <f aca="false">01_Data!G17</f>
        <v>0.466666666666667</v>
      </c>
      <c r="D155" s="50" t="n">
        <f aca="false">01_Data!D17</f>
        <v>1</v>
      </c>
      <c r="E155" s="51"/>
      <c r="F155" s="51"/>
      <c r="G155" s="51"/>
      <c r="H155" s="51"/>
      <c r="I155" s="51"/>
      <c r="J155" s="51"/>
      <c r="K155" s="51"/>
    </row>
    <row r="156" customFormat="false" ht="15" hidden="false" customHeight="false" outlineLevel="0" collapsed="false">
      <c r="A156" s="49" t="str">
        <f aca="false">01_Data!A18</f>
        <v>S13</v>
      </c>
      <c r="B156" s="50" t="n">
        <f aca="false">01_Data!F18</f>
        <v>0.8</v>
      </c>
      <c r="C156" s="50" t="n">
        <f aca="false">01_Data!G18</f>
        <v>0.666666666666667</v>
      </c>
      <c r="D156" s="50" t="n">
        <f aca="false">01_Data!D18</f>
        <v>1</v>
      </c>
      <c r="E156" s="51"/>
      <c r="F156" s="51"/>
      <c r="G156" s="51"/>
      <c r="H156" s="51"/>
      <c r="I156" s="51"/>
      <c r="J156" s="51"/>
      <c r="K156" s="51"/>
    </row>
    <row r="157" customFormat="false" ht="15" hidden="false" customHeight="false" outlineLevel="0" collapsed="false">
      <c r="A157" s="49" t="str">
        <f aca="false">01_Data!A19</f>
        <v>S14</v>
      </c>
      <c r="B157" s="50" t="n">
        <f aca="false">01_Data!F19</f>
        <v>1</v>
      </c>
      <c r="C157" s="50" t="n">
        <f aca="false">01_Data!G19</f>
        <v>0.866666666666667</v>
      </c>
      <c r="D157" s="50" t="n">
        <f aca="false">01_Data!D19</f>
        <v>1</v>
      </c>
      <c r="E157" s="51"/>
      <c r="F157" s="51"/>
      <c r="G157" s="51"/>
      <c r="H157" s="51"/>
      <c r="I157" s="51"/>
      <c r="J157" s="51"/>
      <c r="K157" s="51"/>
    </row>
    <row r="158" customFormat="false" ht="15" hidden="false" customHeight="false" outlineLevel="0" collapsed="false">
      <c r="A158" s="49" t="str">
        <f aca="false">01_Data!A20</f>
        <v>S15</v>
      </c>
      <c r="B158" s="50" t="n">
        <f aca="false">01_Data!F20</f>
        <v>1.2</v>
      </c>
      <c r="C158" s="50" t="n">
        <f aca="false">01_Data!G20</f>
        <v>1</v>
      </c>
      <c r="D158" s="50" t="n">
        <f aca="false">01_Data!D20</f>
        <v>1</v>
      </c>
      <c r="E158" s="51"/>
      <c r="F158" s="51"/>
      <c r="G158" s="51"/>
      <c r="H158" s="51"/>
      <c r="I158" s="51"/>
      <c r="J158" s="51"/>
      <c r="K158" s="51"/>
    </row>
    <row r="159" customFormat="false" ht="15" hidden="false" customHeight="false" outlineLevel="0" collapsed="false">
      <c r="A159" s="49" t="str">
        <f aca="false">01_Data!A21</f>
        <v>S16</v>
      </c>
      <c r="B159" s="50" t="n">
        <f aca="false">01_Data!F21</f>
        <v>1.4</v>
      </c>
      <c r="C159" s="50" t="n">
        <f aca="false">01_Data!G21</f>
        <v>1.13333333333333</v>
      </c>
      <c r="D159" s="50" t="n">
        <f aca="false">01_Data!D21</f>
        <v>1</v>
      </c>
      <c r="E159" s="51"/>
      <c r="F159" s="51"/>
      <c r="G159" s="51"/>
      <c r="H159" s="51"/>
      <c r="I159" s="51"/>
      <c r="J159" s="51"/>
      <c r="K159" s="51"/>
    </row>
    <row r="160" customFormat="false" ht="15" hidden="false" customHeight="false" outlineLevel="0" collapsed="false">
      <c r="A160" s="49" t="str">
        <f aca="false">01_Data!A22</f>
        <v>S17</v>
      </c>
      <c r="B160" s="50" t="n">
        <f aca="false">01_Data!F22</f>
        <v>1.6</v>
      </c>
      <c r="C160" s="50" t="n">
        <f aca="false">01_Data!G22</f>
        <v>1.33333333333333</v>
      </c>
      <c r="D160" s="50" t="n">
        <f aca="false">01_Data!D22</f>
        <v>1</v>
      </c>
      <c r="E160" s="51"/>
      <c r="F160" s="51"/>
      <c r="G160" s="51"/>
      <c r="H160" s="51"/>
      <c r="I160" s="51"/>
      <c r="J160" s="51"/>
      <c r="K160" s="51"/>
    </row>
    <row r="161" customFormat="false" ht="15" hidden="false" customHeight="false" outlineLevel="0" collapsed="false">
      <c r="A161" s="49" t="str">
        <f aca="false">01_Data!A23</f>
        <v>S18</v>
      </c>
      <c r="B161" s="50" t="n">
        <f aca="false">01_Data!F23</f>
        <v>0</v>
      </c>
      <c r="C161" s="50" t="n">
        <f aca="false">01_Data!G23</f>
        <v>-0.666666666666667</v>
      </c>
      <c r="D161" s="50" t="n">
        <f aca="false">01_Data!D23</f>
        <v>0</v>
      </c>
      <c r="E161" s="51"/>
      <c r="F161" s="51"/>
      <c r="G161" s="51"/>
      <c r="H161" s="51"/>
      <c r="I161" s="51"/>
      <c r="J161" s="51"/>
      <c r="K161" s="51"/>
    </row>
    <row r="162" customFormat="false" ht="15" hidden="false" customHeight="false" outlineLevel="0" collapsed="false">
      <c r="A162" s="49" t="str">
        <f aca="false">01_Data!A24</f>
        <v>S19</v>
      </c>
      <c r="B162" s="50" t="n">
        <f aca="false">01_Data!F24</f>
        <v>-0.8</v>
      </c>
      <c r="C162" s="50" t="n">
        <f aca="false">01_Data!G24</f>
        <v>0.666666666666667</v>
      </c>
      <c r="D162" s="50" t="n">
        <f aca="false">01_Data!D24</f>
        <v>1</v>
      </c>
      <c r="E162" s="51"/>
      <c r="F162" s="51"/>
      <c r="G162" s="51"/>
      <c r="H162" s="51"/>
      <c r="I162" s="51"/>
      <c r="J162" s="51"/>
      <c r="K162" s="51"/>
    </row>
    <row r="163" customFormat="false" ht="15" hidden="false" customHeight="false" outlineLevel="0" collapsed="false">
      <c r="A163" s="49" t="str">
        <f aca="false">01_Data!A25</f>
        <v>S20</v>
      </c>
      <c r="B163" s="50" t="n">
        <f aca="false">01_Data!F25</f>
        <v>0.8</v>
      </c>
      <c r="C163" s="50" t="n">
        <f aca="false">01_Data!G25</f>
        <v>-0.666666666666667</v>
      </c>
      <c r="D163" s="50" t="n">
        <f aca="false">01_Data!D25</f>
        <v>1</v>
      </c>
      <c r="E163" s="51"/>
      <c r="F163" s="51"/>
      <c r="G163" s="51"/>
      <c r="H163" s="51"/>
      <c r="I163" s="51"/>
      <c r="J163" s="51"/>
      <c r="K163" s="51"/>
    </row>
    <row r="164" customFormat="false" ht="15" hidden="false" customHeight="false" outlineLevel="0" collapsed="false">
      <c r="A164" s="52" t="s">
        <v>138</v>
      </c>
      <c r="B164" s="52"/>
      <c r="C164" s="52"/>
      <c r="D164" s="52"/>
      <c r="E164" s="52"/>
      <c r="F164" s="52"/>
      <c r="G164" s="52" t="s">
        <v>139</v>
      </c>
      <c r="H164" s="53"/>
      <c r="I164" s="53"/>
      <c r="J164" s="53"/>
      <c r="K164" s="53"/>
    </row>
    <row r="165" customFormat="false" ht="22.35" hidden="false" customHeight="true" outlineLevel="0" collapsed="false">
      <c r="A165" s="46" t="s">
        <v>140</v>
      </c>
      <c r="B165" s="46"/>
      <c r="C165" s="46" t="s">
        <v>141</v>
      </c>
      <c r="D165" s="54"/>
      <c r="E165" s="46" t="s">
        <v>142</v>
      </c>
      <c r="F165" s="54"/>
      <c r="G165" s="46" t="s">
        <v>143</v>
      </c>
      <c r="H165" s="54"/>
      <c r="I165" s="47" t="s">
        <v>144</v>
      </c>
      <c r="J165" s="47"/>
      <c r="K165" s="47"/>
    </row>
    <row r="167" customFormat="false" ht="22.5" hidden="false" customHeight="true" outlineLevel="0" collapsed="false">
      <c r="A167" s="3" t="s">
        <v>150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customFormat="false" ht="15" hidden="false" customHeight="true" outlineLevel="0" collapsed="false">
      <c r="A168" s="46" t="s">
        <v>123</v>
      </c>
      <c r="B168" s="47" t="n">
        <v>7</v>
      </c>
      <c r="C168" s="46" t="s">
        <v>124</v>
      </c>
      <c r="D168" s="48" t="str">
        <f aca="false">IF(D165="","",D165)</f>
        <v/>
      </c>
      <c r="E168" s="46" t="s">
        <v>125</v>
      </c>
      <c r="F168" s="48" t="str">
        <f aca="false">IF(F165="","",F165)</f>
        <v/>
      </c>
      <c r="G168" s="46" t="s">
        <v>126</v>
      </c>
      <c r="H168" s="48" t="str">
        <f aca="false">IF(H165="","",H165)</f>
        <v/>
      </c>
      <c r="I168" s="47" t="s">
        <v>127</v>
      </c>
      <c r="J168" s="47"/>
      <c r="K168" s="47"/>
    </row>
    <row r="169" customFormat="false" ht="33.75" hidden="false" customHeight="true" outlineLevel="0" collapsed="false">
      <c r="A169" s="17" t="s">
        <v>128</v>
      </c>
      <c r="B169" s="17" t="s">
        <v>129</v>
      </c>
      <c r="C169" s="17" t="s">
        <v>130</v>
      </c>
      <c r="D169" s="17" t="s">
        <v>131</v>
      </c>
      <c r="E169" s="17" t="s">
        <v>132</v>
      </c>
      <c r="F169" s="17" t="s">
        <v>133</v>
      </c>
      <c r="G169" s="17" t="s">
        <v>134</v>
      </c>
      <c r="H169" s="17" t="s">
        <v>135</v>
      </c>
      <c r="I169" s="17" t="s">
        <v>136</v>
      </c>
      <c r="J169" s="17" t="s">
        <v>137</v>
      </c>
      <c r="K169" s="17" t="s">
        <v>33</v>
      </c>
    </row>
    <row r="170" customFormat="false" ht="15" hidden="false" customHeight="false" outlineLevel="0" collapsed="false">
      <c r="A170" s="49" t="str">
        <f aca="false">01_Data!A6</f>
        <v>S01</v>
      </c>
      <c r="B170" s="50" t="n">
        <f aca="false">01_Data!F6</f>
        <v>-1.6</v>
      </c>
      <c r="C170" s="50" t="n">
        <f aca="false">01_Data!G6</f>
        <v>-1.33333333333333</v>
      </c>
      <c r="D170" s="50" t="n">
        <f aca="false">01_Data!D6</f>
        <v>0</v>
      </c>
      <c r="E170" s="51"/>
      <c r="F170" s="51"/>
      <c r="G170" s="51"/>
      <c r="H170" s="51"/>
      <c r="I170" s="51"/>
      <c r="J170" s="51"/>
      <c r="K170" s="51"/>
    </row>
    <row r="171" customFormat="false" ht="15" hidden="false" customHeight="false" outlineLevel="0" collapsed="false">
      <c r="A171" s="49" t="str">
        <f aca="false">01_Data!A7</f>
        <v>S02</v>
      </c>
      <c r="B171" s="50" t="n">
        <f aca="false">01_Data!F7</f>
        <v>-1.4</v>
      </c>
      <c r="C171" s="50" t="n">
        <f aca="false">01_Data!G7</f>
        <v>-1</v>
      </c>
      <c r="D171" s="50" t="n">
        <f aca="false">01_Data!D7</f>
        <v>0</v>
      </c>
      <c r="E171" s="51"/>
      <c r="F171" s="51"/>
      <c r="G171" s="51"/>
      <c r="H171" s="51"/>
      <c r="I171" s="51"/>
      <c r="J171" s="51"/>
      <c r="K171" s="51"/>
    </row>
    <row r="172" customFormat="false" ht="15" hidden="false" customHeight="false" outlineLevel="0" collapsed="false">
      <c r="A172" s="49" t="str">
        <f aca="false">01_Data!A8</f>
        <v>S03</v>
      </c>
      <c r="B172" s="50" t="n">
        <f aca="false">01_Data!F8</f>
        <v>-1.2</v>
      </c>
      <c r="C172" s="50" t="n">
        <f aca="false">01_Data!G8</f>
        <v>-1.13333333333333</v>
      </c>
      <c r="D172" s="50" t="n">
        <f aca="false">01_Data!D8</f>
        <v>0</v>
      </c>
      <c r="E172" s="51"/>
      <c r="F172" s="51"/>
      <c r="G172" s="51"/>
      <c r="H172" s="51"/>
      <c r="I172" s="51"/>
      <c r="J172" s="51"/>
      <c r="K172" s="51"/>
    </row>
    <row r="173" customFormat="false" ht="15" hidden="false" customHeight="false" outlineLevel="0" collapsed="false">
      <c r="A173" s="49" t="str">
        <f aca="false">01_Data!A9</f>
        <v>S04</v>
      </c>
      <c r="B173" s="50" t="n">
        <f aca="false">01_Data!F9</f>
        <v>-1</v>
      </c>
      <c r="C173" s="50" t="n">
        <f aca="false">01_Data!G9</f>
        <v>-0.666666666666667</v>
      </c>
      <c r="D173" s="50" t="n">
        <f aca="false">01_Data!D9</f>
        <v>0</v>
      </c>
      <c r="E173" s="51"/>
      <c r="F173" s="51"/>
      <c r="G173" s="51"/>
      <c r="H173" s="51"/>
      <c r="I173" s="51"/>
      <c r="J173" s="51"/>
      <c r="K173" s="51"/>
    </row>
    <row r="174" customFormat="false" ht="15" hidden="false" customHeight="false" outlineLevel="0" collapsed="false">
      <c r="A174" s="49" t="str">
        <f aca="false">01_Data!A10</f>
        <v>S05</v>
      </c>
      <c r="B174" s="50" t="n">
        <f aca="false">01_Data!F10</f>
        <v>-0.8</v>
      </c>
      <c r="C174" s="50" t="n">
        <f aca="false">01_Data!G10</f>
        <v>-0.866666666666667</v>
      </c>
      <c r="D174" s="50" t="n">
        <f aca="false">01_Data!D10</f>
        <v>0</v>
      </c>
      <c r="E174" s="51"/>
      <c r="F174" s="51"/>
      <c r="G174" s="51"/>
      <c r="H174" s="51"/>
      <c r="I174" s="51"/>
      <c r="J174" s="51"/>
      <c r="K174" s="51"/>
    </row>
    <row r="175" customFormat="false" ht="15" hidden="false" customHeight="false" outlineLevel="0" collapsed="false">
      <c r="A175" s="49" t="str">
        <f aca="false">01_Data!A11</f>
        <v>S06</v>
      </c>
      <c r="B175" s="50" t="n">
        <f aca="false">01_Data!F11</f>
        <v>-0.6</v>
      </c>
      <c r="C175" s="50" t="n">
        <f aca="false">01_Data!G11</f>
        <v>-0.333333333333333</v>
      </c>
      <c r="D175" s="50" t="n">
        <f aca="false">01_Data!D11</f>
        <v>0</v>
      </c>
      <c r="E175" s="51"/>
      <c r="F175" s="51"/>
      <c r="G175" s="51"/>
      <c r="H175" s="51"/>
      <c r="I175" s="51"/>
      <c r="J175" s="51"/>
      <c r="K175" s="51"/>
    </row>
    <row r="176" customFormat="false" ht="15" hidden="false" customHeight="false" outlineLevel="0" collapsed="false">
      <c r="A176" s="49" t="str">
        <f aca="false">01_Data!A12</f>
        <v>S07</v>
      </c>
      <c r="B176" s="50" t="n">
        <f aca="false">01_Data!F12</f>
        <v>-0.4</v>
      </c>
      <c r="C176" s="50" t="n">
        <f aca="false">01_Data!G12</f>
        <v>-0.466666666666667</v>
      </c>
      <c r="D176" s="50" t="n">
        <f aca="false">01_Data!D12</f>
        <v>0</v>
      </c>
      <c r="E176" s="51"/>
      <c r="F176" s="51"/>
      <c r="G176" s="51"/>
      <c r="H176" s="51"/>
      <c r="I176" s="51"/>
      <c r="J176" s="51"/>
      <c r="K176" s="51"/>
    </row>
    <row r="177" customFormat="false" ht="15" hidden="false" customHeight="false" outlineLevel="0" collapsed="false">
      <c r="A177" s="49" t="str">
        <f aca="false">01_Data!A13</f>
        <v>S08</v>
      </c>
      <c r="B177" s="50" t="n">
        <f aca="false">01_Data!F13</f>
        <v>-0.2</v>
      </c>
      <c r="C177" s="50" t="n">
        <f aca="false">01_Data!G13</f>
        <v>-0.2</v>
      </c>
      <c r="D177" s="50" t="n">
        <f aca="false">01_Data!D13</f>
        <v>1</v>
      </c>
      <c r="E177" s="51"/>
      <c r="F177" s="51"/>
      <c r="G177" s="51"/>
      <c r="H177" s="51"/>
      <c r="I177" s="51"/>
      <c r="J177" s="51"/>
      <c r="K177" s="51"/>
    </row>
    <row r="178" customFormat="false" ht="15" hidden="false" customHeight="false" outlineLevel="0" collapsed="false">
      <c r="A178" s="49" t="str">
        <f aca="false">01_Data!A14</f>
        <v>S09</v>
      </c>
      <c r="B178" s="50" t="n">
        <f aca="false">01_Data!F14</f>
        <v>0</v>
      </c>
      <c r="C178" s="50" t="n">
        <f aca="false">01_Data!G14</f>
        <v>0</v>
      </c>
      <c r="D178" s="50" t="n">
        <f aca="false">01_Data!D14</f>
        <v>1</v>
      </c>
      <c r="E178" s="51"/>
      <c r="F178" s="51"/>
      <c r="G178" s="51"/>
      <c r="H178" s="51"/>
      <c r="I178" s="51"/>
      <c r="J178" s="51"/>
      <c r="K178" s="51"/>
    </row>
    <row r="179" customFormat="false" ht="15" hidden="false" customHeight="false" outlineLevel="0" collapsed="false">
      <c r="A179" s="49" t="str">
        <f aca="false">01_Data!A15</f>
        <v>S10</v>
      </c>
      <c r="B179" s="50" t="n">
        <f aca="false">01_Data!F15</f>
        <v>0.2</v>
      </c>
      <c r="C179" s="50" t="n">
        <f aca="false">01_Data!G15</f>
        <v>0.2</v>
      </c>
      <c r="D179" s="50" t="n">
        <f aca="false">01_Data!D15</f>
        <v>1</v>
      </c>
      <c r="E179" s="51"/>
      <c r="F179" s="51"/>
      <c r="G179" s="51"/>
      <c r="H179" s="51"/>
      <c r="I179" s="51"/>
      <c r="J179" s="51"/>
      <c r="K179" s="51"/>
    </row>
    <row r="180" customFormat="false" ht="15" hidden="false" customHeight="false" outlineLevel="0" collapsed="false">
      <c r="A180" s="49" t="str">
        <f aca="false">01_Data!A16</f>
        <v>S11</v>
      </c>
      <c r="B180" s="50" t="n">
        <f aca="false">01_Data!F16</f>
        <v>0.4</v>
      </c>
      <c r="C180" s="50" t="n">
        <f aca="false">01_Data!G16</f>
        <v>0.333333333333333</v>
      </c>
      <c r="D180" s="50" t="n">
        <f aca="false">01_Data!D16</f>
        <v>1</v>
      </c>
      <c r="E180" s="51"/>
      <c r="F180" s="51"/>
      <c r="G180" s="51"/>
      <c r="H180" s="51"/>
      <c r="I180" s="51"/>
      <c r="J180" s="51"/>
      <c r="K180" s="51"/>
    </row>
    <row r="181" customFormat="false" ht="15" hidden="false" customHeight="false" outlineLevel="0" collapsed="false">
      <c r="A181" s="49" t="str">
        <f aca="false">01_Data!A17</f>
        <v>S12</v>
      </c>
      <c r="B181" s="50" t="n">
        <f aca="false">01_Data!F17</f>
        <v>0.6</v>
      </c>
      <c r="C181" s="50" t="n">
        <f aca="false">01_Data!G17</f>
        <v>0.466666666666667</v>
      </c>
      <c r="D181" s="50" t="n">
        <f aca="false">01_Data!D17</f>
        <v>1</v>
      </c>
      <c r="E181" s="51"/>
      <c r="F181" s="51"/>
      <c r="G181" s="51"/>
      <c r="H181" s="51"/>
      <c r="I181" s="51"/>
      <c r="J181" s="51"/>
      <c r="K181" s="51"/>
    </row>
    <row r="182" customFormat="false" ht="15" hidden="false" customHeight="false" outlineLevel="0" collapsed="false">
      <c r="A182" s="49" t="str">
        <f aca="false">01_Data!A18</f>
        <v>S13</v>
      </c>
      <c r="B182" s="50" t="n">
        <f aca="false">01_Data!F18</f>
        <v>0.8</v>
      </c>
      <c r="C182" s="50" t="n">
        <f aca="false">01_Data!G18</f>
        <v>0.666666666666667</v>
      </c>
      <c r="D182" s="50" t="n">
        <f aca="false">01_Data!D18</f>
        <v>1</v>
      </c>
      <c r="E182" s="51"/>
      <c r="F182" s="51"/>
      <c r="G182" s="51"/>
      <c r="H182" s="51"/>
      <c r="I182" s="51"/>
      <c r="J182" s="51"/>
      <c r="K182" s="51"/>
    </row>
    <row r="183" customFormat="false" ht="15" hidden="false" customHeight="false" outlineLevel="0" collapsed="false">
      <c r="A183" s="49" t="str">
        <f aca="false">01_Data!A19</f>
        <v>S14</v>
      </c>
      <c r="B183" s="50" t="n">
        <f aca="false">01_Data!F19</f>
        <v>1</v>
      </c>
      <c r="C183" s="50" t="n">
        <f aca="false">01_Data!G19</f>
        <v>0.866666666666667</v>
      </c>
      <c r="D183" s="50" t="n">
        <f aca="false">01_Data!D19</f>
        <v>1</v>
      </c>
      <c r="E183" s="51"/>
      <c r="F183" s="51"/>
      <c r="G183" s="51"/>
      <c r="H183" s="51"/>
      <c r="I183" s="51"/>
      <c r="J183" s="51"/>
      <c r="K183" s="51"/>
    </row>
    <row r="184" customFormat="false" ht="15" hidden="false" customHeight="false" outlineLevel="0" collapsed="false">
      <c r="A184" s="49" t="str">
        <f aca="false">01_Data!A20</f>
        <v>S15</v>
      </c>
      <c r="B184" s="50" t="n">
        <f aca="false">01_Data!F20</f>
        <v>1.2</v>
      </c>
      <c r="C184" s="50" t="n">
        <f aca="false">01_Data!G20</f>
        <v>1</v>
      </c>
      <c r="D184" s="50" t="n">
        <f aca="false">01_Data!D20</f>
        <v>1</v>
      </c>
      <c r="E184" s="51"/>
      <c r="F184" s="51"/>
      <c r="G184" s="51"/>
      <c r="H184" s="51"/>
      <c r="I184" s="51"/>
      <c r="J184" s="51"/>
      <c r="K184" s="51"/>
    </row>
    <row r="185" customFormat="false" ht="15" hidden="false" customHeight="false" outlineLevel="0" collapsed="false">
      <c r="A185" s="49" t="str">
        <f aca="false">01_Data!A21</f>
        <v>S16</v>
      </c>
      <c r="B185" s="50" t="n">
        <f aca="false">01_Data!F21</f>
        <v>1.4</v>
      </c>
      <c r="C185" s="50" t="n">
        <f aca="false">01_Data!G21</f>
        <v>1.13333333333333</v>
      </c>
      <c r="D185" s="50" t="n">
        <f aca="false">01_Data!D21</f>
        <v>1</v>
      </c>
      <c r="E185" s="51"/>
      <c r="F185" s="51"/>
      <c r="G185" s="51"/>
      <c r="H185" s="51"/>
      <c r="I185" s="51"/>
      <c r="J185" s="51"/>
      <c r="K185" s="51"/>
    </row>
    <row r="186" customFormat="false" ht="15" hidden="false" customHeight="false" outlineLevel="0" collapsed="false">
      <c r="A186" s="49" t="str">
        <f aca="false">01_Data!A22</f>
        <v>S17</v>
      </c>
      <c r="B186" s="50" t="n">
        <f aca="false">01_Data!F22</f>
        <v>1.6</v>
      </c>
      <c r="C186" s="50" t="n">
        <f aca="false">01_Data!G22</f>
        <v>1.33333333333333</v>
      </c>
      <c r="D186" s="50" t="n">
        <f aca="false">01_Data!D22</f>
        <v>1</v>
      </c>
      <c r="E186" s="51"/>
      <c r="F186" s="51"/>
      <c r="G186" s="51"/>
      <c r="H186" s="51"/>
      <c r="I186" s="51"/>
      <c r="J186" s="51"/>
      <c r="K186" s="51"/>
    </row>
    <row r="187" customFormat="false" ht="15" hidden="false" customHeight="false" outlineLevel="0" collapsed="false">
      <c r="A187" s="49" t="str">
        <f aca="false">01_Data!A23</f>
        <v>S18</v>
      </c>
      <c r="B187" s="50" t="n">
        <f aca="false">01_Data!F23</f>
        <v>0</v>
      </c>
      <c r="C187" s="50" t="n">
        <f aca="false">01_Data!G23</f>
        <v>-0.666666666666667</v>
      </c>
      <c r="D187" s="50" t="n">
        <f aca="false">01_Data!D23</f>
        <v>0</v>
      </c>
      <c r="E187" s="51"/>
      <c r="F187" s="51"/>
      <c r="G187" s="51"/>
      <c r="H187" s="51"/>
      <c r="I187" s="51"/>
      <c r="J187" s="51"/>
      <c r="K187" s="51"/>
    </row>
    <row r="188" customFormat="false" ht="15" hidden="false" customHeight="false" outlineLevel="0" collapsed="false">
      <c r="A188" s="49" t="str">
        <f aca="false">01_Data!A24</f>
        <v>S19</v>
      </c>
      <c r="B188" s="50" t="n">
        <f aca="false">01_Data!F24</f>
        <v>-0.8</v>
      </c>
      <c r="C188" s="50" t="n">
        <f aca="false">01_Data!G24</f>
        <v>0.666666666666667</v>
      </c>
      <c r="D188" s="50" t="n">
        <f aca="false">01_Data!D24</f>
        <v>1</v>
      </c>
      <c r="E188" s="51"/>
      <c r="F188" s="51"/>
      <c r="G188" s="51"/>
      <c r="H188" s="51"/>
      <c r="I188" s="51"/>
      <c r="J188" s="51"/>
      <c r="K188" s="51"/>
    </row>
    <row r="189" customFormat="false" ht="15" hidden="false" customHeight="false" outlineLevel="0" collapsed="false">
      <c r="A189" s="49" t="str">
        <f aca="false">01_Data!A25</f>
        <v>S20</v>
      </c>
      <c r="B189" s="50" t="n">
        <f aca="false">01_Data!F25</f>
        <v>0.8</v>
      </c>
      <c r="C189" s="50" t="n">
        <f aca="false">01_Data!G25</f>
        <v>-0.666666666666667</v>
      </c>
      <c r="D189" s="50" t="n">
        <f aca="false">01_Data!D25</f>
        <v>1</v>
      </c>
      <c r="E189" s="51"/>
      <c r="F189" s="51"/>
      <c r="G189" s="51"/>
      <c r="H189" s="51"/>
      <c r="I189" s="51"/>
      <c r="J189" s="51"/>
      <c r="K189" s="51"/>
    </row>
    <row r="190" customFormat="false" ht="15" hidden="false" customHeight="false" outlineLevel="0" collapsed="false">
      <c r="A190" s="52" t="s">
        <v>138</v>
      </c>
      <c r="B190" s="52"/>
      <c r="C190" s="52"/>
      <c r="D190" s="52"/>
      <c r="E190" s="52"/>
      <c r="F190" s="52"/>
      <c r="G190" s="52" t="s">
        <v>139</v>
      </c>
      <c r="H190" s="53"/>
      <c r="I190" s="53"/>
      <c r="J190" s="53"/>
      <c r="K190" s="53"/>
    </row>
    <row r="191" customFormat="false" ht="22.35" hidden="false" customHeight="true" outlineLevel="0" collapsed="false">
      <c r="A191" s="46" t="s">
        <v>140</v>
      </c>
      <c r="B191" s="46"/>
      <c r="C191" s="46" t="s">
        <v>141</v>
      </c>
      <c r="D191" s="54"/>
      <c r="E191" s="46" t="s">
        <v>142</v>
      </c>
      <c r="F191" s="54"/>
      <c r="G191" s="46" t="s">
        <v>143</v>
      </c>
      <c r="H191" s="54"/>
      <c r="I191" s="47" t="s">
        <v>144</v>
      </c>
      <c r="J191" s="47"/>
      <c r="K191" s="47"/>
    </row>
    <row r="193" customFormat="false" ht="22.5" hidden="false" customHeight="true" outlineLevel="0" collapsed="false">
      <c r="A193" s="55" t="s">
        <v>151</v>
      </c>
      <c r="B193" s="55"/>
      <c r="C193" s="55"/>
      <c r="D193" s="55"/>
      <c r="E193" s="55"/>
      <c r="F193" s="55"/>
      <c r="G193" s="55"/>
      <c r="H193" s="55"/>
      <c r="I193" s="55"/>
      <c r="J193" s="55"/>
      <c r="K193" s="55"/>
    </row>
    <row r="194" customFormat="false" ht="15" hidden="false" customHeight="true" outlineLevel="0" collapsed="false">
      <c r="A194" s="46" t="s">
        <v>123</v>
      </c>
      <c r="B194" s="47" t="n">
        <v>8</v>
      </c>
      <c r="C194" s="46" t="s">
        <v>124</v>
      </c>
      <c r="D194" s="48" t="str">
        <f aca="false">IF(D191="","",D191)</f>
        <v/>
      </c>
      <c r="E194" s="46" t="s">
        <v>125</v>
      </c>
      <c r="F194" s="48" t="str">
        <f aca="false">IF(F191="","",F191)</f>
        <v/>
      </c>
      <c r="G194" s="46" t="s">
        <v>126</v>
      </c>
      <c r="H194" s="48" t="str">
        <f aca="false">IF(H191="","",H191)</f>
        <v/>
      </c>
      <c r="I194" s="47" t="s">
        <v>127</v>
      </c>
      <c r="J194" s="47"/>
      <c r="K194" s="47"/>
    </row>
    <row r="195" customFormat="false" ht="33.75" hidden="false" customHeight="true" outlineLevel="0" collapsed="false">
      <c r="A195" s="17" t="s">
        <v>128</v>
      </c>
      <c r="B195" s="17" t="s">
        <v>129</v>
      </c>
      <c r="C195" s="17" t="s">
        <v>130</v>
      </c>
      <c r="D195" s="17" t="s">
        <v>131</v>
      </c>
      <c r="E195" s="17" t="s">
        <v>132</v>
      </c>
      <c r="F195" s="17" t="s">
        <v>133</v>
      </c>
      <c r="G195" s="17" t="s">
        <v>134</v>
      </c>
      <c r="H195" s="17" t="s">
        <v>135</v>
      </c>
      <c r="I195" s="17" t="s">
        <v>136</v>
      </c>
      <c r="J195" s="17" t="s">
        <v>137</v>
      </c>
      <c r="K195" s="17" t="s">
        <v>33</v>
      </c>
    </row>
    <row r="196" customFormat="false" ht="15" hidden="false" customHeight="false" outlineLevel="0" collapsed="false">
      <c r="A196" s="49" t="str">
        <f aca="false">01_Data!A6</f>
        <v>S01</v>
      </c>
      <c r="B196" s="50" t="n">
        <f aca="false">01_Data!F6</f>
        <v>-1.6</v>
      </c>
      <c r="C196" s="50" t="n">
        <f aca="false">01_Data!G6</f>
        <v>-1.33333333333333</v>
      </c>
      <c r="D196" s="50" t="n">
        <f aca="false">01_Data!D6</f>
        <v>0</v>
      </c>
      <c r="E196" s="51"/>
      <c r="F196" s="51"/>
      <c r="G196" s="51"/>
      <c r="H196" s="51"/>
      <c r="I196" s="51"/>
      <c r="J196" s="51"/>
      <c r="K196" s="51"/>
    </row>
    <row r="197" customFormat="false" ht="15" hidden="false" customHeight="false" outlineLevel="0" collapsed="false">
      <c r="A197" s="49" t="str">
        <f aca="false">01_Data!A7</f>
        <v>S02</v>
      </c>
      <c r="B197" s="50" t="n">
        <f aca="false">01_Data!F7</f>
        <v>-1.4</v>
      </c>
      <c r="C197" s="50" t="n">
        <f aca="false">01_Data!G7</f>
        <v>-1</v>
      </c>
      <c r="D197" s="50" t="n">
        <f aca="false">01_Data!D7</f>
        <v>0</v>
      </c>
      <c r="E197" s="51"/>
      <c r="F197" s="51"/>
      <c r="G197" s="51"/>
      <c r="H197" s="51"/>
      <c r="I197" s="51"/>
      <c r="J197" s="51"/>
      <c r="K197" s="51"/>
    </row>
    <row r="198" customFormat="false" ht="15" hidden="false" customHeight="false" outlineLevel="0" collapsed="false">
      <c r="A198" s="49" t="str">
        <f aca="false">01_Data!A8</f>
        <v>S03</v>
      </c>
      <c r="B198" s="50" t="n">
        <f aca="false">01_Data!F8</f>
        <v>-1.2</v>
      </c>
      <c r="C198" s="50" t="n">
        <f aca="false">01_Data!G8</f>
        <v>-1.13333333333333</v>
      </c>
      <c r="D198" s="50" t="n">
        <f aca="false">01_Data!D8</f>
        <v>0</v>
      </c>
      <c r="E198" s="51"/>
      <c r="F198" s="51"/>
      <c r="G198" s="51"/>
      <c r="H198" s="51"/>
      <c r="I198" s="51"/>
      <c r="J198" s="51"/>
      <c r="K198" s="51"/>
    </row>
    <row r="199" customFormat="false" ht="15" hidden="false" customHeight="false" outlineLevel="0" collapsed="false">
      <c r="A199" s="49" t="str">
        <f aca="false">01_Data!A9</f>
        <v>S04</v>
      </c>
      <c r="B199" s="50" t="n">
        <f aca="false">01_Data!F9</f>
        <v>-1</v>
      </c>
      <c r="C199" s="50" t="n">
        <f aca="false">01_Data!G9</f>
        <v>-0.666666666666667</v>
      </c>
      <c r="D199" s="50" t="n">
        <f aca="false">01_Data!D9</f>
        <v>0</v>
      </c>
      <c r="E199" s="51"/>
      <c r="F199" s="51"/>
      <c r="G199" s="51"/>
      <c r="H199" s="51"/>
      <c r="I199" s="51"/>
      <c r="J199" s="51"/>
      <c r="K199" s="51"/>
    </row>
    <row r="200" customFormat="false" ht="15" hidden="false" customHeight="false" outlineLevel="0" collapsed="false">
      <c r="A200" s="49" t="str">
        <f aca="false">01_Data!A10</f>
        <v>S05</v>
      </c>
      <c r="B200" s="50" t="n">
        <f aca="false">01_Data!F10</f>
        <v>-0.8</v>
      </c>
      <c r="C200" s="50" t="n">
        <f aca="false">01_Data!G10</f>
        <v>-0.866666666666667</v>
      </c>
      <c r="D200" s="50" t="n">
        <f aca="false">01_Data!D10</f>
        <v>0</v>
      </c>
      <c r="E200" s="51"/>
      <c r="F200" s="51"/>
      <c r="G200" s="51"/>
      <c r="H200" s="51"/>
      <c r="I200" s="51"/>
      <c r="J200" s="51"/>
      <c r="K200" s="51"/>
    </row>
    <row r="201" customFormat="false" ht="15" hidden="false" customHeight="false" outlineLevel="0" collapsed="false">
      <c r="A201" s="49" t="str">
        <f aca="false">01_Data!A11</f>
        <v>S06</v>
      </c>
      <c r="B201" s="50" t="n">
        <f aca="false">01_Data!F11</f>
        <v>-0.6</v>
      </c>
      <c r="C201" s="50" t="n">
        <f aca="false">01_Data!G11</f>
        <v>-0.333333333333333</v>
      </c>
      <c r="D201" s="50" t="n">
        <f aca="false">01_Data!D11</f>
        <v>0</v>
      </c>
      <c r="E201" s="51"/>
      <c r="F201" s="51"/>
      <c r="G201" s="51"/>
      <c r="H201" s="51"/>
      <c r="I201" s="51"/>
      <c r="J201" s="51"/>
      <c r="K201" s="51"/>
    </row>
    <row r="202" customFormat="false" ht="15" hidden="false" customHeight="false" outlineLevel="0" collapsed="false">
      <c r="A202" s="49" t="str">
        <f aca="false">01_Data!A12</f>
        <v>S07</v>
      </c>
      <c r="B202" s="50" t="n">
        <f aca="false">01_Data!F12</f>
        <v>-0.4</v>
      </c>
      <c r="C202" s="50" t="n">
        <f aca="false">01_Data!G12</f>
        <v>-0.466666666666667</v>
      </c>
      <c r="D202" s="50" t="n">
        <f aca="false">01_Data!D12</f>
        <v>0</v>
      </c>
      <c r="E202" s="51"/>
      <c r="F202" s="51"/>
      <c r="G202" s="51"/>
      <c r="H202" s="51"/>
      <c r="I202" s="51"/>
      <c r="J202" s="51"/>
      <c r="K202" s="51"/>
    </row>
    <row r="203" customFormat="false" ht="15" hidden="false" customHeight="false" outlineLevel="0" collapsed="false">
      <c r="A203" s="49" t="str">
        <f aca="false">01_Data!A13</f>
        <v>S08</v>
      </c>
      <c r="B203" s="50" t="n">
        <f aca="false">01_Data!F13</f>
        <v>-0.2</v>
      </c>
      <c r="C203" s="50" t="n">
        <f aca="false">01_Data!G13</f>
        <v>-0.2</v>
      </c>
      <c r="D203" s="50" t="n">
        <f aca="false">01_Data!D13</f>
        <v>1</v>
      </c>
      <c r="E203" s="51"/>
      <c r="F203" s="51"/>
      <c r="G203" s="51"/>
      <c r="H203" s="51"/>
      <c r="I203" s="51"/>
      <c r="J203" s="51"/>
      <c r="K203" s="51"/>
    </row>
    <row r="204" customFormat="false" ht="15" hidden="false" customHeight="false" outlineLevel="0" collapsed="false">
      <c r="A204" s="49" t="str">
        <f aca="false">01_Data!A14</f>
        <v>S09</v>
      </c>
      <c r="B204" s="50" t="n">
        <f aca="false">01_Data!F14</f>
        <v>0</v>
      </c>
      <c r="C204" s="50" t="n">
        <f aca="false">01_Data!G14</f>
        <v>0</v>
      </c>
      <c r="D204" s="50" t="n">
        <f aca="false">01_Data!D14</f>
        <v>1</v>
      </c>
      <c r="E204" s="51"/>
      <c r="F204" s="51"/>
      <c r="G204" s="51"/>
      <c r="H204" s="51"/>
      <c r="I204" s="51"/>
      <c r="J204" s="51"/>
      <c r="K204" s="51"/>
    </row>
    <row r="205" customFormat="false" ht="15" hidden="false" customHeight="false" outlineLevel="0" collapsed="false">
      <c r="A205" s="49" t="str">
        <f aca="false">01_Data!A15</f>
        <v>S10</v>
      </c>
      <c r="B205" s="50" t="n">
        <f aca="false">01_Data!F15</f>
        <v>0.2</v>
      </c>
      <c r="C205" s="50" t="n">
        <f aca="false">01_Data!G15</f>
        <v>0.2</v>
      </c>
      <c r="D205" s="50" t="n">
        <f aca="false">01_Data!D15</f>
        <v>1</v>
      </c>
      <c r="E205" s="51"/>
      <c r="F205" s="51"/>
      <c r="G205" s="51"/>
      <c r="H205" s="51"/>
      <c r="I205" s="51"/>
      <c r="J205" s="51"/>
      <c r="K205" s="51"/>
    </row>
    <row r="206" customFormat="false" ht="15" hidden="false" customHeight="false" outlineLevel="0" collapsed="false">
      <c r="A206" s="49" t="str">
        <f aca="false">01_Data!A16</f>
        <v>S11</v>
      </c>
      <c r="B206" s="50" t="n">
        <f aca="false">01_Data!F16</f>
        <v>0.4</v>
      </c>
      <c r="C206" s="50" t="n">
        <f aca="false">01_Data!G16</f>
        <v>0.333333333333333</v>
      </c>
      <c r="D206" s="50" t="n">
        <f aca="false">01_Data!D16</f>
        <v>1</v>
      </c>
      <c r="E206" s="51"/>
      <c r="F206" s="51"/>
      <c r="G206" s="51"/>
      <c r="H206" s="51"/>
      <c r="I206" s="51"/>
      <c r="J206" s="51"/>
      <c r="K206" s="51"/>
    </row>
    <row r="207" customFormat="false" ht="15" hidden="false" customHeight="false" outlineLevel="0" collapsed="false">
      <c r="A207" s="49" t="str">
        <f aca="false">01_Data!A17</f>
        <v>S12</v>
      </c>
      <c r="B207" s="50" t="n">
        <f aca="false">01_Data!F17</f>
        <v>0.6</v>
      </c>
      <c r="C207" s="50" t="n">
        <f aca="false">01_Data!G17</f>
        <v>0.466666666666667</v>
      </c>
      <c r="D207" s="50" t="n">
        <f aca="false">01_Data!D17</f>
        <v>1</v>
      </c>
      <c r="E207" s="51"/>
      <c r="F207" s="51"/>
      <c r="G207" s="51"/>
      <c r="H207" s="51"/>
      <c r="I207" s="51"/>
      <c r="J207" s="51"/>
      <c r="K207" s="51"/>
    </row>
    <row r="208" customFormat="false" ht="15" hidden="false" customHeight="false" outlineLevel="0" collapsed="false">
      <c r="A208" s="49" t="str">
        <f aca="false">01_Data!A18</f>
        <v>S13</v>
      </c>
      <c r="B208" s="50" t="n">
        <f aca="false">01_Data!F18</f>
        <v>0.8</v>
      </c>
      <c r="C208" s="50" t="n">
        <f aca="false">01_Data!G18</f>
        <v>0.666666666666667</v>
      </c>
      <c r="D208" s="50" t="n">
        <f aca="false">01_Data!D18</f>
        <v>1</v>
      </c>
      <c r="E208" s="51"/>
      <c r="F208" s="51"/>
      <c r="G208" s="51"/>
      <c r="H208" s="51"/>
      <c r="I208" s="51"/>
      <c r="J208" s="51"/>
      <c r="K208" s="51"/>
    </row>
    <row r="209" customFormat="false" ht="15" hidden="false" customHeight="false" outlineLevel="0" collapsed="false">
      <c r="A209" s="49" t="str">
        <f aca="false">01_Data!A19</f>
        <v>S14</v>
      </c>
      <c r="B209" s="50" t="n">
        <f aca="false">01_Data!F19</f>
        <v>1</v>
      </c>
      <c r="C209" s="50" t="n">
        <f aca="false">01_Data!G19</f>
        <v>0.866666666666667</v>
      </c>
      <c r="D209" s="50" t="n">
        <f aca="false">01_Data!D19</f>
        <v>1</v>
      </c>
      <c r="E209" s="51"/>
      <c r="F209" s="51"/>
      <c r="G209" s="51"/>
      <c r="H209" s="51"/>
      <c r="I209" s="51"/>
      <c r="J209" s="51"/>
      <c r="K209" s="51"/>
    </row>
    <row r="210" customFormat="false" ht="15" hidden="false" customHeight="false" outlineLevel="0" collapsed="false">
      <c r="A210" s="49" t="str">
        <f aca="false">01_Data!A20</f>
        <v>S15</v>
      </c>
      <c r="B210" s="50" t="n">
        <f aca="false">01_Data!F20</f>
        <v>1.2</v>
      </c>
      <c r="C210" s="50" t="n">
        <f aca="false">01_Data!G20</f>
        <v>1</v>
      </c>
      <c r="D210" s="50" t="n">
        <f aca="false">01_Data!D20</f>
        <v>1</v>
      </c>
      <c r="E210" s="51"/>
      <c r="F210" s="51"/>
      <c r="G210" s="51"/>
      <c r="H210" s="51"/>
      <c r="I210" s="51"/>
      <c r="J210" s="51"/>
      <c r="K210" s="51"/>
    </row>
    <row r="211" customFormat="false" ht="15" hidden="false" customHeight="false" outlineLevel="0" collapsed="false">
      <c r="A211" s="49" t="str">
        <f aca="false">01_Data!A21</f>
        <v>S16</v>
      </c>
      <c r="B211" s="50" t="n">
        <f aca="false">01_Data!F21</f>
        <v>1.4</v>
      </c>
      <c r="C211" s="50" t="n">
        <f aca="false">01_Data!G21</f>
        <v>1.13333333333333</v>
      </c>
      <c r="D211" s="50" t="n">
        <f aca="false">01_Data!D21</f>
        <v>1</v>
      </c>
      <c r="E211" s="51"/>
      <c r="F211" s="51"/>
      <c r="G211" s="51"/>
      <c r="H211" s="51"/>
      <c r="I211" s="51"/>
      <c r="J211" s="51"/>
      <c r="K211" s="51"/>
    </row>
    <row r="212" customFormat="false" ht="15" hidden="false" customHeight="false" outlineLevel="0" collapsed="false">
      <c r="A212" s="49" t="str">
        <f aca="false">01_Data!A22</f>
        <v>S17</v>
      </c>
      <c r="B212" s="50" t="n">
        <f aca="false">01_Data!F22</f>
        <v>1.6</v>
      </c>
      <c r="C212" s="50" t="n">
        <f aca="false">01_Data!G22</f>
        <v>1.33333333333333</v>
      </c>
      <c r="D212" s="50" t="n">
        <f aca="false">01_Data!D22</f>
        <v>1</v>
      </c>
      <c r="E212" s="51"/>
      <c r="F212" s="51"/>
      <c r="G212" s="51"/>
      <c r="H212" s="51"/>
      <c r="I212" s="51"/>
      <c r="J212" s="51"/>
      <c r="K212" s="51"/>
    </row>
    <row r="213" customFormat="false" ht="15" hidden="false" customHeight="false" outlineLevel="0" collapsed="false">
      <c r="A213" s="49" t="str">
        <f aca="false">01_Data!A23</f>
        <v>S18</v>
      </c>
      <c r="B213" s="50" t="n">
        <f aca="false">01_Data!F23</f>
        <v>0</v>
      </c>
      <c r="C213" s="50" t="n">
        <f aca="false">01_Data!G23</f>
        <v>-0.666666666666667</v>
      </c>
      <c r="D213" s="50" t="n">
        <f aca="false">01_Data!D23</f>
        <v>0</v>
      </c>
      <c r="E213" s="51"/>
      <c r="F213" s="51"/>
      <c r="G213" s="51"/>
      <c r="H213" s="51"/>
      <c r="I213" s="51"/>
      <c r="J213" s="51"/>
      <c r="K213" s="51"/>
    </row>
    <row r="214" customFormat="false" ht="15" hidden="false" customHeight="false" outlineLevel="0" collapsed="false">
      <c r="A214" s="49" t="str">
        <f aca="false">01_Data!A24</f>
        <v>S19</v>
      </c>
      <c r="B214" s="50" t="n">
        <f aca="false">01_Data!F24</f>
        <v>-0.8</v>
      </c>
      <c r="C214" s="50" t="n">
        <f aca="false">01_Data!G24</f>
        <v>0.666666666666667</v>
      </c>
      <c r="D214" s="50" t="n">
        <f aca="false">01_Data!D24</f>
        <v>1</v>
      </c>
      <c r="E214" s="51"/>
      <c r="F214" s="51"/>
      <c r="G214" s="51"/>
      <c r="H214" s="51"/>
      <c r="I214" s="51"/>
      <c r="J214" s="51"/>
      <c r="K214" s="51"/>
    </row>
    <row r="215" customFormat="false" ht="15" hidden="false" customHeight="false" outlineLevel="0" collapsed="false">
      <c r="A215" s="49" t="str">
        <f aca="false">01_Data!A25</f>
        <v>S20</v>
      </c>
      <c r="B215" s="50" t="n">
        <f aca="false">01_Data!F25</f>
        <v>0.8</v>
      </c>
      <c r="C215" s="50" t="n">
        <f aca="false">01_Data!G25</f>
        <v>-0.666666666666667</v>
      </c>
      <c r="D215" s="50" t="n">
        <f aca="false">01_Data!D25</f>
        <v>1</v>
      </c>
      <c r="E215" s="51"/>
      <c r="F215" s="51"/>
      <c r="G215" s="51"/>
      <c r="H215" s="51"/>
      <c r="I215" s="51"/>
      <c r="J215" s="51"/>
      <c r="K215" s="51"/>
    </row>
    <row r="216" customFormat="false" ht="15" hidden="false" customHeight="false" outlineLevel="0" collapsed="false">
      <c r="A216" s="52" t="s">
        <v>138</v>
      </c>
      <c r="B216" s="52"/>
      <c r="C216" s="52"/>
      <c r="D216" s="52"/>
      <c r="E216" s="52"/>
      <c r="F216" s="52"/>
      <c r="G216" s="52" t="s">
        <v>139</v>
      </c>
      <c r="H216" s="53"/>
      <c r="I216" s="53"/>
      <c r="J216" s="53"/>
      <c r="K216" s="53"/>
    </row>
    <row r="217" customFormat="false" ht="22.35" hidden="false" customHeight="true" outlineLevel="0" collapsed="false">
      <c r="A217" s="46" t="s">
        <v>140</v>
      </c>
      <c r="B217" s="46"/>
      <c r="C217" s="46" t="s">
        <v>141</v>
      </c>
      <c r="D217" s="54"/>
      <c r="E217" s="46" t="s">
        <v>142</v>
      </c>
      <c r="F217" s="54"/>
      <c r="G217" s="46" t="s">
        <v>143</v>
      </c>
      <c r="H217" s="54"/>
      <c r="I217" s="47" t="s">
        <v>144</v>
      </c>
      <c r="J217" s="47"/>
      <c r="K217" s="47"/>
    </row>
    <row r="219" customFormat="false" ht="22.5" hidden="false" customHeight="true" outlineLevel="0" collapsed="false">
      <c r="A219" s="3" t="s">
        <v>152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customFormat="false" ht="15" hidden="false" customHeight="true" outlineLevel="0" collapsed="false">
      <c r="A220" s="46" t="s">
        <v>123</v>
      </c>
      <c r="B220" s="47" t="n">
        <v>9</v>
      </c>
      <c r="C220" s="46" t="s">
        <v>124</v>
      </c>
      <c r="D220" s="48" t="str">
        <f aca="false">IF(D217="","",D217)</f>
        <v/>
      </c>
      <c r="E220" s="46" t="s">
        <v>125</v>
      </c>
      <c r="F220" s="48" t="str">
        <f aca="false">IF(F217="","",F217)</f>
        <v/>
      </c>
      <c r="G220" s="46" t="s">
        <v>126</v>
      </c>
      <c r="H220" s="48" t="str">
        <f aca="false">IF(H217="","",H217)</f>
        <v/>
      </c>
      <c r="I220" s="47" t="s">
        <v>127</v>
      </c>
      <c r="J220" s="47"/>
      <c r="K220" s="47"/>
    </row>
    <row r="221" customFormat="false" ht="33.75" hidden="false" customHeight="true" outlineLevel="0" collapsed="false">
      <c r="A221" s="17" t="s">
        <v>128</v>
      </c>
      <c r="B221" s="17" t="s">
        <v>129</v>
      </c>
      <c r="C221" s="17" t="s">
        <v>130</v>
      </c>
      <c r="D221" s="17" t="s">
        <v>131</v>
      </c>
      <c r="E221" s="17" t="s">
        <v>132</v>
      </c>
      <c r="F221" s="17" t="s">
        <v>133</v>
      </c>
      <c r="G221" s="17" t="s">
        <v>134</v>
      </c>
      <c r="H221" s="17" t="s">
        <v>135</v>
      </c>
      <c r="I221" s="17" t="s">
        <v>136</v>
      </c>
      <c r="J221" s="17" t="s">
        <v>137</v>
      </c>
      <c r="K221" s="17" t="s">
        <v>33</v>
      </c>
    </row>
    <row r="222" customFormat="false" ht="15" hidden="false" customHeight="false" outlineLevel="0" collapsed="false">
      <c r="A222" s="49" t="str">
        <f aca="false">01_Data!A6</f>
        <v>S01</v>
      </c>
      <c r="B222" s="50" t="n">
        <f aca="false">01_Data!F6</f>
        <v>-1.6</v>
      </c>
      <c r="C222" s="50" t="n">
        <f aca="false">01_Data!G6</f>
        <v>-1.33333333333333</v>
      </c>
      <c r="D222" s="50" t="n">
        <f aca="false">01_Data!D6</f>
        <v>0</v>
      </c>
      <c r="E222" s="51"/>
      <c r="F222" s="51"/>
      <c r="G222" s="51"/>
      <c r="H222" s="51"/>
      <c r="I222" s="51"/>
      <c r="J222" s="51"/>
      <c r="K222" s="51"/>
    </row>
    <row r="223" customFormat="false" ht="15" hidden="false" customHeight="false" outlineLevel="0" collapsed="false">
      <c r="A223" s="49" t="str">
        <f aca="false">01_Data!A7</f>
        <v>S02</v>
      </c>
      <c r="B223" s="50" t="n">
        <f aca="false">01_Data!F7</f>
        <v>-1.4</v>
      </c>
      <c r="C223" s="50" t="n">
        <f aca="false">01_Data!G7</f>
        <v>-1</v>
      </c>
      <c r="D223" s="50" t="n">
        <f aca="false">01_Data!D7</f>
        <v>0</v>
      </c>
      <c r="E223" s="51"/>
      <c r="F223" s="51"/>
      <c r="G223" s="51"/>
      <c r="H223" s="51"/>
      <c r="I223" s="51"/>
      <c r="J223" s="51"/>
      <c r="K223" s="51"/>
    </row>
    <row r="224" customFormat="false" ht="15" hidden="false" customHeight="false" outlineLevel="0" collapsed="false">
      <c r="A224" s="49" t="str">
        <f aca="false">01_Data!A8</f>
        <v>S03</v>
      </c>
      <c r="B224" s="50" t="n">
        <f aca="false">01_Data!F8</f>
        <v>-1.2</v>
      </c>
      <c r="C224" s="50" t="n">
        <f aca="false">01_Data!G8</f>
        <v>-1.13333333333333</v>
      </c>
      <c r="D224" s="50" t="n">
        <f aca="false">01_Data!D8</f>
        <v>0</v>
      </c>
      <c r="E224" s="51"/>
      <c r="F224" s="51"/>
      <c r="G224" s="51"/>
      <c r="H224" s="51"/>
      <c r="I224" s="51"/>
      <c r="J224" s="51"/>
      <c r="K224" s="51"/>
    </row>
    <row r="225" customFormat="false" ht="15" hidden="false" customHeight="false" outlineLevel="0" collapsed="false">
      <c r="A225" s="49" t="str">
        <f aca="false">01_Data!A9</f>
        <v>S04</v>
      </c>
      <c r="B225" s="50" t="n">
        <f aca="false">01_Data!F9</f>
        <v>-1</v>
      </c>
      <c r="C225" s="50" t="n">
        <f aca="false">01_Data!G9</f>
        <v>-0.666666666666667</v>
      </c>
      <c r="D225" s="50" t="n">
        <f aca="false">01_Data!D9</f>
        <v>0</v>
      </c>
      <c r="E225" s="51"/>
      <c r="F225" s="51"/>
      <c r="G225" s="51"/>
      <c r="H225" s="51"/>
      <c r="I225" s="51"/>
      <c r="J225" s="51"/>
      <c r="K225" s="51"/>
    </row>
    <row r="226" customFormat="false" ht="15" hidden="false" customHeight="false" outlineLevel="0" collapsed="false">
      <c r="A226" s="49" t="str">
        <f aca="false">01_Data!A10</f>
        <v>S05</v>
      </c>
      <c r="B226" s="50" t="n">
        <f aca="false">01_Data!F10</f>
        <v>-0.8</v>
      </c>
      <c r="C226" s="50" t="n">
        <f aca="false">01_Data!G10</f>
        <v>-0.866666666666667</v>
      </c>
      <c r="D226" s="50" t="n">
        <f aca="false">01_Data!D10</f>
        <v>0</v>
      </c>
      <c r="E226" s="51"/>
      <c r="F226" s="51"/>
      <c r="G226" s="51"/>
      <c r="H226" s="51"/>
      <c r="I226" s="51"/>
      <c r="J226" s="51"/>
      <c r="K226" s="51"/>
    </row>
    <row r="227" customFormat="false" ht="15" hidden="false" customHeight="false" outlineLevel="0" collapsed="false">
      <c r="A227" s="49" t="str">
        <f aca="false">01_Data!A11</f>
        <v>S06</v>
      </c>
      <c r="B227" s="50" t="n">
        <f aca="false">01_Data!F11</f>
        <v>-0.6</v>
      </c>
      <c r="C227" s="50" t="n">
        <f aca="false">01_Data!G11</f>
        <v>-0.333333333333333</v>
      </c>
      <c r="D227" s="50" t="n">
        <f aca="false">01_Data!D11</f>
        <v>0</v>
      </c>
      <c r="E227" s="51"/>
      <c r="F227" s="51"/>
      <c r="G227" s="51"/>
      <c r="H227" s="51"/>
      <c r="I227" s="51"/>
      <c r="J227" s="51"/>
      <c r="K227" s="51"/>
    </row>
    <row r="228" customFormat="false" ht="15" hidden="false" customHeight="false" outlineLevel="0" collapsed="false">
      <c r="A228" s="49" t="str">
        <f aca="false">01_Data!A12</f>
        <v>S07</v>
      </c>
      <c r="B228" s="50" t="n">
        <f aca="false">01_Data!F12</f>
        <v>-0.4</v>
      </c>
      <c r="C228" s="50" t="n">
        <f aca="false">01_Data!G12</f>
        <v>-0.466666666666667</v>
      </c>
      <c r="D228" s="50" t="n">
        <f aca="false">01_Data!D12</f>
        <v>0</v>
      </c>
      <c r="E228" s="51"/>
      <c r="F228" s="51"/>
      <c r="G228" s="51"/>
      <c r="H228" s="51"/>
      <c r="I228" s="51"/>
      <c r="J228" s="51"/>
      <c r="K228" s="51"/>
    </row>
    <row r="229" customFormat="false" ht="15" hidden="false" customHeight="false" outlineLevel="0" collapsed="false">
      <c r="A229" s="49" t="str">
        <f aca="false">01_Data!A13</f>
        <v>S08</v>
      </c>
      <c r="B229" s="50" t="n">
        <f aca="false">01_Data!F13</f>
        <v>-0.2</v>
      </c>
      <c r="C229" s="50" t="n">
        <f aca="false">01_Data!G13</f>
        <v>-0.2</v>
      </c>
      <c r="D229" s="50" t="n">
        <f aca="false">01_Data!D13</f>
        <v>1</v>
      </c>
      <c r="E229" s="51"/>
      <c r="F229" s="51"/>
      <c r="G229" s="51"/>
      <c r="H229" s="51"/>
      <c r="I229" s="51"/>
      <c r="J229" s="51"/>
      <c r="K229" s="51"/>
    </row>
    <row r="230" customFormat="false" ht="15" hidden="false" customHeight="false" outlineLevel="0" collapsed="false">
      <c r="A230" s="49" t="str">
        <f aca="false">01_Data!A14</f>
        <v>S09</v>
      </c>
      <c r="B230" s="50" t="n">
        <f aca="false">01_Data!F14</f>
        <v>0</v>
      </c>
      <c r="C230" s="50" t="n">
        <f aca="false">01_Data!G14</f>
        <v>0</v>
      </c>
      <c r="D230" s="50" t="n">
        <f aca="false">01_Data!D14</f>
        <v>1</v>
      </c>
      <c r="E230" s="51"/>
      <c r="F230" s="51"/>
      <c r="G230" s="51"/>
      <c r="H230" s="51"/>
      <c r="I230" s="51"/>
      <c r="J230" s="51"/>
      <c r="K230" s="51"/>
    </row>
    <row r="231" customFormat="false" ht="15" hidden="false" customHeight="false" outlineLevel="0" collapsed="false">
      <c r="A231" s="49" t="str">
        <f aca="false">01_Data!A15</f>
        <v>S10</v>
      </c>
      <c r="B231" s="50" t="n">
        <f aca="false">01_Data!F15</f>
        <v>0.2</v>
      </c>
      <c r="C231" s="50" t="n">
        <f aca="false">01_Data!G15</f>
        <v>0.2</v>
      </c>
      <c r="D231" s="50" t="n">
        <f aca="false">01_Data!D15</f>
        <v>1</v>
      </c>
      <c r="E231" s="51"/>
      <c r="F231" s="51"/>
      <c r="G231" s="51"/>
      <c r="H231" s="51"/>
      <c r="I231" s="51"/>
      <c r="J231" s="51"/>
      <c r="K231" s="51"/>
    </row>
    <row r="232" customFormat="false" ht="15" hidden="false" customHeight="false" outlineLevel="0" collapsed="false">
      <c r="A232" s="49" t="str">
        <f aca="false">01_Data!A16</f>
        <v>S11</v>
      </c>
      <c r="B232" s="50" t="n">
        <f aca="false">01_Data!F16</f>
        <v>0.4</v>
      </c>
      <c r="C232" s="50" t="n">
        <f aca="false">01_Data!G16</f>
        <v>0.333333333333333</v>
      </c>
      <c r="D232" s="50" t="n">
        <f aca="false">01_Data!D16</f>
        <v>1</v>
      </c>
      <c r="E232" s="51"/>
      <c r="F232" s="51"/>
      <c r="G232" s="51"/>
      <c r="H232" s="51"/>
      <c r="I232" s="51"/>
      <c r="J232" s="51"/>
      <c r="K232" s="51"/>
    </row>
    <row r="233" customFormat="false" ht="15" hidden="false" customHeight="false" outlineLevel="0" collapsed="false">
      <c r="A233" s="49" t="str">
        <f aca="false">01_Data!A17</f>
        <v>S12</v>
      </c>
      <c r="B233" s="50" t="n">
        <f aca="false">01_Data!F17</f>
        <v>0.6</v>
      </c>
      <c r="C233" s="50" t="n">
        <f aca="false">01_Data!G17</f>
        <v>0.466666666666667</v>
      </c>
      <c r="D233" s="50" t="n">
        <f aca="false">01_Data!D17</f>
        <v>1</v>
      </c>
      <c r="E233" s="51"/>
      <c r="F233" s="51"/>
      <c r="G233" s="51"/>
      <c r="H233" s="51"/>
      <c r="I233" s="51"/>
      <c r="J233" s="51"/>
      <c r="K233" s="51"/>
    </row>
    <row r="234" customFormat="false" ht="15" hidden="false" customHeight="false" outlineLevel="0" collapsed="false">
      <c r="A234" s="49" t="str">
        <f aca="false">01_Data!A18</f>
        <v>S13</v>
      </c>
      <c r="B234" s="50" t="n">
        <f aca="false">01_Data!F18</f>
        <v>0.8</v>
      </c>
      <c r="C234" s="50" t="n">
        <f aca="false">01_Data!G18</f>
        <v>0.666666666666667</v>
      </c>
      <c r="D234" s="50" t="n">
        <f aca="false">01_Data!D18</f>
        <v>1</v>
      </c>
      <c r="E234" s="51"/>
      <c r="F234" s="51"/>
      <c r="G234" s="51"/>
      <c r="H234" s="51"/>
      <c r="I234" s="51"/>
      <c r="J234" s="51"/>
      <c r="K234" s="51"/>
    </row>
    <row r="235" customFormat="false" ht="15" hidden="false" customHeight="false" outlineLevel="0" collapsed="false">
      <c r="A235" s="49" t="str">
        <f aca="false">01_Data!A19</f>
        <v>S14</v>
      </c>
      <c r="B235" s="50" t="n">
        <f aca="false">01_Data!F19</f>
        <v>1</v>
      </c>
      <c r="C235" s="50" t="n">
        <f aca="false">01_Data!G19</f>
        <v>0.866666666666667</v>
      </c>
      <c r="D235" s="50" t="n">
        <f aca="false">01_Data!D19</f>
        <v>1</v>
      </c>
      <c r="E235" s="51"/>
      <c r="F235" s="51"/>
      <c r="G235" s="51"/>
      <c r="H235" s="51"/>
      <c r="I235" s="51"/>
      <c r="J235" s="51"/>
      <c r="K235" s="51"/>
    </row>
    <row r="236" customFormat="false" ht="15" hidden="false" customHeight="false" outlineLevel="0" collapsed="false">
      <c r="A236" s="49" t="str">
        <f aca="false">01_Data!A20</f>
        <v>S15</v>
      </c>
      <c r="B236" s="50" t="n">
        <f aca="false">01_Data!F20</f>
        <v>1.2</v>
      </c>
      <c r="C236" s="50" t="n">
        <f aca="false">01_Data!G20</f>
        <v>1</v>
      </c>
      <c r="D236" s="50" t="n">
        <f aca="false">01_Data!D20</f>
        <v>1</v>
      </c>
      <c r="E236" s="51"/>
      <c r="F236" s="51"/>
      <c r="G236" s="51"/>
      <c r="H236" s="51"/>
      <c r="I236" s="51"/>
      <c r="J236" s="51"/>
      <c r="K236" s="51"/>
    </row>
    <row r="237" customFormat="false" ht="15" hidden="false" customHeight="false" outlineLevel="0" collapsed="false">
      <c r="A237" s="49" t="str">
        <f aca="false">01_Data!A21</f>
        <v>S16</v>
      </c>
      <c r="B237" s="50" t="n">
        <f aca="false">01_Data!F21</f>
        <v>1.4</v>
      </c>
      <c r="C237" s="50" t="n">
        <f aca="false">01_Data!G21</f>
        <v>1.13333333333333</v>
      </c>
      <c r="D237" s="50" t="n">
        <f aca="false">01_Data!D21</f>
        <v>1</v>
      </c>
      <c r="E237" s="51"/>
      <c r="F237" s="51"/>
      <c r="G237" s="51"/>
      <c r="H237" s="51"/>
      <c r="I237" s="51"/>
      <c r="J237" s="51"/>
      <c r="K237" s="51"/>
    </row>
    <row r="238" customFormat="false" ht="15" hidden="false" customHeight="false" outlineLevel="0" collapsed="false">
      <c r="A238" s="49" t="str">
        <f aca="false">01_Data!A22</f>
        <v>S17</v>
      </c>
      <c r="B238" s="50" t="n">
        <f aca="false">01_Data!F22</f>
        <v>1.6</v>
      </c>
      <c r="C238" s="50" t="n">
        <f aca="false">01_Data!G22</f>
        <v>1.33333333333333</v>
      </c>
      <c r="D238" s="50" t="n">
        <f aca="false">01_Data!D22</f>
        <v>1</v>
      </c>
      <c r="E238" s="51"/>
      <c r="F238" s="51"/>
      <c r="G238" s="51"/>
      <c r="H238" s="51"/>
      <c r="I238" s="51"/>
      <c r="J238" s="51"/>
      <c r="K238" s="51"/>
    </row>
    <row r="239" customFormat="false" ht="15" hidden="false" customHeight="false" outlineLevel="0" collapsed="false">
      <c r="A239" s="49" t="str">
        <f aca="false">01_Data!A23</f>
        <v>S18</v>
      </c>
      <c r="B239" s="50" t="n">
        <f aca="false">01_Data!F23</f>
        <v>0</v>
      </c>
      <c r="C239" s="50" t="n">
        <f aca="false">01_Data!G23</f>
        <v>-0.666666666666667</v>
      </c>
      <c r="D239" s="50" t="n">
        <f aca="false">01_Data!D23</f>
        <v>0</v>
      </c>
      <c r="E239" s="51"/>
      <c r="F239" s="51"/>
      <c r="G239" s="51"/>
      <c r="H239" s="51"/>
      <c r="I239" s="51"/>
      <c r="J239" s="51"/>
      <c r="K239" s="51"/>
    </row>
    <row r="240" customFormat="false" ht="15" hidden="false" customHeight="false" outlineLevel="0" collapsed="false">
      <c r="A240" s="49" t="str">
        <f aca="false">01_Data!A24</f>
        <v>S19</v>
      </c>
      <c r="B240" s="50" t="n">
        <f aca="false">01_Data!F24</f>
        <v>-0.8</v>
      </c>
      <c r="C240" s="50" t="n">
        <f aca="false">01_Data!G24</f>
        <v>0.666666666666667</v>
      </c>
      <c r="D240" s="50" t="n">
        <f aca="false">01_Data!D24</f>
        <v>1</v>
      </c>
      <c r="E240" s="51"/>
      <c r="F240" s="51"/>
      <c r="G240" s="51"/>
      <c r="H240" s="51"/>
      <c r="I240" s="51"/>
      <c r="J240" s="51"/>
      <c r="K240" s="51"/>
    </row>
    <row r="241" customFormat="false" ht="15" hidden="false" customHeight="false" outlineLevel="0" collapsed="false">
      <c r="A241" s="49" t="str">
        <f aca="false">01_Data!A25</f>
        <v>S20</v>
      </c>
      <c r="B241" s="50" t="n">
        <f aca="false">01_Data!F25</f>
        <v>0.8</v>
      </c>
      <c r="C241" s="50" t="n">
        <f aca="false">01_Data!G25</f>
        <v>-0.666666666666667</v>
      </c>
      <c r="D241" s="50" t="n">
        <f aca="false">01_Data!D25</f>
        <v>1</v>
      </c>
      <c r="E241" s="51"/>
      <c r="F241" s="51"/>
      <c r="G241" s="51"/>
      <c r="H241" s="51"/>
      <c r="I241" s="51"/>
      <c r="J241" s="51"/>
      <c r="K241" s="51"/>
    </row>
    <row r="242" customFormat="false" ht="15" hidden="false" customHeight="false" outlineLevel="0" collapsed="false">
      <c r="A242" s="52" t="s">
        <v>138</v>
      </c>
      <c r="B242" s="52"/>
      <c r="C242" s="52"/>
      <c r="D242" s="52"/>
      <c r="E242" s="52"/>
      <c r="F242" s="52"/>
      <c r="G242" s="52" t="s">
        <v>139</v>
      </c>
      <c r="H242" s="53"/>
      <c r="I242" s="53"/>
      <c r="J242" s="53"/>
      <c r="K242" s="53"/>
    </row>
    <row r="243" customFormat="false" ht="22.35" hidden="false" customHeight="true" outlineLevel="0" collapsed="false">
      <c r="A243" s="46" t="s">
        <v>140</v>
      </c>
      <c r="B243" s="46"/>
      <c r="C243" s="46" t="s">
        <v>141</v>
      </c>
      <c r="D243" s="54"/>
      <c r="E243" s="46" t="s">
        <v>142</v>
      </c>
      <c r="F243" s="54"/>
      <c r="G243" s="46" t="s">
        <v>143</v>
      </c>
      <c r="H243" s="54"/>
      <c r="I243" s="47" t="s">
        <v>144</v>
      </c>
      <c r="J243" s="47"/>
      <c r="K243" s="47"/>
    </row>
    <row r="245" customFormat="false" ht="22.5" hidden="false" customHeight="true" outlineLevel="0" collapsed="false">
      <c r="A245" s="55" t="s">
        <v>153</v>
      </c>
      <c r="B245" s="55"/>
      <c r="C245" s="55"/>
      <c r="D245" s="55"/>
      <c r="E245" s="55"/>
      <c r="F245" s="55"/>
      <c r="G245" s="55"/>
      <c r="H245" s="55"/>
      <c r="I245" s="55"/>
      <c r="J245" s="55"/>
      <c r="K245" s="55"/>
    </row>
    <row r="246" customFormat="false" ht="15" hidden="false" customHeight="true" outlineLevel="0" collapsed="false">
      <c r="A246" s="46" t="s">
        <v>123</v>
      </c>
      <c r="B246" s="47" t="n">
        <v>10</v>
      </c>
      <c r="C246" s="46" t="s">
        <v>124</v>
      </c>
      <c r="D246" s="48" t="str">
        <f aca="false">IF(D243="","",D243)</f>
        <v/>
      </c>
      <c r="E246" s="46" t="s">
        <v>125</v>
      </c>
      <c r="F246" s="48" t="str">
        <f aca="false">IF(F243="","",F243)</f>
        <v/>
      </c>
      <c r="G246" s="46" t="s">
        <v>126</v>
      </c>
      <c r="H246" s="48" t="str">
        <f aca="false">IF(H243="","",H243)</f>
        <v/>
      </c>
      <c r="I246" s="47" t="s">
        <v>127</v>
      </c>
      <c r="J246" s="47"/>
      <c r="K246" s="47"/>
    </row>
    <row r="247" customFormat="false" ht="33.75" hidden="false" customHeight="true" outlineLevel="0" collapsed="false">
      <c r="A247" s="17" t="s">
        <v>128</v>
      </c>
      <c r="B247" s="17" t="s">
        <v>129</v>
      </c>
      <c r="C247" s="17" t="s">
        <v>130</v>
      </c>
      <c r="D247" s="17" t="s">
        <v>131</v>
      </c>
      <c r="E247" s="17" t="s">
        <v>132</v>
      </c>
      <c r="F247" s="17" t="s">
        <v>133</v>
      </c>
      <c r="G247" s="17" t="s">
        <v>134</v>
      </c>
      <c r="H247" s="17" t="s">
        <v>135</v>
      </c>
      <c r="I247" s="17" t="s">
        <v>136</v>
      </c>
      <c r="J247" s="17" t="s">
        <v>137</v>
      </c>
      <c r="K247" s="17" t="s">
        <v>33</v>
      </c>
    </row>
    <row r="248" customFormat="false" ht="15" hidden="false" customHeight="false" outlineLevel="0" collapsed="false">
      <c r="A248" s="49" t="str">
        <f aca="false">01_Data!A6</f>
        <v>S01</v>
      </c>
      <c r="B248" s="50" t="n">
        <f aca="false">01_Data!F6</f>
        <v>-1.6</v>
      </c>
      <c r="C248" s="50" t="n">
        <f aca="false">01_Data!G6</f>
        <v>-1.33333333333333</v>
      </c>
      <c r="D248" s="50" t="n">
        <f aca="false">01_Data!D6</f>
        <v>0</v>
      </c>
      <c r="E248" s="51"/>
      <c r="F248" s="51"/>
      <c r="G248" s="51"/>
      <c r="H248" s="51"/>
      <c r="I248" s="51"/>
      <c r="J248" s="51"/>
      <c r="K248" s="51"/>
    </row>
    <row r="249" customFormat="false" ht="15" hidden="false" customHeight="false" outlineLevel="0" collapsed="false">
      <c r="A249" s="49" t="str">
        <f aca="false">01_Data!A7</f>
        <v>S02</v>
      </c>
      <c r="B249" s="50" t="n">
        <f aca="false">01_Data!F7</f>
        <v>-1.4</v>
      </c>
      <c r="C249" s="50" t="n">
        <f aca="false">01_Data!G7</f>
        <v>-1</v>
      </c>
      <c r="D249" s="50" t="n">
        <f aca="false">01_Data!D7</f>
        <v>0</v>
      </c>
      <c r="E249" s="51"/>
      <c r="F249" s="51"/>
      <c r="G249" s="51"/>
      <c r="H249" s="51"/>
      <c r="I249" s="51"/>
      <c r="J249" s="51"/>
      <c r="K249" s="51"/>
    </row>
    <row r="250" customFormat="false" ht="15" hidden="false" customHeight="false" outlineLevel="0" collapsed="false">
      <c r="A250" s="49" t="str">
        <f aca="false">01_Data!A8</f>
        <v>S03</v>
      </c>
      <c r="B250" s="50" t="n">
        <f aca="false">01_Data!F8</f>
        <v>-1.2</v>
      </c>
      <c r="C250" s="50" t="n">
        <f aca="false">01_Data!G8</f>
        <v>-1.13333333333333</v>
      </c>
      <c r="D250" s="50" t="n">
        <f aca="false">01_Data!D8</f>
        <v>0</v>
      </c>
      <c r="E250" s="51"/>
      <c r="F250" s="51"/>
      <c r="G250" s="51"/>
      <c r="H250" s="51"/>
      <c r="I250" s="51"/>
      <c r="J250" s="51"/>
      <c r="K250" s="51"/>
    </row>
    <row r="251" customFormat="false" ht="15" hidden="false" customHeight="false" outlineLevel="0" collapsed="false">
      <c r="A251" s="49" t="str">
        <f aca="false">01_Data!A9</f>
        <v>S04</v>
      </c>
      <c r="B251" s="50" t="n">
        <f aca="false">01_Data!F9</f>
        <v>-1</v>
      </c>
      <c r="C251" s="50" t="n">
        <f aca="false">01_Data!G9</f>
        <v>-0.666666666666667</v>
      </c>
      <c r="D251" s="50" t="n">
        <f aca="false">01_Data!D9</f>
        <v>0</v>
      </c>
      <c r="E251" s="51"/>
      <c r="F251" s="51"/>
      <c r="G251" s="51"/>
      <c r="H251" s="51"/>
      <c r="I251" s="51"/>
      <c r="J251" s="51"/>
      <c r="K251" s="51"/>
    </row>
    <row r="252" customFormat="false" ht="15" hidden="false" customHeight="false" outlineLevel="0" collapsed="false">
      <c r="A252" s="49" t="str">
        <f aca="false">01_Data!A10</f>
        <v>S05</v>
      </c>
      <c r="B252" s="50" t="n">
        <f aca="false">01_Data!F10</f>
        <v>-0.8</v>
      </c>
      <c r="C252" s="50" t="n">
        <f aca="false">01_Data!G10</f>
        <v>-0.866666666666667</v>
      </c>
      <c r="D252" s="50" t="n">
        <f aca="false">01_Data!D10</f>
        <v>0</v>
      </c>
      <c r="E252" s="51"/>
      <c r="F252" s="51"/>
      <c r="G252" s="51"/>
      <c r="H252" s="51"/>
      <c r="I252" s="51"/>
      <c r="J252" s="51"/>
      <c r="K252" s="51"/>
    </row>
    <row r="253" customFormat="false" ht="15" hidden="false" customHeight="false" outlineLevel="0" collapsed="false">
      <c r="A253" s="49" t="str">
        <f aca="false">01_Data!A11</f>
        <v>S06</v>
      </c>
      <c r="B253" s="50" t="n">
        <f aca="false">01_Data!F11</f>
        <v>-0.6</v>
      </c>
      <c r="C253" s="50" t="n">
        <f aca="false">01_Data!G11</f>
        <v>-0.333333333333333</v>
      </c>
      <c r="D253" s="50" t="n">
        <f aca="false">01_Data!D11</f>
        <v>0</v>
      </c>
      <c r="E253" s="51"/>
      <c r="F253" s="51"/>
      <c r="G253" s="51"/>
      <c r="H253" s="51"/>
      <c r="I253" s="51"/>
      <c r="J253" s="51"/>
      <c r="K253" s="51"/>
    </row>
    <row r="254" customFormat="false" ht="15" hidden="false" customHeight="false" outlineLevel="0" collapsed="false">
      <c r="A254" s="49" t="str">
        <f aca="false">01_Data!A12</f>
        <v>S07</v>
      </c>
      <c r="B254" s="50" t="n">
        <f aca="false">01_Data!F12</f>
        <v>-0.4</v>
      </c>
      <c r="C254" s="50" t="n">
        <f aca="false">01_Data!G12</f>
        <v>-0.466666666666667</v>
      </c>
      <c r="D254" s="50" t="n">
        <f aca="false">01_Data!D12</f>
        <v>0</v>
      </c>
      <c r="E254" s="51"/>
      <c r="F254" s="51"/>
      <c r="G254" s="51"/>
      <c r="H254" s="51"/>
      <c r="I254" s="51"/>
      <c r="J254" s="51"/>
      <c r="K254" s="51"/>
    </row>
    <row r="255" customFormat="false" ht="15" hidden="false" customHeight="false" outlineLevel="0" collapsed="false">
      <c r="A255" s="49" t="str">
        <f aca="false">01_Data!A13</f>
        <v>S08</v>
      </c>
      <c r="B255" s="50" t="n">
        <f aca="false">01_Data!F13</f>
        <v>-0.2</v>
      </c>
      <c r="C255" s="50" t="n">
        <f aca="false">01_Data!G13</f>
        <v>-0.2</v>
      </c>
      <c r="D255" s="50" t="n">
        <f aca="false">01_Data!D13</f>
        <v>1</v>
      </c>
      <c r="E255" s="51"/>
      <c r="F255" s="51"/>
      <c r="G255" s="51"/>
      <c r="H255" s="51"/>
      <c r="I255" s="51"/>
      <c r="J255" s="51"/>
      <c r="K255" s="51"/>
    </row>
    <row r="256" customFormat="false" ht="15" hidden="false" customHeight="false" outlineLevel="0" collapsed="false">
      <c r="A256" s="49" t="str">
        <f aca="false">01_Data!A14</f>
        <v>S09</v>
      </c>
      <c r="B256" s="50" t="n">
        <f aca="false">01_Data!F14</f>
        <v>0</v>
      </c>
      <c r="C256" s="50" t="n">
        <f aca="false">01_Data!G14</f>
        <v>0</v>
      </c>
      <c r="D256" s="50" t="n">
        <f aca="false">01_Data!D14</f>
        <v>1</v>
      </c>
      <c r="E256" s="51"/>
      <c r="F256" s="51"/>
      <c r="G256" s="51"/>
      <c r="H256" s="51"/>
      <c r="I256" s="51"/>
      <c r="J256" s="51"/>
      <c r="K256" s="51"/>
    </row>
    <row r="257" customFormat="false" ht="15" hidden="false" customHeight="false" outlineLevel="0" collapsed="false">
      <c r="A257" s="49" t="str">
        <f aca="false">01_Data!A15</f>
        <v>S10</v>
      </c>
      <c r="B257" s="50" t="n">
        <f aca="false">01_Data!F15</f>
        <v>0.2</v>
      </c>
      <c r="C257" s="50" t="n">
        <f aca="false">01_Data!G15</f>
        <v>0.2</v>
      </c>
      <c r="D257" s="50" t="n">
        <f aca="false">01_Data!D15</f>
        <v>1</v>
      </c>
      <c r="E257" s="51"/>
      <c r="F257" s="51"/>
      <c r="G257" s="51"/>
      <c r="H257" s="51"/>
      <c r="I257" s="51"/>
      <c r="J257" s="51"/>
      <c r="K257" s="51"/>
    </row>
    <row r="258" customFormat="false" ht="15" hidden="false" customHeight="false" outlineLevel="0" collapsed="false">
      <c r="A258" s="49" t="str">
        <f aca="false">01_Data!A16</f>
        <v>S11</v>
      </c>
      <c r="B258" s="50" t="n">
        <f aca="false">01_Data!F16</f>
        <v>0.4</v>
      </c>
      <c r="C258" s="50" t="n">
        <f aca="false">01_Data!G16</f>
        <v>0.333333333333333</v>
      </c>
      <c r="D258" s="50" t="n">
        <f aca="false">01_Data!D16</f>
        <v>1</v>
      </c>
      <c r="E258" s="51"/>
      <c r="F258" s="51"/>
      <c r="G258" s="51"/>
      <c r="H258" s="51"/>
      <c r="I258" s="51"/>
      <c r="J258" s="51"/>
      <c r="K258" s="51"/>
    </row>
    <row r="259" customFormat="false" ht="15" hidden="false" customHeight="false" outlineLevel="0" collapsed="false">
      <c r="A259" s="49" t="str">
        <f aca="false">01_Data!A17</f>
        <v>S12</v>
      </c>
      <c r="B259" s="50" t="n">
        <f aca="false">01_Data!F17</f>
        <v>0.6</v>
      </c>
      <c r="C259" s="50" t="n">
        <f aca="false">01_Data!G17</f>
        <v>0.466666666666667</v>
      </c>
      <c r="D259" s="50" t="n">
        <f aca="false">01_Data!D17</f>
        <v>1</v>
      </c>
      <c r="E259" s="51"/>
      <c r="F259" s="51"/>
      <c r="G259" s="51"/>
      <c r="H259" s="51"/>
      <c r="I259" s="51"/>
      <c r="J259" s="51"/>
      <c r="K259" s="51"/>
    </row>
    <row r="260" customFormat="false" ht="15" hidden="false" customHeight="false" outlineLevel="0" collapsed="false">
      <c r="A260" s="49" t="str">
        <f aca="false">01_Data!A18</f>
        <v>S13</v>
      </c>
      <c r="B260" s="50" t="n">
        <f aca="false">01_Data!F18</f>
        <v>0.8</v>
      </c>
      <c r="C260" s="50" t="n">
        <f aca="false">01_Data!G18</f>
        <v>0.666666666666667</v>
      </c>
      <c r="D260" s="50" t="n">
        <f aca="false">01_Data!D18</f>
        <v>1</v>
      </c>
      <c r="E260" s="51"/>
      <c r="F260" s="51"/>
      <c r="G260" s="51"/>
      <c r="H260" s="51"/>
      <c r="I260" s="51"/>
      <c r="J260" s="51"/>
      <c r="K260" s="51"/>
    </row>
    <row r="261" customFormat="false" ht="15" hidden="false" customHeight="false" outlineLevel="0" collapsed="false">
      <c r="A261" s="49" t="str">
        <f aca="false">01_Data!A19</f>
        <v>S14</v>
      </c>
      <c r="B261" s="50" t="n">
        <f aca="false">01_Data!F19</f>
        <v>1</v>
      </c>
      <c r="C261" s="50" t="n">
        <f aca="false">01_Data!G19</f>
        <v>0.866666666666667</v>
      </c>
      <c r="D261" s="50" t="n">
        <f aca="false">01_Data!D19</f>
        <v>1</v>
      </c>
      <c r="E261" s="51"/>
      <c r="F261" s="51"/>
      <c r="G261" s="51"/>
      <c r="H261" s="51"/>
      <c r="I261" s="51"/>
      <c r="J261" s="51"/>
      <c r="K261" s="51"/>
    </row>
    <row r="262" customFormat="false" ht="15" hidden="false" customHeight="false" outlineLevel="0" collapsed="false">
      <c r="A262" s="49" t="str">
        <f aca="false">01_Data!A20</f>
        <v>S15</v>
      </c>
      <c r="B262" s="50" t="n">
        <f aca="false">01_Data!F20</f>
        <v>1.2</v>
      </c>
      <c r="C262" s="50" t="n">
        <f aca="false">01_Data!G20</f>
        <v>1</v>
      </c>
      <c r="D262" s="50" t="n">
        <f aca="false">01_Data!D20</f>
        <v>1</v>
      </c>
      <c r="E262" s="51"/>
      <c r="F262" s="51"/>
      <c r="G262" s="51"/>
      <c r="H262" s="51"/>
      <c r="I262" s="51"/>
      <c r="J262" s="51"/>
      <c r="K262" s="51"/>
    </row>
    <row r="263" customFormat="false" ht="15" hidden="false" customHeight="false" outlineLevel="0" collapsed="false">
      <c r="A263" s="49" t="str">
        <f aca="false">01_Data!A21</f>
        <v>S16</v>
      </c>
      <c r="B263" s="50" t="n">
        <f aca="false">01_Data!F21</f>
        <v>1.4</v>
      </c>
      <c r="C263" s="50" t="n">
        <f aca="false">01_Data!G21</f>
        <v>1.13333333333333</v>
      </c>
      <c r="D263" s="50" t="n">
        <f aca="false">01_Data!D21</f>
        <v>1</v>
      </c>
      <c r="E263" s="51"/>
      <c r="F263" s="51"/>
      <c r="G263" s="51"/>
      <c r="H263" s="51"/>
      <c r="I263" s="51"/>
      <c r="J263" s="51"/>
      <c r="K263" s="51"/>
    </row>
    <row r="264" customFormat="false" ht="15" hidden="false" customHeight="false" outlineLevel="0" collapsed="false">
      <c r="A264" s="49" t="str">
        <f aca="false">01_Data!A22</f>
        <v>S17</v>
      </c>
      <c r="B264" s="50" t="n">
        <f aca="false">01_Data!F22</f>
        <v>1.6</v>
      </c>
      <c r="C264" s="50" t="n">
        <f aca="false">01_Data!G22</f>
        <v>1.33333333333333</v>
      </c>
      <c r="D264" s="50" t="n">
        <f aca="false">01_Data!D22</f>
        <v>1</v>
      </c>
      <c r="E264" s="51"/>
      <c r="F264" s="51"/>
      <c r="G264" s="51"/>
      <c r="H264" s="51"/>
      <c r="I264" s="51"/>
      <c r="J264" s="51"/>
      <c r="K264" s="51"/>
    </row>
    <row r="265" customFormat="false" ht="15" hidden="false" customHeight="false" outlineLevel="0" collapsed="false">
      <c r="A265" s="49" t="str">
        <f aca="false">01_Data!A23</f>
        <v>S18</v>
      </c>
      <c r="B265" s="50" t="n">
        <f aca="false">01_Data!F23</f>
        <v>0</v>
      </c>
      <c r="C265" s="50" t="n">
        <f aca="false">01_Data!G23</f>
        <v>-0.666666666666667</v>
      </c>
      <c r="D265" s="50" t="n">
        <f aca="false">01_Data!D23</f>
        <v>0</v>
      </c>
      <c r="E265" s="51"/>
      <c r="F265" s="51"/>
      <c r="G265" s="51"/>
      <c r="H265" s="51"/>
      <c r="I265" s="51"/>
      <c r="J265" s="51"/>
      <c r="K265" s="51"/>
    </row>
    <row r="266" customFormat="false" ht="15" hidden="false" customHeight="false" outlineLevel="0" collapsed="false">
      <c r="A266" s="49" t="str">
        <f aca="false">01_Data!A24</f>
        <v>S19</v>
      </c>
      <c r="B266" s="50" t="n">
        <f aca="false">01_Data!F24</f>
        <v>-0.8</v>
      </c>
      <c r="C266" s="50" t="n">
        <f aca="false">01_Data!G24</f>
        <v>0.666666666666667</v>
      </c>
      <c r="D266" s="50" t="n">
        <f aca="false">01_Data!D24</f>
        <v>1</v>
      </c>
      <c r="E266" s="51"/>
      <c r="F266" s="51"/>
      <c r="G266" s="51"/>
      <c r="H266" s="51"/>
      <c r="I266" s="51"/>
      <c r="J266" s="51"/>
      <c r="K266" s="51"/>
    </row>
    <row r="267" customFormat="false" ht="15" hidden="false" customHeight="false" outlineLevel="0" collapsed="false">
      <c r="A267" s="49" t="str">
        <f aca="false">01_Data!A25</f>
        <v>S20</v>
      </c>
      <c r="B267" s="50" t="n">
        <f aca="false">01_Data!F25</f>
        <v>0.8</v>
      </c>
      <c r="C267" s="50" t="n">
        <f aca="false">01_Data!G25</f>
        <v>-0.666666666666667</v>
      </c>
      <c r="D267" s="50" t="n">
        <f aca="false">01_Data!D25</f>
        <v>1</v>
      </c>
      <c r="E267" s="51"/>
      <c r="F267" s="51"/>
      <c r="G267" s="51"/>
      <c r="H267" s="51"/>
      <c r="I267" s="51"/>
      <c r="J267" s="51"/>
      <c r="K267" s="51"/>
    </row>
    <row r="268" customFormat="false" ht="15" hidden="false" customHeight="false" outlineLevel="0" collapsed="false">
      <c r="A268" s="52" t="s">
        <v>138</v>
      </c>
      <c r="B268" s="52"/>
      <c r="C268" s="52"/>
      <c r="D268" s="52"/>
      <c r="E268" s="52"/>
      <c r="F268" s="52"/>
      <c r="G268" s="52" t="s">
        <v>139</v>
      </c>
      <c r="H268" s="53"/>
      <c r="I268" s="53"/>
      <c r="J268" s="53"/>
      <c r="K268" s="53"/>
    </row>
    <row r="269" customFormat="false" ht="22.35" hidden="false" customHeight="true" outlineLevel="0" collapsed="false">
      <c r="A269" s="46" t="s">
        <v>140</v>
      </c>
      <c r="B269" s="46"/>
      <c r="C269" s="46" t="s">
        <v>141</v>
      </c>
      <c r="D269" s="54"/>
      <c r="E269" s="46" t="s">
        <v>142</v>
      </c>
      <c r="F269" s="54"/>
      <c r="G269" s="46" t="s">
        <v>143</v>
      </c>
      <c r="H269" s="54"/>
      <c r="I269" s="47" t="s">
        <v>144</v>
      </c>
      <c r="J269" s="47"/>
      <c r="K269" s="47"/>
    </row>
    <row r="271" customFormat="false" ht="22.5" hidden="false" customHeight="true" outlineLevel="0" collapsed="false">
      <c r="A271" s="3" t="s">
        <v>154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customFormat="false" ht="15" hidden="false" customHeight="true" outlineLevel="0" collapsed="false">
      <c r="A272" s="46" t="s">
        <v>123</v>
      </c>
      <c r="B272" s="47" t="n">
        <v>11</v>
      </c>
      <c r="C272" s="46" t="s">
        <v>124</v>
      </c>
      <c r="D272" s="48" t="str">
        <f aca="false">IF(D269="","",D269)</f>
        <v/>
      </c>
      <c r="E272" s="46" t="s">
        <v>125</v>
      </c>
      <c r="F272" s="48" t="str">
        <f aca="false">IF(F269="","",F269)</f>
        <v/>
      </c>
      <c r="G272" s="46" t="s">
        <v>126</v>
      </c>
      <c r="H272" s="48" t="str">
        <f aca="false">IF(H269="","",H269)</f>
        <v/>
      </c>
      <c r="I272" s="47" t="s">
        <v>127</v>
      </c>
      <c r="J272" s="47"/>
      <c r="K272" s="47"/>
    </row>
    <row r="273" customFormat="false" ht="33.75" hidden="false" customHeight="true" outlineLevel="0" collapsed="false">
      <c r="A273" s="17" t="s">
        <v>128</v>
      </c>
      <c r="B273" s="17" t="s">
        <v>129</v>
      </c>
      <c r="C273" s="17" t="s">
        <v>130</v>
      </c>
      <c r="D273" s="17" t="s">
        <v>131</v>
      </c>
      <c r="E273" s="17" t="s">
        <v>132</v>
      </c>
      <c r="F273" s="17" t="s">
        <v>133</v>
      </c>
      <c r="G273" s="17" t="s">
        <v>134</v>
      </c>
      <c r="H273" s="17" t="s">
        <v>135</v>
      </c>
      <c r="I273" s="17" t="s">
        <v>136</v>
      </c>
      <c r="J273" s="17" t="s">
        <v>137</v>
      </c>
      <c r="K273" s="17" t="s">
        <v>33</v>
      </c>
    </row>
    <row r="274" customFormat="false" ht="15" hidden="false" customHeight="false" outlineLevel="0" collapsed="false">
      <c r="A274" s="49" t="str">
        <f aca="false">01_Data!A6</f>
        <v>S01</v>
      </c>
      <c r="B274" s="50" t="n">
        <f aca="false">01_Data!F6</f>
        <v>-1.6</v>
      </c>
      <c r="C274" s="50" t="n">
        <f aca="false">01_Data!G6</f>
        <v>-1.33333333333333</v>
      </c>
      <c r="D274" s="50" t="n">
        <f aca="false">01_Data!D6</f>
        <v>0</v>
      </c>
      <c r="E274" s="51"/>
      <c r="F274" s="51"/>
      <c r="G274" s="51"/>
      <c r="H274" s="51"/>
      <c r="I274" s="51"/>
      <c r="J274" s="51"/>
      <c r="K274" s="51"/>
    </row>
    <row r="275" customFormat="false" ht="15" hidden="false" customHeight="false" outlineLevel="0" collapsed="false">
      <c r="A275" s="49" t="str">
        <f aca="false">01_Data!A7</f>
        <v>S02</v>
      </c>
      <c r="B275" s="50" t="n">
        <f aca="false">01_Data!F7</f>
        <v>-1.4</v>
      </c>
      <c r="C275" s="50" t="n">
        <f aca="false">01_Data!G7</f>
        <v>-1</v>
      </c>
      <c r="D275" s="50" t="n">
        <f aca="false">01_Data!D7</f>
        <v>0</v>
      </c>
      <c r="E275" s="51"/>
      <c r="F275" s="51"/>
      <c r="G275" s="51"/>
      <c r="H275" s="51"/>
      <c r="I275" s="51"/>
      <c r="J275" s="51"/>
      <c r="K275" s="51"/>
    </row>
    <row r="276" customFormat="false" ht="15" hidden="false" customHeight="false" outlineLevel="0" collapsed="false">
      <c r="A276" s="49" t="str">
        <f aca="false">01_Data!A8</f>
        <v>S03</v>
      </c>
      <c r="B276" s="50" t="n">
        <f aca="false">01_Data!F8</f>
        <v>-1.2</v>
      </c>
      <c r="C276" s="50" t="n">
        <f aca="false">01_Data!G8</f>
        <v>-1.13333333333333</v>
      </c>
      <c r="D276" s="50" t="n">
        <f aca="false">01_Data!D8</f>
        <v>0</v>
      </c>
      <c r="E276" s="51"/>
      <c r="F276" s="51"/>
      <c r="G276" s="51"/>
      <c r="H276" s="51"/>
      <c r="I276" s="51"/>
      <c r="J276" s="51"/>
      <c r="K276" s="51"/>
    </row>
    <row r="277" customFormat="false" ht="15" hidden="false" customHeight="false" outlineLevel="0" collapsed="false">
      <c r="A277" s="49" t="str">
        <f aca="false">01_Data!A9</f>
        <v>S04</v>
      </c>
      <c r="B277" s="50" t="n">
        <f aca="false">01_Data!F9</f>
        <v>-1</v>
      </c>
      <c r="C277" s="50" t="n">
        <f aca="false">01_Data!G9</f>
        <v>-0.666666666666667</v>
      </c>
      <c r="D277" s="50" t="n">
        <f aca="false">01_Data!D9</f>
        <v>0</v>
      </c>
      <c r="E277" s="51"/>
      <c r="F277" s="51"/>
      <c r="G277" s="51"/>
      <c r="H277" s="51"/>
      <c r="I277" s="51"/>
      <c r="J277" s="51"/>
      <c r="K277" s="51"/>
    </row>
    <row r="278" customFormat="false" ht="15" hidden="false" customHeight="false" outlineLevel="0" collapsed="false">
      <c r="A278" s="49" t="str">
        <f aca="false">01_Data!A10</f>
        <v>S05</v>
      </c>
      <c r="B278" s="50" t="n">
        <f aca="false">01_Data!F10</f>
        <v>-0.8</v>
      </c>
      <c r="C278" s="50" t="n">
        <f aca="false">01_Data!G10</f>
        <v>-0.866666666666667</v>
      </c>
      <c r="D278" s="50" t="n">
        <f aca="false">01_Data!D10</f>
        <v>0</v>
      </c>
      <c r="E278" s="51"/>
      <c r="F278" s="51"/>
      <c r="G278" s="51"/>
      <c r="H278" s="51"/>
      <c r="I278" s="51"/>
      <c r="J278" s="51"/>
      <c r="K278" s="51"/>
    </row>
    <row r="279" customFormat="false" ht="15" hidden="false" customHeight="false" outlineLevel="0" collapsed="false">
      <c r="A279" s="49" t="str">
        <f aca="false">01_Data!A11</f>
        <v>S06</v>
      </c>
      <c r="B279" s="50" t="n">
        <f aca="false">01_Data!F11</f>
        <v>-0.6</v>
      </c>
      <c r="C279" s="50" t="n">
        <f aca="false">01_Data!G11</f>
        <v>-0.333333333333333</v>
      </c>
      <c r="D279" s="50" t="n">
        <f aca="false">01_Data!D11</f>
        <v>0</v>
      </c>
      <c r="E279" s="51"/>
      <c r="F279" s="51"/>
      <c r="G279" s="51"/>
      <c r="H279" s="51"/>
      <c r="I279" s="51"/>
      <c r="J279" s="51"/>
      <c r="K279" s="51"/>
    </row>
    <row r="280" customFormat="false" ht="15" hidden="false" customHeight="false" outlineLevel="0" collapsed="false">
      <c r="A280" s="49" t="str">
        <f aca="false">01_Data!A12</f>
        <v>S07</v>
      </c>
      <c r="B280" s="50" t="n">
        <f aca="false">01_Data!F12</f>
        <v>-0.4</v>
      </c>
      <c r="C280" s="50" t="n">
        <f aca="false">01_Data!G12</f>
        <v>-0.466666666666667</v>
      </c>
      <c r="D280" s="50" t="n">
        <f aca="false">01_Data!D12</f>
        <v>0</v>
      </c>
      <c r="E280" s="51"/>
      <c r="F280" s="51"/>
      <c r="G280" s="51"/>
      <c r="H280" s="51"/>
      <c r="I280" s="51"/>
      <c r="J280" s="51"/>
      <c r="K280" s="51"/>
    </row>
    <row r="281" customFormat="false" ht="15" hidden="false" customHeight="false" outlineLevel="0" collapsed="false">
      <c r="A281" s="49" t="str">
        <f aca="false">01_Data!A13</f>
        <v>S08</v>
      </c>
      <c r="B281" s="50" t="n">
        <f aca="false">01_Data!F13</f>
        <v>-0.2</v>
      </c>
      <c r="C281" s="50" t="n">
        <f aca="false">01_Data!G13</f>
        <v>-0.2</v>
      </c>
      <c r="D281" s="50" t="n">
        <f aca="false">01_Data!D13</f>
        <v>1</v>
      </c>
      <c r="E281" s="51"/>
      <c r="F281" s="51"/>
      <c r="G281" s="51"/>
      <c r="H281" s="51"/>
      <c r="I281" s="51"/>
      <c r="J281" s="51"/>
      <c r="K281" s="51"/>
    </row>
    <row r="282" customFormat="false" ht="15" hidden="false" customHeight="false" outlineLevel="0" collapsed="false">
      <c r="A282" s="49" t="str">
        <f aca="false">01_Data!A14</f>
        <v>S09</v>
      </c>
      <c r="B282" s="50" t="n">
        <f aca="false">01_Data!F14</f>
        <v>0</v>
      </c>
      <c r="C282" s="50" t="n">
        <f aca="false">01_Data!G14</f>
        <v>0</v>
      </c>
      <c r="D282" s="50" t="n">
        <f aca="false">01_Data!D14</f>
        <v>1</v>
      </c>
      <c r="E282" s="51"/>
      <c r="F282" s="51"/>
      <c r="G282" s="51"/>
      <c r="H282" s="51"/>
      <c r="I282" s="51"/>
      <c r="J282" s="51"/>
      <c r="K282" s="51"/>
    </row>
    <row r="283" customFormat="false" ht="15" hidden="false" customHeight="false" outlineLevel="0" collapsed="false">
      <c r="A283" s="49" t="str">
        <f aca="false">01_Data!A15</f>
        <v>S10</v>
      </c>
      <c r="B283" s="50" t="n">
        <f aca="false">01_Data!F15</f>
        <v>0.2</v>
      </c>
      <c r="C283" s="50" t="n">
        <f aca="false">01_Data!G15</f>
        <v>0.2</v>
      </c>
      <c r="D283" s="50" t="n">
        <f aca="false">01_Data!D15</f>
        <v>1</v>
      </c>
      <c r="E283" s="51"/>
      <c r="F283" s="51"/>
      <c r="G283" s="51"/>
      <c r="H283" s="51"/>
      <c r="I283" s="51"/>
      <c r="J283" s="51"/>
      <c r="K283" s="51"/>
    </row>
    <row r="284" customFormat="false" ht="15" hidden="false" customHeight="false" outlineLevel="0" collapsed="false">
      <c r="A284" s="49" t="str">
        <f aca="false">01_Data!A16</f>
        <v>S11</v>
      </c>
      <c r="B284" s="50" t="n">
        <f aca="false">01_Data!F16</f>
        <v>0.4</v>
      </c>
      <c r="C284" s="50" t="n">
        <f aca="false">01_Data!G16</f>
        <v>0.333333333333333</v>
      </c>
      <c r="D284" s="50" t="n">
        <f aca="false">01_Data!D16</f>
        <v>1</v>
      </c>
      <c r="E284" s="51"/>
      <c r="F284" s="51"/>
      <c r="G284" s="51"/>
      <c r="H284" s="51"/>
      <c r="I284" s="51"/>
      <c r="J284" s="51"/>
      <c r="K284" s="51"/>
    </row>
    <row r="285" customFormat="false" ht="15" hidden="false" customHeight="false" outlineLevel="0" collapsed="false">
      <c r="A285" s="49" t="str">
        <f aca="false">01_Data!A17</f>
        <v>S12</v>
      </c>
      <c r="B285" s="50" t="n">
        <f aca="false">01_Data!F17</f>
        <v>0.6</v>
      </c>
      <c r="C285" s="50" t="n">
        <f aca="false">01_Data!G17</f>
        <v>0.466666666666667</v>
      </c>
      <c r="D285" s="50" t="n">
        <f aca="false">01_Data!D17</f>
        <v>1</v>
      </c>
      <c r="E285" s="51"/>
      <c r="F285" s="51"/>
      <c r="G285" s="51"/>
      <c r="H285" s="51"/>
      <c r="I285" s="51"/>
      <c r="J285" s="51"/>
      <c r="K285" s="51"/>
    </row>
    <row r="286" customFormat="false" ht="15" hidden="false" customHeight="false" outlineLevel="0" collapsed="false">
      <c r="A286" s="49" t="str">
        <f aca="false">01_Data!A18</f>
        <v>S13</v>
      </c>
      <c r="B286" s="50" t="n">
        <f aca="false">01_Data!F18</f>
        <v>0.8</v>
      </c>
      <c r="C286" s="50" t="n">
        <f aca="false">01_Data!G18</f>
        <v>0.666666666666667</v>
      </c>
      <c r="D286" s="50" t="n">
        <f aca="false">01_Data!D18</f>
        <v>1</v>
      </c>
      <c r="E286" s="51"/>
      <c r="F286" s="51"/>
      <c r="G286" s="51"/>
      <c r="H286" s="51"/>
      <c r="I286" s="51"/>
      <c r="J286" s="51"/>
      <c r="K286" s="51"/>
    </row>
    <row r="287" customFormat="false" ht="15" hidden="false" customHeight="false" outlineLevel="0" collapsed="false">
      <c r="A287" s="49" t="str">
        <f aca="false">01_Data!A19</f>
        <v>S14</v>
      </c>
      <c r="B287" s="50" t="n">
        <f aca="false">01_Data!F19</f>
        <v>1</v>
      </c>
      <c r="C287" s="50" t="n">
        <f aca="false">01_Data!G19</f>
        <v>0.866666666666667</v>
      </c>
      <c r="D287" s="50" t="n">
        <f aca="false">01_Data!D19</f>
        <v>1</v>
      </c>
      <c r="E287" s="51"/>
      <c r="F287" s="51"/>
      <c r="G287" s="51"/>
      <c r="H287" s="51"/>
      <c r="I287" s="51"/>
      <c r="J287" s="51"/>
      <c r="K287" s="51"/>
    </row>
    <row r="288" customFormat="false" ht="15" hidden="false" customHeight="false" outlineLevel="0" collapsed="false">
      <c r="A288" s="49" t="str">
        <f aca="false">01_Data!A20</f>
        <v>S15</v>
      </c>
      <c r="B288" s="50" t="n">
        <f aca="false">01_Data!F20</f>
        <v>1.2</v>
      </c>
      <c r="C288" s="50" t="n">
        <f aca="false">01_Data!G20</f>
        <v>1</v>
      </c>
      <c r="D288" s="50" t="n">
        <f aca="false">01_Data!D20</f>
        <v>1</v>
      </c>
      <c r="E288" s="51"/>
      <c r="F288" s="51"/>
      <c r="G288" s="51"/>
      <c r="H288" s="51"/>
      <c r="I288" s="51"/>
      <c r="J288" s="51"/>
      <c r="K288" s="51"/>
    </row>
    <row r="289" customFormat="false" ht="15" hidden="false" customHeight="false" outlineLevel="0" collapsed="false">
      <c r="A289" s="49" t="str">
        <f aca="false">01_Data!A21</f>
        <v>S16</v>
      </c>
      <c r="B289" s="50" t="n">
        <f aca="false">01_Data!F21</f>
        <v>1.4</v>
      </c>
      <c r="C289" s="50" t="n">
        <f aca="false">01_Data!G21</f>
        <v>1.13333333333333</v>
      </c>
      <c r="D289" s="50" t="n">
        <f aca="false">01_Data!D21</f>
        <v>1</v>
      </c>
      <c r="E289" s="51"/>
      <c r="F289" s="51"/>
      <c r="G289" s="51"/>
      <c r="H289" s="51"/>
      <c r="I289" s="51"/>
      <c r="J289" s="51"/>
      <c r="K289" s="51"/>
    </row>
    <row r="290" customFormat="false" ht="15" hidden="false" customHeight="false" outlineLevel="0" collapsed="false">
      <c r="A290" s="49" t="str">
        <f aca="false">01_Data!A22</f>
        <v>S17</v>
      </c>
      <c r="B290" s="50" t="n">
        <f aca="false">01_Data!F22</f>
        <v>1.6</v>
      </c>
      <c r="C290" s="50" t="n">
        <f aca="false">01_Data!G22</f>
        <v>1.33333333333333</v>
      </c>
      <c r="D290" s="50" t="n">
        <f aca="false">01_Data!D22</f>
        <v>1</v>
      </c>
      <c r="E290" s="51"/>
      <c r="F290" s="51"/>
      <c r="G290" s="51"/>
      <c r="H290" s="51"/>
      <c r="I290" s="51"/>
      <c r="J290" s="51"/>
      <c r="K290" s="51"/>
    </row>
    <row r="291" customFormat="false" ht="15" hidden="false" customHeight="false" outlineLevel="0" collapsed="false">
      <c r="A291" s="49" t="str">
        <f aca="false">01_Data!A23</f>
        <v>S18</v>
      </c>
      <c r="B291" s="50" t="n">
        <f aca="false">01_Data!F23</f>
        <v>0</v>
      </c>
      <c r="C291" s="50" t="n">
        <f aca="false">01_Data!G23</f>
        <v>-0.666666666666667</v>
      </c>
      <c r="D291" s="50" t="n">
        <f aca="false">01_Data!D23</f>
        <v>0</v>
      </c>
      <c r="E291" s="51"/>
      <c r="F291" s="51"/>
      <c r="G291" s="51"/>
      <c r="H291" s="51"/>
      <c r="I291" s="51"/>
      <c r="J291" s="51"/>
      <c r="K291" s="51"/>
    </row>
    <row r="292" customFormat="false" ht="15" hidden="false" customHeight="false" outlineLevel="0" collapsed="false">
      <c r="A292" s="49" t="str">
        <f aca="false">01_Data!A24</f>
        <v>S19</v>
      </c>
      <c r="B292" s="50" t="n">
        <f aca="false">01_Data!F24</f>
        <v>-0.8</v>
      </c>
      <c r="C292" s="50" t="n">
        <f aca="false">01_Data!G24</f>
        <v>0.666666666666667</v>
      </c>
      <c r="D292" s="50" t="n">
        <f aca="false">01_Data!D24</f>
        <v>1</v>
      </c>
      <c r="E292" s="51"/>
      <c r="F292" s="51"/>
      <c r="G292" s="51"/>
      <c r="H292" s="51"/>
      <c r="I292" s="51"/>
      <c r="J292" s="51"/>
      <c r="K292" s="51"/>
    </row>
    <row r="293" customFormat="false" ht="15" hidden="false" customHeight="false" outlineLevel="0" collapsed="false">
      <c r="A293" s="49" t="str">
        <f aca="false">01_Data!A25</f>
        <v>S20</v>
      </c>
      <c r="B293" s="50" t="n">
        <f aca="false">01_Data!F25</f>
        <v>0.8</v>
      </c>
      <c r="C293" s="50" t="n">
        <f aca="false">01_Data!G25</f>
        <v>-0.666666666666667</v>
      </c>
      <c r="D293" s="50" t="n">
        <f aca="false">01_Data!D25</f>
        <v>1</v>
      </c>
      <c r="E293" s="51"/>
      <c r="F293" s="51"/>
      <c r="G293" s="51"/>
      <c r="H293" s="51"/>
      <c r="I293" s="51"/>
      <c r="J293" s="51"/>
      <c r="K293" s="51"/>
    </row>
    <row r="294" customFormat="false" ht="15" hidden="false" customHeight="false" outlineLevel="0" collapsed="false">
      <c r="A294" s="52" t="s">
        <v>138</v>
      </c>
      <c r="B294" s="52"/>
      <c r="C294" s="52"/>
      <c r="D294" s="52"/>
      <c r="E294" s="52"/>
      <c r="F294" s="52"/>
      <c r="G294" s="52" t="s">
        <v>139</v>
      </c>
      <c r="H294" s="53"/>
      <c r="I294" s="53"/>
      <c r="J294" s="53"/>
      <c r="K294" s="53"/>
    </row>
    <row r="295" customFormat="false" ht="22.35" hidden="false" customHeight="true" outlineLevel="0" collapsed="false">
      <c r="A295" s="46" t="s">
        <v>140</v>
      </c>
      <c r="B295" s="46"/>
      <c r="C295" s="46" t="s">
        <v>141</v>
      </c>
      <c r="D295" s="54"/>
      <c r="E295" s="46" t="s">
        <v>142</v>
      </c>
      <c r="F295" s="54"/>
      <c r="G295" s="46" t="s">
        <v>143</v>
      </c>
      <c r="H295" s="54"/>
      <c r="I295" s="47" t="s">
        <v>144</v>
      </c>
      <c r="J295" s="47"/>
      <c r="K295" s="47"/>
    </row>
    <row r="297" customFormat="false" ht="22.5" hidden="false" customHeight="true" outlineLevel="0" collapsed="false">
      <c r="A297" s="55" t="s">
        <v>155</v>
      </c>
      <c r="B297" s="55"/>
      <c r="C297" s="55"/>
      <c r="D297" s="55"/>
      <c r="E297" s="55"/>
      <c r="F297" s="55"/>
      <c r="G297" s="55"/>
      <c r="H297" s="55"/>
      <c r="I297" s="55"/>
      <c r="J297" s="55"/>
      <c r="K297" s="55"/>
    </row>
    <row r="298" customFormat="false" ht="15" hidden="false" customHeight="true" outlineLevel="0" collapsed="false">
      <c r="A298" s="46" t="s">
        <v>123</v>
      </c>
      <c r="B298" s="47" t="n">
        <v>12</v>
      </c>
      <c r="C298" s="46" t="s">
        <v>124</v>
      </c>
      <c r="D298" s="48" t="str">
        <f aca="false">IF(D295="","",D295)</f>
        <v/>
      </c>
      <c r="E298" s="46" t="s">
        <v>125</v>
      </c>
      <c r="F298" s="48" t="str">
        <f aca="false">IF(F295="","",F295)</f>
        <v/>
      </c>
      <c r="G298" s="46" t="s">
        <v>126</v>
      </c>
      <c r="H298" s="48" t="str">
        <f aca="false">IF(H295="","",H295)</f>
        <v/>
      </c>
      <c r="I298" s="47" t="s">
        <v>127</v>
      </c>
      <c r="J298" s="47"/>
      <c r="K298" s="47"/>
    </row>
    <row r="299" customFormat="false" ht="33.75" hidden="false" customHeight="true" outlineLevel="0" collapsed="false">
      <c r="A299" s="17" t="s">
        <v>128</v>
      </c>
      <c r="B299" s="17" t="s">
        <v>129</v>
      </c>
      <c r="C299" s="17" t="s">
        <v>130</v>
      </c>
      <c r="D299" s="17" t="s">
        <v>131</v>
      </c>
      <c r="E299" s="17" t="s">
        <v>132</v>
      </c>
      <c r="F299" s="17" t="s">
        <v>133</v>
      </c>
      <c r="G299" s="17" t="s">
        <v>134</v>
      </c>
      <c r="H299" s="17" t="s">
        <v>135</v>
      </c>
      <c r="I299" s="17" t="s">
        <v>136</v>
      </c>
      <c r="J299" s="17" t="s">
        <v>137</v>
      </c>
      <c r="K299" s="17" t="s">
        <v>33</v>
      </c>
    </row>
    <row r="300" customFormat="false" ht="15" hidden="false" customHeight="false" outlineLevel="0" collapsed="false">
      <c r="A300" s="49" t="str">
        <f aca="false">01_Data!A6</f>
        <v>S01</v>
      </c>
      <c r="B300" s="50" t="n">
        <f aca="false">01_Data!F6</f>
        <v>-1.6</v>
      </c>
      <c r="C300" s="50" t="n">
        <f aca="false">01_Data!G6</f>
        <v>-1.33333333333333</v>
      </c>
      <c r="D300" s="50" t="n">
        <f aca="false">01_Data!D6</f>
        <v>0</v>
      </c>
      <c r="E300" s="51"/>
      <c r="F300" s="51"/>
      <c r="G300" s="51"/>
      <c r="H300" s="51"/>
      <c r="I300" s="51"/>
      <c r="J300" s="51"/>
      <c r="K300" s="51"/>
    </row>
    <row r="301" customFormat="false" ht="15" hidden="false" customHeight="false" outlineLevel="0" collapsed="false">
      <c r="A301" s="49" t="str">
        <f aca="false">01_Data!A7</f>
        <v>S02</v>
      </c>
      <c r="B301" s="50" t="n">
        <f aca="false">01_Data!F7</f>
        <v>-1.4</v>
      </c>
      <c r="C301" s="50" t="n">
        <f aca="false">01_Data!G7</f>
        <v>-1</v>
      </c>
      <c r="D301" s="50" t="n">
        <f aca="false">01_Data!D7</f>
        <v>0</v>
      </c>
      <c r="E301" s="51"/>
      <c r="F301" s="51"/>
      <c r="G301" s="51"/>
      <c r="H301" s="51"/>
      <c r="I301" s="51"/>
      <c r="J301" s="51"/>
      <c r="K301" s="51"/>
    </row>
    <row r="302" customFormat="false" ht="15" hidden="false" customHeight="false" outlineLevel="0" collapsed="false">
      <c r="A302" s="49" t="str">
        <f aca="false">01_Data!A8</f>
        <v>S03</v>
      </c>
      <c r="B302" s="50" t="n">
        <f aca="false">01_Data!F8</f>
        <v>-1.2</v>
      </c>
      <c r="C302" s="50" t="n">
        <f aca="false">01_Data!G8</f>
        <v>-1.13333333333333</v>
      </c>
      <c r="D302" s="50" t="n">
        <f aca="false">01_Data!D8</f>
        <v>0</v>
      </c>
      <c r="E302" s="51"/>
      <c r="F302" s="51"/>
      <c r="G302" s="51"/>
      <c r="H302" s="51"/>
      <c r="I302" s="51"/>
      <c r="J302" s="51"/>
      <c r="K302" s="51"/>
    </row>
    <row r="303" customFormat="false" ht="15" hidden="false" customHeight="false" outlineLevel="0" collapsed="false">
      <c r="A303" s="49" t="str">
        <f aca="false">01_Data!A9</f>
        <v>S04</v>
      </c>
      <c r="B303" s="50" t="n">
        <f aca="false">01_Data!F9</f>
        <v>-1</v>
      </c>
      <c r="C303" s="50" t="n">
        <f aca="false">01_Data!G9</f>
        <v>-0.666666666666667</v>
      </c>
      <c r="D303" s="50" t="n">
        <f aca="false">01_Data!D9</f>
        <v>0</v>
      </c>
      <c r="E303" s="51"/>
      <c r="F303" s="51"/>
      <c r="G303" s="51"/>
      <c r="H303" s="51"/>
      <c r="I303" s="51"/>
      <c r="J303" s="51"/>
      <c r="K303" s="51"/>
    </row>
    <row r="304" customFormat="false" ht="15" hidden="false" customHeight="false" outlineLevel="0" collapsed="false">
      <c r="A304" s="49" t="str">
        <f aca="false">01_Data!A10</f>
        <v>S05</v>
      </c>
      <c r="B304" s="50" t="n">
        <f aca="false">01_Data!F10</f>
        <v>-0.8</v>
      </c>
      <c r="C304" s="50" t="n">
        <f aca="false">01_Data!G10</f>
        <v>-0.866666666666667</v>
      </c>
      <c r="D304" s="50" t="n">
        <f aca="false">01_Data!D10</f>
        <v>0</v>
      </c>
      <c r="E304" s="51"/>
      <c r="F304" s="51"/>
      <c r="G304" s="51"/>
      <c r="H304" s="51"/>
      <c r="I304" s="51"/>
      <c r="J304" s="51"/>
      <c r="K304" s="51"/>
    </row>
    <row r="305" customFormat="false" ht="15" hidden="false" customHeight="false" outlineLevel="0" collapsed="false">
      <c r="A305" s="49" t="str">
        <f aca="false">01_Data!A11</f>
        <v>S06</v>
      </c>
      <c r="B305" s="50" t="n">
        <f aca="false">01_Data!F11</f>
        <v>-0.6</v>
      </c>
      <c r="C305" s="50" t="n">
        <f aca="false">01_Data!G11</f>
        <v>-0.333333333333333</v>
      </c>
      <c r="D305" s="50" t="n">
        <f aca="false">01_Data!D11</f>
        <v>0</v>
      </c>
      <c r="E305" s="51"/>
      <c r="F305" s="51"/>
      <c r="G305" s="51"/>
      <c r="H305" s="51"/>
      <c r="I305" s="51"/>
      <c r="J305" s="51"/>
      <c r="K305" s="51"/>
    </row>
    <row r="306" customFormat="false" ht="15" hidden="false" customHeight="false" outlineLevel="0" collapsed="false">
      <c r="A306" s="49" t="str">
        <f aca="false">01_Data!A12</f>
        <v>S07</v>
      </c>
      <c r="B306" s="50" t="n">
        <f aca="false">01_Data!F12</f>
        <v>-0.4</v>
      </c>
      <c r="C306" s="50" t="n">
        <f aca="false">01_Data!G12</f>
        <v>-0.466666666666667</v>
      </c>
      <c r="D306" s="50" t="n">
        <f aca="false">01_Data!D12</f>
        <v>0</v>
      </c>
      <c r="E306" s="51"/>
      <c r="F306" s="51"/>
      <c r="G306" s="51"/>
      <c r="H306" s="51"/>
      <c r="I306" s="51"/>
      <c r="J306" s="51"/>
      <c r="K306" s="51"/>
    </row>
    <row r="307" customFormat="false" ht="15" hidden="false" customHeight="false" outlineLevel="0" collapsed="false">
      <c r="A307" s="49" t="str">
        <f aca="false">01_Data!A13</f>
        <v>S08</v>
      </c>
      <c r="B307" s="50" t="n">
        <f aca="false">01_Data!F13</f>
        <v>-0.2</v>
      </c>
      <c r="C307" s="50" t="n">
        <f aca="false">01_Data!G13</f>
        <v>-0.2</v>
      </c>
      <c r="D307" s="50" t="n">
        <f aca="false">01_Data!D13</f>
        <v>1</v>
      </c>
      <c r="E307" s="51"/>
      <c r="F307" s="51"/>
      <c r="G307" s="51"/>
      <c r="H307" s="51"/>
      <c r="I307" s="51"/>
      <c r="J307" s="51"/>
      <c r="K307" s="51"/>
    </row>
    <row r="308" customFormat="false" ht="15" hidden="false" customHeight="false" outlineLevel="0" collapsed="false">
      <c r="A308" s="49" t="str">
        <f aca="false">01_Data!A14</f>
        <v>S09</v>
      </c>
      <c r="B308" s="50" t="n">
        <f aca="false">01_Data!F14</f>
        <v>0</v>
      </c>
      <c r="C308" s="50" t="n">
        <f aca="false">01_Data!G14</f>
        <v>0</v>
      </c>
      <c r="D308" s="50" t="n">
        <f aca="false">01_Data!D14</f>
        <v>1</v>
      </c>
      <c r="E308" s="51"/>
      <c r="F308" s="51"/>
      <c r="G308" s="51"/>
      <c r="H308" s="51"/>
      <c r="I308" s="51"/>
      <c r="J308" s="51"/>
      <c r="K308" s="51"/>
    </row>
    <row r="309" customFormat="false" ht="15" hidden="false" customHeight="false" outlineLevel="0" collapsed="false">
      <c r="A309" s="49" t="str">
        <f aca="false">01_Data!A15</f>
        <v>S10</v>
      </c>
      <c r="B309" s="50" t="n">
        <f aca="false">01_Data!F15</f>
        <v>0.2</v>
      </c>
      <c r="C309" s="50" t="n">
        <f aca="false">01_Data!G15</f>
        <v>0.2</v>
      </c>
      <c r="D309" s="50" t="n">
        <f aca="false">01_Data!D15</f>
        <v>1</v>
      </c>
      <c r="E309" s="51"/>
      <c r="F309" s="51"/>
      <c r="G309" s="51"/>
      <c r="H309" s="51"/>
      <c r="I309" s="51"/>
      <c r="J309" s="51"/>
      <c r="K309" s="51"/>
    </row>
    <row r="310" customFormat="false" ht="15" hidden="false" customHeight="false" outlineLevel="0" collapsed="false">
      <c r="A310" s="49" t="str">
        <f aca="false">01_Data!A16</f>
        <v>S11</v>
      </c>
      <c r="B310" s="50" t="n">
        <f aca="false">01_Data!F16</f>
        <v>0.4</v>
      </c>
      <c r="C310" s="50" t="n">
        <f aca="false">01_Data!G16</f>
        <v>0.333333333333333</v>
      </c>
      <c r="D310" s="50" t="n">
        <f aca="false">01_Data!D16</f>
        <v>1</v>
      </c>
      <c r="E310" s="51"/>
      <c r="F310" s="51"/>
      <c r="G310" s="51"/>
      <c r="H310" s="51"/>
      <c r="I310" s="51"/>
      <c r="J310" s="51"/>
      <c r="K310" s="51"/>
    </row>
    <row r="311" customFormat="false" ht="15" hidden="false" customHeight="false" outlineLevel="0" collapsed="false">
      <c r="A311" s="49" t="str">
        <f aca="false">01_Data!A17</f>
        <v>S12</v>
      </c>
      <c r="B311" s="50" t="n">
        <f aca="false">01_Data!F17</f>
        <v>0.6</v>
      </c>
      <c r="C311" s="50" t="n">
        <f aca="false">01_Data!G17</f>
        <v>0.466666666666667</v>
      </c>
      <c r="D311" s="50" t="n">
        <f aca="false">01_Data!D17</f>
        <v>1</v>
      </c>
      <c r="E311" s="51"/>
      <c r="F311" s="51"/>
      <c r="G311" s="51"/>
      <c r="H311" s="51"/>
      <c r="I311" s="51"/>
      <c r="J311" s="51"/>
      <c r="K311" s="51"/>
    </row>
    <row r="312" customFormat="false" ht="15" hidden="false" customHeight="false" outlineLevel="0" collapsed="false">
      <c r="A312" s="49" t="str">
        <f aca="false">01_Data!A18</f>
        <v>S13</v>
      </c>
      <c r="B312" s="50" t="n">
        <f aca="false">01_Data!F18</f>
        <v>0.8</v>
      </c>
      <c r="C312" s="50" t="n">
        <f aca="false">01_Data!G18</f>
        <v>0.666666666666667</v>
      </c>
      <c r="D312" s="50" t="n">
        <f aca="false">01_Data!D18</f>
        <v>1</v>
      </c>
      <c r="E312" s="51"/>
      <c r="F312" s="51"/>
      <c r="G312" s="51"/>
      <c r="H312" s="51"/>
      <c r="I312" s="51"/>
      <c r="J312" s="51"/>
      <c r="K312" s="51"/>
    </row>
    <row r="313" customFormat="false" ht="15" hidden="false" customHeight="false" outlineLevel="0" collapsed="false">
      <c r="A313" s="49" t="str">
        <f aca="false">01_Data!A19</f>
        <v>S14</v>
      </c>
      <c r="B313" s="50" t="n">
        <f aca="false">01_Data!F19</f>
        <v>1</v>
      </c>
      <c r="C313" s="50" t="n">
        <f aca="false">01_Data!G19</f>
        <v>0.866666666666667</v>
      </c>
      <c r="D313" s="50" t="n">
        <f aca="false">01_Data!D19</f>
        <v>1</v>
      </c>
      <c r="E313" s="51"/>
      <c r="F313" s="51"/>
      <c r="G313" s="51"/>
      <c r="H313" s="51"/>
      <c r="I313" s="51"/>
      <c r="J313" s="51"/>
      <c r="K313" s="51"/>
    </row>
    <row r="314" customFormat="false" ht="15" hidden="false" customHeight="false" outlineLevel="0" collapsed="false">
      <c r="A314" s="49" t="str">
        <f aca="false">01_Data!A20</f>
        <v>S15</v>
      </c>
      <c r="B314" s="50" t="n">
        <f aca="false">01_Data!F20</f>
        <v>1.2</v>
      </c>
      <c r="C314" s="50" t="n">
        <f aca="false">01_Data!G20</f>
        <v>1</v>
      </c>
      <c r="D314" s="50" t="n">
        <f aca="false">01_Data!D20</f>
        <v>1</v>
      </c>
      <c r="E314" s="51"/>
      <c r="F314" s="51"/>
      <c r="G314" s="51"/>
      <c r="H314" s="51"/>
      <c r="I314" s="51"/>
      <c r="J314" s="51"/>
      <c r="K314" s="51"/>
    </row>
    <row r="315" customFormat="false" ht="15" hidden="false" customHeight="false" outlineLevel="0" collapsed="false">
      <c r="A315" s="49" t="str">
        <f aca="false">01_Data!A21</f>
        <v>S16</v>
      </c>
      <c r="B315" s="50" t="n">
        <f aca="false">01_Data!F21</f>
        <v>1.4</v>
      </c>
      <c r="C315" s="50" t="n">
        <f aca="false">01_Data!G21</f>
        <v>1.13333333333333</v>
      </c>
      <c r="D315" s="50" t="n">
        <f aca="false">01_Data!D21</f>
        <v>1</v>
      </c>
      <c r="E315" s="51"/>
      <c r="F315" s="51"/>
      <c r="G315" s="51"/>
      <c r="H315" s="51"/>
      <c r="I315" s="51"/>
      <c r="J315" s="51"/>
      <c r="K315" s="51"/>
    </row>
    <row r="316" customFormat="false" ht="15" hidden="false" customHeight="false" outlineLevel="0" collapsed="false">
      <c r="A316" s="49" t="str">
        <f aca="false">01_Data!A22</f>
        <v>S17</v>
      </c>
      <c r="B316" s="50" t="n">
        <f aca="false">01_Data!F22</f>
        <v>1.6</v>
      </c>
      <c r="C316" s="50" t="n">
        <f aca="false">01_Data!G22</f>
        <v>1.33333333333333</v>
      </c>
      <c r="D316" s="50" t="n">
        <f aca="false">01_Data!D22</f>
        <v>1</v>
      </c>
      <c r="E316" s="51"/>
      <c r="F316" s="51"/>
      <c r="G316" s="51"/>
      <c r="H316" s="51"/>
      <c r="I316" s="51"/>
      <c r="J316" s="51"/>
      <c r="K316" s="51"/>
    </row>
    <row r="317" customFormat="false" ht="15" hidden="false" customHeight="false" outlineLevel="0" collapsed="false">
      <c r="A317" s="49" t="str">
        <f aca="false">01_Data!A23</f>
        <v>S18</v>
      </c>
      <c r="B317" s="50" t="n">
        <f aca="false">01_Data!F23</f>
        <v>0</v>
      </c>
      <c r="C317" s="50" t="n">
        <f aca="false">01_Data!G23</f>
        <v>-0.666666666666667</v>
      </c>
      <c r="D317" s="50" t="n">
        <f aca="false">01_Data!D23</f>
        <v>0</v>
      </c>
      <c r="E317" s="51"/>
      <c r="F317" s="51"/>
      <c r="G317" s="51"/>
      <c r="H317" s="51"/>
      <c r="I317" s="51"/>
      <c r="J317" s="51"/>
      <c r="K317" s="51"/>
    </row>
    <row r="318" customFormat="false" ht="15" hidden="false" customHeight="false" outlineLevel="0" collapsed="false">
      <c r="A318" s="49" t="str">
        <f aca="false">01_Data!A24</f>
        <v>S19</v>
      </c>
      <c r="B318" s="50" t="n">
        <f aca="false">01_Data!F24</f>
        <v>-0.8</v>
      </c>
      <c r="C318" s="50" t="n">
        <f aca="false">01_Data!G24</f>
        <v>0.666666666666667</v>
      </c>
      <c r="D318" s="50" t="n">
        <f aca="false">01_Data!D24</f>
        <v>1</v>
      </c>
      <c r="E318" s="51"/>
      <c r="F318" s="51"/>
      <c r="G318" s="51"/>
      <c r="H318" s="51"/>
      <c r="I318" s="51"/>
      <c r="J318" s="51"/>
      <c r="K318" s="51"/>
    </row>
    <row r="319" customFormat="false" ht="15" hidden="false" customHeight="false" outlineLevel="0" collapsed="false">
      <c r="A319" s="49" t="str">
        <f aca="false">01_Data!A25</f>
        <v>S20</v>
      </c>
      <c r="B319" s="50" t="n">
        <f aca="false">01_Data!F25</f>
        <v>0.8</v>
      </c>
      <c r="C319" s="50" t="n">
        <f aca="false">01_Data!G25</f>
        <v>-0.666666666666667</v>
      </c>
      <c r="D319" s="50" t="n">
        <f aca="false">01_Data!D25</f>
        <v>1</v>
      </c>
      <c r="E319" s="51"/>
      <c r="F319" s="51"/>
      <c r="G319" s="51"/>
      <c r="H319" s="51"/>
      <c r="I319" s="51"/>
      <c r="J319" s="51"/>
      <c r="K319" s="51"/>
    </row>
    <row r="320" customFormat="false" ht="15" hidden="false" customHeight="false" outlineLevel="0" collapsed="false">
      <c r="A320" s="52" t="s">
        <v>138</v>
      </c>
      <c r="B320" s="52"/>
      <c r="C320" s="52"/>
      <c r="D320" s="52"/>
      <c r="E320" s="52"/>
      <c r="F320" s="52"/>
      <c r="G320" s="52" t="s">
        <v>139</v>
      </c>
      <c r="H320" s="53"/>
      <c r="I320" s="53"/>
      <c r="J320" s="53"/>
      <c r="K320" s="53"/>
    </row>
    <row r="321" customFormat="false" ht="22.35" hidden="false" customHeight="true" outlineLevel="0" collapsed="false">
      <c r="A321" s="46" t="s">
        <v>140</v>
      </c>
      <c r="B321" s="46"/>
      <c r="C321" s="46" t="s">
        <v>141</v>
      </c>
      <c r="D321" s="54"/>
      <c r="E321" s="46" t="s">
        <v>142</v>
      </c>
      <c r="F321" s="54"/>
      <c r="G321" s="46" t="s">
        <v>143</v>
      </c>
      <c r="H321" s="54"/>
      <c r="I321" s="47" t="s">
        <v>144</v>
      </c>
      <c r="J321" s="47"/>
      <c r="K321" s="47"/>
    </row>
    <row r="323" customFormat="false" ht="22.5" hidden="false" customHeight="true" outlineLevel="0" collapsed="false">
      <c r="A323" s="3" t="s">
        <v>156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customFormat="false" ht="15" hidden="false" customHeight="true" outlineLevel="0" collapsed="false">
      <c r="A324" s="46" t="s">
        <v>123</v>
      </c>
      <c r="B324" s="47" t="n">
        <v>13</v>
      </c>
      <c r="C324" s="46" t="s">
        <v>124</v>
      </c>
      <c r="D324" s="48" t="str">
        <f aca="false">IF(D321="","",D321)</f>
        <v/>
      </c>
      <c r="E324" s="46" t="s">
        <v>125</v>
      </c>
      <c r="F324" s="48" t="str">
        <f aca="false">IF(F321="","",F321)</f>
        <v/>
      </c>
      <c r="G324" s="46" t="s">
        <v>126</v>
      </c>
      <c r="H324" s="48" t="str">
        <f aca="false">IF(H321="","",H321)</f>
        <v/>
      </c>
      <c r="I324" s="47" t="s">
        <v>127</v>
      </c>
      <c r="J324" s="47"/>
      <c r="K324" s="47"/>
    </row>
    <row r="325" customFormat="false" ht="33.75" hidden="false" customHeight="true" outlineLevel="0" collapsed="false">
      <c r="A325" s="17" t="s">
        <v>128</v>
      </c>
      <c r="B325" s="17" t="s">
        <v>129</v>
      </c>
      <c r="C325" s="17" t="s">
        <v>130</v>
      </c>
      <c r="D325" s="17" t="s">
        <v>131</v>
      </c>
      <c r="E325" s="17" t="s">
        <v>132</v>
      </c>
      <c r="F325" s="17" t="s">
        <v>133</v>
      </c>
      <c r="G325" s="17" t="s">
        <v>134</v>
      </c>
      <c r="H325" s="17" t="s">
        <v>135</v>
      </c>
      <c r="I325" s="17" t="s">
        <v>136</v>
      </c>
      <c r="J325" s="17" t="s">
        <v>137</v>
      </c>
      <c r="K325" s="17" t="s">
        <v>33</v>
      </c>
    </row>
    <row r="326" customFormat="false" ht="15" hidden="false" customHeight="false" outlineLevel="0" collapsed="false">
      <c r="A326" s="49" t="str">
        <f aca="false">01_Data!A6</f>
        <v>S01</v>
      </c>
      <c r="B326" s="50" t="n">
        <f aca="false">01_Data!F6</f>
        <v>-1.6</v>
      </c>
      <c r="C326" s="50" t="n">
        <f aca="false">01_Data!G6</f>
        <v>-1.33333333333333</v>
      </c>
      <c r="D326" s="50" t="n">
        <f aca="false">01_Data!D6</f>
        <v>0</v>
      </c>
      <c r="E326" s="51"/>
      <c r="F326" s="51"/>
      <c r="G326" s="51"/>
      <c r="H326" s="51"/>
      <c r="I326" s="51"/>
      <c r="J326" s="51"/>
      <c r="K326" s="51"/>
    </row>
    <row r="327" customFormat="false" ht="15" hidden="false" customHeight="false" outlineLevel="0" collapsed="false">
      <c r="A327" s="49" t="str">
        <f aca="false">01_Data!A7</f>
        <v>S02</v>
      </c>
      <c r="B327" s="50" t="n">
        <f aca="false">01_Data!F7</f>
        <v>-1.4</v>
      </c>
      <c r="C327" s="50" t="n">
        <f aca="false">01_Data!G7</f>
        <v>-1</v>
      </c>
      <c r="D327" s="50" t="n">
        <f aca="false">01_Data!D7</f>
        <v>0</v>
      </c>
      <c r="E327" s="51"/>
      <c r="F327" s="51"/>
      <c r="G327" s="51"/>
      <c r="H327" s="51"/>
      <c r="I327" s="51"/>
      <c r="J327" s="51"/>
      <c r="K327" s="51"/>
    </row>
    <row r="328" customFormat="false" ht="15" hidden="false" customHeight="false" outlineLevel="0" collapsed="false">
      <c r="A328" s="49" t="str">
        <f aca="false">01_Data!A8</f>
        <v>S03</v>
      </c>
      <c r="B328" s="50" t="n">
        <f aca="false">01_Data!F8</f>
        <v>-1.2</v>
      </c>
      <c r="C328" s="50" t="n">
        <f aca="false">01_Data!G8</f>
        <v>-1.13333333333333</v>
      </c>
      <c r="D328" s="50" t="n">
        <f aca="false">01_Data!D8</f>
        <v>0</v>
      </c>
      <c r="E328" s="51"/>
      <c r="F328" s="51"/>
      <c r="G328" s="51"/>
      <c r="H328" s="51"/>
      <c r="I328" s="51"/>
      <c r="J328" s="51"/>
      <c r="K328" s="51"/>
    </row>
    <row r="329" customFormat="false" ht="15" hidden="false" customHeight="false" outlineLevel="0" collapsed="false">
      <c r="A329" s="49" t="str">
        <f aca="false">01_Data!A9</f>
        <v>S04</v>
      </c>
      <c r="B329" s="50" t="n">
        <f aca="false">01_Data!F9</f>
        <v>-1</v>
      </c>
      <c r="C329" s="50" t="n">
        <f aca="false">01_Data!G9</f>
        <v>-0.666666666666667</v>
      </c>
      <c r="D329" s="50" t="n">
        <f aca="false">01_Data!D9</f>
        <v>0</v>
      </c>
      <c r="E329" s="51"/>
      <c r="F329" s="51"/>
      <c r="G329" s="51"/>
      <c r="H329" s="51"/>
      <c r="I329" s="51"/>
      <c r="J329" s="51"/>
      <c r="K329" s="51"/>
    </row>
    <row r="330" customFormat="false" ht="15" hidden="false" customHeight="false" outlineLevel="0" collapsed="false">
      <c r="A330" s="49" t="str">
        <f aca="false">01_Data!A10</f>
        <v>S05</v>
      </c>
      <c r="B330" s="50" t="n">
        <f aca="false">01_Data!F10</f>
        <v>-0.8</v>
      </c>
      <c r="C330" s="50" t="n">
        <f aca="false">01_Data!G10</f>
        <v>-0.866666666666667</v>
      </c>
      <c r="D330" s="50" t="n">
        <f aca="false">01_Data!D10</f>
        <v>0</v>
      </c>
      <c r="E330" s="51"/>
      <c r="F330" s="51"/>
      <c r="G330" s="51"/>
      <c r="H330" s="51"/>
      <c r="I330" s="51"/>
      <c r="J330" s="51"/>
      <c r="K330" s="51"/>
    </row>
    <row r="331" customFormat="false" ht="15" hidden="false" customHeight="false" outlineLevel="0" collapsed="false">
      <c r="A331" s="49" t="str">
        <f aca="false">01_Data!A11</f>
        <v>S06</v>
      </c>
      <c r="B331" s="50" t="n">
        <f aca="false">01_Data!F11</f>
        <v>-0.6</v>
      </c>
      <c r="C331" s="50" t="n">
        <f aca="false">01_Data!G11</f>
        <v>-0.333333333333333</v>
      </c>
      <c r="D331" s="50" t="n">
        <f aca="false">01_Data!D11</f>
        <v>0</v>
      </c>
      <c r="E331" s="51"/>
      <c r="F331" s="51"/>
      <c r="G331" s="51"/>
      <c r="H331" s="51"/>
      <c r="I331" s="51"/>
      <c r="J331" s="51"/>
      <c r="K331" s="51"/>
    </row>
    <row r="332" customFormat="false" ht="15" hidden="false" customHeight="false" outlineLevel="0" collapsed="false">
      <c r="A332" s="49" t="str">
        <f aca="false">01_Data!A12</f>
        <v>S07</v>
      </c>
      <c r="B332" s="50" t="n">
        <f aca="false">01_Data!F12</f>
        <v>-0.4</v>
      </c>
      <c r="C332" s="50" t="n">
        <f aca="false">01_Data!G12</f>
        <v>-0.466666666666667</v>
      </c>
      <c r="D332" s="50" t="n">
        <f aca="false">01_Data!D12</f>
        <v>0</v>
      </c>
      <c r="E332" s="51"/>
      <c r="F332" s="51"/>
      <c r="G332" s="51"/>
      <c r="H332" s="51"/>
      <c r="I332" s="51"/>
      <c r="J332" s="51"/>
      <c r="K332" s="51"/>
    </row>
    <row r="333" customFormat="false" ht="15" hidden="false" customHeight="false" outlineLevel="0" collapsed="false">
      <c r="A333" s="49" t="str">
        <f aca="false">01_Data!A13</f>
        <v>S08</v>
      </c>
      <c r="B333" s="50" t="n">
        <f aca="false">01_Data!F13</f>
        <v>-0.2</v>
      </c>
      <c r="C333" s="50" t="n">
        <f aca="false">01_Data!G13</f>
        <v>-0.2</v>
      </c>
      <c r="D333" s="50" t="n">
        <f aca="false">01_Data!D13</f>
        <v>1</v>
      </c>
      <c r="E333" s="51"/>
      <c r="F333" s="51"/>
      <c r="G333" s="51"/>
      <c r="H333" s="51"/>
      <c r="I333" s="51"/>
      <c r="J333" s="51"/>
      <c r="K333" s="51"/>
    </row>
    <row r="334" customFormat="false" ht="15" hidden="false" customHeight="false" outlineLevel="0" collapsed="false">
      <c r="A334" s="49" t="str">
        <f aca="false">01_Data!A14</f>
        <v>S09</v>
      </c>
      <c r="B334" s="50" t="n">
        <f aca="false">01_Data!F14</f>
        <v>0</v>
      </c>
      <c r="C334" s="50" t="n">
        <f aca="false">01_Data!G14</f>
        <v>0</v>
      </c>
      <c r="D334" s="50" t="n">
        <f aca="false">01_Data!D14</f>
        <v>1</v>
      </c>
      <c r="E334" s="51"/>
      <c r="F334" s="51"/>
      <c r="G334" s="51"/>
      <c r="H334" s="51"/>
      <c r="I334" s="51"/>
      <c r="J334" s="51"/>
      <c r="K334" s="51"/>
    </row>
    <row r="335" customFormat="false" ht="15" hidden="false" customHeight="false" outlineLevel="0" collapsed="false">
      <c r="A335" s="49" t="str">
        <f aca="false">01_Data!A15</f>
        <v>S10</v>
      </c>
      <c r="B335" s="50" t="n">
        <f aca="false">01_Data!F15</f>
        <v>0.2</v>
      </c>
      <c r="C335" s="50" t="n">
        <f aca="false">01_Data!G15</f>
        <v>0.2</v>
      </c>
      <c r="D335" s="50" t="n">
        <f aca="false">01_Data!D15</f>
        <v>1</v>
      </c>
      <c r="E335" s="51"/>
      <c r="F335" s="51"/>
      <c r="G335" s="51"/>
      <c r="H335" s="51"/>
      <c r="I335" s="51"/>
      <c r="J335" s="51"/>
      <c r="K335" s="51"/>
    </row>
    <row r="336" customFormat="false" ht="15" hidden="false" customHeight="false" outlineLevel="0" collapsed="false">
      <c r="A336" s="49" t="str">
        <f aca="false">01_Data!A16</f>
        <v>S11</v>
      </c>
      <c r="B336" s="50" t="n">
        <f aca="false">01_Data!F16</f>
        <v>0.4</v>
      </c>
      <c r="C336" s="50" t="n">
        <f aca="false">01_Data!G16</f>
        <v>0.333333333333333</v>
      </c>
      <c r="D336" s="50" t="n">
        <f aca="false">01_Data!D16</f>
        <v>1</v>
      </c>
      <c r="E336" s="51"/>
      <c r="F336" s="51"/>
      <c r="G336" s="51"/>
      <c r="H336" s="51"/>
      <c r="I336" s="51"/>
      <c r="J336" s="51"/>
      <c r="K336" s="51"/>
    </row>
    <row r="337" customFormat="false" ht="15" hidden="false" customHeight="false" outlineLevel="0" collapsed="false">
      <c r="A337" s="49" t="str">
        <f aca="false">01_Data!A17</f>
        <v>S12</v>
      </c>
      <c r="B337" s="50" t="n">
        <f aca="false">01_Data!F17</f>
        <v>0.6</v>
      </c>
      <c r="C337" s="50" t="n">
        <f aca="false">01_Data!G17</f>
        <v>0.466666666666667</v>
      </c>
      <c r="D337" s="50" t="n">
        <f aca="false">01_Data!D17</f>
        <v>1</v>
      </c>
      <c r="E337" s="51"/>
      <c r="F337" s="51"/>
      <c r="G337" s="51"/>
      <c r="H337" s="51"/>
      <c r="I337" s="51"/>
      <c r="J337" s="51"/>
      <c r="K337" s="51"/>
    </row>
    <row r="338" customFormat="false" ht="15" hidden="false" customHeight="false" outlineLevel="0" collapsed="false">
      <c r="A338" s="49" t="str">
        <f aca="false">01_Data!A18</f>
        <v>S13</v>
      </c>
      <c r="B338" s="50" t="n">
        <f aca="false">01_Data!F18</f>
        <v>0.8</v>
      </c>
      <c r="C338" s="50" t="n">
        <f aca="false">01_Data!G18</f>
        <v>0.666666666666667</v>
      </c>
      <c r="D338" s="50" t="n">
        <f aca="false">01_Data!D18</f>
        <v>1</v>
      </c>
      <c r="E338" s="51"/>
      <c r="F338" s="51"/>
      <c r="G338" s="51"/>
      <c r="H338" s="51"/>
      <c r="I338" s="51"/>
      <c r="J338" s="51"/>
      <c r="K338" s="51"/>
    </row>
    <row r="339" customFormat="false" ht="15" hidden="false" customHeight="false" outlineLevel="0" collapsed="false">
      <c r="A339" s="49" t="str">
        <f aca="false">01_Data!A19</f>
        <v>S14</v>
      </c>
      <c r="B339" s="50" t="n">
        <f aca="false">01_Data!F19</f>
        <v>1</v>
      </c>
      <c r="C339" s="50" t="n">
        <f aca="false">01_Data!G19</f>
        <v>0.866666666666667</v>
      </c>
      <c r="D339" s="50" t="n">
        <f aca="false">01_Data!D19</f>
        <v>1</v>
      </c>
      <c r="E339" s="51"/>
      <c r="F339" s="51"/>
      <c r="G339" s="51"/>
      <c r="H339" s="51"/>
      <c r="I339" s="51"/>
      <c r="J339" s="51"/>
      <c r="K339" s="51"/>
    </row>
    <row r="340" customFormat="false" ht="15" hidden="false" customHeight="false" outlineLevel="0" collapsed="false">
      <c r="A340" s="49" t="str">
        <f aca="false">01_Data!A20</f>
        <v>S15</v>
      </c>
      <c r="B340" s="50" t="n">
        <f aca="false">01_Data!F20</f>
        <v>1.2</v>
      </c>
      <c r="C340" s="50" t="n">
        <f aca="false">01_Data!G20</f>
        <v>1</v>
      </c>
      <c r="D340" s="50" t="n">
        <f aca="false">01_Data!D20</f>
        <v>1</v>
      </c>
      <c r="E340" s="51"/>
      <c r="F340" s="51"/>
      <c r="G340" s="51"/>
      <c r="H340" s="51"/>
      <c r="I340" s="51"/>
      <c r="J340" s="51"/>
      <c r="K340" s="51"/>
    </row>
    <row r="341" customFormat="false" ht="15" hidden="false" customHeight="false" outlineLevel="0" collapsed="false">
      <c r="A341" s="49" t="str">
        <f aca="false">01_Data!A21</f>
        <v>S16</v>
      </c>
      <c r="B341" s="50" t="n">
        <f aca="false">01_Data!F21</f>
        <v>1.4</v>
      </c>
      <c r="C341" s="50" t="n">
        <f aca="false">01_Data!G21</f>
        <v>1.13333333333333</v>
      </c>
      <c r="D341" s="50" t="n">
        <f aca="false">01_Data!D21</f>
        <v>1</v>
      </c>
      <c r="E341" s="51"/>
      <c r="F341" s="51"/>
      <c r="G341" s="51"/>
      <c r="H341" s="51"/>
      <c r="I341" s="51"/>
      <c r="J341" s="51"/>
      <c r="K341" s="51"/>
    </row>
    <row r="342" customFormat="false" ht="15" hidden="false" customHeight="false" outlineLevel="0" collapsed="false">
      <c r="A342" s="49" t="str">
        <f aca="false">01_Data!A22</f>
        <v>S17</v>
      </c>
      <c r="B342" s="50" t="n">
        <f aca="false">01_Data!F22</f>
        <v>1.6</v>
      </c>
      <c r="C342" s="50" t="n">
        <f aca="false">01_Data!G22</f>
        <v>1.33333333333333</v>
      </c>
      <c r="D342" s="50" t="n">
        <f aca="false">01_Data!D22</f>
        <v>1</v>
      </c>
      <c r="E342" s="51"/>
      <c r="F342" s="51"/>
      <c r="G342" s="51"/>
      <c r="H342" s="51"/>
      <c r="I342" s="51"/>
      <c r="J342" s="51"/>
      <c r="K342" s="51"/>
    </row>
    <row r="343" customFormat="false" ht="15" hidden="false" customHeight="false" outlineLevel="0" collapsed="false">
      <c r="A343" s="49" t="str">
        <f aca="false">01_Data!A23</f>
        <v>S18</v>
      </c>
      <c r="B343" s="50" t="n">
        <f aca="false">01_Data!F23</f>
        <v>0</v>
      </c>
      <c r="C343" s="50" t="n">
        <f aca="false">01_Data!G23</f>
        <v>-0.666666666666667</v>
      </c>
      <c r="D343" s="50" t="n">
        <f aca="false">01_Data!D23</f>
        <v>0</v>
      </c>
      <c r="E343" s="51"/>
      <c r="F343" s="51"/>
      <c r="G343" s="51"/>
      <c r="H343" s="51"/>
      <c r="I343" s="51"/>
      <c r="J343" s="51"/>
      <c r="K343" s="51"/>
    </row>
    <row r="344" customFormat="false" ht="15" hidden="false" customHeight="false" outlineLevel="0" collapsed="false">
      <c r="A344" s="49" t="str">
        <f aca="false">01_Data!A24</f>
        <v>S19</v>
      </c>
      <c r="B344" s="50" t="n">
        <f aca="false">01_Data!F24</f>
        <v>-0.8</v>
      </c>
      <c r="C344" s="50" t="n">
        <f aca="false">01_Data!G24</f>
        <v>0.666666666666667</v>
      </c>
      <c r="D344" s="50" t="n">
        <f aca="false">01_Data!D24</f>
        <v>1</v>
      </c>
      <c r="E344" s="51"/>
      <c r="F344" s="51"/>
      <c r="G344" s="51"/>
      <c r="H344" s="51"/>
      <c r="I344" s="51"/>
      <c r="J344" s="51"/>
      <c r="K344" s="51"/>
    </row>
    <row r="345" customFormat="false" ht="15" hidden="false" customHeight="false" outlineLevel="0" collapsed="false">
      <c r="A345" s="49" t="str">
        <f aca="false">01_Data!A25</f>
        <v>S20</v>
      </c>
      <c r="B345" s="50" t="n">
        <f aca="false">01_Data!F25</f>
        <v>0.8</v>
      </c>
      <c r="C345" s="50" t="n">
        <f aca="false">01_Data!G25</f>
        <v>-0.666666666666667</v>
      </c>
      <c r="D345" s="50" t="n">
        <f aca="false">01_Data!D25</f>
        <v>1</v>
      </c>
      <c r="E345" s="51"/>
      <c r="F345" s="51"/>
      <c r="G345" s="51"/>
      <c r="H345" s="51"/>
      <c r="I345" s="51"/>
      <c r="J345" s="51"/>
      <c r="K345" s="51"/>
    </row>
    <row r="346" customFormat="false" ht="15" hidden="false" customHeight="false" outlineLevel="0" collapsed="false">
      <c r="A346" s="52" t="s">
        <v>138</v>
      </c>
      <c r="B346" s="52"/>
      <c r="C346" s="52"/>
      <c r="D346" s="52"/>
      <c r="E346" s="52"/>
      <c r="F346" s="52"/>
      <c r="G346" s="52" t="s">
        <v>139</v>
      </c>
      <c r="H346" s="53"/>
      <c r="I346" s="53"/>
      <c r="J346" s="53"/>
      <c r="K346" s="53"/>
    </row>
    <row r="347" customFormat="false" ht="22.35" hidden="false" customHeight="true" outlineLevel="0" collapsed="false">
      <c r="A347" s="46" t="s">
        <v>140</v>
      </c>
      <c r="B347" s="46"/>
      <c r="C347" s="46" t="s">
        <v>141</v>
      </c>
      <c r="D347" s="54"/>
      <c r="E347" s="46" t="s">
        <v>142</v>
      </c>
      <c r="F347" s="54"/>
      <c r="G347" s="46" t="s">
        <v>143</v>
      </c>
      <c r="H347" s="54"/>
      <c r="I347" s="47" t="s">
        <v>144</v>
      </c>
      <c r="J347" s="47"/>
      <c r="K347" s="47"/>
    </row>
    <row r="349" customFormat="false" ht="22.5" hidden="false" customHeight="true" outlineLevel="0" collapsed="false">
      <c r="A349" s="55" t="s">
        <v>157</v>
      </c>
      <c r="B349" s="55"/>
      <c r="C349" s="55"/>
      <c r="D349" s="55"/>
      <c r="E349" s="55"/>
      <c r="F349" s="55"/>
      <c r="G349" s="55"/>
      <c r="H349" s="55"/>
      <c r="I349" s="55"/>
      <c r="J349" s="55"/>
      <c r="K349" s="55"/>
    </row>
    <row r="350" customFormat="false" ht="15" hidden="false" customHeight="true" outlineLevel="0" collapsed="false">
      <c r="A350" s="46" t="s">
        <v>123</v>
      </c>
      <c r="B350" s="47" t="n">
        <v>14</v>
      </c>
      <c r="C350" s="46" t="s">
        <v>124</v>
      </c>
      <c r="D350" s="48" t="str">
        <f aca="false">IF(D347="","",D347)</f>
        <v/>
      </c>
      <c r="E350" s="46" t="s">
        <v>125</v>
      </c>
      <c r="F350" s="48" t="str">
        <f aca="false">IF(F347="","",F347)</f>
        <v/>
      </c>
      <c r="G350" s="46" t="s">
        <v>126</v>
      </c>
      <c r="H350" s="48" t="str">
        <f aca="false">IF(H347="","",H347)</f>
        <v/>
      </c>
      <c r="I350" s="47" t="s">
        <v>127</v>
      </c>
      <c r="J350" s="47"/>
      <c r="K350" s="47"/>
    </row>
    <row r="351" customFormat="false" ht="33.75" hidden="false" customHeight="true" outlineLevel="0" collapsed="false">
      <c r="A351" s="17" t="s">
        <v>128</v>
      </c>
      <c r="B351" s="17" t="s">
        <v>129</v>
      </c>
      <c r="C351" s="17" t="s">
        <v>130</v>
      </c>
      <c r="D351" s="17" t="s">
        <v>131</v>
      </c>
      <c r="E351" s="17" t="s">
        <v>132</v>
      </c>
      <c r="F351" s="17" t="s">
        <v>133</v>
      </c>
      <c r="G351" s="17" t="s">
        <v>134</v>
      </c>
      <c r="H351" s="17" t="s">
        <v>135</v>
      </c>
      <c r="I351" s="17" t="s">
        <v>136</v>
      </c>
      <c r="J351" s="17" t="s">
        <v>137</v>
      </c>
      <c r="K351" s="17" t="s">
        <v>33</v>
      </c>
    </row>
    <row r="352" customFormat="false" ht="15" hidden="false" customHeight="false" outlineLevel="0" collapsed="false">
      <c r="A352" s="49" t="str">
        <f aca="false">01_Data!A6</f>
        <v>S01</v>
      </c>
      <c r="B352" s="50" t="n">
        <f aca="false">01_Data!F6</f>
        <v>-1.6</v>
      </c>
      <c r="C352" s="50" t="n">
        <f aca="false">01_Data!G6</f>
        <v>-1.33333333333333</v>
      </c>
      <c r="D352" s="50" t="n">
        <f aca="false">01_Data!D6</f>
        <v>0</v>
      </c>
      <c r="E352" s="51"/>
      <c r="F352" s="51"/>
      <c r="G352" s="51"/>
      <c r="H352" s="51"/>
      <c r="I352" s="51"/>
      <c r="J352" s="51"/>
      <c r="K352" s="51"/>
    </row>
    <row r="353" customFormat="false" ht="15" hidden="false" customHeight="false" outlineLevel="0" collapsed="false">
      <c r="A353" s="49" t="str">
        <f aca="false">01_Data!A7</f>
        <v>S02</v>
      </c>
      <c r="B353" s="50" t="n">
        <f aca="false">01_Data!F7</f>
        <v>-1.4</v>
      </c>
      <c r="C353" s="50" t="n">
        <f aca="false">01_Data!G7</f>
        <v>-1</v>
      </c>
      <c r="D353" s="50" t="n">
        <f aca="false">01_Data!D7</f>
        <v>0</v>
      </c>
      <c r="E353" s="51"/>
      <c r="F353" s="51"/>
      <c r="G353" s="51"/>
      <c r="H353" s="51"/>
      <c r="I353" s="51"/>
      <c r="J353" s="51"/>
      <c r="K353" s="51"/>
    </row>
    <row r="354" customFormat="false" ht="15" hidden="false" customHeight="false" outlineLevel="0" collapsed="false">
      <c r="A354" s="49" t="str">
        <f aca="false">01_Data!A8</f>
        <v>S03</v>
      </c>
      <c r="B354" s="50" t="n">
        <f aca="false">01_Data!F8</f>
        <v>-1.2</v>
      </c>
      <c r="C354" s="50" t="n">
        <f aca="false">01_Data!G8</f>
        <v>-1.13333333333333</v>
      </c>
      <c r="D354" s="50" t="n">
        <f aca="false">01_Data!D8</f>
        <v>0</v>
      </c>
      <c r="E354" s="51"/>
      <c r="F354" s="51"/>
      <c r="G354" s="51"/>
      <c r="H354" s="51"/>
      <c r="I354" s="51"/>
      <c r="J354" s="51"/>
      <c r="K354" s="51"/>
    </row>
    <row r="355" customFormat="false" ht="15" hidden="false" customHeight="false" outlineLevel="0" collapsed="false">
      <c r="A355" s="49" t="str">
        <f aca="false">01_Data!A9</f>
        <v>S04</v>
      </c>
      <c r="B355" s="50" t="n">
        <f aca="false">01_Data!F9</f>
        <v>-1</v>
      </c>
      <c r="C355" s="50" t="n">
        <f aca="false">01_Data!G9</f>
        <v>-0.666666666666667</v>
      </c>
      <c r="D355" s="50" t="n">
        <f aca="false">01_Data!D9</f>
        <v>0</v>
      </c>
      <c r="E355" s="51"/>
      <c r="F355" s="51"/>
      <c r="G355" s="51"/>
      <c r="H355" s="51"/>
      <c r="I355" s="51"/>
      <c r="J355" s="51"/>
      <c r="K355" s="51"/>
    </row>
    <row r="356" customFormat="false" ht="15" hidden="false" customHeight="false" outlineLevel="0" collapsed="false">
      <c r="A356" s="49" t="str">
        <f aca="false">01_Data!A10</f>
        <v>S05</v>
      </c>
      <c r="B356" s="50" t="n">
        <f aca="false">01_Data!F10</f>
        <v>-0.8</v>
      </c>
      <c r="C356" s="50" t="n">
        <f aca="false">01_Data!G10</f>
        <v>-0.866666666666667</v>
      </c>
      <c r="D356" s="50" t="n">
        <f aca="false">01_Data!D10</f>
        <v>0</v>
      </c>
      <c r="E356" s="51"/>
      <c r="F356" s="51"/>
      <c r="G356" s="51"/>
      <c r="H356" s="51"/>
      <c r="I356" s="51"/>
      <c r="J356" s="51"/>
      <c r="K356" s="51"/>
    </row>
    <row r="357" customFormat="false" ht="15" hidden="false" customHeight="false" outlineLevel="0" collapsed="false">
      <c r="A357" s="49" t="str">
        <f aca="false">01_Data!A11</f>
        <v>S06</v>
      </c>
      <c r="B357" s="50" t="n">
        <f aca="false">01_Data!F11</f>
        <v>-0.6</v>
      </c>
      <c r="C357" s="50" t="n">
        <f aca="false">01_Data!G11</f>
        <v>-0.333333333333333</v>
      </c>
      <c r="D357" s="50" t="n">
        <f aca="false">01_Data!D11</f>
        <v>0</v>
      </c>
      <c r="E357" s="51"/>
      <c r="F357" s="51"/>
      <c r="G357" s="51"/>
      <c r="H357" s="51"/>
      <c r="I357" s="51"/>
      <c r="J357" s="51"/>
      <c r="K357" s="51"/>
    </row>
    <row r="358" customFormat="false" ht="15" hidden="false" customHeight="false" outlineLevel="0" collapsed="false">
      <c r="A358" s="49" t="str">
        <f aca="false">01_Data!A12</f>
        <v>S07</v>
      </c>
      <c r="B358" s="50" t="n">
        <f aca="false">01_Data!F12</f>
        <v>-0.4</v>
      </c>
      <c r="C358" s="50" t="n">
        <f aca="false">01_Data!G12</f>
        <v>-0.466666666666667</v>
      </c>
      <c r="D358" s="50" t="n">
        <f aca="false">01_Data!D12</f>
        <v>0</v>
      </c>
      <c r="E358" s="51"/>
      <c r="F358" s="51"/>
      <c r="G358" s="51"/>
      <c r="H358" s="51"/>
      <c r="I358" s="51"/>
      <c r="J358" s="51"/>
      <c r="K358" s="51"/>
    </row>
    <row r="359" customFormat="false" ht="15" hidden="false" customHeight="false" outlineLevel="0" collapsed="false">
      <c r="A359" s="49" t="str">
        <f aca="false">01_Data!A13</f>
        <v>S08</v>
      </c>
      <c r="B359" s="50" t="n">
        <f aca="false">01_Data!F13</f>
        <v>-0.2</v>
      </c>
      <c r="C359" s="50" t="n">
        <f aca="false">01_Data!G13</f>
        <v>-0.2</v>
      </c>
      <c r="D359" s="50" t="n">
        <f aca="false">01_Data!D13</f>
        <v>1</v>
      </c>
      <c r="E359" s="51"/>
      <c r="F359" s="51"/>
      <c r="G359" s="51"/>
      <c r="H359" s="51"/>
      <c r="I359" s="51"/>
      <c r="J359" s="51"/>
      <c r="K359" s="51"/>
    </row>
    <row r="360" customFormat="false" ht="15" hidden="false" customHeight="false" outlineLevel="0" collapsed="false">
      <c r="A360" s="49" t="str">
        <f aca="false">01_Data!A14</f>
        <v>S09</v>
      </c>
      <c r="B360" s="50" t="n">
        <f aca="false">01_Data!F14</f>
        <v>0</v>
      </c>
      <c r="C360" s="50" t="n">
        <f aca="false">01_Data!G14</f>
        <v>0</v>
      </c>
      <c r="D360" s="50" t="n">
        <f aca="false">01_Data!D14</f>
        <v>1</v>
      </c>
      <c r="E360" s="51"/>
      <c r="F360" s="51"/>
      <c r="G360" s="51"/>
      <c r="H360" s="51"/>
      <c r="I360" s="51"/>
      <c r="J360" s="51"/>
      <c r="K360" s="51"/>
    </row>
    <row r="361" customFormat="false" ht="15" hidden="false" customHeight="false" outlineLevel="0" collapsed="false">
      <c r="A361" s="49" t="str">
        <f aca="false">01_Data!A15</f>
        <v>S10</v>
      </c>
      <c r="B361" s="50" t="n">
        <f aca="false">01_Data!F15</f>
        <v>0.2</v>
      </c>
      <c r="C361" s="50" t="n">
        <f aca="false">01_Data!G15</f>
        <v>0.2</v>
      </c>
      <c r="D361" s="50" t="n">
        <f aca="false">01_Data!D15</f>
        <v>1</v>
      </c>
      <c r="E361" s="51"/>
      <c r="F361" s="51"/>
      <c r="G361" s="51"/>
      <c r="H361" s="51"/>
      <c r="I361" s="51"/>
      <c r="J361" s="51"/>
      <c r="K361" s="51"/>
    </row>
    <row r="362" customFormat="false" ht="15" hidden="false" customHeight="false" outlineLevel="0" collapsed="false">
      <c r="A362" s="49" t="str">
        <f aca="false">01_Data!A16</f>
        <v>S11</v>
      </c>
      <c r="B362" s="50" t="n">
        <f aca="false">01_Data!F16</f>
        <v>0.4</v>
      </c>
      <c r="C362" s="50" t="n">
        <f aca="false">01_Data!G16</f>
        <v>0.333333333333333</v>
      </c>
      <c r="D362" s="50" t="n">
        <f aca="false">01_Data!D16</f>
        <v>1</v>
      </c>
      <c r="E362" s="51"/>
      <c r="F362" s="51"/>
      <c r="G362" s="51"/>
      <c r="H362" s="51"/>
      <c r="I362" s="51"/>
      <c r="J362" s="51"/>
      <c r="K362" s="51"/>
    </row>
    <row r="363" customFormat="false" ht="15" hidden="false" customHeight="false" outlineLevel="0" collapsed="false">
      <c r="A363" s="49" t="str">
        <f aca="false">01_Data!A17</f>
        <v>S12</v>
      </c>
      <c r="B363" s="50" t="n">
        <f aca="false">01_Data!F17</f>
        <v>0.6</v>
      </c>
      <c r="C363" s="50" t="n">
        <f aca="false">01_Data!G17</f>
        <v>0.466666666666667</v>
      </c>
      <c r="D363" s="50" t="n">
        <f aca="false">01_Data!D17</f>
        <v>1</v>
      </c>
      <c r="E363" s="51"/>
      <c r="F363" s="51"/>
      <c r="G363" s="51"/>
      <c r="H363" s="51"/>
      <c r="I363" s="51"/>
      <c r="J363" s="51"/>
      <c r="K363" s="51"/>
    </row>
    <row r="364" customFormat="false" ht="15" hidden="false" customHeight="false" outlineLevel="0" collapsed="false">
      <c r="A364" s="49" t="str">
        <f aca="false">01_Data!A18</f>
        <v>S13</v>
      </c>
      <c r="B364" s="50" t="n">
        <f aca="false">01_Data!F18</f>
        <v>0.8</v>
      </c>
      <c r="C364" s="50" t="n">
        <f aca="false">01_Data!G18</f>
        <v>0.666666666666667</v>
      </c>
      <c r="D364" s="50" t="n">
        <f aca="false">01_Data!D18</f>
        <v>1</v>
      </c>
      <c r="E364" s="51"/>
      <c r="F364" s="51"/>
      <c r="G364" s="51"/>
      <c r="H364" s="51"/>
      <c r="I364" s="51"/>
      <c r="J364" s="51"/>
      <c r="K364" s="51"/>
    </row>
    <row r="365" customFormat="false" ht="15" hidden="false" customHeight="false" outlineLevel="0" collapsed="false">
      <c r="A365" s="49" t="str">
        <f aca="false">01_Data!A19</f>
        <v>S14</v>
      </c>
      <c r="B365" s="50" t="n">
        <f aca="false">01_Data!F19</f>
        <v>1</v>
      </c>
      <c r="C365" s="50" t="n">
        <f aca="false">01_Data!G19</f>
        <v>0.866666666666667</v>
      </c>
      <c r="D365" s="50" t="n">
        <f aca="false">01_Data!D19</f>
        <v>1</v>
      </c>
      <c r="E365" s="51"/>
      <c r="F365" s="51"/>
      <c r="G365" s="51"/>
      <c r="H365" s="51"/>
      <c r="I365" s="51"/>
      <c r="J365" s="51"/>
      <c r="K365" s="51"/>
    </row>
    <row r="366" customFormat="false" ht="15" hidden="false" customHeight="false" outlineLevel="0" collapsed="false">
      <c r="A366" s="49" t="str">
        <f aca="false">01_Data!A20</f>
        <v>S15</v>
      </c>
      <c r="B366" s="50" t="n">
        <f aca="false">01_Data!F20</f>
        <v>1.2</v>
      </c>
      <c r="C366" s="50" t="n">
        <f aca="false">01_Data!G20</f>
        <v>1</v>
      </c>
      <c r="D366" s="50" t="n">
        <f aca="false">01_Data!D20</f>
        <v>1</v>
      </c>
      <c r="E366" s="51"/>
      <c r="F366" s="51"/>
      <c r="G366" s="51"/>
      <c r="H366" s="51"/>
      <c r="I366" s="51"/>
      <c r="J366" s="51"/>
      <c r="K366" s="51"/>
    </row>
    <row r="367" customFormat="false" ht="15" hidden="false" customHeight="false" outlineLevel="0" collapsed="false">
      <c r="A367" s="49" t="str">
        <f aca="false">01_Data!A21</f>
        <v>S16</v>
      </c>
      <c r="B367" s="50" t="n">
        <f aca="false">01_Data!F21</f>
        <v>1.4</v>
      </c>
      <c r="C367" s="50" t="n">
        <f aca="false">01_Data!G21</f>
        <v>1.13333333333333</v>
      </c>
      <c r="D367" s="50" t="n">
        <f aca="false">01_Data!D21</f>
        <v>1</v>
      </c>
      <c r="E367" s="51"/>
      <c r="F367" s="51"/>
      <c r="G367" s="51"/>
      <c r="H367" s="51"/>
      <c r="I367" s="51"/>
      <c r="J367" s="51"/>
      <c r="K367" s="51"/>
    </row>
    <row r="368" customFormat="false" ht="15" hidden="false" customHeight="false" outlineLevel="0" collapsed="false">
      <c r="A368" s="49" t="str">
        <f aca="false">01_Data!A22</f>
        <v>S17</v>
      </c>
      <c r="B368" s="50" t="n">
        <f aca="false">01_Data!F22</f>
        <v>1.6</v>
      </c>
      <c r="C368" s="50" t="n">
        <f aca="false">01_Data!G22</f>
        <v>1.33333333333333</v>
      </c>
      <c r="D368" s="50" t="n">
        <f aca="false">01_Data!D22</f>
        <v>1</v>
      </c>
      <c r="E368" s="51"/>
      <c r="F368" s="51"/>
      <c r="G368" s="51"/>
      <c r="H368" s="51"/>
      <c r="I368" s="51"/>
      <c r="J368" s="51"/>
      <c r="K368" s="51"/>
    </row>
    <row r="369" customFormat="false" ht="15" hidden="false" customHeight="false" outlineLevel="0" collapsed="false">
      <c r="A369" s="49" t="str">
        <f aca="false">01_Data!A23</f>
        <v>S18</v>
      </c>
      <c r="B369" s="50" t="n">
        <f aca="false">01_Data!F23</f>
        <v>0</v>
      </c>
      <c r="C369" s="50" t="n">
        <f aca="false">01_Data!G23</f>
        <v>-0.666666666666667</v>
      </c>
      <c r="D369" s="50" t="n">
        <f aca="false">01_Data!D23</f>
        <v>0</v>
      </c>
      <c r="E369" s="51"/>
      <c r="F369" s="51"/>
      <c r="G369" s="51"/>
      <c r="H369" s="51"/>
      <c r="I369" s="51"/>
      <c r="J369" s="51"/>
      <c r="K369" s="51"/>
    </row>
    <row r="370" customFormat="false" ht="15" hidden="false" customHeight="false" outlineLevel="0" collapsed="false">
      <c r="A370" s="49" t="str">
        <f aca="false">01_Data!A24</f>
        <v>S19</v>
      </c>
      <c r="B370" s="50" t="n">
        <f aca="false">01_Data!F24</f>
        <v>-0.8</v>
      </c>
      <c r="C370" s="50" t="n">
        <f aca="false">01_Data!G24</f>
        <v>0.666666666666667</v>
      </c>
      <c r="D370" s="50" t="n">
        <f aca="false">01_Data!D24</f>
        <v>1</v>
      </c>
      <c r="E370" s="51"/>
      <c r="F370" s="51"/>
      <c r="G370" s="51"/>
      <c r="H370" s="51"/>
      <c r="I370" s="51"/>
      <c r="J370" s="51"/>
      <c r="K370" s="51"/>
    </row>
    <row r="371" customFormat="false" ht="15" hidden="false" customHeight="false" outlineLevel="0" collapsed="false">
      <c r="A371" s="49" t="str">
        <f aca="false">01_Data!A25</f>
        <v>S20</v>
      </c>
      <c r="B371" s="50" t="n">
        <f aca="false">01_Data!F25</f>
        <v>0.8</v>
      </c>
      <c r="C371" s="50" t="n">
        <f aca="false">01_Data!G25</f>
        <v>-0.666666666666667</v>
      </c>
      <c r="D371" s="50" t="n">
        <f aca="false">01_Data!D25</f>
        <v>1</v>
      </c>
      <c r="E371" s="51"/>
      <c r="F371" s="51"/>
      <c r="G371" s="51"/>
      <c r="H371" s="51"/>
      <c r="I371" s="51"/>
      <c r="J371" s="51"/>
      <c r="K371" s="51"/>
    </row>
    <row r="372" customFormat="false" ht="15" hidden="false" customHeight="false" outlineLevel="0" collapsed="false">
      <c r="A372" s="52" t="s">
        <v>138</v>
      </c>
      <c r="B372" s="52"/>
      <c r="C372" s="52"/>
      <c r="D372" s="52"/>
      <c r="E372" s="52"/>
      <c r="F372" s="52"/>
      <c r="G372" s="52" t="s">
        <v>139</v>
      </c>
      <c r="H372" s="53"/>
      <c r="I372" s="53"/>
      <c r="J372" s="53"/>
      <c r="K372" s="53"/>
    </row>
    <row r="373" customFormat="false" ht="22.35" hidden="false" customHeight="true" outlineLevel="0" collapsed="false">
      <c r="A373" s="46" t="s">
        <v>140</v>
      </c>
      <c r="B373" s="46"/>
      <c r="C373" s="46" t="s">
        <v>141</v>
      </c>
      <c r="D373" s="54"/>
      <c r="E373" s="46" t="s">
        <v>142</v>
      </c>
      <c r="F373" s="54"/>
      <c r="G373" s="46" t="s">
        <v>143</v>
      </c>
      <c r="H373" s="54"/>
      <c r="I373" s="47" t="s">
        <v>144</v>
      </c>
      <c r="J373" s="47"/>
      <c r="K373" s="47"/>
    </row>
    <row r="375" customFormat="false" ht="22.5" hidden="false" customHeight="true" outlineLevel="0" collapsed="false">
      <c r="A375" s="3" t="s">
        <v>158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customFormat="false" ht="15" hidden="false" customHeight="true" outlineLevel="0" collapsed="false">
      <c r="A376" s="46" t="s">
        <v>123</v>
      </c>
      <c r="B376" s="47" t="n">
        <v>15</v>
      </c>
      <c r="C376" s="46" t="s">
        <v>124</v>
      </c>
      <c r="D376" s="48" t="str">
        <f aca="false">IF(D373="","",D373)</f>
        <v/>
      </c>
      <c r="E376" s="46" t="s">
        <v>125</v>
      </c>
      <c r="F376" s="48" t="str">
        <f aca="false">IF(F373="","",F373)</f>
        <v/>
      </c>
      <c r="G376" s="46" t="s">
        <v>126</v>
      </c>
      <c r="H376" s="48" t="str">
        <f aca="false">IF(H373="","",H373)</f>
        <v/>
      </c>
      <c r="I376" s="47" t="s">
        <v>127</v>
      </c>
      <c r="J376" s="47"/>
      <c r="K376" s="47"/>
    </row>
    <row r="377" customFormat="false" ht="33.75" hidden="false" customHeight="true" outlineLevel="0" collapsed="false">
      <c r="A377" s="17" t="s">
        <v>128</v>
      </c>
      <c r="B377" s="17" t="s">
        <v>129</v>
      </c>
      <c r="C377" s="17" t="s">
        <v>130</v>
      </c>
      <c r="D377" s="17" t="s">
        <v>131</v>
      </c>
      <c r="E377" s="17" t="s">
        <v>132</v>
      </c>
      <c r="F377" s="17" t="s">
        <v>133</v>
      </c>
      <c r="G377" s="17" t="s">
        <v>134</v>
      </c>
      <c r="H377" s="17" t="s">
        <v>135</v>
      </c>
      <c r="I377" s="17" t="s">
        <v>136</v>
      </c>
      <c r="J377" s="17" t="s">
        <v>137</v>
      </c>
      <c r="K377" s="17" t="s">
        <v>33</v>
      </c>
    </row>
    <row r="378" customFormat="false" ht="15" hidden="false" customHeight="false" outlineLevel="0" collapsed="false">
      <c r="A378" s="49" t="str">
        <f aca="false">01_Data!A6</f>
        <v>S01</v>
      </c>
      <c r="B378" s="50" t="n">
        <f aca="false">01_Data!F6</f>
        <v>-1.6</v>
      </c>
      <c r="C378" s="50" t="n">
        <f aca="false">01_Data!G6</f>
        <v>-1.33333333333333</v>
      </c>
      <c r="D378" s="50" t="n">
        <f aca="false">01_Data!D6</f>
        <v>0</v>
      </c>
      <c r="E378" s="51"/>
      <c r="F378" s="51"/>
      <c r="G378" s="51"/>
      <c r="H378" s="51"/>
      <c r="I378" s="51"/>
      <c r="J378" s="51"/>
      <c r="K378" s="51"/>
    </row>
    <row r="379" customFormat="false" ht="15" hidden="false" customHeight="false" outlineLevel="0" collapsed="false">
      <c r="A379" s="49" t="str">
        <f aca="false">01_Data!A7</f>
        <v>S02</v>
      </c>
      <c r="B379" s="50" t="n">
        <f aca="false">01_Data!F7</f>
        <v>-1.4</v>
      </c>
      <c r="C379" s="50" t="n">
        <f aca="false">01_Data!G7</f>
        <v>-1</v>
      </c>
      <c r="D379" s="50" t="n">
        <f aca="false">01_Data!D7</f>
        <v>0</v>
      </c>
      <c r="E379" s="51"/>
      <c r="F379" s="51"/>
      <c r="G379" s="51"/>
      <c r="H379" s="51"/>
      <c r="I379" s="51"/>
      <c r="J379" s="51"/>
      <c r="K379" s="51"/>
    </row>
    <row r="380" customFormat="false" ht="15" hidden="false" customHeight="false" outlineLevel="0" collapsed="false">
      <c r="A380" s="49" t="str">
        <f aca="false">01_Data!A8</f>
        <v>S03</v>
      </c>
      <c r="B380" s="50" t="n">
        <f aca="false">01_Data!F8</f>
        <v>-1.2</v>
      </c>
      <c r="C380" s="50" t="n">
        <f aca="false">01_Data!G8</f>
        <v>-1.13333333333333</v>
      </c>
      <c r="D380" s="50" t="n">
        <f aca="false">01_Data!D8</f>
        <v>0</v>
      </c>
      <c r="E380" s="51"/>
      <c r="F380" s="51"/>
      <c r="G380" s="51"/>
      <c r="H380" s="51"/>
      <c r="I380" s="51"/>
      <c r="J380" s="51"/>
      <c r="K380" s="51"/>
    </row>
    <row r="381" customFormat="false" ht="15" hidden="false" customHeight="false" outlineLevel="0" collapsed="false">
      <c r="A381" s="49" t="str">
        <f aca="false">01_Data!A9</f>
        <v>S04</v>
      </c>
      <c r="B381" s="50" t="n">
        <f aca="false">01_Data!F9</f>
        <v>-1</v>
      </c>
      <c r="C381" s="50" t="n">
        <f aca="false">01_Data!G9</f>
        <v>-0.666666666666667</v>
      </c>
      <c r="D381" s="50" t="n">
        <f aca="false">01_Data!D9</f>
        <v>0</v>
      </c>
      <c r="E381" s="51"/>
      <c r="F381" s="51"/>
      <c r="G381" s="51"/>
      <c r="H381" s="51"/>
      <c r="I381" s="51"/>
      <c r="J381" s="51"/>
      <c r="K381" s="51"/>
    </row>
    <row r="382" customFormat="false" ht="15" hidden="false" customHeight="false" outlineLevel="0" collapsed="false">
      <c r="A382" s="49" t="str">
        <f aca="false">01_Data!A10</f>
        <v>S05</v>
      </c>
      <c r="B382" s="50" t="n">
        <f aca="false">01_Data!F10</f>
        <v>-0.8</v>
      </c>
      <c r="C382" s="50" t="n">
        <f aca="false">01_Data!G10</f>
        <v>-0.866666666666667</v>
      </c>
      <c r="D382" s="50" t="n">
        <f aca="false">01_Data!D10</f>
        <v>0</v>
      </c>
      <c r="E382" s="51"/>
      <c r="F382" s="51"/>
      <c r="G382" s="51"/>
      <c r="H382" s="51"/>
      <c r="I382" s="51"/>
      <c r="J382" s="51"/>
      <c r="K382" s="51"/>
    </row>
    <row r="383" customFormat="false" ht="15" hidden="false" customHeight="false" outlineLevel="0" collapsed="false">
      <c r="A383" s="49" t="str">
        <f aca="false">01_Data!A11</f>
        <v>S06</v>
      </c>
      <c r="B383" s="50" t="n">
        <f aca="false">01_Data!F11</f>
        <v>-0.6</v>
      </c>
      <c r="C383" s="50" t="n">
        <f aca="false">01_Data!G11</f>
        <v>-0.333333333333333</v>
      </c>
      <c r="D383" s="50" t="n">
        <f aca="false">01_Data!D11</f>
        <v>0</v>
      </c>
      <c r="E383" s="51"/>
      <c r="F383" s="51"/>
      <c r="G383" s="51"/>
      <c r="H383" s="51"/>
      <c r="I383" s="51"/>
      <c r="J383" s="51"/>
      <c r="K383" s="51"/>
    </row>
    <row r="384" customFormat="false" ht="15" hidden="false" customHeight="false" outlineLevel="0" collapsed="false">
      <c r="A384" s="49" t="str">
        <f aca="false">01_Data!A12</f>
        <v>S07</v>
      </c>
      <c r="B384" s="50" t="n">
        <f aca="false">01_Data!F12</f>
        <v>-0.4</v>
      </c>
      <c r="C384" s="50" t="n">
        <f aca="false">01_Data!G12</f>
        <v>-0.466666666666667</v>
      </c>
      <c r="D384" s="50" t="n">
        <f aca="false">01_Data!D12</f>
        <v>0</v>
      </c>
      <c r="E384" s="51"/>
      <c r="F384" s="51"/>
      <c r="G384" s="51"/>
      <c r="H384" s="51"/>
      <c r="I384" s="51"/>
      <c r="J384" s="51"/>
      <c r="K384" s="51"/>
    </row>
    <row r="385" customFormat="false" ht="15" hidden="false" customHeight="false" outlineLevel="0" collapsed="false">
      <c r="A385" s="49" t="str">
        <f aca="false">01_Data!A13</f>
        <v>S08</v>
      </c>
      <c r="B385" s="50" t="n">
        <f aca="false">01_Data!F13</f>
        <v>-0.2</v>
      </c>
      <c r="C385" s="50" t="n">
        <f aca="false">01_Data!G13</f>
        <v>-0.2</v>
      </c>
      <c r="D385" s="50" t="n">
        <f aca="false">01_Data!D13</f>
        <v>1</v>
      </c>
      <c r="E385" s="51"/>
      <c r="F385" s="51"/>
      <c r="G385" s="51"/>
      <c r="H385" s="51"/>
      <c r="I385" s="51"/>
      <c r="J385" s="51"/>
      <c r="K385" s="51"/>
    </row>
    <row r="386" customFormat="false" ht="15" hidden="false" customHeight="false" outlineLevel="0" collapsed="false">
      <c r="A386" s="49" t="str">
        <f aca="false">01_Data!A14</f>
        <v>S09</v>
      </c>
      <c r="B386" s="50" t="n">
        <f aca="false">01_Data!F14</f>
        <v>0</v>
      </c>
      <c r="C386" s="50" t="n">
        <f aca="false">01_Data!G14</f>
        <v>0</v>
      </c>
      <c r="D386" s="50" t="n">
        <f aca="false">01_Data!D14</f>
        <v>1</v>
      </c>
      <c r="E386" s="51"/>
      <c r="F386" s="51"/>
      <c r="G386" s="51"/>
      <c r="H386" s="51"/>
      <c r="I386" s="51"/>
      <c r="J386" s="51"/>
      <c r="K386" s="51"/>
    </row>
    <row r="387" customFormat="false" ht="15" hidden="false" customHeight="false" outlineLevel="0" collapsed="false">
      <c r="A387" s="49" t="str">
        <f aca="false">01_Data!A15</f>
        <v>S10</v>
      </c>
      <c r="B387" s="50" t="n">
        <f aca="false">01_Data!F15</f>
        <v>0.2</v>
      </c>
      <c r="C387" s="50" t="n">
        <f aca="false">01_Data!G15</f>
        <v>0.2</v>
      </c>
      <c r="D387" s="50" t="n">
        <f aca="false">01_Data!D15</f>
        <v>1</v>
      </c>
      <c r="E387" s="51"/>
      <c r="F387" s="51"/>
      <c r="G387" s="51"/>
      <c r="H387" s="51"/>
      <c r="I387" s="51"/>
      <c r="J387" s="51"/>
      <c r="K387" s="51"/>
    </row>
    <row r="388" customFormat="false" ht="15" hidden="false" customHeight="false" outlineLevel="0" collapsed="false">
      <c r="A388" s="49" t="str">
        <f aca="false">01_Data!A16</f>
        <v>S11</v>
      </c>
      <c r="B388" s="50" t="n">
        <f aca="false">01_Data!F16</f>
        <v>0.4</v>
      </c>
      <c r="C388" s="50" t="n">
        <f aca="false">01_Data!G16</f>
        <v>0.333333333333333</v>
      </c>
      <c r="D388" s="50" t="n">
        <f aca="false">01_Data!D16</f>
        <v>1</v>
      </c>
      <c r="E388" s="51"/>
      <c r="F388" s="51"/>
      <c r="G388" s="51"/>
      <c r="H388" s="51"/>
      <c r="I388" s="51"/>
      <c r="J388" s="51"/>
      <c r="K388" s="51"/>
    </row>
    <row r="389" customFormat="false" ht="15" hidden="false" customHeight="false" outlineLevel="0" collapsed="false">
      <c r="A389" s="49" t="str">
        <f aca="false">01_Data!A17</f>
        <v>S12</v>
      </c>
      <c r="B389" s="50" t="n">
        <f aca="false">01_Data!F17</f>
        <v>0.6</v>
      </c>
      <c r="C389" s="50" t="n">
        <f aca="false">01_Data!G17</f>
        <v>0.466666666666667</v>
      </c>
      <c r="D389" s="50" t="n">
        <f aca="false">01_Data!D17</f>
        <v>1</v>
      </c>
      <c r="E389" s="51"/>
      <c r="F389" s="51"/>
      <c r="G389" s="51"/>
      <c r="H389" s="51"/>
      <c r="I389" s="51"/>
      <c r="J389" s="51"/>
      <c r="K389" s="51"/>
    </row>
    <row r="390" customFormat="false" ht="15" hidden="false" customHeight="false" outlineLevel="0" collapsed="false">
      <c r="A390" s="49" t="str">
        <f aca="false">01_Data!A18</f>
        <v>S13</v>
      </c>
      <c r="B390" s="50" t="n">
        <f aca="false">01_Data!F18</f>
        <v>0.8</v>
      </c>
      <c r="C390" s="50" t="n">
        <f aca="false">01_Data!G18</f>
        <v>0.666666666666667</v>
      </c>
      <c r="D390" s="50" t="n">
        <f aca="false">01_Data!D18</f>
        <v>1</v>
      </c>
      <c r="E390" s="51"/>
      <c r="F390" s="51"/>
      <c r="G390" s="51"/>
      <c r="H390" s="51"/>
      <c r="I390" s="51"/>
      <c r="J390" s="51"/>
      <c r="K390" s="51"/>
    </row>
    <row r="391" customFormat="false" ht="15" hidden="false" customHeight="false" outlineLevel="0" collapsed="false">
      <c r="A391" s="49" t="str">
        <f aca="false">01_Data!A19</f>
        <v>S14</v>
      </c>
      <c r="B391" s="50" t="n">
        <f aca="false">01_Data!F19</f>
        <v>1</v>
      </c>
      <c r="C391" s="50" t="n">
        <f aca="false">01_Data!G19</f>
        <v>0.866666666666667</v>
      </c>
      <c r="D391" s="50" t="n">
        <f aca="false">01_Data!D19</f>
        <v>1</v>
      </c>
      <c r="E391" s="51"/>
      <c r="F391" s="51"/>
      <c r="G391" s="51"/>
      <c r="H391" s="51"/>
      <c r="I391" s="51"/>
      <c r="J391" s="51"/>
      <c r="K391" s="51"/>
    </row>
    <row r="392" customFormat="false" ht="15" hidden="false" customHeight="false" outlineLevel="0" collapsed="false">
      <c r="A392" s="49" t="str">
        <f aca="false">01_Data!A20</f>
        <v>S15</v>
      </c>
      <c r="B392" s="50" t="n">
        <f aca="false">01_Data!F20</f>
        <v>1.2</v>
      </c>
      <c r="C392" s="50" t="n">
        <f aca="false">01_Data!G20</f>
        <v>1</v>
      </c>
      <c r="D392" s="50" t="n">
        <f aca="false">01_Data!D20</f>
        <v>1</v>
      </c>
      <c r="E392" s="51"/>
      <c r="F392" s="51"/>
      <c r="G392" s="51"/>
      <c r="H392" s="51"/>
      <c r="I392" s="51"/>
      <c r="J392" s="51"/>
      <c r="K392" s="51"/>
    </row>
    <row r="393" customFormat="false" ht="15" hidden="false" customHeight="false" outlineLevel="0" collapsed="false">
      <c r="A393" s="49" t="str">
        <f aca="false">01_Data!A21</f>
        <v>S16</v>
      </c>
      <c r="B393" s="50" t="n">
        <f aca="false">01_Data!F21</f>
        <v>1.4</v>
      </c>
      <c r="C393" s="50" t="n">
        <f aca="false">01_Data!G21</f>
        <v>1.13333333333333</v>
      </c>
      <c r="D393" s="50" t="n">
        <f aca="false">01_Data!D21</f>
        <v>1</v>
      </c>
      <c r="E393" s="51"/>
      <c r="F393" s="51"/>
      <c r="G393" s="51"/>
      <c r="H393" s="51"/>
      <c r="I393" s="51"/>
      <c r="J393" s="51"/>
      <c r="K393" s="51"/>
    </row>
    <row r="394" customFormat="false" ht="15" hidden="false" customHeight="false" outlineLevel="0" collapsed="false">
      <c r="A394" s="49" t="str">
        <f aca="false">01_Data!A22</f>
        <v>S17</v>
      </c>
      <c r="B394" s="50" t="n">
        <f aca="false">01_Data!F22</f>
        <v>1.6</v>
      </c>
      <c r="C394" s="50" t="n">
        <f aca="false">01_Data!G22</f>
        <v>1.33333333333333</v>
      </c>
      <c r="D394" s="50" t="n">
        <f aca="false">01_Data!D22</f>
        <v>1</v>
      </c>
      <c r="E394" s="51"/>
      <c r="F394" s="51"/>
      <c r="G394" s="51"/>
      <c r="H394" s="51"/>
      <c r="I394" s="51"/>
      <c r="J394" s="51"/>
      <c r="K394" s="51"/>
    </row>
    <row r="395" customFormat="false" ht="15" hidden="false" customHeight="false" outlineLevel="0" collapsed="false">
      <c r="A395" s="49" t="str">
        <f aca="false">01_Data!A23</f>
        <v>S18</v>
      </c>
      <c r="B395" s="50" t="n">
        <f aca="false">01_Data!F23</f>
        <v>0</v>
      </c>
      <c r="C395" s="50" t="n">
        <f aca="false">01_Data!G23</f>
        <v>-0.666666666666667</v>
      </c>
      <c r="D395" s="50" t="n">
        <f aca="false">01_Data!D23</f>
        <v>0</v>
      </c>
      <c r="E395" s="51"/>
      <c r="F395" s="51"/>
      <c r="G395" s="51"/>
      <c r="H395" s="51"/>
      <c r="I395" s="51"/>
      <c r="J395" s="51"/>
      <c r="K395" s="51"/>
    </row>
    <row r="396" customFormat="false" ht="15" hidden="false" customHeight="false" outlineLevel="0" collapsed="false">
      <c r="A396" s="49" t="str">
        <f aca="false">01_Data!A24</f>
        <v>S19</v>
      </c>
      <c r="B396" s="50" t="n">
        <f aca="false">01_Data!F24</f>
        <v>-0.8</v>
      </c>
      <c r="C396" s="50" t="n">
        <f aca="false">01_Data!G24</f>
        <v>0.666666666666667</v>
      </c>
      <c r="D396" s="50" t="n">
        <f aca="false">01_Data!D24</f>
        <v>1</v>
      </c>
      <c r="E396" s="51"/>
      <c r="F396" s="51"/>
      <c r="G396" s="51"/>
      <c r="H396" s="51"/>
      <c r="I396" s="51"/>
      <c r="J396" s="51"/>
      <c r="K396" s="51"/>
    </row>
    <row r="397" customFormat="false" ht="15" hidden="false" customHeight="false" outlineLevel="0" collapsed="false">
      <c r="A397" s="49" t="str">
        <f aca="false">01_Data!A25</f>
        <v>S20</v>
      </c>
      <c r="B397" s="50" t="n">
        <f aca="false">01_Data!F25</f>
        <v>0.8</v>
      </c>
      <c r="C397" s="50" t="n">
        <f aca="false">01_Data!G25</f>
        <v>-0.666666666666667</v>
      </c>
      <c r="D397" s="50" t="n">
        <f aca="false">01_Data!D25</f>
        <v>1</v>
      </c>
      <c r="E397" s="51"/>
      <c r="F397" s="51"/>
      <c r="G397" s="51"/>
      <c r="H397" s="51"/>
      <c r="I397" s="51"/>
      <c r="J397" s="51"/>
      <c r="K397" s="51"/>
    </row>
    <row r="398" customFormat="false" ht="15" hidden="false" customHeight="false" outlineLevel="0" collapsed="false">
      <c r="A398" s="52" t="s">
        <v>138</v>
      </c>
      <c r="B398" s="52"/>
      <c r="C398" s="52"/>
      <c r="D398" s="52"/>
      <c r="E398" s="52"/>
      <c r="F398" s="52"/>
      <c r="G398" s="52" t="s">
        <v>139</v>
      </c>
      <c r="H398" s="53"/>
      <c r="I398" s="53"/>
      <c r="J398" s="53"/>
      <c r="K398" s="53"/>
    </row>
    <row r="399" customFormat="false" ht="22.35" hidden="false" customHeight="true" outlineLevel="0" collapsed="false">
      <c r="A399" s="46" t="s">
        <v>140</v>
      </c>
      <c r="B399" s="46"/>
      <c r="C399" s="46" t="s">
        <v>141</v>
      </c>
      <c r="D399" s="54"/>
      <c r="E399" s="46" t="s">
        <v>142</v>
      </c>
      <c r="F399" s="54"/>
      <c r="G399" s="46" t="s">
        <v>143</v>
      </c>
      <c r="H399" s="54"/>
      <c r="I399" s="47" t="s">
        <v>144</v>
      </c>
      <c r="J399" s="47"/>
      <c r="K399" s="47"/>
    </row>
    <row r="401" customFormat="false" ht="22.5" hidden="false" customHeight="true" outlineLevel="0" collapsed="false">
      <c r="A401" s="55" t="s">
        <v>159</v>
      </c>
      <c r="B401" s="55"/>
      <c r="C401" s="55"/>
      <c r="D401" s="55"/>
      <c r="E401" s="55"/>
      <c r="F401" s="55"/>
      <c r="G401" s="55"/>
      <c r="H401" s="55"/>
      <c r="I401" s="55"/>
      <c r="J401" s="55"/>
      <c r="K401" s="55"/>
    </row>
    <row r="402" customFormat="false" ht="15" hidden="false" customHeight="true" outlineLevel="0" collapsed="false">
      <c r="A402" s="46" t="s">
        <v>123</v>
      </c>
      <c r="B402" s="47" t="n">
        <v>16</v>
      </c>
      <c r="C402" s="46" t="s">
        <v>124</v>
      </c>
      <c r="D402" s="48" t="str">
        <f aca="false">IF(D399="","",D399)</f>
        <v/>
      </c>
      <c r="E402" s="46" t="s">
        <v>125</v>
      </c>
      <c r="F402" s="48" t="str">
        <f aca="false">IF(F399="","",F399)</f>
        <v/>
      </c>
      <c r="G402" s="46" t="s">
        <v>126</v>
      </c>
      <c r="H402" s="48" t="str">
        <f aca="false">IF(H399="","",H399)</f>
        <v/>
      </c>
      <c r="I402" s="47" t="s">
        <v>127</v>
      </c>
      <c r="J402" s="47"/>
      <c r="K402" s="47"/>
    </row>
    <row r="403" customFormat="false" ht="33.75" hidden="false" customHeight="true" outlineLevel="0" collapsed="false">
      <c r="A403" s="17" t="s">
        <v>128</v>
      </c>
      <c r="B403" s="17" t="s">
        <v>129</v>
      </c>
      <c r="C403" s="17" t="s">
        <v>130</v>
      </c>
      <c r="D403" s="17" t="s">
        <v>131</v>
      </c>
      <c r="E403" s="17" t="s">
        <v>132</v>
      </c>
      <c r="F403" s="17" t="s">
        <v>133</v>
      </c>
      <c r="G403" s="17" t="s">
        <v>134</v>
      </c>
      <c r="H403" s="17" t="s">
        <v>135</v>
      </c>
      <c r="I403" s="17" t="s">
        <v>136</v>
      </c>
      <c r="J403" s="17" t="s">
        <v>137</v>
      </c>
      <c r="K403" s="17" t="s">
        <v>33</v>
      </c>
    </row>
    <row r="404" customFormat="false" ht="15" hidden="false" customHeight="false" outlineLevel="0" collapsed="false">
      <c r="A404" s="49" t="str">
        <f aca="false">01_Data!A6</f>
        <v>S01</v>
      </c>
      <c r="B404" s="50" t="n">
        <f aca="false">01_Data!F6</f>
        <v>-1.6</v>
      </c>
      <c r="C404" s="50" t="n">
        <f aca="false">01_Data!G6</f>
        <v>-1.33333333333333</v>
      </c>
      <c r="D404" s="50" t="n">
        <f aca="false">01_Data!D6</f>
        <v>0</v>
      </c>
      <c r="E404" s="51"/>
      <c r="F404" s="51"/>
      <c r="G404" s="51"/>
      <c r="H404" s="51"/>
      <c r="I404" s="51"/>
      <c r="J404" s="51"/>
      <c r="K404" s="51"/>
    </row>
    <row r="405" customFormat="false" ht="15" hidden="false" customHeight="false" outlineLevel="0" collapsed="false">
      <c r="A405" s="49" t="str">
        <f aca="false">01_Data!A7</f>
        <v>S02</v>
      </c>
      <c r="B405" s="50" t="n">
        <f aca="false">01_Data!F7</f>
        <v>-1.4</v>
      </c>
      <c r="C405" s="50" t="n">
        <f aca="false">01_Data!G7</f>
        <v>-1</v>
      </c>
      <c r="D405" s="50" t="n">
        <f aca="false">01_Data!D7</f>
        <v>0</v>
      </c>
      <c r="E405" s="51"/>
      <c r="F405" s="51"/>
      <c r="G405" s="51"/>
      <c r="H405" s="51"/>
      <c r="I405" s="51"/>
      <c r="J405" s="51"/>
      <c r="K405" s="51"/>
    </row>
    <row r="406" customFormat="false" ht="15" hidden="false" customHeight="false" outlineLevel="0" collapsed="false">
      <c r="A406" s="49" t="str">
        <f aca="false">01_Data!A8</f>
        <v>S03</v>
      </c>
      <c r="B406" s="50" t="n">
        <f aca="false">01_Data!F8</f>
        <v>-1.2</v>
      </c>
      <c r="C406" s="50" t="n">
        <f aca="false">01_Data!G8</f>
        <v>-1.13333333333333</v>
      </c>
      <c r="D406" s="50" t="n">
        <f aca="false">01_Data!D8</f>
        <v>0</v>
      </c>
      <c r="E406" s="51"/>
      <c r="F406" s="51"/>
      <c r="G406" s="51"/>
      <c r="H406" s="51"/>
      <c r="I406" s="51"/>
      <c r="J406" s="51"/>
      <c r="K406" s="51"/>
    </row>
    <row r="407" customFormat="false" ht="15" hidden="false" customHeight="false" outlineLevel="0" collapsed="false">
      <c r="A407" s="49" t="str">
        <f aca="false">01_Data!A9</f>
        <v>S04</v>
      </c>
      <c r="B407" s="50" t="n">
        <f aca="false">01_Data!F9</f>
        <v>-1</v>
      </c>
      <c r="C407" s="50" t="n">
        <f aca="false">01_Data!G9</f>
        <v>-0.666666666666667</v>
      </c>
      <c r="D407" s="50" t="n">
        <f aca="false">01_Data!D9</f>
        <v>0</v>
      </c>
      <c r="E407" s="51"/>
      <c r="F407" s="51"/>
      <c r="G407" s="51"/>
      <c r="H407" s="51"/>
      <c r="I407" s="51"/>
      <c r="J407" s="51"/>
      <c r="K407" s="51"/>
    </row>
    <row r="408" customFormat="false" ht="15" hidden="false" customHeight="false" outlineLevel="0" collapsed="false">
      <c r="A408" s="49" t="str">
        <f aca="false">01_Data!A10</f>
        <v>S05</v>
      </c>
      <c r="B408" s="50" t="n">
        <f aca="false">01_Data!F10</f>
        <v>-0.8</v>
      </c>
      <c r="C408" s="50" t="n">
        <f aca="false">01_Data!G10</f>
        <v>-0.866666666666667</v>
      </c>
      <c r="D408" s="50" t="n">
        <f aca="false">01_Data!D10</f>
        <v>0</v>
      </c>
      <c r="E408" s="51"/>
      <c r="F408" s="51"/>
      <c r="G408" s="51"/>
      <c r="H408" s="51"/>
      <c r="I408" s="51"/>
      <c r="J408" s="51"/>
      <c r="K408" s="51"/>
    </row>
    <row r="409" customFormat="false" ht="15" hidden="false" customHeight="false" outlineLevel="0" collapsed="false">
      <c r="A409" s="49" t="str">
        <f aca="false">01_Data!A11</f>
        <v>S06</v>
      </c>
      <c r="B409" s="50" t="n">
        <f aca="false">01_Data!F11</f>
        <v>-0.6</v>
      </c>
      <c r="C409" s="50" t="n">
        <f aca="false">01_Data!G11</f>
        <v>-0.333333333333333</v>
      </c>
      <c r="D409" s="50" t="n">
        <f aca="false">01_Data!D11</f>
        <v>0</v>
      </c>
      <c r="E409" s="51"/>
      <c r="F409" s="51"/>
      <c r="G409" s="51"/>
      <c r="H409" s="51"/>
      <c r="I409" s="51"/>
      <c r="J409" s="51"/>
      <c r="K409" s="51"/>
    </row>
    <row r="410" customFormat="false" ht="15" hidden="false" customHeight="false" outlineLevel="0" collapsed="false">
      <c r="A410" s="49" t="str">
        <f aca="false">01_Data!A12</f>
        <v>S07</v>
      </c>
      <c r="B410" s="50" t="n">
        <f aca="false">01_Data!F12</f>
        <v>-0.4</v>
      </c>
      <c r="C410" s="50" t="n">
        <f aca="false">01_Data!G12</f>
        <v>-0.466666666666667</v>
      </c>
      <c r="D410" s="50" t="n">
        <f aca="false">01_Data!D12</f>
        <v>0</v>
      </c>
      <c r="E410" s="51"/>
      <c r="F410" s="51"/>
      <c r="G410" s="51"/>
      <c r="H410" s="51"/>
      <c r="I410" s="51"/>
      <c r="J410" s="51"/>
      <c r="K410" s="51"/>
    </row>
    <row r="411" customFormat="false" ht="15" hidden="false" customHeight="false" outlineLevel="0" collapsed="false">
      <c r="A411" s="49" t="str">
        <f aca="false">01_Data!A13</f>
        <v>S08</v>
      </c>
      <c r="B411" s="50" t="n">
        <f aca="false">01_Data!F13</f>
        <v>-0.2</v>
      </c>
      <c r="C411" s="50" t="n">
        <f aca="false">01_Data!G13</f>
        <v>-0.2</v>
      </c>
      <c r="D411" s="50" t="n">
        <f aca="false">01_Data!D13</f>
        <v>1</v>
      </c>
      <c r="E411" s="51"/>
      <c r="F411" s="51"/>
      <c r="G411" s="51"/>
      <c r="H411" s="51"/>
      <c r="I411" s="51"/>
      <c r="J411" s="51"/>
      <c r="K411" s="51"/>
    </row>
    <row r="412" customFormat="false" ht="15" hidden="false" customHeight="false" outlineLevel="0" collapsed="false">
      <c r="A412" s="49" t="str">
        <f aca="false">01_Data!A14</f>
        <v>S09</v>
      </c>
      <c r="B412" s="50" t="n">
        <f aca="false">01_Data!F14</f>
        <v>0</v>
      </c>
      <c r="C412" s="50" t="n">
        <f aca="false">01_Data!G14</f>
        <v>0</v>
      </c>
      <c r="D412" s="50" t="n">
        <f aca="false">01_Data!D14</f>
        <v>1</v>
      </c>
      <c r="E412" s="51"/>
      <c r="F412" s="51"/>
      <c r="G412" s="51"/>
      <c r="H412" s="51"/>
      <c r="I412" s="51"/>
      <c r="J412" s="51"/>
      <c r="K412" s="51"/>
    </row>
    <row r="413" customFormat="false" ht="15" hidden="false" customHeight="false" outlineLevel="0" collapsed="false">
      <c r="A413" s="49" t="str">
        <f aca="false">01_Data!A15</f>
        <v>S10</v>
      </c>
      <c r="B413" s="50" t="n">
        <f aca="false">01_Data!F15</f>
        <v>0.2</v>
      </c>
      <c r="C413" s="50" t="n">
        <f aca="false">01_Data!G15</f>
        <v>0.2</v>
      </c>
      <c r="D413" s="50" t="n">
        <f aca="false">01_Data!D15</f>
        <v>1</v>
      </c>
      <c r="E413" s="51"/>
      <c r="F413" s="51"/>
      <c r="G413" s="51"/>
      <c r="H413" s="51"/>
      <c r="I413" s="51"/>
      <c r="J413" s="51"/>
      <c r="K413" s="51"/>
    </row>
    <row r="414" customFormat="false" ht="15" hidden="false" customHeight="false" outlineLevel="0" collapsed="false">
      <c r="A414" s="49" t="str">
        <f aca="false">01_Data!A16</f>
        <v>S11</v>
      </c>
      <c r="B414" s="50" t="n">
        <f aca="false">01_Data!F16</f>
        <v>0.4</v>
      </c>
      <c r="C414" s="50" t="n">
        <f aca="false">01_Data!G16</f>
        <v>0.333333333333333</v>
      </c>
      <c r="D414" s="50" t="n">
        <f aca="false">01_Data!D16</f>
        <v>1</v>
      </c>
      <c r="E414" s="51"/>
      <c r="F414" s="51"/>
      <c r="G414" s="51"/>
      <c r="H414" s="51"/>
      <c r="I414" s="51"/>
      <c r="J414" s="51"/>
      <c r="K414" s="51"/>
    </row>
    <row r="415" customFormat="false" ht="15" hidden="false" customHeight="false" outlineLevel="0" collapsed="false">
      <c r="A415" s="49" t="str">
        <f aca="false">01_Data!A17</f>
        <v>S12</v>
      </c>
      <c r="B415" s="50" t="n">
        <f aca="false">01_Data!F17</f>
        <v>0.6</v>
      </c>
      <c r="C415" s="50" t="n">
        <f aca="false">01_Data!G17</f>
        <v>0.466666666666667</v>
      </c>
      <c r="D415" s="50" t="n">
        <f aca="false">01_Data!D17</f>
        <v>1</v>
      </c>
      <c r="E415" s="51"/>
      <c r="F415" s="51"/>
      <c r="G415" s="51"/>
      <c r="H415" s="51"/>
      <c r="I415" s="51"/>
      <c r="J415" s="51"/>
      <c r="K415" s="51"/>
    </row>
    <row r="416" customFormat="false" ht="15" hidden="false" customHeight="false" outlineLevel="0" collapsed="false">
      <c r="A416" s="49" t="str">
        <f aca="false">01_Data!A18</f>
        <v>S13</v>
      </c>
      <c r="B416" s="50" t="n">
        <f aca="false">01_Data!F18</f>
        <v>0.8</v>
      </c>
      <c r="C416" s="50" t="n">
        <f aca="false">01_Data!G18</f>
        <v>0.666666666666667</v>
      </c>
      <c r="D416" s="50" t="n">
        <f aca="false">01_Data!D18</f>
        <v>1</v>
      </c>
      <c r="E416" s="51"/>
      <c r="F416" s="51"/>
      <c r="G416" s="51"/>
      <c r="H416" s="51"/>
      <c r="I416" s="51"/>
      <c r="J416" s="51"/>
      <c r="K416" s="51"/>
    </row>
    <row r="417" customFormat="false" ht="15" hidden="false" customHeight="false" outlineLevel="0" collapsed="false">
      <c r="A417" s="49" t="str">
        <f aca="false">01_Data!A19</f>
        <v>S14</v>
      </c>
      <c r="B417" s="50" t="n">
        <f aca="false">01_Data!F19</f>
        <v>1</v>
      </c>
      <c r="C417" s="50" t="n">
        <f aca="false">01_Data!G19</f>
        <v>0.866666666666667</v>
      </c>
      <c r="D417" s="50" t="n">
        <f aca="false">01_Data!D19</f>
        <v>1</v>
      </c>
      <c r="E417" s="51"/>
      <c r="F417" s="51"/>
      <c r="G417" s="51"/>
      <c r="H417" s="51"/>
      <c r="I417" s="51"/>
      <c r="J417" s="51"/>
      <c r="K417" s="51"/>
    </row>
    <row r="418" customFormat="false" ht="15" hidden="false" customHeight="false" outlineLevel="0" collapsed="false">
      <c r="A418" s="49" t="str">
        <f aca="false">01_Data!A20</f>
        <v>S15</v>
      </c>
      <c r="B418" s="50" t="n">
        <f aca="false">01_Data!F20</f>
        <v>1.2</v>
      </c>
      <c r="C418" s="50" t="n">
        <f aca="false">01_Data!G20</f>
        <v>1</v>
      </c>
      <c r="D418" s="50" t="n">
        <f aca="false">01_Data!D20</f>
        <v>1</v>
      </c>
      <c r="E418" s="51"/>
      <c r="F418" s="51"/>
      <c r="G418" s="51"/>
      <c r="H418" s="51"/>
      <c r="I418" s="51"/>
      <c r="J418" s="51"/>
      <c r="K418" s="51"/>
    </row>
    <row r="419" customFormat="false" ht="15" hidden="false" customHeight="false" outlineLevel="0" collapsed="false">
      <c r="A419" s="49" t="str">
        <f aca="false">01_Data!A21</f>
        <v>S16</v>
      </c>
      <c r="B419" s="50" t="n">
        <f aca="false">01_Data!F21</f>
        <v>1.4</v>
      </c>
      <c r="C419" s="50" t="n">
        <f aca="false">01_Data!G21</f>
        <v>1.13333333333333</v>
      </c>
      <c r="D419" s="50" t="n">
        <f aca="false">01_Data!D21</f>
        <v>1</v>
      </c>
      <c r="E419" s="51"/>
      <c r="F419" s="51"/>
      <c r="G419" s="51"/>
      <c r="H419" s="51"/>
      <c r="I419" s="51"/>
      <c r="J419" s="51"/>
      <c r="K419" s="51"/>
    </row>
    <row r="420" customFormat="false" ht="15" hidden="false" customHeight="false" outlineLevel="0" collapsed="false">
      <c r="A420" s="49" t="str">
        <f aca="false">01_Data!A22</f>
        <v>S17</v>
      </c>
      <c r="B420" s="50" t="n">
        <f aca="false">01_Data!F22</f>
        <v>1.6</v>
      </c>
      <c r="C420" s="50" t="n">
        <f aca="false">01_Data!G22</f>
        <v>1.33333333333333</v>
      </c>
      <c r="D420" s="50" t="n">
        <f aca="false">01_Data!D22</f>
        <v>1</v>
      </c>
      <c r="E420" s="51"/>
      <c r="F420" s="51"/>
      <c r="G420" s="51"/>
      <c r="H420" s="51"/>
      <c r="I420" s="51"/>
      <c r="J420" s="51"/>
      <c r="K420" s="51"/>
    </row>
    <row r="421" customFormat="false" ht="15" hidden="false" customHeight="false" outlineLevel="0" collapsed="false">
      <c r="A421" s="49" t="str">
        <f aca="false">01_Data!A23</f>
        <v>S18</v>
      </c>
      <c r="B421" s="50" t="n">
        <f aca="false">01_Data!F23</f>
        <v>0</v>
      </c>
      <c r="C421" s="50" t="n">
        <f aca="false">01_Data!G23</f>
        <v>-0.666666666666667</v>
      </c>
      <c r="D421" s="50" t="n">
        <f aca="false">01_Data!D23</f>
        <v>0</v>
      </c>
      <c r="E421" s="51"/>
      <c r="F421" s="51"/>
      <c r="G421" s="51"/>
      <c r="H421" s="51"/>
      <c r="I421" s="51"/>
      <c r="J421" s="51"/>
      <c r="K421" s="51"/>
    </row>
    <row r="422" customFormat="false" ht="15" hidden="false" customHeight="false" outlineLevel="0" collapsed="false">
      <c r="A422" s="49" t="str">
        <f aca="false">01_Data!A24</f>
        <v>S19</v>
      </c>
      <c r="B422" s="50" t="n">
        <f aca="false">01_Data!F24</f>
        <v>-0.8</v>
      </c>
      <c r="C422" s="50" t="n">
        <f aca="false">01_Data!G24</f>
        <v>0.666666666666667</v>
      </c>
      <c r="D422" s="50" t="n">
        <f aca="false">01_Data!D24</f>
        <v>1</v>
      </c>
      <c r="E422" s="51"/>
      <c r="F422" s="51"/>
      <c r="G422" s="51"/>
      <c r="H422" s="51"/>
      <c r="I422" s="51"/>
      <c r="J422" s="51"/>
      <c r="K422" s="51"/>
    </row>
    <row r="423" customFormat="false" ht="15" hidden="false" customHeight="false" outlineLevel="0" collapsed="false">
      <c r="A423" s="49" t="str">
        <f aca="false">01_Data!A25</f>
        <v>S20</v>
      </c>
      <c r="B423" s="50" t="n">
        <f aca="false">01_Data!F25</f>
        <v>0.8</v>
      </c>
      <c r="C423" s="50" t="n">
        <f aca="false">01_Data!G25</f>
        <v>-0.666666666666667</v>
      </c>
      <c r="D423" s="50" t="n">
        <f aca="false">01_Data!D25</f>
        <v>1</v>
      </c>
      <c r="E423" s="51"/>
      <c r="F423" s="51"/>
      <c r="G423" s="51"/>
      <c r="H423" s="51"/>
      <c r="I423" s="51"/>
      <c r="J423" s="51"/>
      <c r="K423" s="51"/>
    </row>
    <row r="424" customFormat="false" ht="15" hidden="false" customHeight="false" outlineLevel="0" collapsed="false">
      <c r="A424" s="52" t="s">
        <v>138</v>
      </c>
      <c r="B424" s="52"/>
      <c r="C424" s="52"/>
      <c r="D424" s="52"/>
      <c r="E424" s="52"/>
      <c r="F424" s="52"/>
      <c r="G424" s="52" t="s">
        <v>139</v>
      </c>
      <c r="H424" s="53"/>
      <c r="I424" s="53"/>
      <c r="J424" s="53"/>
      <c r="K424" s="53"/>
    </row>
    <row r="425" customFormat="false" ht="22.35" hidden="false" customHeight="true" outlineLevel="0" collapsed="false">
      <c r="A425" s="46" t="s">
        <v>140</v>
      </c>
      <c r="B425" s="46"/>
      <c r="C425" s="46" t="s">
        <v>141</v>
      </c>
      <c r="D425" s="54"/>
      <c r="E425" s="46" t="s">
        <v>142</v>
      </c>
      <c r="F425" s="54"/>
      <c r="G425" s="46" t="s">
        <v>143</v>
      </c>
      <c r="H425" s="54"/>
      <c r="I425" s="47" t="s">
        <v>144</v>
      </c>
      <c r="J425" s="47"/>
      <c r="K425" s="47"/>
    </row>
    <row r="427" customFormat="false" ht="22.5" hidden="false" customHeight="true" outlineLevel="0" collapsed="false">
      <c r="A427" s="3" t="s">
        <v>160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customFormat="false" ht="15" hidden="false" customHeight="true" outlineLevel="0" collapsed="false">
      <c r="A428" s="46" t="s">
        <v>123</v>
      </c>
      <c r="B428" s="47" t="n">
        <v>17</v>
      </c>
      <c r="C428" s="46" t="s">
        <v>124</v>
      </c>
      <c r="D428" s="48" t="str">
        <f aca="false">IF(D425="","",D425)</f>
        <v/>
      </c>
      <c r="E428" s="46" t="s">
        <v>125</v>
      </c>
      <c r="F428" s="48" t="str">
        <f aca="false">IF(F425="","",F425)</f>
        <v/>
      </c>
      <c r="G428" s="46" t="s">
        <v>126</v>
      </c>
      <c r="H428" s="48" t="str">
        <f aca="false">IF(H425="","",H425)</f>
        <v/>
      </c>
      <c r="I428" s="47" t="s">
        <v>127</v>
      </c>
      <c r="J428" s="47"/>
      <c r="K428" s="47"/>
    </row>
    <row r="429" customFormat="false" ht="33.75" hidden="false" customHeight="true" outlineLevel="0" collapsed="false">
      <c r="A429" s="17" t="s">
        <v>128</v>
      </c>
      <c r="B429" s="17" t="s">
        <v>129</v>
      </c>
      <c r="C429" s="17" t="s">
        <v>130</v>
      </c>
      <c r="D429" s="17" t="s">
        <v>131</v>
      </c>
      <c r="E429" s="17" t="s">
        <v>132</v>
      </c>
      <c r="F429" s="17" t="s">
        <v>133</v>
      </c>
      <c r="G429" s="17" t="s">
        <v>134</v>
      </c>
      <c r="H429" s="17" t="s">
        <v>135</v>
      </c>
      <c r="I429" s="17" t="s">
        <v>136</v>
      </c>
      <c r="J429" s="17" t="s">
        <v>137</v>
      </c>
      <c r="K429" s="17" t="s">
        <v>33</v>
      </c>
    </row>
    <row r="430" customFormat="false" ht="15" hidden="false" customHeight="false" outlineLevel="0" collapsed="false">
      <c r="A430" s="49" t="str">
        <f aca="false">01_Data!A6</f>
        <v>S01</v>
      </c>
      <c r="B430" s="50" t="n">
        <f aca="false">01_Data!F6</f>
        <v>-1.6</v>
      </c>
      <c r="C430" s="50" t="n">
        <f aca="false">01_Data!G6</f>
        <v>-1.33333333333333</v>
      </c>
      <c r="D430" s="50" t="n">
        <f aca="false">01_Data!D6</f>
        <v>0</v>
      </c>
      <c r="E430" s="51"/>
      <c r="F430" s="51"/>
      <c r="G430" s="51"/>
      <c r="H430" s="51"/>
      <c r="I430" s="51"/>
      <c r="J430" s="51"/>
      <c r="K430" s="51"/>
    </row>
    <row r="431" customFormat="false" ht="15" hidden="false" customHeight="false" outlineLevel="0" collapsed="false">
      <c r="A431" s="49" t="str">
        <f aca="false">01_Data!A7</f>
        <v>S02</v>
      </c>
      <c r="B431" s="50" t="n">
        <f aca="false">01_Data!F7</f>
        <v>-1.4</v>
      </c>
      <c r="C431" s="50" t="n">
        <f aca="false">01_Data!G7</f>
        <v>-1</v>
      </c>
      <c r="D431" s="50" t="n">
        <f aca="false">01_Data!D7</f>
        <v>0</v>
      </c>
      <c r="E431" s="51"/>
      <c r="F431" s="51"/>
      <c r="G431" s="51"/>
      <c r="H431" s="51"/>
      <c r="I431" s="51"/>
      <c r="J431" s="51"/>
      <c r="K431" s="51"/>
    </row>
    <row r="432" customFormat="false" ht="15" hidden="false" customHeight="false" outlineLevel="0" collapsed="false">
      <c r="A432" s="49" t="str">
        <f aca="false">01_Data!A8</f>
        <v>S03</v>
      </c>
      <c r="B432" s="50" t="n">
        <f aca="false">01_Data!F8</f>
        <v>-1.2</v>
      </c>
      <c r="C432" s="50" t="n">
        <f aca="false">01_Data!G8</f>
        <v>-1.13333333333333</v>
      </c>
      <c r="D432" s="50" t="n">
        <f aca="false">01_Data!D8</f>
        <v>0</v>
      </c>
      <c r="E432" s="51"/>
      <c r="F432" s="51"/>
      <c r="G432" s="51"/>
      <c r="H432" s="51"/>
      <c r="I432" s="51"/>
      <c r="J432" s="51"/>
      <c r="K432" s="51"/>
    </row>
    <row r="433" customFormat="false" ht="15" hidden="false" customHeight="false" outlineLevel="0" collapsed="false">
      <c r="A433" s="49" t="str">
        <f aca="false">01_Data!A9</f>
        <v>S04</v>
      </c>
      <c r="B433" s="50" t="n">
        <f aca="false">01_Data!F9</f>
        <v>-1</v>
      </c>
      <c r="C433" s="50" t="n">
        <f aca="false">01_Data!G9</f>
        <v>-0.666666666666667</v>
      </c>
      <c r="D433" s="50" t="n">
        <f aca="false">01_Data!D9</f>
        <v>0</v>
      </c>
      <c r="E433" s="51"/>
      <c r="F433" s="51"/>
      <c r="G433" s="51"/>
      <c r="H433" s="51"/>
      <c r="I433" s="51"/>
      <c r="J433" s="51"/>
      <c r="K433" s="51"/>
    </row>
    <row r="434" customFormat="false" ht="15" hidden="false" customHeight="false" outlineLevel="0" collapsed="false">
      <c r="A434" s="49" t="str">
        <f aca="false">01_Data!A10</f>
        <v>S05</v>
      </c>
      <c r="B434" s="50" t="n">
        <f aca="false">01_Data!F10</f>
        <v>-0.8</v>
      </c>
      <c r="C434" s="50" t="n">
        <f aca="false">01_Data!G10</f>
        <v>-0.866666666666667</v>
      </c>
      <c r="D434" s="50" t="n">
        <f aca="false">01_Data!D10</f>
        <v>0</v>
      </c>
      <c r="E434" s="51"/>
      <c r="F434" s="51"/>
      <c r="G434" s="51"/>
      <c r="H434" s="51"/>
      <c r="I434" s="51"/>
      <c r="J434" s="51"/>
      <c r="K434" s="51"/>
    </row>
    <row r="435" customFormat="false" ht="15" hidden="false" customHeight="false" outlineLevel="0" collapsed="false">
      <c r="A435" s="49" t="str">
        <f aca="false">01_Data!A11</f>
        <v>S06</v>
      </c>
      <c r="B435" s="50" t="n">
        <f aca="false">01_Data!F11</f>
        <v>-0.6</v>
      </c>
      <c r="C435" s="50" t="n">
        <f aca="false">01_Data!G11</f>
        <v>-0.333333333333333</v>
      </c>
      <c r="D435" s="50" t="n">
        <f aca="false">01_Data!D11</f>
        <v>0</v>
      </c>
      <c r="E435" s="51"/>
      <c r="F435" s="51"/>
      <c r="G435" s="51"/>
      <c r="H435" s="51"/>
      <c r="I435" s="51"/>
      <c r="J435" s="51"/>
      <c r="K435" s="51"/>
    </row>
    <row r="436" customFormat="false" ht="15" hidden="false" customHeight="false" outlineLevel="0" collapsed="false">
      <c r="A436" s="49" t="str">
        <f aca="false">01_Data!A12</f>
        <v>S07</v>
      </c>
      <c r="B436" s="50" t="n">
        <f aca="false">01_Data!F12</f>
        <v>-0.4</v>
      </c>
      <c r="C436" s="50" t="n">
        <f aca="false">01_Data!G12</f>
        <v>-0.466666666666667</v>
      </c>
      <c r="D436" s="50" t="n">
        <f aca="false">01_Data!D12</f>
        <v>0</v>
      </c>
      <c r="E436" s="51"/>
      <c r="F436" s="51"/>
      <c r="G436" s="51"/>
      <c r="H436" s="51"/>
      <c r="I436" s="51"/>
      <c r="J436" s="51"/>
      <c r="K436" s="51"/>
    </row>
    <row r="437" customFormat="false" ht="15" hidden="false" customHeight="false" outlineLevel="0" collapsed="false">
      <c r="A437" s="49" t="str">
        <f aca="false">01_Data!A13</f>
        <v>S08</v>
      </c>
      <c r="B437" s="50" t="n">
        <f aca="false">01_Data!F13</f>
        <v>-0.2</v>
      </c>
      <c r="C437" s="50" t="n">
        <f aca="false">01_Data!G13</f>
        <v>-0.2</v>
      </c>
      <c r="D437" s="50" t="n">
        <f aca="false">01_Data!D13</f>
        <v>1</v>
      </c>
      <c r="E437" s="51"/>
      <c r="F437" s="51"/>
      <c r="G437" s="51"/>
      <c r="H437" s="51"/>
      <c r="I437" s="51"/>
      <c r="J437" s="51"/>
      <c r="K437" s="51"/>
    </row>
    <row r="438" customFormat="false" ht="15" hidden="false" customHeight="false" outlineLevel="0" collapsed="false">
      <c r="A438" s="49" t="str">
        <f aca="false">01_Data!A14</f>
        <v>S09</v>
      </c>
      <c r="B438" s="50" t="n">
        <f aca="false">01_Data!F14</f>
        <v>0</v>
      </c>
      <c r="C438" s="50" t="n">
        <f aca="false">01_Data!G14</f>
        <v>0</v>
      </c>
      <c r="D438" s="50" t="n">
        <f aca="false">01_Data!D14</f>
        <v>1</v>
      </c>
      <c r="E438" s="51"/>
      <c r="F438" s="51"/>
      <c r="G438" s="51"/>
      <c r="H438" s="51"/>
      <c r="I438" s="51"/>
      <c r="J438" s="51"/>
      <c r="K438" s="51"/>
    </row>
    <row r="439" customFormat="false" ht="15" hidden="false" customHeight="false" outlineLevel="0" collapsed="false">
      <c r="A439" s="49" t="str">
        <f aca="false">01_Data!A15</f>
        <v>S10</v>
      </c>
      <c r="B439" s="50" t="n">
        <f aca="false">01_Data!F15</f>
        <v>0.2</v>
      </c>
      <c r="C439" s="50" t="n">
        <f aca="false">01_Data!G15</f>
        <v>0.2</v>
      </c>
      <c r="D439" s="50" t="n">
        <f aca="false">01_Data!D15</f>
        <v>1</v>
      </c>
      <c r="E439" s="51"/>
      <c r="F439" s="51"/>
      <c r="G439" s="51"/>
      <c r="H439" s="51"/>
      <c r="I439" s="51"/>
      <c r="J439" s="51"/>
      <c r="K439" s="51"/>
    </row>
    <row r="440" customFormat="false" ht="15" hidden="false" customHeight="false" outlineLevel="0" collapsed="false">
      <c r="A440" s="49" t="str">
        <f aca="false">01_Data!A16</f>
        <v>S11</v>
      </c>
      <c r="B440" s="50" t="n">
        <f aca="false">01_Data!F16</f>
        <v>0.4</v>
      </c>
      <c r="C440" s="50" t="n">
        <f aca="false">01_Data!G16</f>
        <v>0.333333333333333</v>
      </c>
      <c r="D440" s="50" t="n">
        <f aca="false">01_Data!D16</f>
        <v>1</v>
      </c>
      <c r="E440" s="51"/>
      <c r="F440" s="51"/>
      <c r="G440" s="51"/>
      <c r="H440" s="51"/>
      <c r="I440" s="51"/>
      <c r="J440" s="51"/>
      <c r="K440" s="51"/>
    </row>
    <row r="441" customFormat="false" ht="15" hidden="false" customHeight="false" outlineLevel="0" collapsed="false">
      <c r="A441" s="49" t="str">
        <f aca="false">01_Data!A17</f>
        <v>S12</v>
      </c>
      <c r="B441" s="50" t="n">
        <f aca="false">01_Data!F17</f>
        <v>0.6</v>
      </c>
      <c r="C441" s="50" t="n">
        <f aca="false">01_Data!G17</f>
        <v>0.466666666666667</v>
      </c>
      <c r="D441" s="50" t="n">
        <f aca="false">01_Data!D17</f>
        <v>1</v>
      </c>
      <c r="E441" s="51"/>
      <c r="F441" s="51"/>
      <c r="G441" s="51"/>
      <c r="H441" s="51"/>
      <c r="I441" s="51"/>
      <c r="J441" s="51"/>
      <c r="K441" s="51"/>
    </row>
    <row r="442" customFormat="false" ht="15" hidden="false" customHeight="false" outlineLevel="0" collapsed="false">
      <c r="A442" s="49" t="str">
        <f aca="false">01_Data!A18</f>
        <v>S13</v>
      </c>
      <c r="B442" s="50" t="n">
        <f aca="false">01_Data!F18</f>
        <v>0.8</v>
      </c>
      <c r="C442" s="50" t="n">
        <f aca="false">01_Data!G18</f>
        <v>0.666666666666667</v>
      </c>
      <c r="D442" s="50" t="n">
        <f aca="false">01_Data!D18</f>
        <v>1</v>
      </c>
      <c r="E442" s="51"/>
      <c r="F442" s="51"/>
      <c r="G442" s="51"/>
      <c r="H442" s="51"/>
      <c r="I442" s="51"/>
      <c r="J442" s="51"/>
      <c r="K442" s="51"/>
    </row>
    <row r="443" customFormat="false" ht="15" hidden="false" customHeight="false" outlineLevel="0" collapsed="false">
      <c r="A443" s="49" t="str">
        <f aca="false">01_Data!A19</f>
        <v>S14</v>
      </c>
      <c r="B443" s="50" t="n">
        <f aca="false">01_Data!F19</f>
        <v>1</v>
      </c>
      <c r="C443" s="50" t="n">
        <f aca="false">01_Data!G19</f>
        <v>0.866666666666667</v>
      </c>
      <c r="D443" s="50" t="n">
        <f aca="false">01_Data!D19</f>
        <v>1</v>
      </c>
      <c r="E443" s="51"/>
      <c r="F443" s="51"/>
      <c r="G443" s="51"/>
      <c r="H443" s="51"/>
      <c r="I443" s="51"/>
      <c r="J443" s="51"/>
      <c r="K443" s="51"/>
    </row>
    <row r="444" customFormat="false" ht="15" hidden="false" customHeight="false" outlineLevel="0" collapsed="false">
      <c r="A444" s="49" t="str">
        <f aca="false">01_Data!A20</f>
        <v>S15</v>
      </c>
      <c r="B444" s="50" t="n">
        <f aca="false">01_Data!F20</f>
        <v>1.2</v>
      </c>
      <c r="C444" s="50" t="n">
        <f aca="false">01_Data!G20</f>
        <v>1</v>
      </c>
      <c r="D444" s="50" t="n">
        <f aca="false">01_Data!D20</f>
        <v>1</v>
      </c>
      <c r="E444" s="51"/>
      <c r="F444" s="51"/>
      <c r="G444" s="51"/>
      <c r="H444" s="51"/>
      <c r="I444" s="51"/>
      <c r="J444" s="51"/>
      <c r="K444" s="51"/>
    </row>
    <row r="445" customFormat="false" ht="15" hidden="false" customHeight="false" outlineLevel="0" collapsed="false">
      <c r="A445" s="49" t="str">
        <f aca="false">01_Data!A21</f>
        <v>S16</v>
      </c>
      <c r="B445" s="50" t="n">
        <f aca="false">01_Data!F21</f>
        <v>1.4</v>
      </c>
      <c r="C445" s="50" t="n">
        <f aca="false">01_Data!G21</f>
        <v>1.13333333333333</v>
      </c>
      <c r="D445" s="50" t="n">
        <f aca="false">01_Data!D21</f>
        <v>1</v>
      </c>
      <c r="E445" s="51"/>
      <c r="F445" s="51"/>
      <c r="G445" s="51"/>
      <c r="H445" s="51"/>
      <c r="I445" s="51"/>
      <c r="J445" s="51"/>
      <c r="K445" s="51"/>
    </row>
    <row r="446" customFormat="false" ht="15" hidden="false" customHeight="false" outlineLevel="0" collapsed="false">
      <c r="A446" s="49" t="str">
        <f aca="false">01_Data!A22</f>
        <v>S17</v>
      </c>
      <c r="B446" s="50" t="n">
        <f aca="false">01_Data!F22</f>
        <v>1.6</v>
      </c>
      <c r="C446" s="50" t="n">
        <f aca="false">01_Data!G22</f>
        <v>1.33333333333333</v>
      </c>
      <c r="D446" s="50" t="n">
        <f aca="false">01_Data!D22</f>
        <v>1</v>
      </c>
      <c r="E446" s="51"/>
      <c r="F446" s="51"/>
      <c r="G446" s="51"/>
      <c r="H446" s="51"/>
      <c r="I446" s="51"/>
      <c r="J446" s="51"/>
      <c r="K446" s="51"/>
    </row>
    <row r="447" customFormat="false" ht="15" hidden="false" customHeight="false" outlineLevel="0" collapsed="false">
      <c r="A447" s="49" t="str">
        <f aca="false">01_Data!A23</f>
        <v>S18</v>
      </c>
      <c r="B447" s="50" t="n">
        <f aca="false">01_Data!F23</f>
        <v>0</v>
      </c>
      <c r="C447" s="50" t="n">
        <f aca="false">01_Data!G23</f>
        <v>-0.666666666666667</v>
      </c>
      <c r="D447" s="50" t="n">
        <f aca="false">01_Data!D23</f>
        <v>0</v>
      </c>
      <c r="E447" s="51"/>
      <c r="F447" s="51"/>
      <c r="G447" s="51"/>
      <c r="H447" s="51"/>
      <c r="I447" s="51"/>
      <c r="J447" s="51"/>
      <c r="K447" s="51"/>
    </row>
    <row r="448" customFormat="false" ht="15" hidden="false" customHeight="false" outlineLevel="0" collapsed="false">
      <c r="A448" s="49" t="str">
        <f aca="false">01_Data!A24</f>
        <v>S19</v>
      </c>
      <c r="B448" s="50" t="n">
        <f aca="false">01_Data!F24</f>
        <v>-0.8</v>
      </c>
      <c r="C448" s="50" t="n">
        <f aca="false">01_Data!G24</f>
        <v>0.666666666666667</v>
      </c>
      <c r="D448" s="50" t="n">
        <f aca="false">01_Data!D24</f>
        <v>1</v>
      </c>
      <c r="E448" s="51"/>
      <c r="F448" s="51"/>
      <c r="G448" s="51"/>
      <c r="H448" s="51"/>
      <c r="I448" s="51"/>
      <c r="J448" s="51"/>
      <c r="K448" s="51"/>
    </row>
    <row r="449" customFormat="false" ht="15" hidden="false" customHeight="false" outlineLevel="0" collapsed="false">
      <c r="A449" s="49" t="str">
        <f aca="false">01_Data!A25</f>
        <v>S20</v>
      </c>
      <c r="B449" s="50" t="n">
        <f aca="false">01_Data!F25</f>
        <v>0.8</v>
      </c>
      <c r="C449" s="50" t="n">
        <f aca="false">01_Data!G25</f>
        <v>-0.666666666666667</v>
      </c>
      <c r="D449" s="50" t="n">
        <f aca="false">01_Data!D25</f>
        <v>1</v>
      </c>
      <c r="E449" s="51"/>
      <c r="F449" s="51"/>
      <c r="G449" s="51"/>
      <c r="H449" s="51"/>
      <c r="I449" s="51"/>
      <c r="J449" s="51"/>
      <c r="K449" s="51"/>
    </row>
    <row r="450" customFormat="false" ht="15" hidden="false" customHeight="false" outlineLevel="0" collapsed="false">
      <c r="A450" s="52" t="s">
        <v>138</v>
      </c>
      <c r="B450" s="52"/>
      <c r="C450" s="52"/>
      <c r="D450" s="52"/>
      <c r="E450" s="52"/>
      <c r="F450" s="52"/>
      <c r="G450" s="52" t="s">
        <v>139</v>
      </c>
      <c r="H450" s="53"/>
      <c r="I450" s="53"/>
      <c r="J450" s="53"/>
      <c r="K450" s="53"/>
    </row>
    <row r="451" customFormat="false" ht="22.35" hidden="false" customHeight="true" outlineLevel="0" collapsed="false">
      <c r="A451" s="46" t="s">
        <v>140</v>
      </c>
      <c r="B451" s="46"/>
      <c r="C451" s="46" t="s">
        <v>141</v>
      </c>
      <c r="D451" s="54"/>
      <c r="E451" s="46" t="s">
        <v>142</v>
      </c>
      <c r="F451" s="54"/>
      <c r="G451" s="46" t="s">
        <v>143</v>
      </c>
      <c r="H451" s="54"/>
      <c r="I451" s="47" t="s">
        <v>144</v>
      </c>
      <c r="J451" s="47"/>
      <c r="K451" s="47"/>
    </row>
    <row r="453" customFormat="false" ht="22.5" hidden="false" customHeight="true" outlineLevel="0" collapsed="false">
      <c r="A453" s="55" t="s">
        <v>161</v>
      </c>
      <c r="B453" s="55"/>
      <c r="C453" s="55"/>
      <c r="D453" s="55"/>
      <c r="E453" s="55"/>
      <c r="F453" s="55"/>
      <c r="G453" s="55"/>
      <c r="H453" s="55"/>
      <c r="I453" s="55"/>
      <c r="J453" s="55"/>
      <c r="K453" s="55"/>
    </row>
    <row r="454" customFormat="false" ht="15" hidden="false" customHeight="true" outlineLevel="0" collapsed="false">
      <c r="A454" s="46" t="s">
        <v>123</v>
      </c>
      <c r="B454" s="47" t="n">
        <v>18</v>
      </c>
      <c r="C454" s="46" t="s">
        <v>124</v>
      </c>
      <c r="D454" s="48" t="str">
        <f aca="false">IF(D451="","",D451)</f>
        <v/>
      </c>
      <c r="E454" s="46" t="s">
        <v>125</v>
      </c>
      <c r="F454" s="48" t="str">
        <f aca="false">IF(F451="","",F451)</f>
        <v/>
      </c>
      <c r="G454" s="46" t="s">
        <v>126</v>
      </c>
      <c r="H454" s="48" t="str">
        <f aca="false">IF(H451="","",H451)</f>
        <v/>
      </c>
      <c r="I454" s="47" t="s">
        <v>127</v>
      </c>
      <c r="J454" s="47"/>
      <c r="K454" s="47"/>
    </row>
    <row r="455" customFormat="false" ht="33.75" hidden="false" customHeight="true" outlineLevel="0" collapsed="false">
      <c r="A455" s="17" t="s">
        <v>128</v>
      </c>
      <c r="B455" s="17" t="s">
        <v>129</v>
      </c>
      <c r="C455" s="17" t="s">
        <v>130</v>
      </c>
      <c r="D455" s="17" t="s">
        <v>131</v>
      </c>
      <c r="E455" s="17" t="s">
        <v>132</v>
      </c>
      <c r="F455" s="17" t="s">
        <v>133</v>
      </c>
      <c r="G455" s="17" t="s">
        <v>134</v>
      </c>
      <c r="H455" s="17" t="s">
        <v>135</v>
      </c>
      <c r="I455" s="17" t="s">
        <v>136</v>
      </c>
      <c r="J455" s="17" t="s">
        <v>137</v>
      </c>
      <c r="K455" s="17" t="s">
        <v>33</v>
      </c>
    </row>
    <row r="456" customFormat="false" ht="15" hidden="false" customHeight="false" outlineLevel="0" collapsed="false">
      <c r="A456" s="49" t="str">
        <f aca="false">01_Data!A6</f>
        <v>S01</v>
      </c>
      <c r="B456" s="50" t="n">
        <f aca="false">01_Data!F6</f>
        <v>-1.6</v>
      </c>
      <c r="C456" s="50" t="n">
        <f aca="false">01_Data!G6</f>
        <v>-1.33333333333333</v>
      </c>
      <c r="D456" s="50" t="n">
        <f aca="false">01_Data!D6</f>
        <v>0</v>
      </c>
      <c r="E456" s="51"/>
      <c r="F456" s="51"/>
      <c r="G456" s="51"/>
      <c r="H456" s="51"/>
      <c r="I456" s="51"/>
      <c r="J456" s="51"/>
      <c r="K456" s="51"/>
    </row>
    <row r="457" customFormat="false" ht="15" hidden="false" customHeight="false" outlineLevel="0" collapsed="false">
      <c r="A457" s="49" t="str">
        <f aca="false">01_Data!A7</f>
        <v>S02</v>
      </c>
      <c r="B457" s="50" t="n">
        <f aca="false">01_Data!F7</f>
        <v>-1.4</v>
      </c>
      <c r="C457" s="50" t="n">
        <f aca="false">01_Data!G7</f>
        <v>-1</v>
      </c>
      <c r="D457" s="50" t="n">
        <f aca="false">01_Data!D7</f>
        <v>0</v>
      </c>
      <c r="E457" s="51"/>
      <c r="F457" s="51"/>
      <c r="G457" s="51"/>
      <c r="H457" s="51"/>
      <c r="I457" s="51"/>
      <c r="J457" s="51"/>
      <c r="K457" s="51"/>
    </row>
    <row r="458" customFormat="false" ht="15" hidden="false" customHeight="false" outlineLevel="0" collapsed="false">
      <c r="A458" s="49" t="str">
        <f aca="false">01_Data!A8</f>
        <v>S03</v>
      </c>
      <c r="B458" s="50" t="n">
        <f aca="false">01_Data!F8</f>
        <v>-1.2</v>
      </c>
      <c r="C458" s="50" t="n">
        <f aca="false">01_Data!G8</f>
        <v>-1.13333333333333</v>
      </c>
      <c r="D458" s="50" t="n">
        <f aca="false">01_Data!D8</f>
        <v>0</v>
      </c>
      <c r="E458" s="51"/>
      <c r="F458" s="51"/>
      <c r="G458" s="51"/>
      <c r="H458" s="51"/>
      <c r="I458" s="51"/>
      <c r="J458" s="51"/>
      <c r="K458" s="51"/>
    </row>
    <row r="459" customFormat="false" ht="15" hidden="false" customHeight="false" outlineLevel="0" collapsed="false">
      <c r="A459" s="49" t="str">
        <f aca="false">01_Data!A9</f>
        <v>S04</v>
      </c>
      <c r="B459" s="50" t="n">
        <f aca="false">01_Data!F9</f>
        <v>-1</v>
      </c>
      <c r="C459" s="50" t="n">
        <f aca="false">01_Data!G9</f>
        <v>-0.666666666666667</v>
      </c>
      <c r="D459" s="50" t="n">
        <f aca="false">01_Data!D9</f>
        <v>0</v>
      </c>
      <c r="E459" s="51"/>
      <c r="F459" s="51"/>
      <c r="G459" s="51"/>
      <c r="H459" s="51"/>
      <c r="I459" s="51"/>
      <c r="J459" s="51"/>
      <c r="K459" s="51"/>
    </row>
    <row r="460" customFormat="false" ht="15" hidden="false" customHeight="false" outlineLevel="0" collapsed="false">
      <c r="A460" s="49" t="str">
        <f aca="false">01_Data!A10</f>
        <v>S05</v>
      </c>
      <c r="B460" s="50" t="n">
        <f aca="false">01_Data!F10</f>
        <v>-0.8</v>
      </c>
      <c r="C460" s="50" t="n">
        <f aca="false">01_Data!G10</f>
        <v>-0.866666666666667</v>
      </c>
      <c r="D460" s="50" t="n">
        <f aca="false">01_Data!D10</f>
        <v>0</v>
      </c>
      <c r="E460" s="51"/>
      <c r="F460" s="51"/>
      <c r="G460" s="51"/>
      <c r="H460" s="51"/>
      <c r="I460" s="51"/>
      <c r="J460" s="51"/>
      <c r="K460" s="51"/>
    </row>
    <row r="461" customFormat="false" ht="15" hidden="false" customHeight="false" outlineLevel="0" collapsed="false">
      <c r="A461" s="49" t="str">
        <f aca="false">01_Data!A11</f>
        <v>S06</v>
      </c>
      <c r="B461" s="50" t="n">
        <f aca="false">01_Data!F11</f>
        <v>-0.6</v>
      </c>
      <c r="C461" s="50" t="n">
        <f aca="false">01_Data!G11</f>
        <v>-0.333333333333333</v>
      </c>
      <c r="D461" s="50" t="n">
        <f aca="false">01_Data!D11</f>
        <v>0</v>
      </c>
      <c r="E461" s="51"/>
      <c r="F461" s="51"/>
      <c r="G461" s="51"/>
      <c r="H461" s="51"/>
      <c r="I461" s="51"/>
      <c r="J461" s="51"/>
      <c r="K461" s="51"/>
    </row>
    <row r="462" customFormat="false" ht="15" hidden="false" customHeight="false" outlineLevel="0" collapsed="false">
      <c r="A462" s="49" t="str">
        <f aca="false">01_Data!A12</f>
        <v>S07</v>
      </c>
      <c r="B462" s="50" t="n">
        <f aca="false">01_Data!F12</f>
        <v>-0.4</v>
      </c>
      <c r="C462" s="50" t="n">
        <f aca="false">01_Data!G12</f>
        <v>-0.466666666666667</v>
      </c>
      <c r="D462" s="50" t="n">
        <f aca="false">01_Data!D12</f>
        <v>0</v>
      </c>
      <c r="E462" s="51"/>
      <c r="F462" s="51"/>
      <c r="G462" s="51"/>
      <c r="H462" s="51"/>
      <c r="I462" s="51"/>
      <c r="J462" s="51"/>
      <c r="K462" s="51"/>
    </row>
    <row r="463" customFormat="false" ht="15" hidden="false" customHeight="false" outlineLevel="0" collapsed="false">
      <c r="A463" s="49" t="str">
        <f aca="false">01_Data!A13</f>
        <v>S08</v>
      </c>
      <c r="B463" s="50" t="n">
        <f aca="false">01_Data!F13</f>
        <v>-0.2</v>
      </c>
      <c r="C463" s="50" t="n">
        <f aca="false">01_Data!G13</f>
        <v>-0.2</v>
      </c>
      <c r="D463" s="50" t="n">
        <f aca="false">01_Data!D13</f>
        <v>1</v>
      </c>
      <c r="E463" s="51"/>
      <c r="F463" s="51"/>
      <c r="G463" s="51"/>
      <c r="H463" s="51"/>
      <c r="I463" s="51"/>
      <c r="J463" s="51"/>
      <c r="K463" s="51"/>
    </row>
    <row r="464" customFormat="false" ht="15" hidden="false" customHeight="false" outlineLevel="0" collapsed="false">
      <c r="A464" s="49" t="str">
        <f aca="false">01_Data!A14</f>
        <v>S09</v>
      </c>
      <c r="B464" s="50" t="n">
        <f aca="false">01_Data!F14</f>
        <v>0</v>
      </c>
      <c r="C464" s="50" t="n">
        <f aca="false">01_Data!G14</f>
        <v>0</v>
      </c>
      <c r="D464" s="50" t="n">
        <f aca="false">01_Data!D14</f>
        <v>1</v>
      </c>
      <c r="E464" s="51"/>
      <c r="F464" s="51"/>
      <c r="G464" s="51"/>
      <c r="H464" s="51"/>
      <c r="I464" s="51"/>
      <c r="J464" s="51"/>
      <c r="K464" s="51"/>
    </row>
    <row r="465" customFormat="false" ht="15" hidden="false" customHeight="false" outlineLevel="0" collapsed="false">
      <c r="A465" s="49" t="str">
        <f aca="false">01_Data!A15</f>
        <v>S10</v>
      </c>
      <c r="B465" s="50" t="n">
        <f aca="false">01_Data!F15</f>
        <v>0.2</v>
      </c>
      <c r="C465" s="50" t="n">
        <f aca="false">01_Data!G15</f>
        <v>0.2</v>
      </c>
      <c r="D465" s="50" t="n">
        <f aca="false">01_Data!D15</f>
        <v>1</v>
      </c>
      <c r="E465" s="51"/>
      <c r="F465" s="51"/>
      <c r="G465" s="51"/>
      <c r="H465" s="51"/>
      <c r="I465" s="51"/>
      <c r="J465" s="51"/>
      <c r="K465" s="51"/>
    </row>
    <row r="466" customFormat="false" ht="15" hidden="false" customHeight="false" outlineLevel="0" collapsed="false">
      <c r="A466" s="49" t="str">
        <f aca="false">01_Data!A16</f>
        <v>S11</v>
      </c>
      <c r="B466" s="50" t="n">
        <f aca="false">01_Data!F16</f>
        <v>0.4</v>
      </c>
      <c r="C466" s="50" t="n">
        <f aca="false">01_Data!G16</f>
        <v>0.333333333333333</v>
      </c>
      <c r="D466" s="50" t="n">
        <f aca="false">01_Data!D16</f>
        <v>1</v>
      </c>
      <c r="E466" s="51"/>
      <c r="F466" s="51"/>
      <c r="G466" s="51"/>
      <c r="H466" s="51"/>
      <c r="I466" s="51"/>
      <c r="J466" s="51"/>
      <c r="K466" s="51"/>
    </row>
    <row r="467" customFormat="false" ht="15" hidden="false" customHeight="false" outlineLevel="0" collapsed="false">
      <c r="A467" s="49" t="str">
        <f aca="false">01_Data!A17</f>
        <v>S12</v>
      </c>
      <c r="B467" s="50" t="n">
        <f aca="false">01_Data!F17</f>
        <v>0.6</v>
      </c>
      <c r="C467" s="50" t="n">
        <f aca="false">01_Data!G17</f>
        <v>0.466666666666667</v>
      </c>
      <c r="D467" s="50" t="n">
        <f aca="false">01_Data!D17</f>
        <v>1</v>
      </c>
      <c r="E467" s="51"/>
      <c r="F467" s="51"/>
      <c r="G467" s="51"/>
      <c r="H467" s="51"/>
      <c r="I467" s="51"/>
      <c r="J467" s="51"/>
      <c r="K467" s="51"/>
    </row>
    <row r="468" customFormat="false" ht="15" hidden="false" customHeight="false" outlineLevel="0" collapsed="false">
      <c r="A468" s="49" t="str">
        <f aca="false">01_Data!A18</f>
        <v>S13</v>
      </c>
      <c r="B468" s="50" t="n">
        <f aca="false">01_Data!F18</f>
        <v>0.8</v>
      </c>
      <c r="C468" s="50" t="n">
        <f aca="false">01_Data!G18</f>
        <v>0.666666666666667</v>
      </c>
      <c r="D468" s="50" t="n">
        <f aca="false">01_Data!D18</f>
        <v>1</v>
      </c>
      <c r="E468" s="51"/>
      <c r="F468" s="51"/>
      <c r="G468" s="51"/>
      <c r="H468" s="51"/>
      <c r="I468" s="51"/>
      <c r="J468" s="51"/>
      <c r="K468" s="51"/>
    </row>
    <row r="469" customFormat="false" ht="15" hidden="false" customHeight="false" outlineLevel="0" collapsed="false">
      <c r="A469" s="49" t="str">
        <f aca="false">01_Data!A19</f>
        <v>S14</v>
      </c>
      <c r="B469" s="50" t="n">
        <f aca="false">01_Data!F19</f>
        <v>1</v>
      </c>
      <c r="C469" s="50" t="n">
        <f aca="false">01_Data!G19</f>
        <v>0.866666666666667</v>
      </c>
      <c r="D469" s="50" t="n">
        <f aca="false">01_Data!D19</f>
        <v>1</v>
      </c>
      <c r="E469" s="51"/>
      <c r="F469" s="51"/>
      <c r="G469" s="51"/>
      <c r="H469" s="51"/>
      <c r="I469" s="51"/>
      <c r="J469" s="51"/>
      <c r="K469" s="51"/>
    </row>
    <row r="470" customFormat="false" ht="15" hidden="false" customHeight="false" outlineLevel="0" collapsed="false">
      <c r="A470" s="49" t="str">
        <f aca="false">01_Data!A20</f>
        <v>S15</v>
      </c>
      <c r="B470" s="50" t="n">
        <f aca="false">01_Data!F20</f>
        <v>1.2</v>
      </c>
      <c r="C470" s="50" t="n">
        <f aca="false">01_Data!G20</f>
        <v>1</v>
      </c>
      <c r="D470" s="50" t="n">
        <f aca="false">01_Data!D20</f>
        <v>1</v>
      </c>
      <c r="E470" s="51"/>
      <c r="F470" s="51"/>
      <c r="G470" s="51"/>
      <c r="H470" s="51"/>
      <c r="I470" s="51"/>
      <c r="J470" s="51"/>
      <c r="K470" s="51"/>
    </row>
    <row r="471" customFormat="false" ht="15" hidden="false" customHeight="false" outlineLevel="0" collapsed="false">
      <c r="A471" s="49" t="str">
        <f aca="false">01_Data!A21</f>
        <v>S16</v>
      </c>
      <c r="B471" s="50" t="n">
        <f aca="false">01_Data!F21</f>
        <v>1.4</v>
      </c>
      <c r="C471" s="50" t="n">
        <f aca="false">01_Data!G21</f>
        <v>1.13333333333333</v>
      </c>
      <c r="D471" s="50" t="n">
        <f aca="false">01_Data!D21</f>
        <v>1</v>
      </c>
      <c r="E471" s="51"/>
      <c r="F471" s="51"/>
      <c r="G471" s="51"/>
      <c r="H471" s="51"/>
      <c r="I471" s="51"/>
      <c r="J471" s="51"/>
      <c r="K471" s="51"/>
    </row>
    <row r="472" customFormat="false" ht="15" hidden="false" customHeight="false" outlineLevel="0" collapsed="false">
      <c r="A472" s="49" t="str">
        <f aca="false">01_Data!A22</f>
        <v>S17</v>
      </c>
      <c r="B472" s="50" t="n">
        <f aca="false">01_Data!F22</f>
        <v>1.6</v>
      </c>
      <c r="C472" s="50" t="n">
        <f aca="false">01_Data!G22</f>
        <v>1.33333333333333</v>
      </c>
      <c r="D472" s="50" t="n">
        <f aca="false">01_Data!D22</f>
        <v>1</v>
      </c>
      <c r="E472" s="51"/>
      <c r="F472" s="51"/>
      <c r="G472" s="51"/>
      <c r="H472" s="51"/>
      <c r="I472" s="51"/>
      <c r="J472" s="51"/>
      <c r="K472" s="51"/>
    </row>
    <row r="473" customFormat="false" ht="15" hidden="false" customHeight="false" outlineLevel="0" collapsed="false">
      <c r="A473" s="49" t="str">
        <f aca="false">01_Data!A23</f>
        <v>S18</v>
      </c>
      <c r="B473" s="50" t="n">
        <f aca="false">01_Data!F23</f>
        <v>0</v>
      </c>
      <c r="C473" s="50" t="n">
        <f aca="false">01_Data!G23</f>
        <v>-0.666666666666667</v>
      </c>
      <c r="D473" s="50" t="n">
        <f aca="false">01_Data!D23</f>
        <v>0</v>
      </c>
      <c r="E473" s="51"/>
      <c r="F473" s="51"/>
      <c r="G473" s="51"/>
      <c r="H473" s="51"/>
      <c r="I473" s="51"/>
      <c r="J473" s="51"/>
      <c r="K473" s="51"/>
    </row>
    <row r="474" customFormat="false" ht="15" hidden="false" customHeight="false" outlineLevel="0" collapsed="false">
      <c r="A474" s="49" t="str">
        <f aca="false">01_Data!A24</f>
        <v>S19</v>
      </c>
      <c r="B474" s="50" t="n">
        <f aca="false">01_Data!F24</f>
        <v>-0.8</v>
      </c>
      <c r="C474" s="50" t="n">
        <f aca="false">01_Data!G24</f>
        <v>0.666666666666667</v>
      </c>
      <c r="D474" s="50" t="n">
        <f aca="false">01_Data!D24</f>
        <v>1</v>
      </c>
      <c r="E474" s="51"/>
      <c r="F474" s="51"/>
      <c r="G474" s="51"/>
      <c r="H474" s="51"/>
      <c r="I474" s="51"/>
      <c r="J474" s="51"/>
      <c r="K474" s="51"/>
    </row>
    <row r="475" customFormat="false" ht="15" hidden="false" customHeight="false" outlineLevel="0" collapsed="false">
      <c r="A475" s="49" t="str">
        <f aca="false">01_Data!A25</f>
        <v>S20</v>
      </c>
      <c r="B475" s="50" t="n">
        <f aca="false">01_Data!F25</f>
        <v>0.8</v>
      </c>
      <c r="C475" s="50" t="n">
        <f aca="false">01_Data!G25</f>
        <v>-0.666666666666667</v>
      </c>
      <c r="D475" s="50" t="n">
        <f aca="false">01_Data!D25</f>
        <v>1</v>
      </c>
      <c r="E475" s="51"/>
      <c r="F475" s="51"/>
      <c r="G475" s="51"/>
      <c r="H475" s="51"/>
      <c r="I475" s="51"/>
      <c r="J475" s="51"/>
      <c r="K475" s="51"/>
    </row>
    <row r="476" customFormat="false" ht="15" hidden="false" customHeight="false" outlineLevel="0" collapsed="false">
      <c r="A476" s="52" t="s">
        <v>138</v>
      </c>
      <c r="B476" s="52"/>
      <c r="C476" s="52"/>
      <c r="D476" s="52"/>
      <c r="E476" s="52"/>
      <c r="F476" s="52"/>
      <c r="G476" s="52" t="s">
        <v>139</v>
      </c>
      <c r="H476" s="53"/>
      <c r="I476" s="53"/>
      <c r="J476" s="53"/>
      <c r="K476" s="53"/>
    </row>
    <row r="477" customFormat="false" ht="22.35" hidden="false" customHeight="true" outlineLevel="0" collapsed="false">
      <c r="A477" s="46" t="s">
        <v>140</v>
      </c>
      <c r="B477" s="46"/>
      <c r="C477" s="46" t="s">
        <v>141</v>
      </c>
      <c r="D477" s="54"/>
      <c r="E477" s="46" t="s">
        <v>142</v>
      </c>
      <c r="F477" s="54"/>
      <c r="G477" s="46" t="s">
        <v>143</v>
      </c>
      <c r="H477" s="54"/>
      <c r="I477" s="47" t="s">
        <v>144</v>
      </c>
      <c r="J477" s="47"/>
      <c r="K477" s="47"/>
    </row>
    <row r="479" customFormat="false" ht="22.5" hidden="false" customHeight="true" outlineLevel="0" collapsed="false">
      <c r="A479" s="3" t="s">
        <v>162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customFormat="false" ht="15" hidden="false" customHeight="true" outlineLevel="0" collapsed="false">
      <c r="A480" s="46" t="s">
        <v>123</v>
      </c>
      <c r="B480" s="47" t="n">
        <v>19</v>
      </c>
      <c r="C480" s="46" t="s">
        <v>124</v>
      </c>
      <c r="D480" s="48" t="str">
        <f aca="false">IF(D477="","",D477)</f>
        <v/>
      </c>
      <c r="E480" s="46" t="s">
        <v>125</v>
      </c>
      <c r="F480" s="48" t="str">
        <f aca="false">IF(F477="","",F477)</f>
        <v/>
      </c>
      <c r="G480" s="46" t="s">
        <v>126</v>
      </c>
      <c r="H480" s="48" t="str">
        <f aca="false">IF(H477="","",H477)</f>
        <v/>
      </c>
      <c r="I480" s="47" t="s">
        <v>127</v>
      </c>
      <c r="J480" s="47"/>
      <c r="K480" s="47"/>
    </row>
    <row r="481" customFormat="false" ht="33.75" hidden="false" customHeight="true" outlineLevel="0" collapsed="false">
      <c r="A481" s="17" t="s">
        <v>128</v>
      </c>
      <c r="B481" s="17" t="s">
        <v>129</v>
      </c>
      <c r="C481" s="17" t="s">
        <v>130</v>
      </c>
      <c r="D481" s="17" t="s">
        <v>131</v>
      </c>
      <c r="E481" s="17" t="s">
        <v>132</v>
      </c>
      <c r="F481" s="17" t="s">
        <v>133</v>
      </c>
      <c r="G481" s="17" t="s">
        <v>134</v>
      </c>
      <c r="H481" s="17" t="s">
        <v>135</v>
      </c>
      <c r="I481" s="17" t="s">
        <v>136</v>
      </c>
      <c r="J481" s="17" t="s">
        <v>137</v>
      </c>
      <c r="K481" s="17" t="s">
        <v>33</v>
      </c>
    </row>
    <row r="482" customFormat="false" ht="15" hidden="false" customHeight="false" outlineLevel="0" collapsed="false">
      <c r="A482" s="49" t="str">
        <f aca="false">01_Data!A6</f>
        <v>S01</v>
      </c>
      <c r="B482" s="50" t="n">
        <f aca="false">01_Data!F6</f>
        <v>-1.6</v>
      </c>
      <c r="C482" s="50" t="n">
        <f aca="false">01_Data!G6</f>
        <v>-1.33333333333333</v>
      </c>
      <c r="D482" s="50" t="n">
        <f aca="false">01_Data!D6</f>
        <v>0</v>
      </c>
      <c r="E482" s="51"/>
      <c r="F482" s="51"/>
      <c r="G482" s="51"/>
      <c r="H482" s="51"/>
      <c r="I482" s="51"/>
      <c r="J482" s="51"/>
      <c r="K482" s="51"/>
    </row>
    <row r="483" customFormat="false" ht="15" hidden="false" customHeight="false" outlineLevel="0" collapsed="false">
      <c r="A483" s="49" t="str">
        <f aca="false">01_Data!A7</f>
        <v>S02</v>
      </c>
      <c r="B483" s="50" t="n">
        <f aca="false">01_Data!F7</f>
        <v>-1.4</v>
      </c>
      <c r="C483" s="50" t="n">
        <f aca="false">01_Data!G7</f>
        <v>-1</v>
      </c>
      <c r="D483" s="50" t="n">
        <f aca="false">01_Data!D7</f>
        <v>0</v>
      </c>
      <c r="E483" s="51"/>
      <c r="F483" s="51"/>
      <c r="G483" s="51"/>
      <c r="H483" s="51"/>
      <c r="I483" s="51"/>
      <c r="J483" s="51"/>
      <c r="K483" s="51"/>
    </row>
    <row r="484" customFormat="false" ht="15" hidden="false" customHeight="false" outlineLevel="0" collapsed="false">
      <c r="A484" s="49" t="str">
        <f aca="false">01_Data!A8</f>
        <v>S03</v>
      </c>
      <c r="B484" s="50" t="n">
        <f aca="false">01_Data!F8</f>
        <v>-1.2</v>
      </c>
      <c r="C484" s="50" t="n">
        <f aca="false">01_Data!G8</f>
        <v>-1.13333333333333</v>
      </c>
      <c r="D484" s="50" t="n">
        <f aca="false">01_Data!D8</f>
        <v>0</v>
      </c>
      <c r="E484" s="51"/>
      <c r="F484" s="51"/>
      <c r="G484" s="51"/>
      <c r="H484" s="51"/>
      <c r="I484" s="51"/>
      <c r="J484" s="51"/>
      <c r="K484" s="51"/>
    </row>
    <row r="485" customFormat="false" ht="15" hidden="false" customHeight="false" outlineLevel="0" collapsed="false">
      <c r="A485" s="49" t="str">
        <f aca="false">01_Data!A9</f>
        <v>S04</v>
      </c>
      <c r="B485" s="50" t="n">
        <f aca="false">01_Data!F9</f>
        <v>-1</v>
      </c>
      <c r="C485" s="50" t="n">
        <f aca="false">01_Data!G9</f>
        <v>-0.666666666666667</v>
      </c>
      <c r="D485" s="50" t="n">
        <f aca="false">01_Data!D9</f>
        <v>0</v>
      </c>
      <c r="E485" s="51"/>
      <c r="F485" s="51"/>
      <c r="G485" s="51"/>
      <c r="H485" s="51"/>
      <c r="I485" s="51"/>
      <c r="J485" s="51"/>
      <c r="K485" s="51"/>
    </row>
    <row r="486" customFormat="false" ht="15" hidden="false" customHeight="false" outlineLevel="0" collapsed="false">
      <c r="A486" s="49" t="str">
        <f aca="false">01_Data!A10</f>
        <v>S05</v>
      </c>
      <c r="B486" s="50" t="n">
        <f aca="false">01_Data!F10</f>
        <v>-0.8</v>
      </c>
      <c r="C486" s="50" t="n">
        <f aca="false">01_Data!G10</f>
        <v>-0.866666666666667</v>
      </c>
      <c r="D486" s="50" t="n">
        <f aca="false">01_Data!D10</f>
        <v>0</v>
      </c>
      <c r="E486" s="51"/>
      <c r="F486" s="51"/>
      <c r="G486" s="51"/>
      <c r="H486" s="51"/>
      <c r="I486" s="51"/>
      <c r="J486" s="51"/>
      <c r="K486" s="51"/>
    </row>
    <row r="487" customFormat="false" ht="15" hidden="false" customHeight="false" outlineLevel="0" collapsed="false">
      <c r="A487" s="49" t="str">
        <f aca="false">01_Data!A11</f>
        <v>S06</v>
      </c>
      <c r="B487" s="50" t="n">
        <f aca="false">01_Data!F11</f>
        <v>-0.6</v>
      </c>
      <c r="C487" s="50" t="n">
        <f aca="false">01_Data!G11</f>
        <v>-0.333333333333333</v>
      </c>
      <c r="D487" s="50" t="n">
        <f aca="false">01_Data!D11</f>
        <v>0</v>
      </c>
      <c r="E487" s="51"/>
      <c r="F487" s="51"/>
      <c r="G487" s="51"/>
      <c r="H487" s="51"/>
      <c r="I487" s="51"/>
      <c r="J487" s="51"/>
      <c r="K487" s="51"/>
    </row>
    <row r="488" customFormat="false" ht="15" hidden="false" customHeight="false" outlineLevel="0" collapsed="false">
      <c r="A488" s="49" t="str">
        <f aca="false">01_Data!A12</f>
        <v>S07</v>
      </c>
      <c r="B488" s="50" t="n">
        <f aca="false">01_Data!F12</f>
        <v>-0.4</v>
      </c>
      <c r="C488" s="50" t="n">
        <f aca="false">01_Data!G12</f>
        <v>-0.466666666666667</v>
      </c>
      <c r="D488" s="50" t="n">
        <f aca="false">01_Data!D12</f>
        <v>0</v>
      </c>
      <c r="E488" s="51"/>
      <c r="F488" s="51"/>
      <c r="G488" s="51"/>
      <c r="H488" s="51"/>
      <c r="I488" s="51"/>
      <c r="J488" s="51"/>
      <c r="K488" s="51"/>
    </row>
    <row r="489" customFormat="false" ht="15" hidden="false" customHeight="false" outlineLevel="0" collapsed="false">
      <c r="A489" s="49" t="str">
        <f aca="false">01_Data!A13</f>
        <v>S08</v>
      </c>
      <c r="B489" s="50" t="n">
        <f aca="false">01_Data!F13</f>
        <v>-0.2</v>
      </c>
      <c r="C489" s="50" t="n">
        <f aca="false">01_Data!G13</f>
        <v>-0.2</v>
      </c>
      <c r="D489" s="50" t="n">
        <f aca="false">01_Data!D13</f>
        <v>1</v>
      </c>
      <c r="E489" s="51"/>
      <c r="F489" s="51"/>
      <c r="G489" s="51"/>
      <c r="H489" s="51"/>
      <c r="I489" s="51"/>
      <c r="J489" s="51"/>
      <c r="K489" s="51"/>
    </row>
    <row r="490" customFormat="false" ht="15" hidden="false" customHeight="false" outlineLevel="0" collapsed="false">
      <c r="A490" s="49" t="str">
        <f aca="false">01_Data!A14</f>
        <v>S09</v>
      </c>
      <c r="B490" s="50" t="n">
        <f aca="false">01_Data!F14</f>
        <v>0</v>
      </c>
      <c r="C490" s="50" t="n">
        <f aca="false">01_Data!G14</f>
        <v>0</v>
      </c>
      <c r="D490" s="50" t="n">
        <f aca="false">01_Data!D14</f>
        <v>1</v>
      </c>
      <c r="E490" s="51"/>
      <c r="F490" s="51"/>
      <c r="G490" s="51"/>
      <c r="H490" s="51"/>
      <c r="I490" s="51"/>
      <c r="J490" s="51"/>
      <c r="K490" s="51"/>
    </row>
    <row r="491" customFormat="false" ht="15" hidden="false" customHeight="false" outlineLevel="0" collapsed="false">
      <c r="A491" s="49" t="str">
        <f aca="false">01_Data!A15</f>
        <v>S10</v>
      </c>
      <c r="B491" s="50" t="n">
        <f aca="false">01_Data!F15</f>
        <v>0.2</v>
      </c>
      <c r="C491" s="50" t="n">
        <f aca="false">01_Data!G15</f>
        <v>0.2</v>
      </c>
      <c r="D491" s="50" t="n">
        <f aca="false">01_Data!D15</f>
        <v>1</v>
      </c>
      <c r="E491" s="51"/>
      <c r="F491" s="51"/>
      <c r="G491" s="51"/>
      <c r="H491" s="51"/>
      <c r="I491" s="51"/>
      <c r="J491" s="51"/>
      <c r="K491" s="51"/>
    </row>
    <row r="492" customFormat="false" ht="15" hidden="false" customHeight="false" outlineLevel="0" collapsed="false">
      <c r="A492" s="49" t="str">
        <f aca="false">01_Data!A16</f>
        <v>S11</v>
      </c>
      <c r="B492" s="50" t="n">
        <f aca="false">01_Data!F16</f>
        <v>0.4</v>
      </c>
      <c r="C492" s="50" t="n">
        <f aca="false">01_Data!G16</f>
        <v>0.333333333333333</v>
      </c>
      <c r="D492" s="50" t="n">
        <f aca="false">01_Data!D16</f>
        <v>1</v>
      </c>
      <c r="E492" s="51"/>
      <c r="F492" s="51"/>
      <c r="G492" s="51"/>
      <c r="H492" s="51"/>
      <c r="I492" s="51"/>
      <c r="J492" s="51"/>
      <c r="K492" s="51"/>
    </row>
    <row r="493" customFormat="false" ht="15" hidden="false" customHeight="false" outlineLevel="0" collapsed="false">
      <c r="A493" s="49" t="str">
        <f aca="false">01_Data!A17</f>
        <v>S12</v>
      </c>
      <c r="B493" s="50" t="n">
        <f aca="false">01_Data!F17</f>
        <v>0.6</v>
      </c>
      <c r="C493" s="50" t="n">
        <f aca="false">01_Data!G17</f>
        <v>0.466666666666667</v>
      </c>
      <c r="D493" s="50" t="n">
        <f aca="false">01_Data!D17</f>
        <v>1</v>
      </c>
      <c r="E493" s="51"/>
      <c r="F493" s="51"/>
      <c r="G493" s="51"/>
      <c r="H493" s="51"/>
      <c r="I493" s="51"/>
      <c r="J493" s="51"/>
      <c r="K493" s="51"/>
    </row>
    <row r="494" customFormat="false" ht="15" hidden="false" customHeight="false" outlineLevel="0" collapsed="false">
      <c r="A494" s="49" t="str">
        <f aca="false">01_Data!A18</f>
        <v>S13</v>
      </c>
      <c r="B494" s="50" t="n">
        <f aca="false">01_Data!F18</f>
        <v>0.8</v>
      </c>
      <c r="C494" s="50" t="n">
        <f aca="false">01_Data!G18</f>
        <v>0.666666666666667</v>
      </c>
      <c r="D494" s="50" t="n">
        <f aca="false">01_Data!D18</f>
        <v>1</v>
      </c>
      <c r="E494" s="51"/>
      <c r="F494" s="51"/>
      <c r="G494" s="51"/>
      <c r="H494" s="51"/>
      <c r="I494" s="51"/>
      <c r="J494" s="51"/>
      <c r="K494" s="51"/>
    </row>
    <row r="495" customFormat="false" ht="15" hidden="false" customHeight="false" outlineLevel="0" collapsed="false">
      <c r="A495" s="49" t="str">
        <f aca="false">01_Data!A19</f>
        <v>S14</v>
      </c>
      <c r="B495" s="50" t="n">
        <f aca="false">01_Data!F19</f>
        <v>1</v>
      </c>
      <c r="C495" s="50" t="n">
        <f aca="false">01_Data!G19</f>
        <v>0.866666666666667</v>
      </c>
      <c r="D495" s="50" t="n">
        <f aca="false">01_Data!D19</f>
        <v>1</v>
      </c>
      <c r="E495" s="51"/>
      <c r="F495" s="51"/>
      <c r="G495" s="51"/>
      <c r="H495" s="51"/>
      <c r="I495" s="51"/>
      <c r="J495" s="51"/>
      <c r="K495" s="51"/>
    </row>
    <row r="496" customFormat="false" ht="15" hidden="false" customHeight="false" outlineLevel="0" collapsed="false">
      <c r="A496" s="49" t="str">
        <f aca="false">01_Data!A20</f>
        <v>S15</v>
      </c>
      <c r="B496" s="50" t="n">
        <f aca="false">01_Data!F20</f>
        <v>1.2</v>
      </c>
      <c r="C496" s="50" t="n">
        <f aca="false">01_Data!G20</f>
        <v>1</v>
      </c>
      <c r="D496" s="50" t="n">
        <f aca="false">01_Data!D20</f>
        <v>1</v>
      </c>
      <c r="E496" s="51"/>
      <c r="F496" s="51"/>
      <c r="G496" s="51"/>
      <c r="H496" s="51"/>
      <c r="I496" s="51"/>
      <c r="J496" s="51"/>
      <c r="K496" s="51"/>
    </row>
    <row r="497" customFormat="false" ht="15" hidden="false" customHeight="false" outlineLevel="0" collapsed="false">
      <c r="A497" s="49" t="str">
        <f aca="false">01_Data!A21</f>
        <v>S16</v>
      </c>
      <c r="B497" s="50" t="n">
        <f aca="false">01_Data!F21</f>
        <v>1.4</v>
      </c>
      <c r="C497" s="50" t="n">
        <f aca="false">01_Data!G21</f>
        <v>1.13333333333333</v>
      </c>
      <c r="D497" s="50" t="n">
        <f aca="false">01_Data!D21</f>
        <v>1</v>
      </c>
      <c r="E497" s="51"/>
      <c r="F497" s="51"/>
      <c r="G497" s="51"/>
      <c r="H497" s="51"/>
      <c r="I497" s="51"/>
      <c r="J497" s="51"/>
      <c r="K497" s="51"/>
    </row>
    <row r="498" customFormat="false" ht="15" hidden="false" customHeight="false" outlineLevel="0" collapsed="false">
      <c r="A498" s="49" t="str">
        <f aca="false">01_Data!A22</f>
        <v>S17</v>
      </c>
      <c r="B498" s="50" t="n">
        <f aca="false">01_Data!F22</f>
        <v>1.6</v>
      </c>
      <c r="C498" s="50" t="n">
        <f aca="false">01_Data!G22</f>
        <v>1.33333333333333</v>
      </c>
      <c r="D498" s="50" t="n">
        <f aca="false">01_Data!D22</f>
        <v>1</v>
      </c>
      <c r="E498" s="51"/>
      <c r="F498" s="51"/>
      <c r="G498" s="51"/>
      <c r="H498" s="51"/>
      <c r="I498" s="51"/>
      <c r="J498" s="51"/>
      <c r="K498" s="51"/>
    </row>
    <row r="499" customFormat="false" ht="15" hidden="false" customHeight="false" outlineLevel="0" collapsed="false">
      <c r="A499" s="49" t="str">
        <f aca="false">01_Data!A23</f>
        <v>S18</v>
      </c>
      <c r="B499" s="50" t="n">
        <f aca="false">01_Data!F23</f>
        <v>0</v>
      </c>
      <c r="C499" s="50" t="n">
        <f aca="false">01_Data!G23</f>
        <v>-0.666666666666667</v>
      </c>
      <c r="D499" s="50" t="n">
        <f aca="false">01_Data!D23</f>
        <v>0</v>
      </c>
      <c r="E499" s="51"/>
      <c r="F499" s="51"/>
      <c r="G499" s="51"/>
      <c r="H499" s="51"/>
      <c r="I499" s="51"/>
      <c r="J499" s="51"/>
      <c r="K499" s="51"/>
    </row>
    <row r="500" customFormat="false" ht="15" hidden="false" customHeight="false" outlineLevel="0" collapsed="false">
      <c r="A500" s="49" t="str">
        <f aca="false">01_Data!A24</f>
        <v>S19</v>
      </c>
      <c r="B500" s="50" t="n">
        <f aca="false">01_Data!F24</f>
        <v>-0.8</v>
      </c>
      <c r="C500" s="50" t="n">
        <f aca="false">01_Data!G24</f>
        <v>0.666666666666667</v>
      </c>
      <c r="D500" s="50" t="n">
        <f aca="false">01_Data!D24</f>
        <v>1</v>
      </c>
      <c r="E500" s="51"/>
      <c r="F500" s="51"/>
      <c r="G500" s="51"/>
      <c r="H500" s="51"/>
      <c r="I500" s="51"/>
      <c r="J500" s="51"/>
      <c r="K500" s="51"/>
    </row>
    <row r="501" customFormat="false" ht="15" hidden="false" customHeight="false" outlineLevel="0" collapsed="false">
      <c r="A501" s="49" t="str">
        <f aca="false">01_Data!A25</f>
        <v>S20</v>
      </c>
      <c r="B501" s="50" t="n">
        <f aca="false">01_Data!F25</f>
        <v>0.8</v>
      </c>
      <c r="C501" s="50" t="n">
        <f aca="false">01_Data!G25</f>
        <v>-0.666666666666667</v>
      </c>
      <c r="D501" s="50" t="n">
        <f aca="false">01_Data!D25</f>
        <v>1</v>
      </c>
      <c r="E501" s="51"/>
      <c r="F501" s="51"/>
      <c r="G501" s="51"/>
      <c r="H501" s="51"/>
      <c r="I501" s="51"/>
      <c r="J501" s="51"/>
      <c r="K501" s="51"/>
    </row>
    <row r="502" customFormat="false" ht="15" hidden="false" customHeight="false" outlineLevel="0" collapsed="false">
      <c r="A502" s="52" t="s">
        <v>138</v>
      </c>
      <c r="B502" s="52"/>
      <c r="C502" s="52"/>
      <c r="D502" s="52"/>
      <c r="E502" s="52"/>
      <c r="F502" s="52"/>
      <c r="G502" s="52" t="s">
        <v>139</v>
      </c>
      <c r="H502" s="53"/>
      <c r="I502" s="53"/>
      <c r="J502" s="53"/>
      <c r="K502" s="53"/>
    </row>
    <row r="503" customFormat="false" ht="22.35" hidden="false" customHeight="true" outlineLevel="0" collapsed="false">
      <c r="A503" s="46" t="s">
        <v>140</v>
      </c>
      <c r="B503" s="46"/>
      <c r="C503" s="46" t="s">
        <v>141</v>
      </c>
      <c r="D503" s="54"/>
      <c r="E503" s="46" t="s">
        <v>142</v>
      </c>
      <c r="F503" s="54"/>
      <c r="G503" s="46" t="s">
        <v>143</v>
      </c>
      <c r="H503" s="54"/>
      <c r="I503" s="47" t="s">
        <v>144</v>
      </c>
      <c r="J503" s="47"/>
      <c r="K503" s="47"/>
    </row>
    <row r="505" customFormat="false" ht="22.5" hidden="false" customHeight="true" outlineLevel="0" collapsed="false">
      <c r="A505" s="55" t="s">
        <v>163</v>
      </c>
      <c r="B505" s="55"/>
      <c r="C505" s="55"/>
      <c r="D505" s="55"/>
      <c r="E505" s="55"/>
      <c r="F505" s="55"/>
      <c r="G505" s="55"/>
      <c r="H505" s="55"/>
      <c r="I505" s="55"/>
      <c r="J505" s="55"/>
      <c r="K505" s="55"/>
    </row>
    <row r="506" customFormat="false" ht="15" hidden="false" customHeight="true" outlineLevel="0" collapsed="false">
      <c r="A506" s="46" t="s">
        <v>123</v>
      </c>
      <c r="B506" s="47" t="n">
        <v>20</v>
      </c>
      <c r="C506" s="46" t="s">
        <v>124</v>
      </c>
      <c r="D506" s="48" t="str">
        <f aca="false">IF(D503="","",D503)</f>
        <v/>
      </c>
      <c r="E506" s="46" t="s">
        <v>125</v>
      </c>
      <c r="F506" s="48" t="str">
        <f aca="false">IF(F503="","",F503)</f>
        <v/>
      </c>
      <c r="G506" s="46" t="s">
        <v>126</v>
      </c>
      <c r="H506" s="48" t="str">
        <f aca="false">IF(H503="","",H503)</f>
        <v/>
      </c>
      <c r="I506" s="47" t="s">
        <v>127</v>
      </c>
      <c r="J506" s="47"/>
      <c r="K506" s="47"/>
    </row>
    <row r="507" customFormat="false" ht="33.75" hidden="false" customHeight="true" outlineLevel="0" collapsed="false">
      <c r="A507" s="17" t="s">
        <v>128</v>
      </c>
      <c r="B507" s="17" t="s">
        <v>129</v>
      </c>
      <c r="C507" s="17" t="s">
        <v>130</v>
      </c>
      <c r="D507" s="17" t="s">
        <v>131</v>
      </c>
      <c r="E507" s="17" t="s">
        <v>132</v>
      </c>
      <c r="F507" s="17" t="s">
        <v>133</v>
      </c>
      <c r="G507" s="17" t="s">
        <v>134</v>
      </c>
      <c r="H507" s="17" t="s">
        <v>135</v>
      </c>
      <c r="I507" s="17" t="s">
        <v>136</v>
      </c>
      <c r="J507" s="17" t="s">
        <v>137</v>
      </c>
      <c r="K507" s="17" t="s">
        <v>33</v>
      </c>
    </row>
    <row r="508" customFormat="false" ht="15" hidden="false" customHeight="false" outlineLevel="0" collapsed="false">
      <c r="A508" s="49" t="str">
        <f aca="false">01_Data!A6</f>
        <v>S01</v>
      </c>
      <c r="B508" s="50" t="n">
        <f aca="false">01_Data!F6</f>
        <v>-1.6</v>
      </c>
      <c r="C508" s="50" t="n">
        <f aca="false">01_Data!G6</f>
        <v>-1.33333333333333</v>
      </c>
      <c r="D508" s="50" t="n">
        <f aca="false">01_Data!D6</f>
        <v>0</v>
      </c>
      <c r="E508" s="51"/>
      <c r="F508" s="51"/>
      <c r="G508" s="51"/>
      <c r="H508" s="51"/>
      <c r="I508" s="51"/>
      <c r="J508" s="51"/>
      <c r="K508" s="51"/>
    </row>
    <row r="509" customFormat="false" ht="15" hidden="false" customHeight="false" outlineLevel="0" collapsed="false">
      <c r="A509" s="49" t="str">
        <f aca="false">01_Data!A7</f>
        <v>S02</v>
      </c>
      <c r="B509" s="50" t="n">
        <f aca="false">01_Data!F7</f>
        <v>-1.4</v>
      </c>
      <c r="C509" s="50" t="n">
        <f aca="false">01_Data!G7</f>
        <v>-1</v>
      </c>
      <c r="D509" s="50" t="n">
        <f aca="false">01_Data!D7</f>
        <v>0</v>
      </c>
      <c r="E509" s="51"/>
      <c r="F509" s="51"/>
      <c r="G509" s="51"/>
      <c r="H509" s="51"/>
      <c r="I509" s="51"/>
      <c r="J509" s="51"/>
      <c r="K509" s="51"/>
    </row>
    <row r="510" customFormat="false" ht="15" hidden="false" customHeight="false" outlineLevel="0" collapsed="false">
      <c r="A510" s="49" t="str">
        <f aca="false">01_Data!A8</f>
        <v>S03</v>
      </c>
      <c r="B510" s="50" t="n">
        <f aca="false">01_Data!F8</f>
        <v>-1.2</v>
      </c>
      <c r="C510" s="50" t="n">
        <f aca="false">01_Data!G8</f>
        <v>-1.13333333333333</v>
      </c>
      <c r="D510" s="50" t="n">
        <f aca="false">01_Data!D8</f>
        <v>0</v>
      </c>
      <c r="E510" s="51"/>
      <c r="F510" s="51"/>
      <c r="G510" s="51"/>
      <c r="H510" s="51"/>
      <c r="I510" s="51"/>
      <c r="J510" s="51"/>
      <c r="K510" s="51"/>
    </row>
    <row r="511" customFormat="false" ht="15" hidden="false" customHeight="false" outlineLevel="0" collapsed="false">
      <c r="A511" s="49" t="str">
        <f aca="false">01_Data!A9</f>
        <v>S04</v>
      </c>
      <c r="B511" s="50" t="n">
        <f aca="false">01_Data!F9</f>
        <v>-1</v>
      </c>
      <c r="C511" s="50" t="n">
        <f aca="false">01_Data!G9</f>
        <v>-0.666666666666667</v>
      </c>
      <c r="D511" s="50" t="n">
        <f aca="false">01_Data!D9</f>
        <v>0</v>
      </c>
      <c r="E511" s="51"/>
      <c r="F511" s="51"/>
      <c r="G511" s="51"/>
      <c r="H511" s="51"/>
      <c r="I511" s="51"/>
      <c r="J511" s="51"/>
      <c r="K511" s="51"/>
    </row>
    <row r="512" customFormat="false" ht="15" hidden="false" customHeight="false" outlineLevel="0" collapsed="false">
      <c r="A512" s="49" t="str">
        <f aca="false">01_Data!A10</f>
        <v>S05</v>
      </c>
      <c r="B512" s="50" t="n">
        <f aca="false">01_Data!F10</f>
        <v>-0.8</v>
      </c>
      <c r="C512" s="50" t="n">
        <f aca="false">01_Data!G10</f>
        <v>-0.866666666666667</v>
      </c>
      <c r="D512" s="50" t="n">
        <f aca="false">01_Data!D10</f>
        <v>0</v>
      </c>
      <c r="E512" s="51"/>
      <c r="F512" s="51"/>
      <c r="G512" s="51"/>
      <c r="H512" s="51"/>
      <c r="I512" s="51"/>
      <c r="J512" s="51"/>
      <c r="K512" s="51"/>
    </row>
    <row r="513" customFormat="false" ht="15" hidden="false" customHeight="false" outlineLevel="0" collapsed="false">
      <c r="A513" s="49" t="str">
        <f aca="false">01_Data!A11</f>
        <v>S06</v>
      </c>
      <c r="B513" s="50" t="n">
        <f aca="false">01_Data!F11</f>
        <v>-0.6</v>
      </c>
      <c r="C513" s="50" t="n">
        <f aca="false">01_Data!G11</f>
        <v>-0.333333333333333</v>
      </c>
      <c r="D513" s="50" t="n">
        <f aca="false">01_Data!D11</f>
        <v>0</v>
      </c>
      <c r="E513" s="51"/>
      <c r="F513" s="51"/>
      <c r="G513" s="51"/>
      <c r="H513" s="51"/>
      <c r="I513" s="51"/>
      <c r="J513" s="51"/>
      <c r="K513" s="51"/>
    </row>
    <row r="514" customFormat="false" ht="15" hidden="false" customHeight="false" outlineLevel="0" collapsed="false">
      <c r="A514" s="49" t="str">
        <f aca="false">01_Data!A12</f>
        <v>S07</v>
      </c>
      <c r="B514" s="50" t="n">
        <f aca="false">01_Data!F12</f>
        <v>-0.4</v>
      </c>
      <c r="C514" s="50" t="n">
        <f aca="false">01_Data!G12</f>
        <v>-0.466666666666667</v>
      </c>
      <c r="D514" s="50" t="n">
        <f aca="false">01_Data!D12</f>
        <v>0</v>
      </c>
      <c r="E514" s="51"/>
      <c r="F514" s="51"/>
      <c r="G514" s="51"/>
      <c r="H514" s="51"/>
      <c r="I514" s="51"/>
      <c r="J514" s="51"/>
      <c r="K514" s="51"/>
    </row>
    <row r="515" customFormat="false" ht="15" hidden="false" customHeight="false" outlineLevel="0" collapsed="false">
      <c r="A515" s="49" t="str">
        <f aca="false">01_Data!A13</f>
        <v>S08</v>
      </c>
      <c r="B515" s="50" t="n">
        <f aca="false">01_Data!F13</f>
        <v>-0.2</v>
      </c>
      <c r="C515" s="50" t="n">
        <f aca="false">01_Data!G13</f>
        <v>-0.2</v>
      </c>
      <c r="D515" s="50" t="n">
        <f aca="false">01_Data!D13</f>
        <v>1</v>
      </c>
      <c r="E515" s="51"/>
      <c r="F515" s="51"/>
      <c r="G515" s="51"/>
      <c r="H515" s="51"/>
      <c r="I515" s="51"/>
      <c r="J515" s="51"/>
      <c r="K515" s="51"/>
    </row>
    <row r="516" customFormat="false" ht="15" hidden="false" customHeight="false" outlineLevel="0" collapsed="false">
      <c r="A516" s="49" t="str">
        <f aca="false">01_Data!A14</f>
        <v>S09</v>
      </c>
      <c r="B516" s="50" t="n">
        <f aca="false">01_Data!F14</f>
        <v>0</v>
      </c>
      <c r="C516" s="50" t="n">
        <f aca="false">01_Data!G14</f>
        <v>0</v>
      </c>
      <c r="D516" s="50" t="n">
        <f aca="false">01_Data!D14</f>
        <v>1</v>
      </c>
      <c r="E516" s="51"/>
      <c r="F516" s="51"/>
      <c r="G516" s="51"/>
      <c r="H516" s="51"/>
      <c r="I516" s="51"/>
      <c r="J516" s="51"/>
      <c r="K516" s="51"/>
    </row>
    <row r="517" customFormat="false" ht="15" hidden="false" customHeight="false" outlineLevel="0" collapsed="false">
      <c r="A517" s="49" t="str">
        <f aca="false">01_Data!A15</f>
        <v>S10</v>
      </c>
      <c r="B517" s="50" t="n">
        <f aca="false">01_Data!F15</f>
        <v>0.2</v>
      </c>
      <c r="C517" s="50" t="n">
        <f aca="false">01_Data!G15</f>
        <v>0.2</v>
      </c>
      <c r="D517" s="50" t="n">
        <f aca="false">01_Data!D15</f>
        <v>1</v>
      </c>
      <c r="E517" s="51"/>
      <c r="F517" s="51"/>
      <c r="G517" s="51"/>
      <c r="H517" s="51"/>
      <c r="I517" s="51"/>
      <c r="J517" s="51"/>
      <c r="K517" s="51"/>
    </row>
    <row r="518" customFormat="false" ht="15" hidden="false" customHeight="false" outlineLevel="0" collapsed="false">
      <c r="A518" s="49" t="str">
        <f aca="false">01_Data!A16</f>
        <v>S11</v>
      </c>
      <c r="B518" s="50" t="n">
        <f aca="false">01_Data!F16</f>
        <v>0.4</v>
      </c>
      <c r="C518" s="50" t="n">
        <f aca="false">01_Data!G16</f>
        <v>0.333333333333333</v>
      </c>
      <c r="D518" s="50" t="n">
        <f aca="false">01_Data!D16</f>
        <v>1</v>
      </c>
      <c r="E518" s="51"/>
      <c r="F518" s="51"/>
      <c r="G518" s="51"/>
      <c r="H518" s="51"/>
      <c r="I518" s="51"/>
      <c r="J518" s="51"/>
      <c r="K518" s="51"/>
    </row>
    <row r="519" customFormat="false" ht="15" hidden="false" customHeight="false" outlineLevel="0" collapsed="false">
      <c r="A519" s="49" t="str">
        <f aca="false">01_Data!A17</f>
        <v>S12</v>
      </c>
      <c r="B519" s="50" t="n">
        <f aca="false">01_Data!F17</f>
        <v>0.6</v>
      </c>
      <c r="C519" s="50" t="n">
        <f aca="false">01_Data!G17</f>
        <v>0.466666666666667</v>
      </c>
      <c r="D519" s="50" t="n">
        <f aca="false">01_Data!D17</f>
        <v>1</v>
      </c>
      <c r="E519" s="51"/>
      <c r="F519" s="51"/>
      <c r="G519" s="51"/>
      <c r="H519" s="51"/>
      <c r="I519" s="51"/>
      <c r="J519" s="51"/>
      <c r="K519" s="51"/>
    </row>
    <row r="520" customFormat="false" ht="15" hidden="false" customHeight="false" outlineLevel="0" collapsed="false">
      <c r="A520" s="49" t="str">
        <f aca="false">01_Data!A18</f>
        <v>S13</v>
      </c>
      <c r="B520" s="50" t="n">
        <f aca="false">01_Data!F18</f>
        <v>0.8</v>
      </c>
      <c r="C520" s="50" t="n">
        <f aca="false">01_Data!G18</f>
        <v>0.666666666666667</v>
      </c>
      <c r="D520" s="50" t="n">
        <f aca="false">01_Data!D18</f>
        <v>1</v>
      </c>
      <c r="E520" s="51"/>
      <c r="F520" s="51"/>
      <c r="G520" s="51"/>
      <c r="H520" s="51"/>
      <c r="I520" s="51"/>
      <c r="J520" s="51"/>
      <c r="K520" s="51"/>
    </row>
    <row r="521" customFormat="false" ht="15" hidden="false" customHeight="false" outlineLevel="0" collapsed="false">
      <c r="A521" s="49" t="str">
        <f aca="false">01_Data!A19</f>
        <v>S14</v>
      </c>
      <c r="B521" s="50" t="n">
        <f aca="false">01_Data!F19</f>
        <v>1</v>
      </c>
      <c r="C521" s="50" t="n">
        <f aca="false">01_Data!G19</f>
        <v>0.866666666666667</v>
      </c>
      <c r="D521" s="50" t="n">
        <f aca="false">01_Data!D19</f>
        <v>1</v>
      </c>
      <c r="E521" s="51"/>
      <c r="F521" s="51"/>
      <c r="G521" s="51"/>
      <c r="H521" s="51"/>
      <c r="I521" s="51"/>
      <c r="J521" s="51"/>
      <c r="K521" s="51"/>
    </row>
    <row r="522" customFormat="false" ht="15" hidden="false" customHeight="false" outlineLevel="0" collapsed="false">
      <c r="A522" s="49" t="str">
        <f aca="false">01_Data!A20</f>
        <v>S15</v>
      </c>
      <c r="B522" s="50" t="n">
        <f aca="false">01_Data!F20</f>
        <v>1.2</v>
      </c>
      <c r="C522" s="50" t="n">
        <f aca="false">01_Data!G20</f>
        <v>1</v>
      </c>
      <c r="D522" s="50" t="n">
        <f aca="false">01_Data!D20</f>
        <v>1</v>
      </c>
      <c r="E522" s="51"/>
      <c r="F522" s="51"/>
      <c r="G522" s="51"/>
      <c r="H522" s="51"/>
      <c r="I522" s="51"/>
      <c r="J522" s="51"/>
      <c r="K522" s="51"/>
    </row>
    <row r="523" customFormat="false" ht="15" hidden="false" customHeight="false" outlineLevel="0" collapsed="false">
      <c r="A523" s="49" t="str">
        <f aca="false">01_Data!A21</f>
        <v>S16</v>
      </c>
      <c r="B523" s="50" t="n">
        <f aca="false">01_Data!F21</f>
        <v>1.4</v>
      </c>
      <c r="C523" s="50" t="n">
        <f aca="false">01_Data!G21</f>
        <v>1.13333333333333</v>
      </c>
      <c r="D523" s="50" t="n">
        <f aca="false">01_Data!D21</f>
        <v>1</v>
      </c>
      <c r="E523" s="51"/>
      <c r="F523" s="51"/>
      <c r="G523" s="51"/>
      <c r="H523" s="51"/>
      <c r="I523" s="51"/>
      <c r="J523" s="51"/>
      <c r="K523" s="51"/>
    </row>
    <row r="524" customFormat="false" ht="15" hidden="false" customHeight="false" outlineLevel="0" collapsed="false">
      <c r="A524" s="49" t="str">
        <f aca="false">01_Data!A22</f>
        <v>S17</v>
      </c>
      <c r="B524" s="50" t="n">
        <f aca="false">01_Data!F22</f>
        <v>1.6</v>
      </c>
      <c r="C524" s="50" t="n">
        <f aca="false">01_Data!G22</f>
        <v>1.33333333333333</v>
      </c>
      <c r="D524" s="50" t="n">
        <f aca="false">01_Data!D22</f>
        <v>1</v>
      </c>
      <c r="E524" s="51"/>
      <c r="F524" s="51"/>
      <c r="G524" s="51"/>
      <c r="H524" s="51"/>
      <c r="I524" s="51"/>
      <c r="J524" s="51"/>
      <c r="K524" s="51"/>
    </row>
    <row r="525" customFormat="false" ht="15" hidden="false" customHeight="false" outlineLevel="0" collapsed="false">
      <c r="A525" s="49" t="str">
        <f aca="false">01_Data!A23</f>
        <v>S18</v>
      </c>
      <c r="B525" s="50" t="n">
        <f aca="false">01_Data!F23</f>
        <v>0</v>
      </c>
      <c r="C525" s="50" t="n">
        <f aca="false">01_Data!G23</f>
        <v>-0.666666666666667</v>
      </c>
      <c r="D525" s="50" t="n">
        <f aca="false">01_Data!D23</f>
        <v>0</v>
      </c>
      <c r="E525" s="51"/>
      <c r="F525" s="51"/>
      <c r="G525" s="51"/>
      <c r="H525" s="51"/>
      <c r="I525" s="51"/>
      <c r="J525" s="51"/>
      <c r="K525" s="51"/>
    </row>
    <row r="526" customFormat="false" ht="15" hidden="false" customHeight="false" outlineLevel="0" collapsed="false">
      <c r="A526" s="49" t="str">
        <f aca="false">01_Data!A24</f>
        <v>S19</v>
      </c>
      <c r="B526" s="50" t="n">
        <f aca="false">01_Data!F24</f>
        <v>-0.8</v>
      </c>
      <c r="C526" s="50" t="n">
        <f aca="false">01_Data!G24</f>
        <v>0.666666666666667</v>
      </c>
      <c r="D526" s="50" t="n">
        <f aca="false">01_Data!D24</f>
        <v>1</v>
      </c>
      <c r="E526" s="51"/>
      <c r="F526" s="51"/>
      <c r="G526" s="51"/>
      <c r="H526" s="51"/>
      <c r="I526" s="51"/>
      <c r="J526" s="51"/>
      <c r="K526" s="51"/>
    </row>
    <row r="527" customFormat="false" ht="15" hidden="false" customHeight="false" outlineLevel="0" collapsed="false">
      <c r="A527" s="49" t="str">
        <f aca="false">01_Data!A25</f>
        <v>S20</v>
      </c>
      <c r="B527" s="50" t="n">
        <f aca="false">01_Data!F25</f>
        <v>0.8</v>
      </c>
      <c r="C527" s="50" t="n">
        <f aca="false">01_Data!G25</f>
        <v>-0.666666666666667</v>
      </c>
      <c r="D527" s="50" t="n">
        <f aca="false">01_Data!D25</f>
        <v>1</v>
      </c>
      <c r="E527" s="51"/>
      <c r="F527" s="51"/>
      <c r="G527" s="51"/>
      <c r="H527" s="51"/>
      <c r="I527" s="51"/>
      <c r="J527" s="51"/>
      <c r="K527" s="51"/>
    </row>
    <row r="528" customFormat="false" ht="15" hidden="false" customHeight="false" outlineLevel="0" collapsed="false">
      <c r="A528" s="52" t="s">
        <v>138</v>
      </c>
      <c r="B528" s="52"/>
      <c r="C528" s="52"/>
      <c r="D528" s="52"/>
      <c r="E528" s="52"/>
      <c r="F528" s="52"/>
      <c r="G528" s="52" t="s">
        <v>139</v>
      </c>
      <c r="H528" s="53"/>
      <c r="I528" s="53"/>
      <c r="J528" s="53"/>
      <c r="K528" s="53"/>
    </row>
    <row r="529" customFormat="false" ht="22.35" hidden="false" customHeight="true" outlineLevel="0" collapsed="false">
      <c r="A529" s="46" t="s">
        <v>140</v>
      </c>
      <c r="B529" s="46"/>
      <c r="C529" s="46" t="s">
        <v>141</v>
      </c>
      <c r="D529" s="54"/>
      <c r="E529" s="46" t="s">
        <v>142</v>
      </c>
      <c r="F529" s="54"/>
      <c r="G529" s="46" t="s">
        <v>143</v>
      </c>
      <c r="H529" s="54"/>
      <c r="I529" s="47" t="s">
        <v>144</v>
      </c>
      <c r="J529" s="47"/>
      <c r="K529" s="47"/>
    </row>
  </sheetData>
  <mergeCells count="104">
    <mergeCell ref="A1:K1"/>
    <mergeCell ref="A2:K2"/>
    <mergeCell ref="A3:F3"/>
    <mergeCell ref="A9:K10"/>
    <mergeCell ref="A11:K11"/>
    <mergeCell ref="I12:K12"/>
    <mergeCell ref="A34:F34"/>
    <mergeCell ref="A35:B35"/>
    <mergeCell ref="I35:K35"/>
    <mergeCell ref="A37:K37"/>
    <mergeCell ref="I38:K38"/>
    <mergeCell ref="A60:F60"/>
    <mergeCell ref="A61:B61"/>
    <mergeCell ref="I61:K61"/>
    <mergeCell ref="A63:K63"/>
    <mergeCell ref="I64:K64"/>
    <mergeCell ref="A86:F86"/>
    <mergeCell ref="A87:B87"/>
    <mergeCell ref="I87:K87"/>
    <mergeCell ref="A89:K89"/>
    <mergeCell ref="I90:K90"/>
    <mergeCell ref="A112:F112"/>
    <mergeCell ref="A113:B113"/>
    <mergeCell ref="I113:K113"/>
    <mergeCell ref="A115:K115"/>
    <mergeCell ref="I116:K116"/>
    <mergeCell ref="A138:F138"/>
    <mergeCell ref="A139:B139"/>
    <mergeCell ref="I139:K139"/>
    <mergeCell ref="A141:K141"/>
    <mergeCell ref="I142:K142"/>
    <mergeCell ref="A164:F164"/>
    <mergeCell ref="A165:B165"/>
    <mergeCell ref="I165:K165"/>
    <mergeCell ref="A167:K167"/>
    <mergeCell ref="I168:K168"/>
    <mergeCell ref="A190:F190"/>
    <mergeCell ref="A191:B191"/>
    <mergeCell ref="I191:K191"/>
    <mergeCell ref="A193:K193"/>
    <mergeCell ref="I194:K194"/>
    <mergeCell ref="A216:F216"/>
    <mergeCell ref="A217:B217"/>
    <mergeCell ref="I217:K217"/>
    <mergeCell ref="A219:K219"/>
    <mergeCell ref="I220:K220"/>
    <mergeCell ref="A242:F242"/>
    <mergeCell ref="A243:B243"/>
    <mergeCell ref="I243:K243"/>
    <mergeCell ref="A245:K245"/>
    <mergeCell ref="I246:K246"/>
    <mergeCell ref="A268:F268"/>
    <mergeCell ref="A269:B269"/>
    <mergeCell ref="I269:K269"/>
    <mergeCell ref="A271:K271"/>
    <mergeCell ref="I272:K272"/>
    <mergeCell ref="A294:F294"/>
    <mergeCell ref="A295:B295"/>
    <mergeCell ref="I295:K295"/>
    <mergeCell ref="A297:K297"/>
    <mergeCell ref="I298:K298"/>
    <mergeCell ref="A320:F320"/>
    <mergeCell ref="A321:B321"/>
    <mergeCell ref="I321:K321"/>
    <mergeCell ref="A323:K323"/>
    <mergeCell ref="I324:K324"/>
    <mergeCell ref="A346:F346"/>
    <mergeCell ref="A347:B347"/>
    <mergeCell ref="I347:K347"/>
    <mergeCell ref="A349:K349"/>
    <mergeCell ref="I350:K350"/>
    <mergeCell ref="A372:F372"/>
    <mergeCell ref="A373:B373"/>
    <mergeCell ref="I373:K373"/>
    <mergeCell ref="A375:K375"/>
    <mergeCell ref="I376:K376"/>
    <mergeCell ref="A398:F398"/>
    <mergeCell ref="A399:B399"/>
    <mergeCell ref="I399:K399"/>
    <mergeCell ref="A401:K401"/>
    <mergeCell ref="I402:K402"/>
    <mergeCell ref="A424:F424"/>
    <mergeCell ref="A425:B425"/>
    <mergeCell ref="I425:K425"/>
    <mergeCell ref="A427:K427"/>
    <mergeCell ref="I428:K428"/>
    <mergeCell ref="A450:F450"/>
    <mergeCell ref="A451:B451"/>
    <mergeCell ref="I451:K451"/>
    <mergeCell ref="A453:K453"/>
    <mergeCell ref="I454:K454"/>
    <mergeCell ref="A476:F476"/>
    <mergeCell ref="A477:B477"/>
    <mergeCell ref="I477:K477"/>
    <mergeCell ref="A479:K479"/>
    <mergeCell ref="I480:K480"/>
    <mergeCell ref="A502:F502"/>
    <mergeCell ref="A503:B503"/>
    <mergeCell ref="I503:K503"/>
    <mergeCell ref="A505:K505"/>
    <mergeCell ref="I506:K506"/>
    <mergeCell ref="A528:F528"/>
    <mergeCell ref="A529:B529"/>
    <mergeCell ref="I529:K529"/>
  </mergeCells>
  <dataValidations count="1">
    <dataValidation allowBlank="false" error="Learning rate ต้องอยู่ระหว่าง 0.01 ถึง 1.00" errorStyle="stop" errorTitle="ค่าที่กรอกไม่ถูกต้อง" operator="between" prompt="กรอกค่าระหว่าง 0.01 ถึง 1.00" promptTitle="Learning rate" showDropDown="false" showErrorMessage="true" showInputMessage="false" sqref="B4" type="decimal">
      <formula1>0.01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3"/>
  </cols>
  <sheetData>
    <row r="1" customFormat="false" ht="33.7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4.75" hidden="false" customHeight="true" outlineLevel="0" collapsed="false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5" customFormat="false" ht="33.75" hidden="false" customHeight="true" outlineLevel="0" collapsed="false">
      <c r="A5" s="17" t="s">
        <v>123</v>
      </c>
      <c r="B5" s="17" t="s">
        <v>166</v>
      </c>
      <c r="C5" s="17" t="s">
        <v>167</v>
      </c>
      <c r="D5" s="17" t="s">
        <v>168</v>
      </c>
      <c r="E5" s="17" t="s">
        <v>169</v>
      </c>
      <c r="F5" s="17" t="s">
        <v>170</v>
      </c>
      <c r="G5" s="17" t="s">
        <v>171</v>
      </c>
      <c r="H5" s="17" t="s">
        <v>172</v>
      </c>
      <c r="I5" s="17" t="s">
        <v>173</v>
      </c>
      <c r="J5" s="17" t="s">
        <v>174</v>
      </c>
      <c r="K5" s="17" t="s">
        <v>175</v>
      </c>
    </row>
    <row r="6" customFormat="false" ht="22.5" hidden="false" customHeight="true" outlineLevel="0" collapsed="false">
      <c r="A6" s="56" t="n">
        <v>1</v>
      </c>
      <c r="B6" s="50" t="n">
        <f aca="false">IF(02_Training_Detail!D12="","",02_Training_Detail!D12)</f>
        <v>0</v>
      </c>
      <c r="C6" s="50" t="n">
        <f aca="false">IF(02_Training_Detail!F12="","",02_Training_Detail!F12)</f>
        <v>0</v>
      </c>
      <c r="D6" s="50" t="n">
        <f aca="false">IF(02_Training_Detail!H12="","",02_Training_Detail!H12)</f>
        <v>0</v>
      </c>
      <c r="E6" s="50" t="str">
        <f aca="false">IF(02_Training_Detail!K34="","",02_Training_Detail!K34)</f>
        <v/>
      </c>
      <c r="F6" s="50" t="str">
        <f aca="false">IF(02_Training_Detail!H34="","",02_Training_Detail!H34)</f>
        <v/>
      </c>
      <c r="G6" s="50" t="str">
        <f aca="false">IF(02_Training_Detail!I34="","",02_Training_Detail!I34)</f>
        <v/>
      </c>
      <c r="H6" s="50" t="str">
        <f aca="false">IF(02_Training_Detail!J34="","",02_Training_Detail!J34)</f>
        <v/>
      </c>
      <c r="I6" s="50" t="str">
        <f aca="false">IF(02_Training_Detail!D35="","",02_Training_Detail!D35)</f>
        <v/>
      </c>
      <c r="J6" s="50" t="str">
        <f aca="false">IF(02_Training_Detail!F35="","",02_Training_Detail!F35)</f>
        <v/>
      </c>
      <c r="K6" s="50" t="str">
        <f aca="false">IF(02_Training_Detail!H35="","",02_Training_Detail!H35)</f>
        <v/>
      </c>
    </row>
    <row r="7" customFormat="false" ht="22.5" hidden="false" customHeight="true" outlineLevel="0" collapsed="false">
      <c r="A7" s="57" t="n">
        <v>2</v>
      </c>
      <c r="B7" s="58" t="str">
        <f aca="false">IF(02_Training_Detail!D38="","",02_Training_Detail!D38)</f>
        <v/>
      </c>
      <c r="C7" s="58" t="str">
        <f aca="false">IF(02_Training_Detail!F38="","",02_Training_Detail!F38)</f>
        <v/>
      </c>
      <c r="D7" s="58" t="str">
        <f aca="false">IF(02_Training_Detail!H38="","",02_Training_Detail!H38)</f>
        <v/>
      </c>
      <c r="E7" s="58" t="str">
        <f aca="false">IF(02_Training_Detail!K60="","",02_Training_Detail!K60)</f>
        <v/>
      </c>
      <c r="F7" s="58" t="str">
        <f aca="false">IF(02_Training_Detail!H60="","",02_Training_Detail!H60)</f>
        <v/>
      </c>
      <c r="G7" s="58" t="str">
        <f aca="false">IF(02_Training_Detail!I60="","",02_Training_Detail!I60)</f>
        <v/>
      </c>
      <c r="H7" s="58" t="str">
        <f aca="false">IF(02_Training_Detail!J60="","",02_Training_Detail!J60)</f>
        <v/>
      </c>
      <c r="I7" s="58" t="str">
        <f aca="false">IF(02_Training_Detail!D61="","",02_Training_Detail!D61)</f>
        <v/>
      </c>
      <c r="J7" s="58" t="str">
        <f aca="false">IF(02_Training_Detail!F61="","",02_Training_Detail!F61)</f>
        <v/>
      </c>
      <c r="K7" s="58" t="str">
        <f aca="false">IF(02_Training_Detail!H61="","",02_Training_Detail!H61)</f>
        <v/>
      </c>
    </row>
    <row r="8" customFormat="false" ht="22.5" hidden="false" customHeight="true" outlineLevel="0" collapsed="false">
      <c r="A8" s="56" t="n">
        <v>3</v>
      </c>
      <c r="B8" s="50" t="str">
        <f aca="false">IF(02_Training_Detail!D64="","",02_Training_Detail!D64)</f>
        <v/>
      </c>
      <c r="C8" s="50" t="str">
        <f aca="false">IF(02_Training_Detail!F64="","",02_Training_Detail!F64)</f>
        <v/>
      </c>
      <c r="D8" s="50" t="str">
        <f aca="false">IF(02_Training_Detail!H64="","",02_Training_Detail!H64)</f>
        <v/>
      </c>
      <c r="E8" s="50" t="str">
        <f aca="false">IF(02_Training_Detail!K86="","",02_Training_Detail!K86)</f>
        <v/>
      </c>
      <c r="F8" s="50" t="str">
        <f aca="false">IF(02_Training_Detail!H86="","",02_Training_Detail!H86)</f>
        <v/>
      </c>
      <c r="G8" s="50" t="str">
        <f aca="false">IF(02_Training_Detail!I86="","",02_Training_Detail!I86)</f>
        <v/>
      </c>
      <c r="H8" s="50" t="str">
        <f aca="false">IF(02_Training_Detail!J86="","",02_Training_Detail!J86)</f>
        <v/>
      </c>
      <c r="I8" s="50" t="str">
        <f aca="false">IF(02_Training_Detail!D87="","",02_Training_Detail!D87)</f>
        <v/>
      </c>
      <c r="J8" s="50" t="str">
        <f aca="false">IF(02_Training_Detail!F87="","",02_Training_Detail!F87)</f>
        <v/>
      </c>
      <c r="K8" s="50" t="str">
        <f aca="false">IF(02_Training_Detail!H87="","",02_Training_Detail!H87)</f>
        <v/>
      </c>
    </row>
    <row r="9" customFormat="false" ht="22.5" hidden="false" customHeight="true" outlineLevel="0" collapsed="false">
      <c r="A9" s="57" t="n">
        <v>4</v>
      </c>
      <c r="B9" s="58" t="str">
        <f aca="false">IF(02_Training_Detail!D90="","",02_Training_Detail!D90)</f>
        <v/>
      </c>
      <c r="C9" s="58" t="str">
        <f aca="false">IF(02_Training_Detail!F90="","",02_Training_Detail!F90)</f>
        <v/>
      </c>
      <c r="D9" s="58" t="str">
        <f aca="false">IF(02_Training_Detail!H90="","",02_Training_Detail!H90)</f>
        <v/>
      </c>
      <c r="E9" s="58" t="str">
        <f aca="false">IF(02_Training_Detail!K112="","",02_Training_Detail!K112)</f>
        <v/>
      </c>
      <c r="F9" s="58" t="str">
        <f aca="false">IF(02_Training_Detail!H112="","",02_Training_Detail!H112)</f>
        <v/>
      </c>
      <c r="G9" s="58" t="str">
        <f aca="false">IF(02_Training_Detail!I112="","",02_Training_Detail!I112)</f>
        <v/>
      </c>
      <c r="H9" s="58" t="str">
        <f aca="false">IF(02_Training_Detail!J112="","",02_Training_Detail!J112)</f>
        <v/>
      </c>
      <c r="I9" s="58" t="str">
        <f aca="false">IF(02_Training_Detail!D113="","",02_Training_Detail!D113)</f>
        <v/>
      </c>
      <c r="J9" s="58" t="str">
        <f aca="false">IF(02_Training_Detail!F113="","",02_Training_Detail!F113)</f>
        <v/>
      </c>
      <c r="K9" s="58" t="str">
        <f aca="false">IF(02_Training_Detail!H113="","",02_Training_Detail!H113)</f>
        <v/>
      </c>
    </row>
    <row r="10" customFormat="false" ht="22.5" hidden="false" customHeight="true" outlineLevel="0" collapsed="false">
      <c r="A10" s="56" t="n">
        <v>5</v>
      </c>
      <c r="B10" s="50" t="str">
        <f aca="false">IF(02_Training_Detail!D116="","",02_Training_Detail!D116)</f>
        <v/>
      </c>
      <c r="C10" s="50" t="str">
        <f aca="false">IF(02_Training_Detail!F116="","",02_Training_Detail!F116)</f>
        <v/>
      </c>
      <c r="D10" s="50" t="str">
        <f aca="false">IF(02_Training_Detail!H116="","",02_Training_Detail!H116)</f>
        <v/>
      </c>
      <c r="E10" s="50" t="str">
        <f aca="false">IF(02_Training_Detail!K138="","",02_Training_Detail!K138)</f>
        <v/>
      </c>
      <c r="F10" s="50" t="str">
        <f aca="false">IF(02_Training_Detail!H138="","",02_Training_Detail!H138)</f>
        <v/>
      </c>
      <c r="G10" s="50" t="str">
        <f aca="false">IF(02_Training_Detail!I138="","",02_Training_Detail!I138)</f>
        <v/>
      </c>
      <c r="H10" s="50" t="str">
        <f aca="false">IF(02_Training_Detail!J138="","",02_Training_Detail!J138)</f>
        <v/>
      </c>
      <c r="I10" s="50" t="str">
        <f aca="false">IF(02_Training_Detail!D139="","",02_Training_Detail!D139)</f>
        <v/>
      </c>
      <c r="J10" s="50" t="str">
        <f aca="false">IF(02_Training_Detail!F139="","",02_Training_Detail!F139)</f>
        <v/>
      </c>
      <c r="K10" s="50" t="str">
        <f aca="false">IF(02_Training_Detail!H139="","",02_Training_Detail!H139)</f>
        <v/>
      </c>
    </row>
    <row r="11" customFormat="false" ht="22.5" hidden="false" customHeight="true" outlineLevel="0" collapsed="false">
      <c r="A11" s="57" t="n">
        <v>6</v>
      </c>
      <c r="B11" s="58" t="str">
        <f aca="false">IF(02_Training_Detail!D142="","",02_Training_Detail!D142)</f>
        <v/>
      </c>
      <c r="C11" s="58" t="str">
        <f aca="false">IF(02_Training_Detail!F142="","",02_Training_Detail!F142)</f>
        <v/>
      </c>
      <c r="D11" s="58" t="str">
        <f aca="false">IF(02_Training_Detail!H142="","",02_Training_Detail!H142)</f>
        <v/>
      </c>
      <c r="E11" s="58" t="str">
        <f aca="false">IF(02_Training_Detail!K164="","",02_Training_Detail!K164)</f>
        <v/>
      </c>
      <c r="F11" s="58" t="str">
        <f aca="false">IF(02_Training_Detail!H164="","",02_Training_Detail!H164)</f>
        <v/>
      </c>
      <c r="G11" s="58" t="str">
        <f aca="false">IF(02_Training_Detail!I164="","",02_Training_Detail!I164)</f>
        <v/>
      </c>
      <c r="H11" s="58" t="str">
        <f aca="false">IF(02_Training_Detail!J164="","",02_Training_Detail!J164)</f>
        <v/>
      </c>
      <c r="I11" s="58" t="str">
        <f aca="false">IF(02_Training_Detail!D165="","",02_Training_Detail!D165)</f>
        <v/>
      </c>
      <c r="J11" s="58" t="str">
        <f aca="false">IF(02_Training_Detail!F165="","",02_Training_Detail!F165)</f>
        <v/>
      </c>
      <c r="K11" s="58" t="str">
        <f aca="false">IF(02_Training_Detail!H165="","",02_Training_Detail!H165)</f>
        <v/>
      </c>
    </row>
    <row r="12" customFormat="false" ht="22.5" hidden="false" customHeight="true" outlineLevel="0" collapsed="false">
      <c r="A12" s="56" t="n">
        <v>7</v>
      </c>
      <c r="B12" s="50" t="str">
        <f aca="false">IF(02_Training_Detail!D168="","",02_Training_Detail!D168)</f>
        <v/>
      </c>
      <c r="C12" s="50" t="str">
        <f aca="false">IF(02_Training_Detail!F168="","",02_Training_Detail!F168)</f>
        <v/>
      </c>
      <c r="D12" s="50" t="str">
        <f aca="false">IF(02_Training_Detail!H168="","",02_Training_Detail!H168)</f>
        <v/>
      </c>
      <c r="E12" s="50" t="str">
        <f aca="false">IF(02_Training_Detail!K190="","",02_Training_Detail!K190)</f>
        <v/>
      </c>
      <c r="F12" s="50" t="str">
        <f aca="false">IF(02_Training_Detail!H190="","",02_Training_Detail!H190)</f>
        <v/>
      </c>
      <c r="G12" s="50" t="str">
        <f aca="false">IF(02_Training_Detail!I190="","",02_Training_Detail!I190)</f>
        <v/>
      </c>
      <c r="H12" s="50" t="str">
        <f aca="false">IF(02_Training_Detail!J190="","",02_Training_Detail!J190)</f>
        <v/>
      </c>
      <c r="I12" s="50" t="str">
        <f aca="false">IF(02_Training_Detail!D191="","",02_Training_Detail!D191)</f>
        <v/>
      </c>
      <c r="J12" s="50" t="str">
        <f aca="false">IF(02_Training_Detail!F191="","",02_Training_Detail!F191)</f>
        <v/>
      </c>
      <c r="K12" s="50" t="str">
        <f aca="false">IF(02_Training_Detail!H191="","",02_Training_Detail!H191)</f>
        <v/>
      </c>
    </row>
    <row r="13" customFormat="false" ht="22.5" hidden="false" customHeight="true" outlineLevel="0" collapsed="false">
      <c r="A13" s="57" t="n">
        <v>8</v>
      </c>
      <c r="B13" s="58" t="str">
        <f aca="false">IF(02_Training_Detail!D194="","",02_Training_Detail!D194)</f>
        <v/>
      </c>
      <c r="C13" s="58" t="str">
        <f aca="false">IF(02_Training_Detail!F194="","",02_Training_Detail!F194)</f>
        <v/>
      </c>
      <c r="D13" s="58" t="str">
        <f aca="false">IF(02_Training_Detail!H194="","",02_Training_Detail!H194)</f>
        <v/>
      </c>
      <c r="E13" s="58" t="str">
        <f aca="false">IF(02_Training_Detail!K216="","",02_Training_Detail!K216)</f>
        <v/>
      </c>
      <c r="F13" s="58" t="str">
        <f aca="false">IF(02_Training_Detail!H216="","",02_Training_Detail!H216)</f>
        <v/>
      </c>
      <c r="G13" s="58" t="str">
        <f aca="false">IF(02_Training_Detail!I216="","",02_Training_Detail!I216)</f>
        <v/>
      </c>
      <c r="H13" s="58" t="str">
        <f aca="false">IF(02_Training_Detail!J216="","",02_Training_Detail!J216)</f>
        <v/>
      </c>
      <c r="I13" s="58" t="str">
        <f aca="false">IF(02_Training_Detail!D217="","",02_Training_Detail!D217)</f>
        <v/>
      </c>
      <c r="J13" s="58" t="str">
        <f aca="false">IF(02_Training_Detail!F217="","",02_Training_Detail!F217)</f>
        <v/>
      </c>
      <c r="K13" s="58" t="str">
        <f aca="false">IF(02_Training_Detail!H217="","",02_Training_Detail!H217)</f>
        <v/>
      </c>
    </row>
    <row r="14" customFormat="false" ht="22.5" hidden="false" customHeight="true" outlineLevel="0" collapsed="false">
      <c r="A14" s="56" t="n">
        <v>9</v>
      </c>
      <c r="B14" s="50" t="str">
        <f aca="false">IF(02_Training_Detail!D220="","",02_Training_Detail!D220)</f>
        <v/>
      </c>
      <c r="C14" s="50" t="str">
        <f aca="false">IF(02_Training_Detail!F220="","",02_Training_Detail!F220)</f>
        <v/>
      </c>
      <c r="D14" s="50" t="str">
        <f aca="false">IF(02_Training_Detail!H220="","",02_Training_Detail!H220)</f>
        <v/>
      </c>
      <c r="E14" s="50" t="str">
        <f aca="false">IF(02_Training_Detail!K242="","",02_Training_Detail!K242)</f>
        <v/>
      </c>
      <c r="F14" s="50" t="str">
        <f aca="false">IF(02_Training_Detail!H242="","",02_Training_Detail!H242)</f>
        <v/>
      </c>
      <c r="G14" s="50" t="str">
        <f aca="false">IF(02_Training_Detail!I242="","",02_Training_Detail!I242)</f>
        <v/>
      </c>
      <c r="H14" s="50" t="str">
        <f aca="false">IF(02_Training_Detail!J242="","",02_Training_Detail!J242)</f>
        <v/>
      </c>
      <c r="I14" s="50" t="str">
        <f aca="false">IF(02_Training_Detail!D243="","",02_Training_Detail!D243)</f>
        <v/>
      </c>
      <c r="J14" s="50" t="str">
        <f aca="false">IF(02_Training_Detail!F243="","",02_Training_Detail!F243)</f>
        <v/>
      </c>
      <c r="K14" s="50" t="str">
        <f aca="false">IF(02_Training_Detail!H243="","",02_Training_Detail!H243)</f>
        <v/>
      </c>
    </row>
    <row r="15" customFormat="false" ht="22.5" hidden="false" customHeight="true" outlineLevel="0" collapsed="false">
      <c r="A15" s="57" t="n">
        <v>10</v>
      </c>
      <c r="B15" s="58" t="str">
        <f aca="false">IF(02_Training_Detail!D246="","",02_Training_Detail!D246)</f>
        <v/>
      </c>
      <c r="C15" s="58" t="str">
        <f aca="false">IF(02_Training_Detail!F246="","",02_Training_Detail!F246)</f>
        <v/>
      </c>
      <c r="D15" s="58" t="str">
        <f aca="false">IF(02_Training_Detail!H246="","",02_Training_Detail!H246)</f>
        <v/>
      </c>
      <c r="E15" s="58" t="str">
        <f aca="false">IF(02_Training_Detail!K268="","",02_Training_Detail!K268)</f>
        <v/>
      </c>
      <c r="F15" s="58" t="str">
        <f aca="false">IF(02_Training_Detail!H268="","",02_Training_Detail!H268)</f>
        <v/>
      </c>
      <c r="G15" s="58" t="str">
        <f aca="false">IF(02_Training_Detail!I268="","",02_Training_Detail!I268)</f>
        <v/>
      </c>
      <c r="H15" s="58" t="str">
        <f aca="false">IF(02_Training_Detail!J268="","",02_Training_Detail!J268)</f>
        <v/>
      </c>
      <c r="I15" s="58" t="str">
        <f aca="false">IF(02_Training_Detail!D269="","",02_Training_Detail!D269)</f>
        <v/>
      </c>
      <c r="J15" s="58" t="str">
        <f aca="false">IF(02_Training_Detail!F269="","",02_Training_Detail!F269)</f>
        <v/>
      </c>
      <c r="K15" s="58" t="str">
        <f aca="false">IF(02_Training_Detail!H269="","",02_Training_Detail!H269)</f>
        <v/>
      </c>
    </row>
    <row r="16" customFormat="false" ht="22.5" hidden="false" customHeight="true" outlineLevel="0" collapsed="false">
      <c r="A16" s="56" t="n">
        <v>11</v>
      </c>
      <c r="B16" s="50" t="str">
        <f aca="false">IF(02_Training_Detail!D272="","",02_Training_Detail!D272)</f>
        <v/>
      </c>
      <c r="C16" s="50" t="str">
        <f aca="false">IF(02_Training_Detail!F272="","",02_Training_Detail!F272)</f>
        <v/>
      </c>
      <c r="D16" s="50" t="str">
        <f aca="false">IF(02_Training_Detail!H272="","",02_Training_Detail!H272)</f>
        <v/>
      </c>
      <c r="E16" s="50" t="str">
        <f aca="false">IF(02_Training_Detail!K294="","",02_Training_Detail!K294)</f>
        <v/>
      </c>
      <c r="F16" s="50" t="str">
        <f aca="false">IF(02_Training_Detail!H294="","",02_Training_Detail!H294)</f>
        <v/>
      </c>
      <c r="G16" s="50" t="str">
        <f aca="false">IF(02_Training_Detail!I294="","",02_Training_Detail!I294)</f>
        <v/>
      </c>
      <c r="H16" s="50" t="str">
        <f aca="false">IF(02_Training_Detail!J294="","",02_Training_Detail!J294)</f>
        <v/>
      </c>
      <c r="I16" s="50" t="str">
        <f aca="false">IF(02_Training_Detail!D295="","",02_Training_Detail!D295)</f>
        <v/>
      </c>
      <c r="J16" s="50" t="str">
        <f aca="false">IF(02_Training_Detail!F295="","",02_Training_Detail!F295)</f>
        <v/>
      </c>
      <c r="K16" s="50" t="str">
        <f aca="false">IF(02_Training_Detail!H295="","",02_Training_Detail!H295)</f>
        <v/>
      </c>
    </row>
    <row r="17" customFormat="false" ht="22.5" hidden="false" customHeight="true" outlineLevel="0" collapsed="false">
      <c r="A17" s="57" t="n">
        <v>12</v>
      </c>
      <c r="B17" s="58" t="str">
        <f aca="false">IF(02_Training_Detail!D298="","",02_Training_Detail!D298)</f>
        <v/>
      </c>
      <c r="C17" s="58" t="str">
        <f aca="false">IF(02_Training_Detail!F298="","",02_Training_Detail!F298)</f>
        <v/>
      </c>
      <c r="D17" s="58" t="str">
        <f aca="false">IF(02_Training_Detail!H298="","",02_Training_Detail!H298)</f>
        <v/>
      </c>
      <c r="E17" s="58" t="str">
        <f aca="false">IF(02_Training_Detail!K320="","",02_Training_Detail!K320)</f>
        <v/>
      </c>
      <c r="F17" s="58" t="str">
        <f aca="false">IF(02_Training_Detail!H320="","",02_Training_Detail!H320)</f>
        <v/>
      </c>
      <c r="G17" s="58" t="str">
        <f aca="false">IF(02_Training_Detail!I320="","",02_Training_Detail!I320)</f>
        <v/>
      </c>
      <c r="H17" s="58" t="str">
        <f aca="false">IF(02_Training_Detail!J320="","",02_Training_Detail!J320)</f>
        <v/>
      </c>
      <c r="I17" s="58" t="str">
        <f aca="false">IF(02_Training_Detail!D321="","",02_Training_Detail!D321)</f>
        <v/>
      </c>
      <c r="J17" s="58" t="str">
        <f aca="false">IF(02_Training_Detail!F321="","",02_Training_Detail!F321)</f>
        <v/>
      </c>
      <c r="K17" s="58" t="str">
        <f aca="false">IF(02_Training_Detail!H321="","",02_Training_Detail!H321)</f>
        <v/>
      </c>
    </row>
    <row r="18" customFormat="false" ht="22.5" hidden="false" customHeight="true" outlineLevel="0" collapsed="false">
      <c r="A18" s="56" t="n">
        <v>13</v>
      </c>
      <c r="B18" s="50" t="str">
        <f aca="false">IF(02_Training_Detail!D324="","",02_Training_Detail!D324)</f>
        <v/>
      </c>
      <c r="C18" s="50" t="str">
        <f aca="false">IF(02_Training_Detail!F324="","",02_Training_Detail!F324)</f>
        <v/>
      </c>
      <c r="D18" s="50" t="str">
        <f aca="false">IF(02_Training_Detail!H324="","",02_Training_Detail!H324)</f>
        <v/>
      </c>
      <c r="E18" s="50" t="str">
        <f aca="false">IF(02_Training_Detail!K346="","",02_Training_Detail!K346)</f>
        <v/>
      </c>
      <c r="F18" s="50" t="str">
        <f aca="false">IF(02_Training_Detail!H346="","",02_Training_Detail!H346)</f>
        <v/>
      </c>
      <c r="G18" s="50" t="str">
        <f aca="false">IF(02_Training_Detail!I346="","",02_Training_Detail!I346)</f>
        <v/>
      </c>
      <c r="H18" s="50" t="str">
        <f aca="false">IF(02_Training_Detail!J346="","",02_Training_Detail!J346)</f>
        <v/>
      </c>
      <c r="I18" s="50" t="str">
        <f aca="false">IF(02_Training_Detail!D347="","",02_Training_Detail!D347)</f>
        <v/>
      </c>
      <c r="J18" s="50" t="str">
        <f aca="false">IF(02_Training_Detail!F347="","",02_Training_Detail!F347)</f>
        <v/>
      </c>
      <c r="K18" s="50" t="str">
        <f aca="false">IF(02_Training_Detail!H347="","",02_Training_Detail!H347)</f>
        <v/>
      </c>
    </row>
    <row r="19" customFormat="false" ht="22.5" hidden="false" customHeight="true" outlineLevel="0" collapsed="false">
      <c r="A19" s="57" t="n">
        <v>14</v>
      </c>
      <c r="B19" s="58" t="str">
        <f aca="false">IF(02_Training_Detail!D350="","",02_Training_Detail!D350)</f>
        <v/>
      </c>
      <c r="C19" s="58" t="str">
        <f aca="false">IF(02_Training_Detail!F350="","",02_Training_Detail!F350)</f>
        <v/>
      </c>
      <c r="D19" s="58" t="str">
        <f aca="false">IF(02_Training_Detail!H350="","",02_Training_Detail!H350)</f>
        <v/>
      </c>
      <c r="E19" s="58" t="str">
        <f aca="false">IF(02_Training_Detail!K372="","",02_Training_Detail!K372)</f>
        <v/>
      </c>
      <c r="F19" s="58" t="str">
        <f aca="false">IF(02_Training_Detail!H372="","",02_Training_Detail!H372)</f>
        <v/>
      </c>
      <c r="G19" s="58" t="str">
        <f aca="false">IF(02_Training_Detail!I372="","",02_Training_Detail!I372)</f>
        <v/>
      </c>
      <c r="H19" s="58" t="str">
        <f aca="false">IF(02_Training_Detail!J372="","",02_Training_Detail!J372)</f>
        <v/>
      </c>
      <c r="I19" s="58" t="str">
        <f aca="false">IF(02_Training_Detail!D373="","",02_Training_Detail!D373)</f>
        <v/>
      </c>
      <c r="J19" s="58" t="str">
        <f aca="false">IF(02_Training_Detail!F373="","",02_Training_Detail!F373)</f>
        <v/>
      </c>
      <c r="K19" s="58" t="str">
        <f aca="false">IF(02_Training_Detail!H373="","",02_Training_Detail!H373)</f>
        <v/>
      </c>
    </row>
    <row r="20" customFormat="false" ht="22.5" hidden="false" customHeight="true" outlineLevel="0" collapsed="false">
      <c r="A20" s="56" t="n">
        <v>15</v>
      </c>
      <c r="B20" s="50" t="str">
        <f aca="false">IF(02_Training_Detail!D376="","",02_Training_Detail!D376)</f>
        <v/>
      </c>
      <c r="C20" s="50" t="str">
        <f aca="false">IF(02_Training_Detail!F376="","",02_Training_Detail!F376)</f>
        <v/>
      </c>
      <c r="D20" s="50" t="str">
        <f aca="false">IF(02_Training_Detail!H376="","",02_Training_Detail!H376)</f>
        <v/>
      </c>
      <c r="E20" s="50" t="str">
        <f aca="false">IF(02_Training_Detail!K398="","",02_Training_Detail!K398)</f>
        <v/>
      </c>
      <c r="F20" s="50" t="str">
        <f aca="false">IF(02_Training_Detail!H398="","",02_Training_Detail!H398)</f>
        <v/>
      </c>
      <c r="G20" s="50" t="str">
        <f aca="false">IF(02_Training_Detail!I398="","",02_Training_Detail!I398)</f>
        <v/>
      </c>
      <c r="H20" s="50" t="str">
        <f aca="false">IF(02_Training_Detail!J398="","",02_Training_Detail!J398)</f>
        <v/>
      </c>
      <c r="I20" s="50" t="str">
        <f aca="false">IF(02_Training_Detail!D399="","",02_Training_Detail!D399)</f>
        <v/>
      </c>
      <c r="J20" s="50" t="str">
        <f aca="false">IF(02_Training_Detail!F399="","",02_Training_Detail!F399)</f>
        <v/>
      </c>
      <c r="K20" s="50" t="str">
        <f aca="false">IF(02_Training_Detail!H399="","",02_Training_Detail!H399)</f>
        <v/>
      </c>
    </row>
    <row r="21" customFormat="false" ht="22.5" hidden="false" customHeight="true" outlineLevel="0" collapsed="false">
      <c r="A21" s="57" t="n">
        <v>16</v>
      </c>
      <c r="B21" s="58" t="str">
        <f aca="false">IF(02_Training_Detail!D402="","",02_Training_Detail!D402)</f>
        <v/>
      </c>
      <c r="C21" s="58" t="str">
        <f aca="false">IF(02_Training_Detail!F402="","",02_Training_Detail!F402)</f>
        <v/>
      </c>
      <c r="D21" s="58" t="str">
        <f aca="false">IF(02_Training_Detail!H402="","",02_Training_Detail!H402)</f>
        <v/>
      </c>
      <c r="E21" s="58" t="str">
        <f aca="false">IF(02_Training_Detail!K424="","",02_Training_Detail!K424)</f>
        <v/>
      </c>
      <c r="F21" s="58" t="str">
        <f aca="false">IF(02_Training_Detail!H424="","",02_Training_Detail!H424)</f>
        <v/>
      </c>
      <c r="G21" s="58" t="str">
        <f aca="false">IF(02_Training_Detail!I424="","",02_Training_Detail!I424)</f>
        <v/>
      </c>
      <c r="H21" s="58" t="str">
        <f aca="false">IF(02_Training_Detail!J424="","",02_Training_Detail!J424)</f>
        <v/>
      </c>
      <c r="I21" s="58" t="str">
        <f aca="false">IF(02_Training_Detail!D425="","",02_Training_Detail!D425)</f>
        <v/>
      </c>
      <c r="J21" s="58" t="str">
        <f aca="false">IF(02_Training_Detail!F425="","",02_Training_Detail!F425)</f>
        <v/>
      </c>
      <c r="K21" s="58" t="str">
        <f aca="false">IF(02_Training_Detail!H425="","",02_Training_Detail!H425)</f>
        <v/>
      </c>
    </row>
    <row r="22" customFormat="false" ht="22.5" hidden="false" customHeight="true" outlineLevel="0" collapsed="false">
      <c r="A22" s="56" t="n">
        <v>17</v>
      </c>
      <c r="B22" s="50" t="str">
        <f aca="false">IF(02_Training_Detail!D428="","",02_Training_Detail!D428)</f>
        <v/>
      </c>
      <c r="C22" s="50" t="str">
        <f aca="false">IF(02_Training_Detail!F428="","",02_Training_Detail!F428)</f>
        <v/>
      </c>
      <c r="D22" s="50" t="str">
        <f aca="false">IF(02_Training_Detail!H428="","",02_Training_Detail!H428)</f>
        <v/>
      </c>
      <c r="E22" s="50" t="str">
        <f aca="false">IF(02_Training_Detail!K450="","",02_Training_Detail!K450)</f>
        <v/>
      </c>
      <c r="F22" s="50" t="str">
        <f aca="false">IF(02_Training_Detail!H450="","",02_Training_Detail!H450)</f>
        <v/>
      </c>
      <c r="G22" s="50" t="str">
        <f aca="false">IF(02_Training_Detail!I450="","",02_Training_Detail!I450)</f>
        <v/>
      </c>
      <c r="H22" s="50" t="str">
        <f aca="false">IF(02_Training_Detail!J450="","",02_Training_Detail!J450)</f>
        <v/>
      </c>
      <c r="I22" s="50" t="str">
        <f aca="false">IF(02_Training_Detail!D451="","",02_Training_Detail!D451)</f>
        <v/>
      </c>
      <c r="J22" s="50" t="str">
        <f aca="false">IF(02_Training_Detail!F451="","",02_Training_Detail!F451)</f>
        <v/>
      </c>
      <c r="K22" s="50" t="str">
        <f aca="false">IF(02_Training_Detail!H451="","",02_Training_Detail!H451)</f>
        <v/>
      </c>
    </row>
    <row r="23" customFormat="false" ht="22.5" hidden="false" customHeight="true" outlineLevel="0" collapsed="false">
      <c r="A23" s="57" t="n">
        <v>18</v>
      </c>
      <c r="B23" s="58" t="str">
        <f aca="false">IF(02_Training_Detail!D454="","",02_Training_Detail!D454)</f>
        <v/>
      </c>
      <c r="C23" s="58" t="str">
        <f aca="false">IF(02_Training_Detail!F454="","",02_Training_Detail!F454)</f>
        <v/>
      </c>
      <c r="D23" s="58" t="str">
        <f aca="false">IF(02_Training_Detail!H454="","",02_Training_Detail!H454)</f>
        <v/>
      </c>
      <c r="E23" s="58" t="str">
        <f aca="false">IF(02_Training_Detail!K476="","",02_Training_Detail!K476)</f>
        <v/>
      </c>
      <c r="F23" s="58" t="str">
        <f aca="false">IF(02_Training_Detail!H476="","",02_Training_Detail!H476)</f>
        <v/>
      </c>
      <c r="G23" s="58" t="str">
        <f aca="false">IF(02_Training_Detail!I476="","",02_Training_Detail!I476)</f>
        <v/>
      </c>
      <c r="H23" s="58" t="str">
        <f aca="false">IF(02_Training_Detail!J476="","",02_Training_Detail!J476)</f>
        <v/>
      </c>
      <c r="I23" s="58" t="str">
        <f aca="false">IF(02_Training_Detail!D477="","",02_Training_Detail!D477)</f>
        <v/>
      </c>
      <c r="J23" s="58" t="str">
        <f aca="false">IF(02_Training_Detail!F477="","",02_Training_Detail!F477)</f>
        <v/>
      </c>
      <c r="K23" s="58" t="str">
        <f aca="false">IF(02_Training_Detail!H477="","",02_Training_Detail!H477)</f>
        <v/>
      </c>
    </row>
    <row r="24" customFormat="false" ht="22.5" hidden="false" customHeight="true" outlineLevel="0" collapsed="false">
      <c r="A24" s="56" t="n">
        <v>19</v>
      </c>
      <c r="B24" s="50" t="str">
        <f aca="false">IF(02_Training_Detail!D480="","",02_Training_Detail!D480)</f>
        <v/>
      </c>
      <c r="C24" s="50" t="str">
        <f aca="false">IF(02_Training_Detail!F480="","",02_Training_Detail!F480)</f>
        <v/>
      </c>
      <c r="D24" s="50" t="str">
        <f aca="false">IF(02_Training_Detail!H480="","",02_Training_Detail!H480)</f>
        <v/>
      </c>
      <c r="E24" s="50" t="str">
        <f aca="false">IF(02_Training_Detail!K502="","",02_Training_Detail!K502)</f>
        <v/>
      </c>
      <c r="F24" s="50" t="str">
        <f aca="false">IF(02_Training_Detail!H502="","",02_Training_Detail!H502)</f>
        <v/>
      </c>
      <c r="G24" s="50" t="str">
        <f aca="false">IF(02_Training_Detail!I502="","",02_Training_Detail!I502)</f>
        <v/>
      </c>
      <c r="H24" s="50" t="str">
        <f aca="false">IF(02_Training_Detail!J502="","",02_Training_Detail!J502)</f>
        <v/>
      </c>
      <c r="I24" s="50" t="str">
        <f aca="false">IF(02_Training_Detail!D503="","",02_Training_Detail!D503)</f>
        <v/>
      </c>
      <c r="J24" s="50" t="str">
        <f aca="false">IF(02_Training_Detail!F503="","",02_Training_Detail!F503)</f>
        <v/>
      </c>
      <c r="K24" s="50" t="str">
        <f aca="false">IF(02_Training_Detail!H503="","",02_Training_Detail!H503)</f>
        <v/>
      </c>
    </row>
    <row r="25" customFormat="false" ht="22.5" hidden="false" customHeight="true" outlineLevel="0" collapsed="false">
      <c r="A25" s="57" t="n">
        <v>20</v>
      </c>
      <c r="B25" s="58" t="str">
        <f aca="false">IF(02_Training_Detail!D506="","",02_Training_Detail!D506)</f>
        <v/>
      </c>
      <c r="C25" s="58" t="str">
        <f aca="false">IF(02_Training_Detail!F506="","",02_Training_Detail!F506)</f>
        <v/>
      </c>
      <c r="D25" s="58" t="str">
        <f aca="false">IF(02_Training_Detail!H506="","",02_Training_Detail!H506)</f>
        <v/>
      </c>
      <c r="E25" s="58" t="str">
        <f aca="false">IF(02_Training_Detail!K528="","",02_Training_Detail!K528)</f>
        <v/>
      </c>
      <c r="F25" s="58" t="str">
        <f aca="false">IF(02_Training_Detail!H528="","",02_Training_Detail!H528)</f>
        <v/>
      </c>
      <c r="G25" s="58" t="str">
        <f aca="false">IF(02_Training_Detail!I528="","",02_Training_Detail!I528)</f>
        <v/>
      </c>
      <c r="H25" s="58" t="str">
        <f aca="false">IF(02_Training_Detail!J528="","",02_Training_Detail!J528)</f>
        <v/>
      </c>
      <c r="I25" s="58" t="str">
        <f aca="false">IF(02_Training_Detail!D529="","",02_Training_Detail!D529)</f>
        <v/>
      </c>
      <c r="J25" s="58" t="str">
        <f aca="false">IF(02_Training_Detail!F529="","",02_Training_Detail!F529)</f>
        <v/>
      </c>
      <c r="K25" s="58" t="str">
        <f aca="false">IF(02_Training_Detail!H529="","",02_Training_Detail!H529)</f>
        <v/>
      </c>
    </row>
    <row r="28" customFormat="false" ht="22.5" hidden="false" customHeight="true" outlineLevel="0" collapsed="false">
      <c r="A28" s="16" t="s">
        <v>176</v>
      </c>
      <c r="B28" s="16"/>
      <c r="C28" s="16"/>
      <c r="D28" s="16"/>
      <c r="E28" s="16"/>
    </row>
    <row r="29" customFormat="false" ht="15" hidden="false" customHeight="false" outlineLevel="0" collapsed="false">
      <c r="A29" s="8" t="s">
        <v>177</v>
      </c>
      <c r="B29" s="59" t="str">
        <f aca="false">I25</f>
        <v/>
      </c>
      <c r="D29" s="60" t="s">
        <v>178</v>
      </c>
      <c r="E29" s="60"/>
      <c r="F29" s="60"/>
      <c r="G29" s="60"/>
      <c r="H29" s="60"/>
      <c r="I29" s="60"/>
      <c r="J29" s="60"/>
      <c r="K29" s="60"/>
    </row>
    <row r="30" customFormat="false" ht="15" hidden="false" customHeight="false" outlineLevel="0" collapsed="false">
      <c r="A30" s="8" t="s">
        <v>179</v>
      </c>
      <c r="B30" s="59" t="str">
        <f aca="false">J25</f>
        <v/>
      </c>
      <c r="D30" s="60" t="s">
        <v>180</v>
      </c>
      <c r="E30" s="60"/>
      <c r="F30" s="60"/>
      <c r="G30" s="60"/>
      <c r="H30" s="60"/>
      <c r="I30" s="60"/>
      <c r="J30" s="60"/>
      <c r="K30" s="60"/>
    </row>
    <row r="31" customFormat="false" ht="15" hidden="false" customHeight="false" outlineLevel="0" collapsed="false">
      <c r="A31" s="8" t="s">
        <v>181</v>
      </c>
      <c r="B31" s="59" t="str">
        <f aca="false">K25</f>
        <v/>
      </c>
      <c r="D31" s="61" t="s">
        <v>182</v>
      </c>
      <c r="E31" s="61"/>
      <c r="F31" s="61"/>
      <c r="G31" s="61"/>
      <c r="H31" s="61"/>
      <c r="I31" s="61"/>
      <c r="J31" s="61"/>
      <c r="K31" s="61"/>
    </row>
  </sheetData>
  <mergeCells count="6">
    <mergeCell ref="A1:T1"/>
    <mergeCell ref="A2:T2"/>
    <mergeCell ref="A28:E28"/>
    <mergeCell ref="D29:K29"/>
    <mergeCell ref="D30:K30"/>
    <mergeCell ref="D31:K31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5" min="15" style="0" width="12"/>
  </cols>
  <sheetData>
    <row r="1" customFormat="false" ht="33.75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4.75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15" hidden="false" customHeight="false" outlineLevel="0" collapsed="false">
      <c r="A4" s="8" t="s">
        <v>185</v>
      </c>
      <c r="B4" s="62" t="n">
        <v>0.5</v>
      </c>
      <c r="D4" s="8" t="s">
        <v>177</v>
      </c>
      <c r="E4" s="63" t="str">
        <f aca="false">IF(03_Model_Path!B29="","",03_Model_Path!B29)</f>
        <v/>
      </c>
      <c r="G4" s="8" t="s">
        <v>179</v>
      </c>
      <c r="H4" s="63" t="str">
        <f aca="false">IF(03_Model_Path!B30="","",03_Model_Path!B30)</f>
        <v/>
      </c>
      <c r="J4" s="8" t="s">
        <v>181</v>
      </c>
      <c r="K4" s="63" t="str">
        <f aca="false">IF(03_Model_Path!B31="","",03_Model_Path!B31)</f>
        <v/>
      </c>
    </row>
    <row r="7" customFormat="false" ht="33.75" hidden="false" customHeight="true" outlineLevel="0" collapsed="false">
      <c r="A7" s="17" t="s">
        <v>128</v>
      </c>
      <c r="B7" s="17" t="s">
        <v>186</v>
      </c>
      <c r="C7" s="17" t="s">
        <v>187</v>
      </c>
      <c r="D7" s="17" t="s">
        <v>129</v>
      </c>
      <c r="E7" s="17" t="s">
        <v>130</v>
      </c>
      <c r="F7" s="17" t="s">
        <v>188</v>
      </c>
      <c r="G7" s="17" t="s">
        <v>124</v>
      </c>
      <c r="H7" s="17" t="s">
        <v>189</v>
      </c>
      <c r="I7" s="17" t="s">
        <v>190</v>
      </c>
      <c r="J7" s="17" t="s">
        <v>132</v>
      </c>
      <c r="K7" s="17" t="s">
        <v>191</v>
      </c>
      <c r="L7" s="17" t="s">
        <v>192</v>
      </c>
      <c r="M7" s="17" t="s">
        <v>193</v>
      </c>
      <c r="N7" s="17" t="s">
        <v>194</v>
      </c>
      <c r="O7" s="17" t="s">
        <v>185</v>
      </c>
    </row>
    <row r="8" customFormat="false" ht="25.5" hidden="false" customHeight="true" outlineLevel="0" collapsed="false">
      <c r="A8" s="64" t="str">
        <f aca="false">01_Data!A26</f>
        <v>T01</v>
      </c>
      <c r="B8" s="64" t="n">
        <f aca="false">01_Data!B26</f>
        <v>2</v>
      </c>
      <c r="C8" s="65" t="n">
        <f aca="false">01_Data!C26</f>
        <v>55</v>
      </c>
      <c r="D8" s="66" t="n">
        <f aca="false">01_Data!F26</f>
        <v>-1.2</v>
      </c>
      <c r="E8" s="66" t="n">
        <f aca="false">01_Data!G26</f>
        <v>-1.33333333333333</v>
      </c>
      <c r="F8" s="66" t="n">
        <f aca="false">01_Data!D26</f>
        <v>0</v>
      </c>
      <c r="G8" s="67" t="str">
        <f aca="false">IF($E$4="","",$E$4)</f>
        <v/>
      </c>
      <c r="H8" s="67" t="str">
        <f aca="false">IF($H$4="","",$H$4*D8)</f>
        <v/>
      </c>
      <c r="I8" s="67" t="str">
        <f aca="false">IF($K$4="","",$K$4*E8)</f>
        <v/>
      </c>
      <c r="J8" s="67" t="str">
        <f aca="false">IF(COUNT(G8:I8)&lt;3,"",SUM(G8:I8))</f>
        <v/>
      </c>
      <c r="K8" s="67" t="str">
        <f aca="false">IF(J8="","",1/(1+EXP(-J8)))</f>
        <v/>
      </c>
      <c r="L8" s="68" t="str">
        <f aca="false">IF(K8="","",IF(K8&gt;=$B$4,1,0))</f>
        <v/>
      </c>
      <c r="M8" s="68" t="str">
        <f aca="false">IF(L8="","",IF(AND(F8=1,L8=1),"TP",IF(AND(F8=0,L8=1),"FP",IF(AND(F8=1,L8=0),"FN","TN"))))</f>
        <v/>
      </c>
      <c r="N8" s="68" t="str">
        <f aca="false">IF(L8="","",--(F8=L8))</f>
        <v/>
      </c>
      <c r="O8" s="69" t="n">
        <f aca="false">$B$4</f>
        <v>0.5</v>
      </c>
    </row>
    <row r="9" customFormat="false" ht="25.5" hidden="false" customHeight="true" outlineLevel="0" collapsed="false">
      <c r="A9" s="64" t="str">
        <f aca="false">01_Data!A27</f>
        <v>T02</v>
      </c>
      <c r="B9" s="64" t="n">
        <f aca="false">01_Data!B27</f>
        <v>3</v>
      </c>
      <c r="C9" s="65" t="n">
        <f aca="false">01_Data!C27</f>
        <v>75</v>
      </c>
      <c r="D9" s="66" t="n">
        <f aca="false">01_Data!F27</f>
        <v>-0.8</v>
      </c>
      <c r="E9" s="66" t="n">
        <f aca="false">01_Data!G27</f>
        <v>0</v>
      </c>
      <c r="F9" s="66" t="n">
        <f aca="false">01_Data!D27</f>
        <v>0</v>
      </c>
      <c r="G9" s="67" t="str">
        <f aca="false">IF($E$4="","",$E$4)</f>
        <v/>
      </c>
      <c r="H9" s="67" t="str">
        <f aca="false">IF($H$4="","",$H$4*D9)</f>
        <v/>
      </c>
      <c r="I9" s="67" t="str">
        <f aca="false">IF($K$4="","",$K$4*E9)</f>
        <v/>
      </c>
      <c r="J9" s="67" t="str">
        <f aca="false">IF(COUNT(G9:I9)&lt;3,"",SUM(G9:I9))</f>
        <v/>
      </c>
      <c r="K9" s="67" t="str">
        <f aca="false">IF(J9="","",1/(1+EXP(-J9)))</f>
        <v/>
      </c>
      <c r="L9" s="68" t="str">
        <f aca="false">IF(K9="","",IF(K9&gt;=$B$4,1,0))</f>
        <v/>
      </c>
      <c r="M9" s="68" t="str">
        <f aca="false">IF(L9="","",IF(AND(F9=1,L9=1),"TP",IF(AND(F9=0,L9=1),"FP",IF(AND(F9=1,L9=0),"FN","TN"))))</f>
        <v/>
      </c>
      <c r="N9" s="68" t="str">
        <f aca="false">IF(L9="","",--(F9=L9))</f>
        <v/>
      </c>
      <c r="O9" s="69" t="n">
        <f aca="false">$B$4</f>
        <v>0.5</v>
      </c>
    </row>
    <row r="10" customFormat="false" ht="25.5" hidden="false" customHeight="true" outlineLevel="0" collapsed="false">
      <c r="A10" s="64" t="str">
        <f aca="false">01_Data!A28</f>
        <v>T03</v>
      </c>
      <c r="B10" s="64" t="n">
        <f aca="false">01_Data!B28</f>
        <v>4</v>
      </c>
      <c r="C10" s="65" t="n">
        <f aca="false">01_Data!C28</f>
        <v>82</v>
      </c>
      <c r="D10" s="66" t="n">
        <f aca="false">01_Data!F28</f>
        <v>-0.4</v>
      </c>
      <c r="E10" s="66" t="n">
        <f aca="false">01_Data!G28</f>
        <v>0.466666666666667</v>
      </c>
      <c r="F10" s="66" t="n">
        <f aca="false">01_Data!D28</f>
        <v>1</v>
      </c>
      <c r="G10" s="67" t="str">
        <f aca="false">IF($E$4="","",$E$4)</f>
        <v/>
      </c>
      <c r="H10" s="67" t="str">
        <f aca="false">IF($H$4="","",$H$4*D10)</f>
        <v/>
      </c>
      <c r="I10" s="67" t="str">
        <f aca="false">IF($K$4="","",$K$4*E10)</f>
        <v/>
      </c>
      <c r="J10" s="67" t="str">
        <f aca="false">IF(COUNT(G10:I10)&lt;3,"",SUM(G10:I10))</f>
        <v/>
      </c>
      <c r="K10" s="67" t="str">
        <f aca="false">IF(J10="","",1/(1+EXP(-J10)))</f>
        <v/>
      </c>
      <c r="L10" s="68" t="str">
        <f aca="false">IF(K10="","",IF(K10&gt;=$B$4,1,0))</f>
        <v/>
      </c>
      <c r="M10" s="68" t="str">
        <f aca="false">IF(L10="","",IF(AND(F10=1,L10=1),"TP",IF(AND(F10=0,L10=1),"FP",IF(AND(F10=1,L10=0),"FN","TN"))))</f>
        <v/>
      </c>
      <c r="N10" s="68" t="str">
        <f aca="false">IF(L10="","",--(F10=L10))</f>
        <v/>
      </c>
      <c r="O10" s="69" t="n">
        <f aca="false">$B$4</f>
        <v>0.5</v>
      </c>
    </row>
    <row r="11" customFormat="false" ht="25.5" hidden="false" customHeight="true" outlineLevel="0" collapsed="false">
      <c r="A11" s="64" t="str">
        <f aca="false">01_Data!A29</f>
        <v>T04</v>
      </c>
      <c r="B11" s="64" t="n">
        <f aca="false">01_Data!B29</f>
        <v>5</v>
      </c>
      <c r="C11" s="65" t="n">
        <f aca="false">01_Data!C29</f>
        <v>65</v>
      </c>
      <c r="D11" s="66" t="n">
        <f aca="false">01_Data!F29</f>
        <v>0</v>
      </c>
      <c r="E11" s="66" t="n">
        <f aca="false">01_Data!G29</f>
        <v>-0.666666666666667</v>
      </c>
      <c r="F11" s="66" t="n">
        <f aca="false">01_Data!D29</f>
        <v>0</v>
      </c>
      <c r="G11" s="67" t="str">
        <f aca="false">IF($E$4="","",$E$4)</f>
        <v/>
      </c>
      <c r="H11" s="67" t="str">
        <f aca="false">IF($H$4="","",$H$4*D11)</f>
        <v/>
      </c>
      <c r="I11" s="67" t="str">
        <f aca="false">IF($K$4="","",$K$4*E11)</f>
        <v/>
      </c>
      <c r="J11" s="67" t="str">
        <f aca="false">IF(COUNT(G11:I11)&lt;3,"",SUM(G11:I11))</f>
        <v/>
      </c>
      <c r="K11" s="67" t="str">
        <f aca="false">IF(J11="","",1/(1+EXP(-J11)))</f>
        <v/>
      </c>
      <c r="L11" s="68" t="str">
        <f aca="false">IF(K11="","",IF(K11&gt;=$B$4,1,0))</f>
        <v/>
      </c>
      <c r="M11" s="68" t="str">
        <f aca="false">IF(L11="","",IF(AND(F11=1,L11=1),"TP",IF(AND(F11=0,L11=1),"FP",IF(AND(F11=1,L11=0),"FN","TN"))))</f>
        <v/>
      </c>
      <c r="N11" s="68" t="str">
        <f aca="false">IF(L11="","",--(F11=L11))</f>
        <v/>
      </c>
      <c r="O11" s="69" t="n">
        <f aca="false">$B$4</f>
        <v>0.5</v>
      </c>
    </row>
    <row r="12" customFormat="false" ht="25.5" hidden="false" customHeight="true" outlineLevel="0" collapsed="false">
      <c r="A12" s="64" t="str">
        <f aca="false">01_Data!A30</f>
        <v>T05</v>
      </c>
      <c r="B12" s="64" t="n">
        <f aca="false">01_Data!B30</f>
        <v>5</v>
      </c>
      <c r="C12" s="65" t="n">
        <f aca="false">01_Data!C30</f>
        <v>90</v>
      </c>
      <c r="D12" s="66" t="n">
        <f aca="false">01_Data!F30</f>
        <v>0</v>
      </c>
      <c r="E12" s="66" t="n">
        <f aca="false">01_Data!G30</f>
        <v>1</v>
      </c>
      <c r="F12" s="66" t="n">
        <f aca="false">01_Data!D30</f>
        <v>1</v>
      </c>
      <c r="G12" s="67" t="str">
        <f aca="false">IF($E$4="","",$E$4)</f>
        <v/>
      </c>
      <c r="H12" s="67" t="str">
        <f aca="false">IF($H$4="","",$H$4*D12)</f>
        <v/>
      </c>
      <c r="I12" s="67" t="str">
        <f aca="false">IF($K$4="","",$K$4*E12)</f>
        <v/>
      </c>
      <c r="J12" s="67" t="str">
        <f aca="false">IF(COUNT(G12:I12)&lt;3,"",SUM(G12:I12))</f>
        <v/>
      </c>
      <c r="K12" s="67" t="str">
        <f aca="false">IF(J12="","",1/(1+EXP(-J12)))</f>
        <v/>
      </c>
      <c r="L12" s="68" t="str">
        <f aca="false">IF(K12="","",IF(K12&gt;=$B$4,1,0))</f>
        <v/>
      </c>
      <c r="M12" s="68" t="str">
        <f aca="false">IF(L12="","",IF(AND(F12=1,L12=1),"TP",IF(AND(F12=0,L12=1),"FP",IF(AND(F12=1,L12=0),"FN","TN"))))</f>
        <v/>
      </c>
      <c r="N12" s="68" t="str">
        <f aca="false">IF(L12="","",--(F12=L12))</f>
        <v/>
      </c>
      <c r="O12" s="69" t="n">
        <f aca="false">$B$4</f>
        <v>0.5</v>
      </c>
    </row>
    <row r="13" customFormat="false" ht="25.5" hidden="false" customHeight="true" outlineLevel="0" collapsed="false">
      <c r="A13" s="64" t="str">
        <f aca="false">01_Data!A31</f>
        <v>T06</v>
      </c>
      <c r="B13" s="64" t="n">
        <f aca="false">01_Data!B31</f>
        <v>6</v>
      </c>
      <c r="C13" s="65" t="n">
        <f aca="false">01_Data!C31</f>
        <v>72</v>
      </c>
      <c r="D13" s="66" t="n">
        <f aca="false">01_Data!F31</f>
        <v>0.4</v>
      </c>
      <c r="E13" s="66" t="n">
        <f aca="false">01_Data!G31</f>
        <v>-0.2</v>
      </c>
      <c r="F13" s="66" t="n">
        <f aca="false">01_Data!D31</f>
        <v>1</v>
      </c>
      <c r="G13" s="67" t="str">
        <f aca="false">IF($E$4="","",$E$4)</f>
        <v/>
      </c>
      <c r="H13" s="67" t="str">
        <f aca="false">IF($H$4="","",$H$4*D13)</f>
        <v/>
      </c>
      <c r="I13" s="67" t="str">
        <f aca="false">IF($K$4="","",$K$4*E13)</f>
        <v/>
      </c>
      <c r="J13" s="67" t="str">
        <f aca="false">IF(COUNT(G13:I13)&lt;3,"",SUM(G13:I13))</f>
        <v/>
      </c>
      <c r="K13" s="67" t="str">
        <f aca="false">IF(J13="","",1/(1+EXP(-J13)))</f>
        <v/>
      </c>
      <c r="L13" s="68" t="str">
        <f aca="false">IF(K13="","",IF(K13&gt;=$B$4,1,0))</f>
        <v/>
      </c>
      <c r="M13" s="68" t="str">
        <f aca="false">IF(L13="","",IF(AND(F13=1,L13=1),"TP",IF(AND(F13=0,L13=1),"FP",IF(AND(F13=1,L13=0),"FN","TN"))))</f>
        <v/>
      </c>
      <c r="N13" s="68" t="str">
        <f aca="false">IF(L13="","",--(F13=L13))</f>
        <v/>
      </c>
      <c r="O13" s="69" t="n">
        <f aca="false">$B$4</f>
        <v>0.5</v>
      </c>
    </row>
    <row r="14" customFormat="false" ht="25.5" hidden="false" customHeight="true" outlineLevel="0" collapsed="false">
      <c r="A14" s="64" t="str">
        <f aca="false">01_Data!A32</f>
        <v>T07</v>
      </c>
      <c r="B14" s="64" t="n">
        <f aca="false">01_Data!B32</f>
        <v>7</v>
      </c>
      <c r="C14" s="65" t="n">
        <f aca="false">01_Data!C32</f>
        <v>60</v>
      </c>
      <c r="D14" s="66" t="n">
        <f aca="false">01_Data!F32</f>
        <v>0.8</v>
      </c>
      <c r="E14" s="66" t="n">
        <f aca="false">01_Data!G32</f>
        <v>-1</v>
      </c>
      <c r="F14" s="66" t="n">
        <f aca="false">01_Data!D32</f>
        <v>0</v>
      </c>
      <c r="G14" s="67" t="str">
        <f aca="false">IF($E$4="","",$E$4)</f>
        <v/>
      </c>
      <c r="H14" s="67" t="str">
        <f aca="false">IF($H$4="","",$H$4*D14)</f>
        <v/>
      </c>
      <c r="I14" s="67" t="str">
        <f aca="false">IF($K$4="","",$K$4*E14)</f>
        <v/>
      </c>
      <c r="J14" s="67" t="str">
        <f aca="false">IF(COUNT(G14:I14)&lt;3,"",SUM(G14:I14))</f>
        <v/>
      </c>
      <c r="K14" s="67" t="str">
        <f aca="false">IF(J14="","",1/(1+EXP(-J14)))</f>
        <v/>
      </c>
      <c r="L14" s="68" t="str">
        <f aca="false">IF(K14="","",IF(K14&gt;=$B$4,1,0))</f>
        <v/>
      </c>
      <c r="M14" s="68" t="str">
        <f aca="false">IF(L14="","",IF(AND(F14=1,L14=1),"TP",IF(AND(F14=0,L14=1),"FP",IF(AND(F14=1,L14=0),"FN","TN"))))</f>
        <v/>
      </c>
      <c r="N14" s="68" t="str">
        <f aca="false">IF(L14="","",--(F14=L14))</f>
        <v/>
      </c>
      <c r="O14" s="69" t="n">
        <f aca="false">$B$4</f>
        <v>0.5</v>
      </c>
    </row>
    <row r="15" customFormat="false" ht="25.5" hidden="false" customHeight="true" outlineLevel="0" collapsed="false">
      <c r="A15" s="64" t="str">
        <f aca="false">01_Data!A33</f>
        <v>T08</v>
      </c>
      <c r="B15" s="64" t="n">
        <f aca="false">01_Data!B33</f>
        <v>2.5</v>
      </c>
      <c r="C15" s="65" t="n">
        <f aca="false">01_Data!C33</f>
        <v>95</v>
      </c>
      <c r="D15" s="66" t="n">
        <f aca="false">01_Data!F33</f>
        <v>-1</v>
      </c>
      <c r="E15" s="66" t="n">
        <f aca="false">01_Data!G33</f>
        <v>1.33333333333333</v>
      </c>
      <c r="F15" s="66" t="n">
        <f aca="false">01_Data!D33</f>
        <v>1</v>
      </c>
      <c r="G15" s="67" t="str">
        <f aca="false">IF($E$4="","",$E$4)</f>
        <v/>
      </c>
      <c r="H15" s="67" t="str">
        <f aca="false">IF($H$4="","",$H$4*D15)</f>
        <v/>
      </c>
      <c r="I15" s="67" t="str">
        <f aca="false">IF($K$4="","",$K$4*E15)</f>
        <v/>
      </c>
      <c r="J15" s="67" t="str">
        <f aca="false">IF(COUNT(G15:I15)&lt;3,"",SUM(G15:I15))</f>
        <v/>
      </c>
      <c r="K15" s="67" t="str">
        <f aca="false">IF(J15="","",1/(1+EXP(-J15)))</f>
        <v/>
      </c>
      <c r="L15" s="68" t="str">
        <f aca="false">IF(K15="","",IF(K15&gt;=$B$4,1,0))</f>
        <v/>
      </c>
      <c r="M15" s="68" t="str">
        <f aca="false">IF(L15="","",IF(AND(F15=1,L15=1),"TP",IF(AND(F15=0,L15=1),"FP",IF(AND(F15=1,L15=0),"FN","TN"))))</f>
        <v/>
      </c>
      <c r="N15" s="68" t="str">
        <f aca="false">IF(L15="","",--(F15=L15))</f>
        <v/>
      </c>
      <c r="O15" s="69" t="n">
        <f aca="false">$B$4</f>
        <v>0.5</v>
      </c>
    </row>
    <row r="16" customFormat="false" ht="25.5" hidden="false" customHeight="true" outlineLevel="0" collapsed="false">
      <c r="A16" s="64" t="str">
        <f aca="false">01_Data!A34</f>
        <v>T09</v>
      </c>
      <c r="B16" s="64" t="n">
        <f aca="false">01_Data!B34</f>
        <v>8</v>
      </c>
      <c r="C16" s="65" t="n">
        <f aca="false">01_Data!C34</f>
        <v>80</v>
      </c>
      <c r="D16" s="66" t="n">
        <f aca="false">01_Data!F34</f>
        <v>1.2</v>
      </c>
      <c r="E16" s="66" t="n">
        <f aca="false">01_Data!G34</f>
        <v>0.333333333333333</v>
      </c>
      <c r="F16" s="66" t="n">
        <f aca="false">01_Data!D34</f>
        <v>1</v>
      </c>
      <c r="G16" s="67" t="str">
        <f aca="false">IF($E$4="","",$E$4)</f>
        <v/>
      </c>
      <c r="H16" s="67" t="str">
        <f aca="false">IF($H$4="","",$H$4*D16)</f>
        <v/>
      </c>
      <c r="I16" s="67" t="str">
        <f aca="false">IF($K$4="","",$K$4*E16)</f>
        <v/>
      </c>
      <c r="J16" s="67" t="str">
        <f aca="false">IF(COUNT(G16:I16)&lt;3,"",SUM(G16:I16))</f>
        <v/>
      </c>
      <c r="K16" s="67" t="str">
        <f aca="false">IF(J16="","",1/(1+EXP(-J16)))</f>
        <v/>
      </c>
      <c r="L16" s="68" t="str">
        <f aca="false">IF(K16="","",IF(K16&gt;=$B$4,1,0))</f>
        <v/>
      </c>
      <c r="M16" s="68" t="str">
        <f aca="false">IF(L16="","",IF(AND(F16=1,L16=1),"TP",IF(AND(F16=0,L16=1),"FP",IF(AND(F16=1,L16=0),"FN","TN"))))</f>
        <v/>
      </c>
      <c r="N16" s="68" t="str">
        <f aca="false">IF(L16="","",--(F16=L16))</f>
        <v/>
      </c>
      <c r="O16" s="69" t="n">
        <f aca="false">$B$4</f>
        <v>0.5</v>
      </c>
    </row>
    <row r="17" customFormat="false" ht="25.5" hidden="false" customHeight="true" outlineLevel="0" collapsed="false">
      <c r="A17" s="64" t="str">
        <f aca="false">01_Data!A35</f>
        <v>T10</v>
      </c>
      <c r="B17" s="64" t="n">
        <f aca="false">01_Data!B35</f>
        <v>4.5</v>
      </c>
      <c r="C17" s="65" t="n">
        <f aca="false">01_Data!C35</f>
        <v>70</v>
      </c>
      <c r="D17" s="66" t="n">
        <f aca="false">01_Data!F35</f>
        <v>-0.2</v>
      </c>
      <c r="E17" s="66" t="n">
        <f aca="false">01_Data!G35</f>
        <v>-0.333333333333333</v>
      </c>
      <c r="F17" s="66" t="n">
        <f aca="false">01_Data!D35</f>
        <v>1</v>
      </c>
      <c r="G17" s="67" t="str">
        <f aca="false">IF($E$4="","",$E$4)</f>
        <v/>
      </c>
      <c r="H17" s="67" t="str">
        <f aca="false">IF($H$4="","",$H$4*D17)</f>
        <v/>
      </c>
      <c r="I17" s="67" t="str">
        <f aca="false">IF($K$4="","",$K$4*E17)</f>
        <v/>
      </c>
      <c r="J17" s="67" t="str">
        <f aca="false">IF(COUNT(G17:I17)&lt;3,"",SUM(G17:I17))</f>
        <v/>
      </c>
      <c r="K17" s="67" t="str">
        <f aca="false">IF(J17="","",1/(1+EXP(-J17)))</f>
        <v/>
      </c>
      <c r="L17" s="68" t="str">
        <f aca="false">IF(K17="","",IF(K17&gt;=$B$4,1,0))</f>
        <v/>
      </c>
      <c r="M17" s="68" t="str">
        <f aca="false">IF(L17="","",IF(AND(F17=1,L17=1),"TP",IF(AND(F17=0,L17=1),"FP",IF(AND(F17=1,L17=0),"FN","TN"))))</f>
        <v/>
      </c>
      <c r="N17" s="68" t="str">
        <f aca="false">IF(L17="","",--(F17=L17))</f>
        <v/>
      </c>
      <c r="O17" s="69" t="n">
        <f aca="false">$B$4</f>
        <v>0.5</v>
      </c>
    </row>
    <row r="20" customFormat="false" ht="24.75" hidden="false" customHeight="true" outlineLevel="0" collapsed="false">
      <c r="A20" s="70" t="s">
        <v>195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customFormat="false" ht="24.75" hidden="false" customHeight="true" outlineLevel="0" collapsed="false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</sheetData>
  <autoFilter ref="A7:O17"/>
  <mergeCells count="3">
    <mergeCell ref="A1:W1"/>
    <mergeCell ref="A2:W2"/>
    <mergeCell ref="A20:O21"/>
  </mergeCells>
  <conditionalFormatting sqref="M8:M17">
    <cfRule type="expression" priority="2" aboveAverage="0" equalAverage="0" bottom="0" percent="0" rank="0" text="" dxfId="13">
      <formula>$M8="TP"</formula>
    </cfRule>
    <cfRule type="expression" priority="3" aboveAverage="0" equalAverage="0" bottom="0" percent="0" rank="0" text="" dxfId="13">
      <formula>$M8="TN"</formula>
    </cfRule>
    <cfRule type="expression" priority="4" aboveAverage="0" equalAverage="0" bottom="0" percent="0" rank="0" text="" dxfId="14">
      <formula>$M8="FP"</formula>
    </cfRule>
    <cfRule type="expression" priority="5" aboveAverage="0" equalAverage="0" bottom="0" percent="0" rank="0" text="" dxfId="14">
      <formula>$M8="FN"</formula>
    </cfRule>
  </conditionalFormatting>
  <conditionalFormatting sqref="N8:N17">
    <cfRule type="cellIs" priority="6" operator="equal" aboveAverage="0" equalAverage="0" bottom="0" percent="0" rank="0" text="" dxfId="9">
      <formula>1</formula>
    </cfRule>
    <cfRule type="cellIs" priority="7" operator="equal" aboveAverage="0" equalAverage="0" bottom="0" percent="0" rank="0" text="" dxfId="15">
      <formula>0</formula>
    </cfRule>
  </conditionalFormatting>
  <dataValidations count="1">
    <dataValidation allowBlank="false" error="Threshold ต้องอยู่ระหว่าง 0 และ 1" errorStyle="stop" operator="between" prompt="กรอกค่าระหว่าง 0 และ 1" promptTitle="Threshold" showDropDown="false" showErrorMessage="true" showInputMessage="false" sqref="B4" type="decimal">
      <formula1>0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20"/>
    <col collapsed="false" customWidth="true" hidden="false" outlineLevel="0" max="9" min="8" style="0" width="25"/>
    <col collapsed="false" customWidth="true" hidden="false" outlineLevel="0" max="10" min="10" style="0" width="4"/>
  </cols>
  <sheetData>
    <row r="1" customFormat="false" ht="33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8" t="s">
        <v>198</v>
      </c>
      <c r="C4" s="71" t="n">
        <f aca="false">04_Test_Prediction!B4</f>
        <v>0.5</v>
      </c>
    </row>
    <row r="6" customFormat="false" ht="22.5" hidden="false" customHeight="true" outlineLevel="0" collapsed="false">
      <c r="B6" s="3" t="s">
        <v>199</v>
      </c>
      <c r="C6" s="3"/>
      <c r="D6" s="3"/>
      <c r="E6" s="3"/>
    </row>
    <row r="7" customFormat="false" ht="15" hidden="false" customHeight="false" outlineLevel="0" collapsed="false">
      <c r="B7" s="72" t="s">
        <v>200</v>
      </c>
      <c r="C7" s="72" t="s">
        <v>201</v>
      </c>
      <c r="D7" s="72" t="s">
        <v>202</v>
      </c>
      <c r="E7" s="72" t="s">
        <v>203</v>
      </c>
      <c r="G7" s="73" t="s">
        <v>204</v>
      </c>
      <c r="H7" s="73" t="s">
        <v>205</v>
      </c>
    </row>
    <row r="8" customFormat="false" ht="15" hidden="false" customHeight="false" outlineLevel="0" collapsed="false">
      <c r="B8" s="72" t="s">
        <v>206</v>
      </c>
      <c r="C8" s="74" t="n">
        <f aca="false">COUNTIFS(04_Test_Prediction!$F$8:$F$17,1,04_Test_Prediction!$L$8:$L$17,1)</f>
        <v>0</v>
      </c>
      <c r="D8" s="75" t="n">
        <f aca="false">COUNTIFS(04_Test_Prediction!$F$8:$F$17,1,04_Test_Prediction!$L$8:$L$17,0)</f>
        <v>0</v>
      </c>
      <c r="E8" s="76" t="n">
        <f aca="false">SUM(C8:D8)</f>
        <v>0</v>
      </c>
      <c r="G8" s="77" t="s">
        <v>207</v>
      </c>
      <c r="H8" s="78" t="s">
        <v>208</v>
      </c>
    </row>
    <row r="9" customFormat="false" ht="15" hidden="false" customHeight="false" outlineLevel="0" collapsed="false">
      <c r="B9" s="72" t="s">
        <v>209</v>
      </c>
      <c r="C9" s="75" t="n">
        <f aca="false">COUNTIFS(04_Test_Prediction!$F$8:$F$17,0,04_Test_Prediction!$L$8:$L$17,1)</f>
        <v>0</v>
      </c>
      <c r="D9" s="74" t="n">
        <f aca="false">COUNTIFS(04_Test_Prediction!$F$8:$F$17,0,04_Test_Prediction!$L$8:$L$17,0)</f>
        <v>0</v>
      </c>
      <c r="E9" s="76" t="n">
        <f aca="false">SUM(C9:D9)</f>
        <v>0</v>
      </c>
      <c r="G9" s="77" t="s">
        <v>210</v>
      </c>
      <c r="H9" s="78" t="s">
        <v>211</v>
      </c>
    </row>
    <row r="10" customFormat="false" ht="15" hidden="false" customHeight="false" outlineLevel="0" collapsed="false">
      <c r="B10" s="72" t="s">
        <v>212</v>
      </c>
      <c r="C10" s="76" t="n">
        <f aca="false">SUM(C8:C9)</f>
        <v>0</v>
      </c>
      <c r="D10" s="76" t="n">
        <f aca="false">SUM(D8:D9)</f>
        <v>0</v>
      </c>
      <c r="E10" s="76" t="n">
        <f aca="false">SUM(C8:D9)</f>
        <v>0</v>
      </c>
      <c r="G10" s="77" t="s">
        <v>213</v>
      </c>
      <c r="H10" s="78" t="s">
        <v>214</v>
      </c>
    </row>
    <row r="11" customFormat="false" ht="22.35" hidden="false" customHeight="false" outlineLevel="0" collapsed="false">
      <c r="G11" s="77" t="s">
        <v>215</v>
      </c>
      <c r="H11" s="78" t="s">
        <v>216</v>
      </c>
    </row>
    <row r="13" customFormat="false" ht="22.5" hidden="false" customHeight="true" outlineLevel="0" collapsed="false">
      <c r="B13" s="16" t="s">
        <v>217</v>
      </c>
      <c r="C13" s="16"/>
      <c r="D13" s="16"/>
      <c r="E13" s="16"/>
      <c r="F13" s="16"/>
      <c r="G13" s="16"/>
      <c r="H13" s="16"/>
      <c r="I13" s="16"/>
    </row>
    <row r="14" customFormat="false" ht="33.75" hidden="false" customHeight="true" outlineLevel="0" collapsed="false">
      <c r="B14" s="17" t="s">
        <v>218</v>
      </c>
      <c r="C14" s="17" t="s">
        <v>219</v>
      </c>
      <c r="D14" s="17" t="s">
        <v>220</v>
      </c>
      <c r="E14" s="17"/>
      <c r="F14" s="17"/>
      <c r="G14" s="17" t="s">
        <v>221</v>
      </c>
      <c r="H14" s="17"/>
      <c r="I14" s="17"/>
    </row>
    <row r="15" customFormat="false" ht="33.75" hidden="false" customHeight="true" outlineLevel="0" collapsed="false">
      <c r="B15" s="79" t="s">
        <v>222</v>
      </c>
      <c r="C15" s="80" t="n">
        <f aca="false">IFERROR((C8+D9)/SUM(C8:D9),0)</f>
        <v>0</v>
      </c>
      <c r="D15" s="81" t="s">
        <v>223</v>
      </c>
      <c r="E15" s="81"/>
      <c r="F15" s="81"/>
      <c r="G15" s="81" t="s">
        <v>224</v>
      </c>
      <c r="H15" s="81"/>
      <c r="I15" s="81"/>
    </row>
    <row r="16" customFormat="false" ht="33.75" hidden="false" customHeight="true" outlineLevel="0" collapsed="false">
      <c r="B16" s="82" t="s">
        <v>225</v>
      </c>
      <c r="C16" s="83" t="n">
        <f aca="false">IFERROR(C8/(C8+C9),0)</f>
        <v>0</v>
      </c>
      <c r="D16" s="84" t="s">
        <v>226</v>
      </c>
      <c r="E16" s="84"/>
      <c r="F16" s="84"/>
      <c r="G16" s="84" t="s">
        <v>227</v>
      </c>
      <c r="H16" s="84"/>
      <c r="I16" s="84"/>
    </row>
    <row r="17" customFormat="false" ht="33.75" hidden="false" customHeight="true" outlineLevel="0" collapsed="false">
      <c r="B17" s="79" t="s">
        <v>228</v>
      </c>
      <c r="C17" s="80" t="n">
        <f aca="false">IFERROR(C8/(C8+D8),0)</f>
        <v>0</v>
      </c>
      <c r="D17" s="81" t="s">
        <v>229</v>
      </c>
      <c r="E17" s="81"/>
      <c r="F17" s="81"/>
      <c r="G17" s="81" t="s">
        <v>230</v>
      </c>
      <c r="H17" s="81"/>
      <c r="I17" s="81"/>
    </row>
    <row r="18" customFormat="false" ht="33.75" hidden="false" customHeight="true" outlineLevel="0" collapsed="false">
      <c r="B18" s="82" t="s">
        <v>231</v>
      </c>
      <c r="C18" s="83" t="n">
        <f aca="false">IFERROR(2*C16*C17/(C16+C17),0)</f>
        <v>0</v>
      </c>
      <c r="D18" s="84" t="s">
        <v>232</v>
      </c>
      <c r="E18" s="84"/>
      <c r="F18" s="84"/>
      <c r="G18" s="84" t="s">
        <v>233</v>
      </c>
      <c r="H18" s="84"/>
      <c r="I18" s="84"/>
    </row>
    <row r="19" customFormat="false" ht="33.75" hidden="false" customHeight="true" outlineLevel="0" collapsed="false">
      <c r="B19" s="79" t="s">
        <v>234</v>
      </c>
      <c r="C19" s="80" t="n">
        <f aca="false">1-C15</f>
        <v>1</v>
      </c>
      <c r="D19" s="81" t="s">
        <v>235</v>
      </c>
      <c r="E19" s="81"/>
      <c r="F19" s="81"/>
      <c r="G19" s="81" t="s">
        <v>236</v>
      </c>
      <c r="H19" s="81"/>
      <c r="I19" s="81"/>
    </row>
    <row r="21" customFormat="false" ht="24.75" hidden="false" customHeight="true" outlineLevel="0" collapsed="false">
      <c r="B21" s="85" t="str">
        <f aca="false">"ที่ threshold "&amp;TEXT(C4,"0.00")&amp;" → Accuracy "&amp;TEXT(C15,"0.0%")&amp;" | Precision "&amp;TEXT(C16,"0.0%")&amp;" | Recall "&amp;TEXT(C17,"0.0%")&amp;" | F1 "&amp;TEXT(C18,"0.0%")</f>
        <v>ที่ threshold 0.50 → Accuracy 0.0% | Precision 0.0% | Recall 0.0% | F1 0.0%</v>
      </c>
      <c r="C21" s="85"/>
      <c r="D21" s="85"/>
      <c r="E21" s="85"/>
      <c r="F21" s="85"/>
      <c r="G21" s="85"/>
      <c r="H21" s="85"/>
      <c r="I21" s="85"/>
    </row>
    <row r="22" customFormat="false" ht="24.75" hidden="false" customHeight="true" outlineLevel="0" collapsed="false">
      <c r="B22" s="85"/>
      <c r="C22" s="85"/>
      <c r="D22" s="85"/>
      <c r="E22" s="85"/>
      <c r="F22" s="85"/>
      <c r="G22" s="85"/>
      <c r="H22" s="85"/>
      <c r="I22" s="85"/>
    </row>
  </sheetData>
  <mergeCells count="17">
    <mergeCell ref="A1:J1"/>
    <mergeCell ref="A2:J2"/>
    <mergeCell ref="B6:E6"/>
    <mergeCell ref="B13:I13"/>
    <mergeCell ref="D14:F14"/>
    <mergeCell ref="G14:I14"/>
    <mergeCell ref="D15:F15"/>
    <mergeCell ref="G15:I15"/>
    <mergeCell ref="D16:F16"/>
    <mergeCell ref="G16:I16"/>
    <mergeCell ref="D17:F17"/>
    <mergeCell ref="G17:I17"/>
    <mergeCell ref="D18:F18"/>
    <mergeCell ref="G18:I18"/>
    <mergeCell ref="D19:F19"/>
    <mergeCell ref="G19:I19"/>
    <mergeCell ref="B21:I2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7"/>
    <col collapsed="false" customWidth="true" hidden="false" outlineLevel="0" max="6" min="4" style="0" width="20"/>
    <col collapsed="false" customWidth="true" hidden="false" outlineLevel="0" max="10" min="7" style="0" width="21"/>
  </cols>
  <sheetData>
    <row r="1" customFormat="false" ht="33.75" hidden="false" customHeight="true" outlineLevel="0" collapsed="false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238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.75" hidden="false" customHeight="true" outlineLevel="0" collapsed="false">
      <c r="A4" s="70" t="s">
        <v>239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24.75" hidden="false" customHeight="true" outlineLevel="0" collapsed="false">
      <c r="A5" s="70"/>
      <c r="B5" s="70"/>
      <c r="C5" s="70"/>
      <c r="D5" s="70"/>
      <c r="E5" s="70"/>
      <c r="F5" s="70"/>
      <c r="G5" s="70"/>
      <c r="H5" s="70"/>
      <c r="I5" s="70"/>
      <c r="J5" s="70"/>
    </row>
    <row r="7" customFormat="false" ht="22.5" hidden="false" customHeight="true" outlineLevel="0" collapsed="false">
      <c r="A7" s="3" t="s">
        <v>240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33.75" hidden="false" customHeight="true" outlineLevel="0" collapsed="false">
      <c r="A8" s="17" t="s">
        <v>241</v>
      </c>
      <c r="B8" s="17" t="s">
        <v>242</v>
      </c>
      <c r="C8" s="17"/>
      <c r="D8" s="17" t="s">
        <v>205</v>
      </c>
      <c r="E8" s="17"/>
      <c r="F8" s="17"/>
      <c r="G8" s="17" t="s">
        <v>243</v>
      </c>
      <c r="H8" s="17"/>
      <c r="I8" s="17"/>
      <c r="J8" s="17"/>
    </row>
    <row r="9" customFormat="false" ht="51.75" hidden="false" customHeight="true" outlineLevel="0" collapsed="false">
      <c r="A9" s="86" t="s">
        <v>244</v>
      </c>
      <c r="B9" s="87" t="s">
        <v>245</v>
      </c>
      <c r="C9" s="87"/>
      <c r="D9" s="88" t="s">
        <v>246</v>
      </c>
      <c r="E9" s="88"/>
      <c r="F9" s="88"/>
      <c r="G9" s="88" t="s">
        <v>247</v>
      </c>
      <c r="H9" s="88"/>
      <c r="I9" s="88"/>
      <c r="J9" s="88"/>
    </row>
    <row r="10" customFormat="false" ht="51.75" hidden="false" customHeight="true" outlineLevel="0" collapsed="false">
      <c r="A10" s="89" t="s">
        <v>248</v>
      </c>
      <c r="B10" s="90" t="s">
        <v>249</v>
      </c>
      <c r="C10" s="90"/>
      <c r="D10" s="91" t="s">
        <v>250</v>
      </c>
      <c r="E10" s="91"/>
      <c r="F10" s="91"/>
      <c r="G10" s="91" t="s">
        <v>251</v>
      </c>
      <c r="H10" s="91"/>
      <c r="I10" s="91"/>
      <c r="J10" s="91"/>
    </row>
    <row r="11" customFormat="false" ht="51.75" hidden="false" customHeight="true" outlineLevel="0" collapsed="false">
      <c r="A11" s="86" t="s">
        <v>252</v>
      </c>
      <c r="B11" s="87" t="s">
        <v>253</v>
      </c>
      <c r="C11" s="87"/>
      <c r="D11" s="88" t="s">
        <v>254</v>
      </c>
      <c r="E11" s="88"/>
      <c r="F11" s="88"/>
      <c r="G11" s="88" t="s">
        <v>255</v>
      </c>
      <c r="H11" s="88"/>
      <c r="I11" s="88"/>
      <c r="J11" s="88"/>
    </row>
    <row r="12" customFormat="false" ht="51.75" hidden="false" customHeight="true" outlineLevel="0" collapsed="false">
      <c r="A12" s="89" t="s">
        <v>256</v>
      </c>
      <c r="B12" s="90" t="s">
        <v>257</v>
      </c>
      <c r="C12" s="90"/>
      <c r="D12" s="91" t="s">
        <v>258</v>
      </c>
      <c r="E12" s="91"/>
      <c r="F12" s="91"/>
      <c r="G12" s="91" t="s">
        <v>259</v>
      </c>
      <c r="H12" s="91"/>
      <c r="I12" s="91"/>
      <c r="J12" s="91"/>
    </row>
    <row r="13" customFormat="false" ht="51.75" hidden="false" customHeight="true" outlineLevel="0" collapsed="false">
      <c r="A13" s="86" t="s">
        <v>260</v>
      </c>
      <c r="B13" s="87" t="s">
        <v>261</v>
      </c>
      <c r="C13" s="87"/>
      <c r="D13" s="88" t="s">
        <v>262</v>
      </c>
      <c r="E13" s="88"/>
      <c r="F13" s="88"/>
      <c r="G13" s="88" t="s">
        <v>263</v>
      </c>
      <c r="H13" s="88"/>
      <c r="I13" s="88"/>
      <c r="J13" s="88"/>
    </row>
    <row r="14" customFormat="false" ht="51.75" hidden="false" customHeight="true" outlineLevel="0" collapsed="false">
      <c r="A14" s="89" t="s">
        <v>264</v>
      </c>
      <c r="B14" s="90" t="s">
        <v>25</v>
      </c>
      <c r="C14" s="90"/>
      <c r="D14" s="91" t="s">
        <v>265</v>
      </c>
      <c r="E14" s="91"/>
      <c r="F14" s="91"/>
      <c r="G14" s="91" t="s">
        <v>266</v>
      </c>
      <c r="H14" s="91"/>
      <c r="I14" s="91"/>
      <c r="J14" s="91"/>
    </row>
    <row r="15" customFormat="false" ht="51.75" hidden="false" customHeight="true" outlineLevel="0" collapsed="false">
      <c r="A15" s="86" t="s">
        <v>267</v>
      </c>
      <c r="B15" s="87" t="s">
        <v>33</v>
      </c>
      <c r="C15" s="87"/>
      <c r="D15" s="88" t="s">
        <v>268</v>
      </c>
      <c r="E15" s="88"/>
      <c r="F15" s="88"/>
      <c r="G15" s="88" t="s">
        <v>269</v>
      </c>
      <c r="H15" s="88"/>
      <c r="I15" s="88"/>
      <c r="J15" s="88"/>
    </row>
    <row r="16" customFormat="false" ht="51.75" hidden="false" customHeight="true" outlineLevel="0" collapsed="false">
      <c r="A16" s="89" t="s">
        <v>270</v>
      </c>
      <c r="B16" s="90" t="s">
        <v>29</v>
      </c>
      <c r="C16" s="90"/>
      <c r="D16" s="91" t="s">
        <v>271</v>
      </c>
      <c r="E16" s="91"/>
      <c r="F16" s="91"/>
      <c r="G16" s="91" t="s">
        <v>272</v>
      </c>
      <c r="H16" s="91"/>
      <c r="I16" s="91"/>
      <c r="J16" s="91"/>
    </row>
    <row r="17" customFormat="false" ht="51.75" hidden="false" customHeight="true" outlineLevel="0" collapsed="false">
      <c r="A17" s="86" t="s">
        <v>273</v>
      </c>
      <c r="B17" s="87" t="s">
        <v>274</v>
      </c>
      <c r="C17" s="87"/>
      <c r="D17" s="88" t="s">
        <v>275</v>
      </c>
      <c r="E17" s="88"/>
      <c r="F17" s="88"/>
      <c r="G17" s="88" t="s">
        <v>276</v>
      </c>
      <c r="H17" s="88"/>
      <c r="I17" s="88"/>
      <c r="J17" s="88"/>
    </row>
    <row r="18" customFormat="false" ht="51.75" hidden="false" customHeight="true" outlineLevel="0" collapsed="false">
      <c r="A18" s="89" t="s">
        <v>277</v>
      </c>
      <c r="B18" s="90" t="s">
        <v>185</v>
      </c>
      <c r="C18" s="90"/>
      <c r="D18" s="91" t="s">
        <v>278</v>
      </c>
      <c r="E18" s="91"/>
      <c r="F18" s="91"/>
      <c r="G18" s="91" t="s">
        <v>279</v>
      </c>
      <c r="H18" s="91"/>
      <c r="I18" s="91"/>
      <c r="J18" s="91"/>
    </row>
    <row r="19" customFormat="false" ht="51.75" hidden="false" customHeight="true" outlineLevel="0" collapsed="false">
      <c r="A19" s="86" t="s">
        <v>280</v>
      </c>
      <c r="B19" s="87" t="s">
        <v>199</v>
      </c>
      <c r="C19" s="87"/>
      <c r="D19" s="88" t="s">
        <v>281</v>
      </c>
      <c r="E19" s="88"/>
      <c r="F19" s="88"/>
      <c r="G19" s="88" t="s">
        <v>282</v>
      </c>
      <c r="H19" s="88"/>
      <c r="I19" s="88"/>
      <c r="J19" s="88"/>
    </row>
    <row r="20" customFormat="false" ht="51.75" hidden="false" customHeight="true" outlineLevel="0" collapsed="false">
      <c r="A20" s="89" t="s">
        <v>283</v>
      </c>
      <c r="B20" s="90" t="s">
        <v>222</v>
      </c>
      <c r="C20" s="90"/>
      <c r="D20" s="91" t="s">
        <v>284</v>
      </c>
      <c r="E20" s="91"/>
      <c r="F20" s="91"/>
      <c r="G20" s="91" t="s">
        <v>285</v>
      </c>
      <c r="H20" s="91"/>
      <c r="I20" s="91"/>
      <c r="J20" s="91"/>
    </row>
    <row r="21" customFormat="false" ht="51.75" hidden="false" customHeight="true" outlineLevel="0" collapsed="false">
      <c r="A21" s="86" t="s">
        <v>286</v>
      </c>
      <c r="B21" s="87" t="s">
        <v>225</v>
      </c>
      <c r="C21" s="87"/>
      <c r="D21" s="88" t="s">
        <v>287</v>
      </c>
      <c r="E21" s="88"/>
      <c r="F21" s="88"/>
      <c r="G21" s="88" t="s">
        <v>288</v>
      </c>
      <c r="H21" s="88"/>
      <c r="I21" s="88"/>
      <c r="J21" s="88"/>
    </row>
    <row r="22" customFormat="false" ht="51.75" hidden="false" customHeight="true" outlineLevel="0" collapsed="false">
      <c r="A22" s="89" t="s">
        <v>289</v>
      </c>
      <c r="B22" s="90" t="s">
        <v>228</v>
      </c>
      <c r="C22" s="90"/>
      <c r="D22" s="91" t="s">
        <v>290</v>
      </c>
      <c r="E22" s="91"/>
      <c r="F22" s="91"/>
      <c r="G22" s="91" t="s">
        <v>291</v>
      </c>
      <c r="H22" s="91"/>
      <c r="I22" s="91"/>
      <c r="J22" s="91"/>
    </row>
    <row r="23" customFormat="false" ht="51.75" hidden="false" customHeight="true" outlineLevel="0" collapsed="false">
      <c r="A23" s="86" t="s">
        <v>292</v>
      </c>
      <c r="B23" s="87" t="s">
        <v>231</v>
      </c>
      <c r="C23" s="87"/>
      <c r="D23" s="88" t="s">
        <v>293</v>
      </c>
      <c r="E23" s="88"/>
      <c r="F23" s="88"/>
      <c r="G23" s="88" t="s">
        <v>294</v>
      </c>
      <c r="H23" s="88"/>
      <c r="I23" s="88"/>
      <c r="J23" s="88"/>
    </row>
    <row r="24" customFormat="false" ht="22.5" hidden="false" customHeight="true" outlineLevel="0" collapsed="false">
      <c r="A24" s="16" t="s">
        <v>295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33.75" hidden="false" customHeight="true" outlineLevel="0" collapsed="false">
      <c r="A25" s="17" t="s">
        <v>296</v>
      </c>
      <c r="B25" s="17" t="s">
        <v>97</v>
      </c>
      <c r="C25" s="17" t="s">
        <v>297</v>
      </c>
      <c r="D25" s="17"/>
      <c r="E25" s="17"/>
      <c r="F25" s="17" t="s">
        <v>298</v>
      </c>
      <c r="G25" s="17"/>
      <c r="H25" s="17"/>
      <c r="I25" s="17"/>
      <c r="J25" s="17"/>
    </row>
    <row r="26" customFormat="false" ht="37.5" hidden="false" customHeight="true" outlineLevel="0" collapsed="false">
      <c r="A26" s="35" t="s">
        <v>58</v>
      </c>
      <c r="B26" s="36" t="n">
        <f aca="false">01_Data!K6</f>
        <v>5</v>
      </c>
      <c r="C26" s="92" t="str">
        <f aca="false">"ค่าเฉลี่ย Train = "&amp;TEXT(AVERAGE(01_Data!B6:B25),"0.00")</f>
        <v>ค่าเฉลี่ย Train = 5.00</v>
      </c>
      <c r="D26" s="92"/>
      <c r="E26" s="92"/>
      <c r="F26" s="37" t="s">
        <v>299</v>
      </c>
      <c r="G26" s="37"/>
      <c r="H26" s="37"/>
      <c r="I26" s="37"/>
      <c r="J26" s="37"/>
    </row>
    <row r="27" customFormat="false" ht="37.5" hidden="false" customHeight="true" outlineLevel="0" collapsed="false">
      <c r="A27" s="93" t="s">
        <v>60</v>
      </c>
      <c r="B27" s="94" t="n">
        <f aca="false">01_Data!K7</f>
        <v>2.5</v>
      </c>
      <c r="C27" s="95" t="str">
        <f aca="false">"Standard deviation จริง = "&amp;TEXT(STDEVP(01_Data!B6:B25),"0.00")&amp;" แล้วปัดเพื่อคำนวณง่าย"</f>
        <v>Standard deviation จริง = 2.35 แล้วปัดเพื่อคำนวณง่าย</v>
      </c>
      <c r="D27" s="95"/>
      <c r="E27" s="95"/>
      <c r="F27" s="96" t="s">
        <v>300</v>
      </c>
      <c r="G27" s="96"/>
      <c r="H27" s="96"/>
      <c r="I27" s="96"/>
      <c r="J27" s="96"/>
    </row>
    <row r="28" customFormat="false" ht="37.5" hidden="false" customHeight="true" outlineLevel="0" collapsed="false">
      <c r="A28" s="35" t="s">
        <v>62</v>
      </c>
      <c r="B28" s="36" t="n">
        <f aca="false">01_Data!K8</f>
        <v>75</v>
      </c>
      <c r="C28" s="92" t="str">
        <f aca="false">"ค่าเฉลี่ย Train = "&amp;TEXT(AVERAGE(01_Data!C6:C25),"0.00")&amp;" แล้วปัดเป็น 75"</f>
        <v>ค่าเฉลี่ย Train = 74.50 แล้วปัดเป็น 75</v>
      </c>
      <c r="D28" s="92"/>
      <c r="E28" s="92"/>
      <c r="F28" s="37" t="s">
        <v>301</v>
      </c>
      <c r="G28" s="37"/>
      <c r="H28" s="37"/>
      <c r="I28" s="37"/>
      <c r="J28" s="37"/>
    </row>
    <row r="29" customFormat="false" ht="37.5" hidden="false" customHeight="true" outlineLevel="0" collapsed="false">
      <c r="A29" s="93" t="s">
        <v>65</v>
      </c>
      <c r="B29" s="94" t="n">
        <f aca="false">01_Data!K9</f>
        <v>15</v>
      </c>
      <c r="C29" s="95" t="str">
        <f aca="false">"เลือก 15 จุดเปอร์เซ็นต์; standard deviation จริง = "&amp;TEXT(STDEVP(01_Data!C6:C25),"0.00")</f>
        <v>เลือก 15 จุดเปอร์เซ็นต์; standard deviation จริง = 11.89</v>
      </c>
      <c r="D29" s="95"/>
      <c r="E29" s="95"/>
      <c r="F29" s="96" t="s">
        <v>302</v>
      </c>
      <c r="G29" s="96"/>
      <c r="H29" s="96"/>
      <c r="I29" s="96"/>
      <c r="J29" s="96"/>
    </row>
    <row r="31" customFormat="false" ht="24.75" hidden="false" customHeight="true" outlineLevel="0" collapsed="false">
      <c r="A31" s="97" t="s">
        <v>303</v>
      </c>
      <c r="B31" s="97"/>
      <c r="C31" s="97"/>
      <c r="D31" s="97"/>
      <c r="E31" s="97"/>
      <c r="F31" s="97"/>
      <c r="G31" s="97"/>
      <c r="H31" s="97"/>
      <c r="I31" s="97"/>
      <c r="J31" s="97"/>
    </row>
    <row r="32" customFormat="false" ht="24.75" hidden="false" customHeight="true" outlineLevel="0" collapsed="false">
      <c r="A32" s="97"/>
      <c r="B32" s="97"/>
      <c r="C32" s="97"/>
      <c r="D32" s="97"/>
      <c r="E32" s="97"/>
      <c r="F32" s="97"/>
      <c r="G32" s="97"/>
      <c r="H32" s="97"/>
      <c r="I32" s="97"/>
      <c r="J32" s="97"/>
    </row>
  </sheetData>
  <mergeCells count="64">
    <mergeCell ref="A1:J1"/>
    <mergeCell ref="A2:J2"/>
    <mergeCell ref="A4:J5"/>
    <mergeCell ref="A7:J7"/>
    <mergeCell ref="B8:C8"/>
    <mergeCell ref="D8:F8"/>
    <mergeCell ref="G8:J8"/>
    <mergeCell ref="B9:C9"/>
    <mergeCell ref="D9:F9"/>
    <mergeCell ref="G9:J9"/>
    <mergeCell ref="B10:C10"/>
    <mergeCell ref="D10:F10"/>
    <mergeCell ref="G10:J10"/>
    <mergeCell ref="B11:C11"/>
    <mergeCell ref="D11:F11"/>
    <mergeCell ref="G11:J11"/>
    <mergeCell ref="B12:C12"/>
    <mergeCell ref="D12:F12"/>
    <mergeCell ref="G12:J12"/>
    <mergeCell ref="B13:C13"/>
    <mergeCell ref="D13:F13"/>
    <mergeCell ref="G13:J13"/>
    <mergeCell ref="B14:C14"/>
    <mergeCell ref="D14:F14"/>
    <mergeCell ref="G14:J14"/>
    <mergeCell ref="B15:C15"/>
    <mergeCell ref="D15:F15"/>
    <mergeCell ref="G15:J15"/>
    <mergeCell ref="B16:C16"/>
    <mergeCell ref="D16:F16"/>
    <mergeCell ref="G16:J16"/>
    <mergeCell ref="B17:C17"/>
    <mergeCell ref="D17:F17"/>
    <mergeCell ref="G17:J17"/>
    <mergeCell ref="B18:C18"/>
    <mergeCell ref="D18:F18"/>
    <mergeCell ref="G18:J18"/>
    <mergeCell ref="B19:C19"/>
    <mergeCell ref="D19:F19"/>
    <mergeCell ref="G19:J19"/>
    <mergeCell ref="B20:C20"/>
    <mergeCell ref="D20:F20"/>
    <mergeCell ref="G20:J20"/>
    <mergeCell ref="B21:C21"/>
    <mergeCell ref="D21:F21"/>
    <mergeCell ref="G21:J21"/>
    <mergeCell ref="B22:C22"/>
    <mergeCell ref="D22:F22"/>
    <mergeCell ref="G22:J22"/>
    <mergeCell ref="B23:C23"/>
    <mergeCell ref="D23:F23"/>
    <mergeCell ref="G23:J23"/>
    <mergeCell ref="A24:J24"/>
    <mergeCell ref="C25:E25"/>
    <mergeCell ref="F25:J25"/>
    <mergeCell ref="C26:E26"/>
    <mergeCell ref="F26:J26"/>
    <mergeCell ref="C27:E27"/>
    <mergeCell ref="F27:J27"/>
    <mergeCell ref="C28:E28"/>
    <mergeCell ref="F28:J28"/>
    <mergeCell ref="C29:E29"/>
    <mergeCell ref="F29:J29"/>
    <mergeCell ref="A31:J3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0"/>
    <col collapsed="false" customWidth="true" hidden="false" outlineLevel="0" max="9" min="6" style="0" width="15"/>
    <col collapsed="false" customWidth="true" hidden="false" outlineLevel="0" max="10" min="10" style="0" width="4"/>
    <col collapsed="false" customWidth="true" hidden="false" outlineLevel="0" max="11" min="11" style="0" width="24"/>
    <col collapsed="false" customWidth="true" hidden="false" outlineLevel="0" max="12" min="12" style="0" width="28"/>
  </cols>
  <sheetData>
    <row r="1" customFormat="false" ht="33.75" hidden="false" customHeight="true" outlineLevel="0" collapsed="false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305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2.5" hidden="false" customHeight="true" outlineLevel="0" collapsed="false">
      <c r="A4" s="3" t="s">
        <v>306</v>
      </c>
      <c r="B4" s="3"/>
      <c r="C4" s="3"/>
      <c r="D4" s="3"/>
      <c r="E4" s="3"/>
      <c r="F4" s="3"/>
      <c r="G4" s="3"/>
      <c r="H4" s="3"/>
      <c r="I4" s="3"/>
    </row>
    <row r="5" customFormat="false" ht="33.75" hidden="false" customHeight="true" outlineLevel="0" collapsed="false">
      <c r="A5" s="17" t="s">
        <v>185</v>
      </c>
      <c r="B5" s="17" t="s">
        <v>207</v>
      </c>
      <c r="C5" s="17" t="s">
        <v>210</v>
      </c>
      <c r="D5" s="17" t="s">
        <v>213</v>
      </c>
      <c r="E5" s="17" t="s">
        <v>215</v>
      </c>
      <c r="F5" s="17" t="s">
        <v>222</v>
      </c>
      <c r="G5" s="17" t="s">
        <v>225</v>
      </c>
      <c r="H5" s="17" t="s">
        <v>228</v>
      </c>
      <c r="I5" s="17" t="s">
        <v>231</v>
      </c>
    </row>
    <row r="6" customFormat="false" ht="24.75" hidden="false" customHeight="true" outlineLevel="0" collapsed="false">
      <c r="A6" s="98" t="n">
        <v>0.3</v>
      </c>
      <c r="B6" s="99" t="n">
        <f aca="false">COUNTIFS(04_Test_Prediction!$F$8:$F$17,1,04_Test_Prediction!$K$8:$K$17,"&gt;="&amp;A6)</f>
        <v>0</v>
      </c>
      <c r="C6" s="99" t="n">
        <f aca="false">COUNTIFS(04_Test_Prediction!$F$8:$F$17,0,04_Test_Prediction!$K$8:$K$17,"&gt;="&amp;A6)</f>
        <v>0</v>
      </c>
      <c r="D6" s="99" t="n">
        <f aca="false">COUNTIFS(04_Test_Prediction!$F$8:$F$17,1,04_Test_Prediction!$K$8:$K$17,"&lt;"&amp;A6)</f>
        <v>0</v>
      </c>
      <c r="E6" s="99" t="n">
        <f aca="false">COUNTIFS(04_Test_Prediction!$F$8:$F$17,0,04_Test_Prediction!$K$8:$K$17,"&lt;"&amp;A6)</f>
        <v>0</v>
      </c>
      <c r="F6" s="100" t="n">
        <f aca="false">IFERROR((B6+E6)/SUM(B6:E6),0)</f>
        <v>0</v>
      </c>
      <c r="G6" s="100" t="n">
        <f aca="false">IFERROR(B6/(B6+C6),0)</f>
        <v>0</v>
      </c>
      <c r="H6" s="100" t="n">
        <f aca="false">IFERROR(B6/(B6+D6),0)</f>
        <v>0</v>
      </c>
      <c r="I6" s="100" t="n">
        <f aca="false">IFERROR(2*G6*H6/(G6+H6),0)</f>
        <v>0</v>
      </c>
    </row>
    <row r="7" customFormat="false" ht="24.75" hidden="false" customHeight="true" outlineLevel="0" collapsed="false">
      <c r="A7" s="98" t="n">
        <v>0.4</v>
      </c>
      <c r="B7" s="101" t="n">
        <f aca="false">COUNTIFS(04_Test_Prediction!$F$8:$F$17,1,04_Test_Prediction!$K$8:$K$17,"&gt;="&amp;A7)</f>
        <v>0</v>
      </c>
      <c r="C7" s="101" t="n">
        <f aca="false">COUNTIFS(04_Test_Prediction!$F$8:$F$17,0,04_Test_Prediction!$K$8:$K$17,"&gt;="&amp;A7)</f>
        <v>0</v>
      </c>
      <c r="D7" s="101" t="n">
        <f aca="false">COUNTIFS(04_Test_Prediction!$F$8:$F$17,1,04_Test_Prediction!$K$8:$K$17,"&lt;"&amp;A7)</f>
        <v>0</v>
      </c>
      <c r="E7" s="101" t="n">
        <f aca="false">COUNTIFS(04_Test_Prediction!$F$8:$F$17,0,04_Test_Prediction!$K$8:$K$17,"&lt;"&amp;A7)</f>
        <v>0</v>
      </c>
      <c r="F7" s="102" t="n">
        <f aca="false">IFERROR((B7+E7)/SUM(B7:E7),0)</f>
        <v>0</v>
      </c>
      <c r="G7" s="102" t="n">
        <f aca="false">IFERROR(B7/(B7+C7),0)</f>
        <v>0</v>
      </c>
      <c r="H7" s="102" t="n">
        <f aca="false">IFERROR(B7/(B7+D7),0)</f>
        <v>0</v>
      </c>
      <c r="I7" s="102" t="n">
        <f aca="false">IFERROR(2*G7*H7/(G7+H7),0)</f>
        <v>0</v>
      </c>
    </row>
    <row r="8" customFormat="false" ht="24.75" hidden="false" customHeight="true" outlineLevel="0" collapsed="false">
      <c r="A8" s="98" t="n">
        <v>0.5</v>
      </c>
      <c r="B8" s="99" t="n">
        <f aca="false">COUNTIFS(04_Test_Prediction!$F$8:$F$17,1,04_Test_Prediction!$K$8:$K$17,"&gt;="&amp;A8)</f>
        <v>0</v>
      </c>
      <c r="C8" s="99" t="n">
        <f aca="false">COUNTIFS(04_Test_Prediction!$F$8:$F$17,0,04_Test_Prediction!$K$8:$K$17,"&gt;="&amp;A8)</f>
        <v>0</v>
      </c>
      <c r="D8" s="99" t="n">
        <f aca="false">COUNTIFS(04_Test_Prediction!$F$8:$F$17,1,04_Test_Prediction!$K$8:$K$17,"&lt;"&amp;A8)</f>
        <v>0</v>
      </c>
      <c r="E8" s="99" t="n">
        <f aca="false">COUNTIFS(04_Test_Prediction!$F$8:$F$17,0,04_Test_Prediction!$K$8:$K$17,"&lt;"&amp;A8)</f>
        <v>0</v>
      </c>
      <c r="F8" s="100" t="n">
        <f aca="false">IFERROR((B8+E8)/SUM(B8:E8),0)</f>
        <v>0</v>
      </c>
      <c r="G8" s="100" t="n">
        <f aca="false">IFERROR(B8/(B8+C8),0)</f>
        <v>0</v>
      </c>
      <c r="H8" s="100" t="n">
        <f aca="false">IFERROR(B8/(B8+D8),0)</f>
        <v>0</v>
      </c>
      <c r="I8" s="100" t="n">
        <f aca="false">IFERROR(2*G8*H8/(G8+H8),0)</f>
        <v>0</v>
      </c>
    </row>
    <row r="9" customFormat="false" ht="24.75" hidden="false" customHeight="true" outlineLevel="0" collapsed="false">
      <c r="A9" s="98" t="n">
        <v>0.6</v>
      </c>
      <c r="B9" s="101" t="n">
        <f aca="false">COUNTIFS(04_Test_Prediction!$F$8:$F$17,1,04_Test_Prediction!$K$8:$K$17,"&gt;="&amp;A9)</f>
        <v>0</v>
      </c>
      <c r="C9" s="101" t="n">
        <f aca="false">COUNTIFS(04_Test_Prediction!$F$8:$F$17,0,04_Test_Prediction!$K$8:$K$17,"&gt;="&amp;A9)</f>
        <v>0</v>
      </c>
      <c r="D9" s="101" t="n">
        <f aca="false">COUNTIFS(04_Test_Prediction!$F$8:$F$17,1,04_Test_Prediction!$K$8:$K$17,"&lt;"&amp;A9)</f>
        <v>0</v>
      </c>
      <c r="E9" s="101" t="n">
        <f aca="false">COUNTIFS(04_Test_Prediction!$F$8:$F$17,0,04_Test_Prediction!$K$8:$K$17,"&lt;"&amp;A9)</f>
        <v>0</v>
      </c>
      <c r="F9" s="102" t="n">
        <f aca="false">IFERROR((B9+E9)/SUM(B9:E9),0)</f>
        <v>0</v>
      </c>
      <c r="G9" s="102" t="n">
        <f aca="false">IFERROR(B9/(B9+C9),0)</f>
        <v>0</v>
      </c>
      <c r="H9" s="102" t="n">
        <f aca="false">IFERROR(B9/(B9+D9),0)</f>
        <v>0</v>
      </c>
      <c r="I9" s="102" t="n">
        <f aca="false">IFERROR(2*G9*H9/(G9+H9),0)</f>
        <v>0</v>
      </c>
    </row>
    <row r="10" customFormat="false" ht="24.75" hidden="false" customHeight="true" outlineLevel="0" collapsed="false">
      <c r="A10" s="98" t="n">
        <v>0.7</v>
      </c>
      <c r="B10" s="99" t="n">
        <f aca="false">COUNTIFS(04_Test_Prediction!$F$8:$F$17,1,04_Test_Prediction!$K$8:$K$17,"&gt;="&amp;A10)</f>
        <v>0</v>
      </c>
      <c r="C10" s="99" t="n">
        <f aca="false">COUNTIFS(04_Test_Prediction!$F$8:$F$17,0,04_Test_Prediction!$K$8:$K$17,"&gt;="&amp;A10)</f>
        <v>0</v>
      </c>
      <c r="D10" s="99" t="n">
        <f aca="false">COUNTIFS(04_Test_Prediction!$F$8:$F$17,1,04_Test_Prediction!$K$8:$K$17,"&lt;"&amp;A10)</f>
        <v>0</v>
      </c>
      <c r="E10" s="99" t="n">
        <f aca="false">COUNTIFS(04_Test_Prediction!$F$8:$F$17,0,04_Test_Prediction!$K$8:$K$17,"&lt;"&amp;A10)</f>
        <v>0</v>
      </c>
      <c r="F10" s="100" t="n">
        <f aca="false">IFERROR((B10+E10)/SUM(B10:E10),0)</f>
        <v>0</v>
      </c>
      <c r="G10" s="100" t="n">
        <f aca="false">IFERROR(B10/(B10+C10),0)</f>
        <v>0</v>
      </c>
      <c r="H10" s="100" t="n">
        <f aca="false">IFERROR(B10/(B10+D10),0)</f>
        <v>0</v>
      </c>
      <c r="I10" s="100" t="n">
        <f aca="false">IFERROR(2*G10*H10/(G10+H10),0)</f>
        <v>0</v>
      </c>
    </row>
    <row r="12" customFormat="false" ht="22.5" hidden="false" customHeight="true" outlineLevel="0" collapsed="false">
      <c r="A12" s="16" t="s">
        <v>307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customFormat="false" ht="33.75" hidden="false" customHeight="true" outlineLevel="0" collapsed="false">
      <c r="A13" s="103" t="s">
        <v>308</v>
      </c>
      <c r="B13" s="103"/>
      <c r="C13" s="103"/>
      <c r="D13" s="103"/>
      <c r="E13" s="103"/>
      <c r="F13" s="103"/>
      <c r="G13" s="103"/>
      <c r="H13" s="103"/>
      <c r="I13" s="103"/>
      <c r="K13" s="104" t="s">
        <v>309</v>
      </c>
      <c r="L13" s="104"/>
    </row>
    <row r="14" customFormat="false" ht="33.75" hidden="false" customHeight="true" outlineLevel="0" collapsed="false">
      <c r="A14" s="105" t="s">
        <v>310</v>
      </c>
      <c r="B14" s="105"/>
      <c r="C14" s="105"/>
      <c r="D14" s="105"/>
      <c r="E14" s="105"/>
      <c r="F14" s="105"/>
      <c r="G14" s="105"/>
      <c r="H14" s="105"/>
      <c r="I14" s="105"/>
      <c r="K14" s="104" t="s">
        <v>309</v>
      </c>
      <c r="L14" s="104"/>
    </row>
    <row r="15" customFormat="false" ht="33.75" hidden="false" customHeight="true" outlineLevel="0" collapsed="false">
      <c r="A15" s="4" t="s">
        <v>311</v>
      </c>
      <c r="B15" s="4"/>
      <c r="C15" s="4"/>
      <c r="D15" s="4"/>
      <c r="E15" s="4"/>
      <c r="F15" s="4"/>
      <c r="G15" s="4"/>
      <c r="H15" s="4"/>
      <c r="I15" s="4"/>
      <c r="K15" s="104" t="s">
        <v>309</v>
      </c>
      <c r="L15" s="104"/>
    </row>
    <row r="16" customFormat="false" ht="33.75" hidden="false" customHeight="true" outlineLevel="0" collapsed="false">
      <c r="A16" s="105" t="s">
        <v>312</v>
      </c>
      <c r="B16" s="105"/>
      <c r="C16" s="105"/>
      <c r="D16" s="105"/>
      <c r="E16" s="105"/>
      <c r="F16" s="105"/>
      <c r="G16" s="105"/>
      <c r="H16" s="105"/>
      <c r="I16" s="105"/>
      <c r="K16" s="104" t="s">
        <v>309</v>
      </c>
      <c r="L16" s="104"/>
    </row>
    <row r="17" customFormat="false" ht="33.75" hidden="false" customHeight="true" outlineLevel="0" collapsed="false">
      <c r="A17" s="4" t="s">
        <v>313</v>
      </c>
      <c r="B17" s="4"/>
      <c r="C17" s="4"/>
      <c r="D17" s="4"/>
      <c r="E17" s="4"/>
      <c r="F17" s="4"/>
      <c r="G17" s="4"/>
      <c r="H17" s="4"/>
      <c r="I17" s="4"/>
      <c r="K17" s="104" t="s">
        <v>309</v>
      </c>
      <c r="L17" s="104"/>
    </row>
    <row r="20" customFormat="false" ht="24.75" hidden="false" customHeight="true" outlineLevel="0" collapsed="false">
      <c r="A20" s="97" t="s">
        <v>314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</row>
    <row r="21" customFormat="false" ht="24.75" hidden="false" customHeight="true" outlineLevel="0" collapsed="false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</row>
  </sheetData>
  <mergeCells count="15">
    <mergeCell ref="A1:L1"/>
    <mergeCell ref="A2:L2"/>
    <mergeCell ref="A4:I4"/>
    <mergeCell ref="A12:L12"/>
    <mergeCell ref="A13:I13"/>
    <mergeCell ref="K13:L13"/>
    <mergeCell ref="A14:I14"/>
    <mergeCell ref="K14:L14"/>
    <mergeCell ref="A15:I15"/>
    <mergeCell ref="K15:L15"/>
    <mergeCell ref="A16:I16"/>
    <mergeCell ref="K16:L16"/>
    <mergeCell ref="A17:I17"/>
    <mergeCell ref="K17:L17"/>
    <mergeCell ref="A20:L21"/>
  </mergeCells>
  <conditionalFormatting sqref="I6:I10">
    <cfRule type="cellIs" priority="2" operator="equal" aboveAverage="0" equalAverage="0" bottom="0" percent="0" rank="0" text="" dxfId="9">
      <formula>MAX($I$6:$I$10)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2026-07-19T23:21:46Z</dcterms:created>
  <dc:creator>OpenAI</dc:creator>
  <dc:description>Thai pre-exam practice workbook with blank student calculation cells</dc:description>
  <dc:language>en-US</dc:language>
  <cp:lastModifiedBy/>
  <dcterms:modified xsi:type="dcterms:W3CDTF">2026-07-20T06:27:22Z</dcterms:modified>
  <cp:revision>1</cp:revision>
  <dc:subject>Excel-based Logistic Regression teaching workbook</dc:subject>
  <dc:title>Logistic Regression Practice - 20 Steps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