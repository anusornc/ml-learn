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00_Guide" sheetId="1" state="visible" r:id="rId3"/>
    <sheet name="01_Data" sheetId="2" state="visible" r:id="rId4"/>
    <sheet name="02_Training_Detail" sheetId="3" state="visible" r:id="rId5"/>
    <sheet name="03_Model_Path" sheetId="4" state="visible" r:id="rId6"/>
    <sheet name="04_Test_Prediction" sheetId="5" state="visible" r:id="rId7"/>
    <sheet name="05_Evaluation" sheetId="6" state="visible" r:id="rId8"/>
    <sheet name="06_Key_Concepts" sheetId="7" state="visible" r:id="rId9"/>
    <sheet name="07_Exercises" sheetId="8" state="visible" r:id="rId10"/>
  </sheets>
  <definedNames>
    <definedName function="false" hidden="false" localSheetId="0" name="_xlnm.Print_Area" vbProcedure="false">00_Guide!$A$1:$H$35</definedName>
    <definedName function="false" hidden="false" localSheetId="1" name="_xlnm.Print_Area" vbProcedure="false">01_Data!$A$1:$Q$37</definedName>
    <definedName function="false" hidden="false" localSheetId="1" name="_xlnm.Print_Titles" vbProcedure="false">01_Data!$1:$5</definedName>
    <definedName function="false" hidden="true" localSheetId="1" name="_xlnm._FilterDatabase" vbProcedure="false">01_Data!$A$5:$H$35</definedName>
    <definedName function="false" hidden="false" localSheetId="2" name="_xlnm.Print_Area" vbProcedure="false">02_Training_Detail!$A$1:$K$399</definedName>
    <definedName function="false" hidden="false" localSheetId="2" name="_xlnm.Print_Titles" vbProcedure="false">02_Training_Detail!$1:$10</definedName>
    <definedName function="false" hidden="false" localSheetId="3" name="_xlnm.Print_Area" vbProcedure="false">03_Model_Path!$A$1:$U$36</definedName>
    <definedName function="false" hidden="false" localSheetId="4" name="_xlnm.Print_Area" vbProcedure="false">04_Test_Prediction!$A$1:$W$28</definedName>
    <definedName function="false" hidden="true" localSheetId="4" name="_xlnm._FilterDatabase" vbProcedure="false">04_Test_Prediction!$A$7:$O$17</definedName>
    <definedName function="false" hidden="false" localSheetId="5" name="_xlnm.Print_Area" vbProcedure="false">05_Evaluation!$A$1:$J$24</definedName>
    <definedName function="false" hidden="false" localSheetId="6" name="_xlnm.Print_Area" vbProcedure="false">06_Key_Concepts!$A$1:$J$33</definedName>
    <definedName function="false" hidden="false" localSheetId="7" name="_xlnm.Print_Area" vbProcedure="false">07_Exercises!$A$1:$L$22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K6" authorId="0">
      <text>
        <r>
          <rPr>
            <sz val="10"/>
            <rFont val="Arial Unicode MS"/>
            <family val="2"/>
          </rPr>
          <t xml:space="preserve">ค่าเฉลี่ยของชั่วโมงอ่านในชุด </t>
        </r>
        <r>
          <rPr>
            <sz val="10"/>
            <rFont val="Arial"/>
            <family val="2"/>
          </rPr>
          <t xml:space="preserve">Train </t>
        </r>
        <r>
          <rPr>
            <sz val="10"/>
            <rFont val="Arial Unicode MS"/>
            <family val="2"/>
          </rPr>
          <t xml:space="preserve">เท่ากับ </t>
        </r>
        <r>
          <rPr>
            <sz val="10"/>
            <rFont val="Arial"/>
            <family val="2"/>
          </rPr>
          <t xml:space="preserve">5.00 </t>
        </r>
        <r>
          <rPr>
            <sz val="10"/>
            <rFont val="Arial Unicode MS"/>
            <family val="2"/>
          </rPr>
          <t xml:space="preserve">จึงใช้เป็นจุดกึ่งกลาง ทำให้ </t>
        </r>
        <r>
          <rPr>
            <sz val="10"/>
            <rFont val="Arial"/>
            <family val="2"/>
          </rPr>
          <t xml:space="preserve">5 </t>
        </r>
        <r>
          <rPr>
            <sz val="10"/>
            <rFont val="Arial Unicode MS"/>
            <family val="2"/>
          </rPr>
          <t xml:space="preserve">ชั่วโมงแปลงเป็น </t>
        </r>
        <r>
          <rPr>
            <sz val="10"/>
            <rFont val="Arial"/>
            <family val="2"/>
          </rPr>
          <t xml:space="preserve">x1 = 0</t>
        </r>
      </text>
    </comment>
    <comment ref="K7" authorId="0">
      <text>
        <r>
          <rPr>
            <sz val="10"/>
            <rFont val="Arial Unicode MS"/>
            <family val="2"/>
          </rPr>
          <t xml:space="preserve">ส่วนเบี่ยงเบนมาตรฐานจริงประมาณ </t>
        </r>
        <r>
          <rPr>
            <sz val="10"/>
            <rFont val="Arial"/>
            <family val="2"/>
          </rPr>
          <t xml:space="preserve">2.35 </t>
        </r>
        <r>
          <rPr>
            <sz val="10"/>
            <rFont val="Arial Unicode MS"/>
            <family val="2"/>
          </rPr>
          <t xml:space="preserve">จึงปัดเป็น </t>
        </r>
        <r>
          <rPr>
            <sz val="10"/>
            <rFont val="Arial"/>
            <family val="2"/>
          </rPr>
          <t xml:space="preserve">2.5 </t>
        </r>
        <r>
          <rPr>
            <sz val="10"/>
            <rFont val="Arial Unicode MS"/>
            <family val="2"/>
          </rPr>
          <t xml:space="preserve">เพื่อให้คำนวณมือและตีความง่าย ค่านี้เป็น </t>
        </r>
        <r>
          <rPr>
            <sz val="10"/>
            <rFont val="Arial"/>
            <family val="2"/>
          </rPr>
          <t xml:space="preserve">teaching scale </t>
        </r>
        <r>
          <rPr>
            <sz val="10"/>
            <rFont val="Arial Unicode MS"/>
            <family val="2"/>
          </rPr>
          <t xml:space="preserve">ไม่ใช่ </t>
        </r>
        <r>
          <rPr>
            <sz val="10"/>
            <rFont val="Arial"/>
            <family val="2"/>
          </rPr>
          <t xml:space="preserve">z-score </t>
        </r>
        <r>
          <rPr>
            <sz val="10"/>
            <rFont val="Arial Unicode MS"/>
            <family val="2"/>
          </rPr>
          <t xml:space="preserve">แบบเคร่งครัด</t>
        </r>
      </text>
    </comment>
    <comment ref="K8" authorId="0">
      <text>
        <r>
          <rPr>
            <sz val="10"/>
            <rFont val="Arial Unicode MS"/>
            <family val="2"/>
          </rPr>
          <t xml:space="preserve">ค่าเฉลี่ย </t>
        </r>
        <r>
          <rPr>
            <sz val="10"/>
            <rFont val="Arial"/>
            <family val="2"/>
          </rPr>
          <t xml:space="preserve">Attendance </t>
        </r>
        <r>
          <rPr>
            <sz val="10"/>
            <rFont val="Arial Unicode MS"/>
            <family val="2"/>
          </rPr>
          <t xml:space="preserve">ในชุด </t>
        </r>
        <r>
          <rPr>
            <sz val="10"/>
            <rFont val="Arial"/>
            <family val="2"/>
          </rPr>
          <t xml:space="preserve">Train </t>
        </r>
        <r>
          <rPr>
            <sz val="10"/>
            <rFont val="Arial Unicode MS"/>
            <family val="2"/>
          </rPr>
          <t xml:space="preserve">เท่ากับ </t>
        </r>
        <r>
          <rPr>
            <sz val="10"/>
            <rFont val="Arial"/>
            <family val="2"/>
          </rPr>
          <t xml:space="preserve">74.5% </t>
        </r>
        <r>
          <rPr>
            <sz val="10"/>
            <rFont val="Arial Unicode MS"/>
            <family val="2"/>
          </rPr>
          <t xml:space="preserve">จึงปัดเป็น </t>
        </r>
        <r>
          <rPr>
            <sz val="10"/>
            <rFont val="Arial"/>
            <family val="2"/>
          </rPr>
          <t xml:space="preserve">75% </t>
        </r>
        <r>
          <rPr>
            <sz val="10"/>
            <rFont val="Arial Unicode MS"/>
            <family val="2"/>
          </rPr>
          <t xml:space="preserve">เพื่อใช้เป็นจุดกึ่งกลางที่จำง่าย</t>
        </r>
      </text>
    </comment>
    <comment ref="K9" authorId="0">
      <text>
        <r>
          <rPr>
            <sz val="10"/>
            <rFont val="Arial Unicode MS"/>
            <family val="2"/>
          </rPr>
          <t xml:space="preserve">เลือก </t>
        </r>
        <r>
          <rPr>
            <sz val="10"/>
            <rFont val="Arial"/>
            <family val="2"/>
          </rPr>
          <t xml:space="preserve">15 </t>
        </r>
        <r>
          <rPr>
            <sz val="10"/>
            <rFont val="Arial Unicode MS"/>
            <family val="2"/>
          </rPr>
          <t xml:space="preserve">จุดเปอร์เซ็นต์เพื่อให้ </t>
        </r>
        <r>
          <rPr>
            <sz val="10"/>
            <rFont val="Arial"/>
            <family val="2"/>
          </rPr>
          <t xml:space="preserve">60% </t>
        </r>
        <r>
          <rPr>
            <sz val="10"/>
            <rFont val="Arial Unicode MS"/>
            <family val="2"/>
          </rPr>
          <t xml:space="preserve">แปลงเป็น </t>
        </r>
        <r>
          <rPr>
            <sz val="10"/>
            <rFont val="Arial"/>
            <family val="2"/>
          </rPr>
          <t xml:space="preserve">-1, 75% </t>
        </r>
        <r>
          <rPr>
            <sz val="10"/>
            <rFont val="Arial Unicode MS"/>
            <family val="2"/>
          </rPr>
          <t xml:space="preserve">เป็น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Arial Unicode M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90% </t>
        </r>
        <r>
          <rPr>
            <sz val="10"/>
            <rFont val="Arial Unicode MS"/>
            <family val="2"/>
          </rPr>
          <t xml:space="preserve">เป็น </t>
        </r>
        <r>
          <rPr>
            <sz val="10"/>
            <rFont val="Arial"/>
            <family val="2"/>
          </rPr>
          <t xml:space="preserve">+1 </t>
        </r>
        <r>
          <rPr>
            <sz val="10"/>
            <rFont val="Arial Unicode MS"/>
            <family val="2"/>
          </rPr>
          <t xml:space="preserve">ค่านี้เน้นการสอนและการคำนวณมือ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B4" authorId="0">
      <text>
        <r>
          <rPr>
            <sz val="10"/>
            <rFont val="Arial Unicode MS"/>
            <family val="2"/>
          </rPr>
          <t xml:space="preserve">ลองปรับ </t>
        </r>
        <r>
          <rPr>
            <sz val="10"/>
            <rFont val="Arial"/>
            <family val="2"/>
          </rPr>
          <t xml:space="preserve">0.10–0.80 </t>
        </r>
        <r>
          <rPr>
            <sz val="10"/>
            <rFont val="Arial Unicode MS"/>
            <family val="2"/>
          </rPr>
          <t xml:space="preserve">แล้วสังเกตกราฟ </t>
        </r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</rPr>
          <t xml:space="preserve">ในชีต </t>
        </r>
        <r>
          <rPr>
            <sz val="10"/>
            <rFont val="Arial"/>
            <family val="2"/>
          </rPr>
          <t xml:space="preserve">03_Model_Path</t>
        </r>
      </text>
    </comment>
    <comment ref="B5" authorId="0">
      <text>
        <r>
          <rPr>
            <sz val="10"/>
            <rFont val="Arial Unicode MS"/>
            <family val="2"/>
          </rPr>
          <t xml:space="preserve">ไฟล์นี้สร้างสูตรไว้ </t>
        </r>
        <r>
          <rPr>
            <sz val="10"/>
            <rFont val="Arial"/>
            <family val="2"/>
          </rPr>
          <t xml:space="preserve">15 </t>
        </r>
        <r>
          <rPr>
            <sz val="10"/>
            <rFont val="Arial Unicode MS"/>
            <family val="2"/>
          </rPr>
          <t xml:space="preserve">รอบ ค่านี้ใช้เป็นคำอธิบาย</t>
        </r>
      </text>
    </comment>
    <comment ref="E14" authorId="0">
      <text>
        <r>
          <rPr>
            <sz val="10"/>
            <rFont val="Arial"/>
            <family val="2"/>
          </rPr>
          <t xml:space="preserve">z </t>
        </r>
        <r>
          <rPr>
            <sz val="10"/>
            <rFont val="Arial Unicode MS"/>
            <family val="2"/>
          </rPr>
          <t xml:space="preserve">คือคะแนนเชิงเส้นก่อนผ่าน </t>
        </r>
        <r>
          <rPr>
            <sz val="10"/>
            <rFont val="Arial"/>
            <family val="2"/>
          </rPr>
          <t xml:space="preserve">sigmoid</t>
        </r>
      </text>
    </comment>
    <comment ref="F14" authorId="0">
      <text>
        <r>
          <rPr>
            <sz val="10"/>
            <rFont val="Arial"/>
            <family val="2"/>
          </rPr>
          <t xml:space="preserve">sigmoid </t>
        </r>
        <r>
          <rPr>
            <sz val="10"/>
            <rFont val="Arial Unicode MS"/>
            <family val="2"/>
          </rPr>
          <t xml:space="preserve">แปลง </t>
        </r>
        <r>
          <rPr>
            <sz val="10"/>
            <rFont val="Arial"/>
            <family val="2"/>
          </rPr>
          <t xml:space="preserve">z </t>
        </r>
        <r>
          <rPr>
            <sz val="10"/>
            <rFont val="Arial Unicode MS"/>
            <family val="2"/>
          </rPr>
          <t xml:space="preserve">ให้เป็นความน่าจะเป็นระหว่าง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Arial Unicode M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1</t>
        </r>
      </text>
    </comment>
    <comment ref="G14" authorId="0">
      <text>
        <r>
          <rPr>
            <sz val="10"/>
            <rFont val="Arial"/>
            <family val="2"/>
          </rPr>
          <t xml:space="preserve">error = p - y </t>
        </r>
        <r>
          <rPr>
            <sz val="10"/>
            <rFont val="Arial Unicode MS"/>
            <family val="2"/>
          </rPr>
          <t xml:space="preserve">เป็นทิศทางความคลาดเคลื่อนของแถวนั้น</t>
        </r>
      </text>
    </comment>
    <comment ref="K14" authorId="0">
      <text>
        <r>
          <rPr>
            <sz val="10"/>
            <rFont val="Arial"/>
            <family val="2"/>
          </rPr>
          <t xml:space="preserve">Log Loss </t>
        </r>
        <r>
          <rPr>
            <sz val="10"/>
            <rFont val="Arial Unicode MS"/>
            <family val="2"/>
          </rPr>
          <t xml:space="preserve">ลงโทษการทำนายที่มั่นใจแต่ผิดมากเป็นพิเศษ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B4" authorId="0">
      <text>
        <r>
          <rPr>
            <sz val="10"/>
            <rFont val="Arial Unicode MS"/>
            <family val="2"/>
          </rPr>
          <t xml:space="preserve">ลองเปลี่ยนเป็น </t>
        </r>
        <r>
          <rPr>
            <sz val="10"/>
            <rFont val="Arial"/>
            <family val="2"/>
          </rPr>
          <t xml:space="preserve">0.40 </t>
        </r>
        <r>
          <rPr>
            <sz val="10"/>
            <rFont val="Arial Unicode M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0.60 </t>
        </r>
        <r>
          <rPr>
            <sz val="10"/>
            <rFont val="Arial Unicode MS"/>
            <family val="2"/>
          </rPr>
          <t xml:space="preserve">แล้วดูผลที่ชีต </t>
        </r>
        <r>
          <rPr>
            <sz val="10"/>
            <rFont val="Arial"/>
            <family val="2"/>
          </rPr>
          <t xml:space="preserve">05_Evaluation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C8" authorId="0">
      <text>
        <r>
          <rPr>
            <sz val="10"/>
            <rFont val="Arial"/>
            <family val="2"/>
          </rPr>
          <t xml:space="preserve">True Positive (TP)</t>
        </r>
      </text>
    </comment>
    <comment ref="C9" authorId="0">
      <text>
        <r>
          <rPr>
            <sz val="10"/>
            <rFont val="Arial"/>
            <family val="2"/>
          </rPr>
          <t xml:space="preserve">False Positive (FP)</t>
        </r>
      </text>
    </comment>
    <comment ref="D8" authorId="0">
      <text>
        <r>
          <rPr>
            <sz val="10"/>
            <rFont val="Arial"/>
            <family val="2"/>
          </rPr>
          <t xml:space="preserve">False Negative (FN)</t>
        </r>
      </text>
    </comment>
    <comment ref="D9" authorId="0">
      <text>
        <r>
          <rPr>
            <sz val="10"/>
            <rFont val="Arial"/>
            <family val="2"/>
          </rPr>
          <t xml:space="preserve">True Negative (TN)</t>
        </r>
      </text>
    </comment>
  </commentList>
</comments>
</file>

<file path=xl/sharedStrings.xml><?xml version="1.0" encoding="utf-8"?>
<sst xmlns="http://schemas.openxmlformats.org/spreadsheetml/2006/main" count="702" uniqueCount="313">
  <si>
    <t xml:space="preserve">Logistic Regression — คำนวณทีละขั้นใน Excel</t>
  </si>
  <si>
    <t xml:space="preserve">จากข้อมูลดิบ → Gradient Descent → Probability → Prediction → Confusion Matrix → Metrics</t>
  </si>
  <si>
    <t xml:space="preserve">เป้าหมายการเรียนรู้</t>
  </si>
  <si>
    <t xml:space="preserve">1. อธิบายสมการ z = w1x1 + w2x2 + b และ sigmoid ได้</t>
  </si>
  <si>
    <t xml:space="preserve">2. เห็นว่า Gradient Descent ปรับค่าน้ำหนักอย่างไรในแต่ละรอบ</t>
  </si>
  <si>
    <t xml:space="preserve">3. เปลี่ยน probability เป็น class ด้วย threshold และอธิบาย TP/FP/FN/TN ได้</t>
  </si>
  <si>
    <t xml:space="preserve">4. คำนวณ Accuracy, Precision, Recall และ F1-score จาก Confusion Matrix ได้</t>
  </si>
  <si>
    <t xml:space="preserve">เส้นทางการเรียนใน Workbook</t>
  </si>
  <si>
    <t xml:space="preserve">01_Data</t>
  </si>
  <si>
    <t xml:space="preserve">ข้อมูลนักศึกษา 30 คน พร้อมการปรับสเกล x1 และ x2</t>
  </si>
  <si>
    <t xml:space="preserve">02_Training_Detail</t>
  </si>
  <si>
    <t xml:space="preserve">คำนวณ z, p, error, gradient, log loss และอัปเดต w1, w2, b ทีละรอบ</t>
  </si>
  <si>
    <t xml:space="preserve">03_Model_Path</t>
  </si>
  <si>
    <t xml:space="preserve">ดูตารางสรุปค่าน้ำหนักและกราฟ loss ตลอด 15 รอบ</t>
  </si>
  <si>
    <t xml:space="preserve">04_Test_Prediction</t>
  </si>
  <si>
    <t xml:space="preserve">ใช้โมเดลกับข้อมูล Test และทดลองเปลี่ยน threshold</t>
  </si>
  <si>
    <t xml:space="preserve">05_Evaluation</t>
  </si>
  <si>
    <t xml:space="preserve">สร้าง Confusion Matrix และคำนวณ metrics จากสูตร</t>
  </si>
  <si>
    <t xml:space="preserve">06_Key_Concepts</t>
  </si>
  <si>
    <t xml:space="preserve">อ่านคำอธิบายแนวคิดสำคัญและเหตุผลของแต่ละขั้นตอน</t>
  </si>
  <si>
    <t xml:space="preserve">07_Exercises</t>
  </si>
  <si>
    <t xml:space="preserve">ทดลอง threshold หลายค่าและตอบคำถามอภิปราย</t>
  </si>
  <si>
    <t xml:space="preserve">สูตรหลัก</t>
  </si>
  <si>
    <t xml:space="preserve">Linear score</t>
  </si>
  <si>
    <t xml:space="preserve">z = w1x1 + w2x2 + b</t>
  </si>
  <si>
    <t xml:space="preserve">Sigmoid</t>
  </si>
  <si>
    <t xml:space="preserve">p = 1 / (1 + EXP(-z))</t>
  </si>
  <si>
    <t xml:space="preserve">Error</t>
  </si>
  <si>
    <t xml:space="preserve">error = p - y</t>
  </si>
  <si>
    <t xml:space="preserve">Gradient</t>
  </si>
  <si>
    <t xml:space="preserve">grad b = AVERAGE(error); grad w1 = AVERAGE(error×x1); grad w2 = AVERAGE(error×x2)</t>
  </si>
  <si>
    <t xml:space="preserve">Update</t>
  </si>
  <si>
    <t xml:space="preserve">พารามิเตอร์ใหม่ = พารามิเตอร์เดิม - learning rate × gradient</t>
  </si>
  <si>
    <t xml:space="preserve">Log Loss</t>
  </si>
  <si>
    <t xml:space="preserve">-[y·LN(p) + (1-y)·LN(1-p)]</t>
  </si>
  <si>
    <t xml:space="preserve">รหัสสีและวิธีทดลอง</t>
  </si>
  <si>
    <t xml:space="preserve">ช่องสีเหลือง = ค่าที่นักศึกษาปรับทดลองได้</t>
  </si>
  <si>
    <t xml:space="preserve">ตัวอักษรสีดำ = สูตรคำนวณภายในชีต</t>
  </si>
  <si>
    <t xml:space="preserve">ตัวอักษรสีเขียว = สูตรที่ดึงค่าจากชีตอื่น</t>
  </si>
  <si>
    <t xml:space="preserve">สีเขียว = ผลลัพธ์ถูกต้อง / TP / TN</t>
  </si>
  <si>
    <t xml:space="preserve">สีแดง = ผลลัพธ์คลาดเคลื่อน / FP / FN</t>
  </si>
  <si>
    <t xml:space="preserve">คำแนะนำ: เริ่มจากดูข้อมูลใน 01_Data แล้วเปิด 02_Training_Detail รอบที่ 1 ให้ครบหนึ่งรอบ จากนั้นใช้ 03_Model_Path สรุปภาพใหญ่ ก่อนทดลอง threshold ใน 04_Test_Prediction</t>
  </si>
  <si>
    <t xml:space="preserve">01 • ข้อมูลและการเตรียมฟีเจอร์</t>
  </si>
  <si>
    <t xml:space="preserve">ข้อมูลจำลองเพื่อการเรียนการสอน: 20 แถวแรกเป็น Train และ 10 แถวท้ายเป็น Test • ด้านขวามีคำอธิบายที่มาของการปรับสเกล</t>
  </si>
  <si>
    <t xml:space="preserve">ข้อมูลหลัก</t>
  </si>
  <si>
    <t xml:space="preserve">ค่าที่ใช้ปรับสเกล</t>
  </si>
  <si>
    <t xml:space="preserve">ทำไมต้องปรับสเกล และตัวเลขมาจากไหน</t>
  </si>
  <si>
    <t xml:space="preserve">Student ID</t>
  </si>
  <si>
    <t xml:space="preserve">ชั่วโมงอ่าน/วัน</t>
  </si>
  <si>
    <t xml:space="preserve">เข้าเรียน (%)</t>
  </si>
  <si>
    <t xml:space="preserve">ผลจริง y
(1=ผ่าน)</t>
  </si>
  <si>
    <t xml:space="preserve">Split</t>
  </si>
  <si>
    <t xml:space="preserve">x1
(Centered &amp; scaled hours)</t>
  </si>
  <si>
    <t xml:space="preserve">x2
(Centered &amp; scaled attendance)</t>
  </si>
  <si>
    <t xml:space="preserve">คำอธิบาย</t>
  </si>
  <si>
    <t xml:space="preserve">ทำไมต้องปรับสเกล?
Hours อยู่ประมาณ 1–9 แต่ Attendance อยู่ประมาณ 55–95 หากใช้ค่าดิบ Gradient ของ Attendance อาจมีขนาดใหญ่กว่าเพียงเพราะหน่วยต่างกัน การปรับสเกลทำให้ทั้งสองฟีเจอร์มีขนาดใกล้กัน เรียนรู้เสถียรขึ้น และใช้ learning rate เดียวกันได้เหมาะสมกว่า</t>
  </si>
  <si>
    <t xml:space="preserve">S01</t>
  </si>
  <si>
    <t xml:space="preserve">Train</t>
  </si>
  <si>
    <t xml:space="preserve">Hours center</t>
  </si>
  <si>
    <t xml:space="preserve">S02</t>
  </si>
  <si>
    <t xml:space="preserve">Hours scale</t>
  </si>
  <si>
    <t xml:space="preserve">S03</t>
  </si>
  <si>
    <t xml:space="preserve">Attendance center</t>
  </si>
  <si>
    <t xml:space="preserve">สูตรที่ใช้
x_scaled = (ค่าดิบ - center) / scale
การลบ center ทำให้ค่าทั่วไปอยู่ใกล้ 0 ส่วนการหาร scale ทำให้ระยะห่างอยู่ราว -1 ถึง +1 โดยไฟล์นี้ใช้ Center-and-Scale แบบออกแบบเพื่อการสอน ไม่ใช่ z-score แบบเคร่งครัด</t>
  </si>
  <si>
    <t xml:space="preserve">S04</t>
  </si>
  <si>
    <t xml:space="preserve">Attendance scale</t>
  </si>
  <si>
    <t xml:space="preserve">S05</t>
  </si>
  <si>
    <t xml:space="preserve">S06</t>
  </si>
  <si>
    <t xml:space="preserve">สูตร</t>
  </si>
  <si>
    <t xml:space="preserve">x = (ค่าดิบ - center) / scale</t>
  </si>
  <si>
    <t xml:space="preserve">S07</t>
  </si>
  <si>
    <t xml:space="preserve">Hours center = 5 มาจากไหน?
ค่าเฉลี่ยชั่วโมงอ่านของข้อมูล Train เท่ากับ 5.00 ชั่วโมงพอดี จึงใช้ 5 เป็นจุดอ้างอิง เมื่ออ่าน 5 ชั่วโมง จะได้ x1 = (5-5)/2.5 = 0</t>
  </si>
  <si>
    <t xml:space="preserve">S08</t>
  </si>
  <si>
    <t xml:space="preserve">S09</t>
  </si>
  <si>
    <t xml:space="preserve">S10</t>
  </si>
  <si>
    <t xml:space="preserve">Hours scale = 2.5 มาจากไหน?
ส่วนเบี่ยงเบนมาตรฐานจริงของ Train ≈ 2.35 ชั่วโมง จึงปัดเป็น 2.5 เพื่อให้นักศึกษาคำนวณง่าย เช่น 2.5 ชม. → -1, 5 ชม. → 0, 7.5 ชม. → +1</t>
  </si>
  <si>
    <t xml:space="preserve">S11</t>
  </si>
  <si>
    <t xml:space="preserve">S12</t>
  </si>
  <si>
    <t xml:space="preserve">S13</t>
  </si>
  <si>
    <t xml:space="preserve">Attendance center = 75 มาจากไหน?
ค่าเฉลี่ย Attendance ของ Train = 74.5% จึงปัดเป็น 75% ซึ่งเป็นค่ากลางที่จำง่าย เมื่อเข้าเรียน 75% จะได้ x2 = 0</t>
  </si>
  <si>
    <t xml:space="preserve">S14</t>
  </si>
  <si>
    <t xml:space="preserve">S15</t>
  </si>
  <si>
    <t xml:space="preserve">S16</t>
  </si>
  <si>
    <t xml:space="preserve">Attendance scale = 15 มาจากไหน?
เลือก 15 จุดเปอร์เซ็นต์เพื่อให้ตีความง่าย: 60% → -1, 75% → 0, 90% → +1 และทำให้ช่วงข้อมูล Train 55–95% อยู่ราว -1.33 ถึง +1.33</t>
  </si>
  <si>
    <t xml:space="preserve">S17</t>
  </si>
  <si>
    <t xml:space="preserve">S18</t>
  </si>
  <si>
    <t xml:space="preserve">S19</t>
  </si>
  <si>
    <t xml:space="preserve">S20</t>
  </si>
  <si>
    <t xml:space="preserve">ข้อควรจำ
Center กำหนดว่า “ค่าใดควรเป็นศูนย์” ส่วน Scale กำหนดว่า “การเปลี่ยนเท่าใดควรนับเป็นหนึ่งหน่วย” ค่าน้ำหนัก w1 และ w2 หลังการ scaling จึงเปรียบเทียบกันได้ง่ายขึ้น</t>
  </si>
  <si>
    <t xml:space="preserve">T01</t>
  </si>
  <si>
    <t xml:space="preserve">Test</t>
  </si>
  <si>
    <t xml:space="preserve">T02</t>
  </si>
  <si>
    <t xml:space="preserve">T03</t>
  </si>
  <si>
    <t xml:space="preserve">T04</t>
  </si>
  <si>
    <t xml:space="preserve">เปรียบเทียบค่าที่ใช้กับสถิติจริงของ Train</t>
  </si>
  <si>
    <t xml:space="preserve">T05</t>
  </si>
  <si>
    <t xml:space="preserve">รายการ</t>
  </si>
  <si>
    <t xml:space="preserve">ค่าในไฟล์</t>
  </si>
  <si>
    <t xml:space="preserve">ค่าสถิติจริง</t>
  </si>
  <si>
    <t xml:space="preserve">เหตุผลที่เลือก</t>
  </si>
  <si>
    <t xml:space="preserve">T06</t>
  </si>
  <si>
    <t xml:space="preserve">ใช้ค่าเฉลี่ยจริงของ Train</t>
  </si>
  <si>
    <t xml:space="preserve">T07</t>
  </si>
  <si>
    <t xml:space="preserve">ปัดจาก 2.35 เป็น 2.5 เพื่อคำนวณง่าย</t>
  </si>
  <si>
    <t xml:space="preserve">T08</t>
  </si>
  <si>
    <t xml:space="preserve">ปัดจาก 74.5 เป็น 75 เพื่อจำง่าย</t>
  </si>
  <si>
    <t xml:space="preserve">T09</t>
  </si>
  <si>
    <t xml:space="preserve">ใช้ 15 เพื่อให้ 60/75/90 แปลงเป็น -1/0/+1</t>
  </si>
  <si>
    <t xml:space="preserve">T10</t>
  </si>
  <si>
    <t xml:space="preserve">หากต้องการ z-score แบบมาตรฐาน ให้ใช้ center = AVERAGE(Train) และ scale = STDEV.P(Train) โดยตรง แต่ตัวอย่างนี้ตั้งใจปัดค่าเพื่อให้ติดตามสูตรด้วยมือได้ง่าย</t>
  </si>
  <si>
    <t xml:space="preserve">แหล่งข้อมูล</t>
  </si>
  <si>
    <t xml:space="preserve">Synthetic dataset สร้างเพื่อการเรียนการสอน Logistic Regression (15 กรกฎาคม 2026)</t>
  </si>
  <si>
    <t xml:space="preserve">02 • ฝึกโมเดลแบบ Step by Step</t>
  </si>
  <si>
    <t xml:space="preserve">Batch Gradient Descent: ทุกสูตรคำนวณใน Excel และเชื่อมต่อกัน 15 รอบ</t>
  </si>
  <si>
    <t xml:space="preserve">ค่าตั้งต้นที่ปรับทดลองได้</t>
  </si>
  <si>
    <t xml:space="preserve">Learning rate (α)</t>
  </si>
  <si>
    <t xml:space="preserve">จำนวนรอบ</t>
  </si>
  <si>
    <t xml:space="preserve">จำนวน Train</t>
  </si>
  <si>
    <t xml:space="preserve">b เริ่มต้น</t>
  </si>
  <si>
    <t xml:space="preserve">w1 เริ่มต้น</t>
  </si>
  <si>
    <t xml:space="preserve">w2 เริ่มต้น</t>
  </si>
  <si>
    <t xml:space="preserve">รอบที่ 01  •  พารามิเตอร์ปัจจุบัน → z → sigmoid p → error → gradient → log loss → พารามิเตอร์ใหม่</t>
  </si>
  <si>
    <t xml:space="preserve">Iteration</t>
  </si>
  <si>
    <t xml:space="preserve">b</t>
  </si>
  <si>
    <t xml:space="preserve">w1</t>
  </si>
  <si>
    <t xml:space="preserve">w2</t>
  </si>
  <si>
    <t xml:space="preserve">ใช้ค่าน้ำหนักชุดนี้กับข้อมูล Train ทุกแถว</t>
  </si>
  <si>
    <t xml:space="preserve">ID</t>
  </si>
  <si>
    <t xml:space="preserve">x1</t>
  </si>
  <si>
    <t xml:space="preserve">x2</t>
  </si>
  <si>
    <t xml:space="preserve">y</t>
  </si>
  <si>
    <t xml:space="preserve">z</t>
  </si>
  <si>
    <t xml:space="preserve">p = sigmoid(z)</t>
  </si>
  <si>
    <t xml:space="preserve">error = p-y</t>
  </si>
  <si>
    <t xml:space="preserve">db = error</t>
  </si>
  <si>
    <t xml:space="preserve">dw1 = error×x1</t>
  </si>
  <si>
    <t xml:space="preserve">dw2 = error×x2</t>
  </si>
  <si>
    <t xml:space="preserve">Log Loss (J)</t>
  </si>
  <si>
    <t xml:space="preserve">สรุป Gradient และ Loss</t>
  </si>
  <si>
    <t xml:space="preserve">ค่าเฉลี่ย</t>
  </si>
  <si>
    <t xml:space="preserve">Update: พารามิเตอร์ใหม่ = ค่าเดิม - α × gradient</t>
  </si>
  <si>
    <t xml:space="preserve">b ใหม่</t>
  </si>
  <si>
    <t xml:space="preserve">w1 ใหม่</t>
  </si>
  <si>
    <t xml:space="preserve">w2 ใหม่</t>
  </si>
  <si>
    <t xml:space="preserve">ค่าชุดนี้จะเป็นพารามิเตอร์ปัจจุบันของรอบถัดไป</t>
  </si>
  <si>
    <t xml:space="preserve">รอบที่ 02  •  พารามิเตอร์ปัจจุบัน → z → sigmoid p → error → gradient → log loss → พารามิเตอร์ใหม่</t>
  </si>
  <si>
    <t xml:space="preserve">grad b = error</t>
  </si>
  <si>
    <t xml:space="preserve">grad w1 = error×x1</t>
  </si>
  <si>
    <t xml:space="preserve">grad w2 = error×x2</t>
  </si>
  <si>
    <t xml:space="preserve">รอบที่ 03  •  พารามิเตอร์ปัจจุบัน → z → sigmoid p → error → gradient → log loss → พารามิเตอร์ใหม่</t>
  </si>
  <si>
    <t xml:space="preserve">รอบที่ 04  •  พารามิเตอร์ปัจจุบัน → z → sigmoid p → error → gradient → log loss → พารามิเตอร์ใหม่</t>
  </si>
  <si>
    <t xml:space="preserve">รอบที่ 05  •  พารามิเตอร์ปัจจุบัน → z → sigmoid p → error → gradient → log loss → พารามิเตอร์ใหม่</t>
  </si>
  <si>
    <t xml:space="preserve">รอบที่ 06  •  พารามิเตอร์ปัจจุบัน → z → sigmoid p → error → gradient → log loss → พารามิเตอร์ใหม่</t>
  </si>
  <si>
    <t xml:space="preserve">รอบที่ 07  •  พารามิเตอร์ปัจจุบัน → z → sigmoid p → error → gradient → log loss → พารามิเตอร์ใหม่</t>
  </si>
  <si>
    <t xml:space="preserve">รอบที่ 08  •  พารามิเตอร์ปัจจุบัน → z → sigmoid p → error → gradient → log loss → พารามิเตอร์ใหม่</t>
  </si>
  <si>
    <t xml:space="preserve">รอบที่ 09  •  พารามิเตอร์ปัจจุบัน → z → sigmoid p → error → gradient → log loss → พารามิเตอร์ใหม่</t>
  </si>
  <si>
    <t xml:space="preserve">รอบที่ 10  •  พารามิเตอร์ปัจจุบัน → z → sigmoid p → error → gradient → log loss → พารามิเตอร์ใหม่</t>
  </si>
  <si>
    <t xml:space="preserve">รอบที่ 11  •  พารามิเตอร์ปัจจุบัน → z → sigmoid p → error → gradient → log loss → พารามิเตอร์ใหม่</t>
  </si>
  <si>
    <t xml:space="preserve">รอบที่ 12  •  พารามิเตอร์ปัจจุบัน → z → sigmoid p → error → gradient → log loss → พารามิเตอร์ใหม่</t>
  </si>
  <si>
    <t xml:space="preserve">รอบที่ 13  •  พารามิเตอร์ปัจจุบัน → z → sigmoid p → error → gradient → log loss → พารามิเตอร์ใหม่</t>
  </si>
  <si>
    <t xml:space="preserve">รอบที่ 14  •  พารามิเตอร์ปัจจุบัน → z → sigmoid p → error → gradient → log loss → พารามิเตอร์ใหม่</t>
  </si>
  <si>
    <t xml:space="preserve">รอบที่ 15  •  พารามิเตอร์ปัจจุบัน → z → sigmoid p → error → gradient → log loss → พารามิเตอร์ใหม่</t>
  </si>
  <si>
    <t xml:space="preserve">03 • เส้นทางการเรียนรู้ของโมเดล</t>
  </si>
  <si>
    <t xml:space="preserve">ติดตามค่าน้ำหนัก Gradient และ Average Log Loss ตลอด 15 รอบ</t>
  </si>
  <si>
    <t xml:space="preserve">b ก่อน</t>
  </si>
  <si>
    <t xml:space="preserve">w1 ก่อน</t>
  </si>
  <si>
    <t xml:space="preserve">w2 ก่อน</t>
  </si>
  <si>
    <t xml:space="preserve">Avg Loss</t>
  </si>
  <si>
    <t xml:space="preserve">grad b</t>
  </si>
  <si>
    <t xml:space="preserve">grad w1</t>
  </si>
  <si>
    <t xml:space="preserve">grad w2</t>
  </si>
  <si>
    <t xml:space="preserve">b หลัง</t>
  </si>
  <si>
    <t xml:space="preserve">w1 หลัง</t>
  </si>
  <si>
    <t xml:space="preserve">w2 หลัง</t>
  </si>
  <si>
    <t xml:space="preserve">โมเดลสุดท้าย</t>
  </si>
  <si>
    <t xml:space="preserve">Final b</t>
  </si>
  <si>
    <t xml:space="preserve">สมการสุดท้าย: z = w1x1 + w2x2 + b</t>
  </si>
  <si>
    <t xml:space="preserve">Final w1</t>
  </si>
  <si>
    <t xml:space="preserve">Probability: p = 1 / (1 + EXP(-z))</t>
  </si>
  <si>
    <t xml:space="preserve">Final w2</t>
  </si>
  <si>
    <t xml:space="preserve">ถ้า p ≥ threshold → ทำนาย 1, ถ้า p &lt; threshold → ทำนาย 0</t>
  </si>
  <si>
    <t xml:space="preserve">04 • ทำนายข้อมูล Test</t>
  </si>
  <si>
    <t xml:space="preserve">แยก contribution ของ w1x1, w2x2 และ b เพื่อให้เห็นที่มาของ z และ probability</t>
  </si>
  <si>
    <t xml:space="preserve">Threshold</t>
  </si>
  <si>
    <t xml:space="preserve">Hours</t>
  </si>
  <si>
    <t xml:space="preserve">Attend %</t>
  </si>
  <si>
    <t xml:space="preserve">Actual y</t>
  </si>
  <si>
    <t xml:space="preserve">w1×x1</t>
  </si>
  <si>
    <t xml:space="preserve">w2×x2</t>
  </si>
  <si>
    <t xml:space="preserve">Probability p</t>
  </si>
  <si>
    <t xml:space="preserve">Predicted</t>
  </si>
  <si>
    <t xml:space="preserve">Outcome</t>
  </si>
  <si>
    <t xml:space="preserve">Correct</t>
  </si>
  <si>
    <t xml:space="preserve">อ่าน Outcome: TP = ผ่านจริงและทำนายว่าผ่าน, TN = ไม่ผ่านจริงและทำนายว่าไม่ผ่าน, FP/FN คือกรณีที่โมเดลทำนายคลาดเคลื่อน</t>
  </si>
  <si>
    <t xml:space="preserve">05 • Confusion Matrix และ Model Metrics</t>
  </si>
  <si>
    <t xml:space="preserve">คำนวณ Accuracy, Precision, Recall และ F1-score จากผลทำนายชุด Test</t>
  </si>
  <si>
    <t xml:space="preserve">Threshold ปัจจุบัน</t>
  </si>
  <si>
    <t xml:space="preserve">Confusion Matrix</t>
  </si>
  <si>
    <t xml:space="preserve">Actual / Predicted</t>
  </si>
  <si>
    <t xml:space="preserve">Predicted = 1</t>
  </si>
  <si>
    <t xml:space="preserve">Predicted = 0</t>
  </si>
  <si>
    <t xml:space="preserve">รวม Actual</t>
  </si>
  <si>
    <t xml:space="preserve">สัญลักษณ์</t>
  </si>
  <si>
    <t xml:space="preserve">ความหมาย</t>
  </si>
  <si>
    <t xml:space="preserve">Actual = 1</t>
  </si>
  <si>
    <t xml:space="preserve">TP</t>
  </si>
  <si>
    <t xml:space="preserve">ผ่านจริง และโมเดลทำนายว่าผ่าน</t>
  </si>
  <si>
    <t xml:space="preserve">Actual = 0</t>
  </si>
  <si>
    <t xml:space="preserve">FP</t>
  </si>
  <si>
    <t xml:space="preserve">ไม่ผ่านจริง แต่โมเดลทำนายว่าผ่าน</t>
  </si>
  <si>
    <t xml:space="preserve">รวม Predicted</t>
  </si>
  <si>
    <t xml:space="preserve">FN</t>
  </si>
  <si>
    <t xml:space="preserve">ผ่านจริง แต่โมเดลทำนายว่าไม่ผ่าน</t>
  </si>
  <si>
    <t xml:space="preserve">TN</t>
  </si>
  <si>
    <t xml:space="preserve">ไม่ผ่านจริง และโมเดลทำนายว่าไม่ผ่าน</t>
  </si>
  <si>
    <t xml:space="preserve">Metrics</t>
  </si>
  <si>
    <t xml:space="preserve">Metric</t>
  </si>
  <si>
    <t xml:space="preserve">ค่า</t>
  </si>
  <si>
    <t xml:space="preserve">สูตรจาก Matrix</t>
  </si>
  <si>
    <t xml:space="preserve">คำถามที่ metric ตอบ</t>
  </si>
  <si>
    <t xml:space="preserve">Accuracy</t>
  </si>
  <si>
    <t xml:space="preserve">(TP+TN)/(TP+TN+FP+FN)</t>
  </si>
  <si>
    <t xml:space="preserve">โดยรวมโมเดลทำนายถูกกี่เปอร์เซ็นต์?</t>
  </si>
  <si>
    <t xml:space="preserve">Precision</t>
  </si>
  <si>
    <t xml:space="preserve">TP/(TP+FP)</t>
  </si>
  <si>
    <t xml:space="preserve">ในคนที่โมเดลบอกว่าผ่าน มีผ่านจริงกี่เปอร์เซ็นต์?</t>
  </si>
  <si>
    <t xml:space="preserve">Recall</t>
  </si>
  <si>
    <t xml:space="preserve">TP/(TP+FN)</t>
  </si>
  <si>
    <t xml:space="preserve">ในคนที่ผ่านจริง โมเดลค้นพบได้กี่เปอร์เซ็นต์?</t>
  </si>
  <si>
    <t xml:space="preserve">F1-score</t>
  </si>
  <si>
    <t xml:space="preserve">2×Precision×Recall/(Precision+Recall)</t>
  </si>
  <si>
    <t xml:space="preserve">Precision และ Recall สมดุลกันดีเพียงใด?</t>
  </si>
  <si>
    <t xml:space="preserve">Error rate</t>
  </si>
  <si>
    <t xml:space="preserve">1-Accuracy</t>
  </si>
  <si>
    <t xml:space="preserve">โดยรวมโมเดลทำนายผิดกี่เปอร์เซ็นต์?</t>
  </si>
  <si>
    <t xml:space="preserve">06 • แนวคิดสำคัญที่ต้องเข้าใจ</t>
  </si>
  <si>
    <t xml:space="preserve">คำอธิบายว่าแต่ละขั้นตอนทำอะไร ทำไปทำไม และควรตีความอย่างไร</t>
  </si>
  <si>
    <t xml:space="preserve">ภาพรวม: ข้อมูล Train ใช้เรียนรู้ค่าน้ำหนัก → โมเดลแปลงข้อมูลเป็น z และ probability → threshold เปลี่ยน probability เป็น class → ข้อมูล Test ใช้วัดผลด้วย Confusion Matrix และ Metrics</t>
  </si>
  <si>
    <t xml:space="preserve">คำอธิบายแต่ละแนวคิด</t>
  </si>
  <si>
    <t xml:space="preserve">ขั้น</t>
  </si>
  <si>
    <t xml:space="preserve">แนวคิด</t>
  </si>
  <si>
    <t xml:space="preserve">ทำไมจึงสำคัญ / ข้อควรจำ</t>
  </si>
  <si>
    <t xml:space="preserve">1</t>
  </si>
  <si>
    <t xml:space="preserve">Train / Test split</t>
  </si>
  <si>
    <t xml:space="preserve">Train ใช้ปรับ weights w1, w2 และ bias b ส่วน Test กันไว้เพื่อวัดผลหลังฝึก</t>
  </si>
  <si>
    <t xml:space="preserve">ห้ามใช้ Test ฝึกโมเดล เพราะจะทำให้คะแนนประเมินดูดีเกินจริงและไม่สะท้อนข้อมูลใหม่</t>
  </si>
  <si>
    <t xml:space="preserve">2</t>
  </si>
  <si>
    <t xml:space="preserve">Feature scaling</t>
  </si>
  <si>
    <t xml:space="preserve">ทำให้ฟีเจอร์ที่มีหน่วยต่างกันมีขนาดใกล้กัน เช่น Hours 1–9 กับ Attendance 55–95</t>
  </si>
  <si>
    <t xml:space="preserve">ช่วยให้ Gradient Descent เสถียรและไม่ให้ฟีเจอร์หนึ่งดูสำคัญเพียงเพราะตัวเลขมีหน่วยใหญ่กว่า</t>
  </si>
  <si>
    <t xml:space="preserve">3</t>
  </si>
  <si>
    <t xml:space="preserve">Center</t>
  </si>
  <si>
    <t xml:space="preserve">ค่าดิบที่ต้องการให้แปลงเป็น 0 เช่น Hours center = 5</t>
  </si>
  <si>
    <t xml:space="preserve">เมื่อ x = 0 ส่วนของฟีเจอร์นั้นจะไม่เพิ่มหรือลด z ทำให้ bias/intercept b ตีความง่ายขึ้น</t>
  </si>
  <si>
    <t xml:space="preserve">4</t>
  </si>
  <si>
    <t xml:space="preserve">Scale</t>
  </si>
  <si>
    <t xml:space="preserve">ระยะของค่าดิบที่นับเป็น 1 หน่วยหลัง scaling เช่น Hours scale = 2.5</t>
  </si>
  <si>
    <t xml:space="preserve">Scale ไม่ใช่ค่าสูงสุด แต่เป็นตัวกำหนดขนาดของหนึ่งก้าวบนแกนฟีเจอร์</t>
  </si>
  <si>
    <t xml:space="preserve">5</t>
  </si>
  <si>
    <t xml:space="preserve">Linear score z</t>
  </si>
  <si>
    <t xml:space="preserve">z = w1x1 + w2x2 + b เป็นคะแนนรวมก่อนแปลงเป็น probability</t>
  </si>
  <si>
    <t xml:space="preserve">z ยังไม่ใช่ความน่าจะเป็นและอาจน้อยกว่า 0 หรือมากกว่า 1 ได้</t>
  </si>
  <si>
    <t xml:space="preserve">6</t>
  </si>
  <si>
    <t xml:space="preserve">p = 1/(1+EXP(-z)) แปลง z เป็นค่าระหว่าง 0 ถึง 1</t>
  </si>
  <si>
    <t xml:space="preserve">p ใช้สื่อระดับความมั่นใจของโมเดล แต่ไม่ใช่ class จนกว่าจะเลือก threshold</t>
  </si>
  <si>
    <t xml:space="preserve">7</t>
  </si>
  <si>
    <t xml:space="preserve">วัดระยะห่างระหว่าง probability กับคำตอบจริง y และลงโทษการมั่นใจผิดอย่างมาก</t>
  </si>
  <si>
    <t xml:space="preserve">ใช้ probability โดยตรง จึงละเอียดกว่าแค่ดูว่าทำนาย class ถูกหรือผิด</t>
  </si>
  <si>
    <t xml:space="preserve">8</t>
  </si>
  <si>
    <t xml:space="preserve">ค่าเฉลี่ยของ error และ error×x บอกทิศทางที่ควรปรับน้ำหนัก</t>
  </si>
  <si>
    <t xml:space="preserve">เครื่องหมายของ Gradient บอกทิศทาง ส่วนขนาดบอกความแรงของการปรับ</t>
  </si>
  <si>
    <t xml:space="preserve">9</t>
  </si>
  <si>
    <t xml:space="preserve">Learning rate α</t>
  </si>
  <si>
    <t xml:space="preserve">กำหนดขนาดก้าวในการอัปเดตพารามิเตอร์ใหม่ = ค่าเดิม - α×gradient</t>
  </si>
  <si>
    <t xml:space="preserve">เล็กเกินไปเรียนช้า ใหญ่เกินไปอาจแกว่งหรือทำให้ Loss เพิ่มขึ้น</t>
  </si>
  <si>
    <t xml:space="preserve">10</t>
  </si>
  <si>
    <t xml:space="preserve">กติกาเปลี่ยน probability เป็น class เช่น p ≥ 0.50 ให้ทำนาย 1</t>
  </si>
  <si>
    <t xml:space="preserve">Threshold ไม่ได้ถูกเรียนรู้ในตัวอย่างนี้ และการเปลี่ยน threshold ทำให้ FP/FN เปลี่ยน</t>
  </si>
  <si>
    <t xml:space="preserve">11</t>
  </si>
  <si>
    <t xml:space="preserve">นับ TP, FP, FN, TN เพื่อแยกประเภทการทำนายถูกและผิด</t>
  </si>
  <si>
    <t xml:space="preserve">บอกชนิดของความผิดพลาดได้ละเอียดกว่า Accuracy เพียงค่าเดียว</t>
  </si>
  <si>
    <t xml:space="preserve">12</t>
  </si>
  <si>
    <t xml:space="preserve">สัดส่วนที่ทำนายถูกทั้งหมด: (TP+TN)/(TP+TN+FP+FN)</t>
  </si>
  <si>
    <t xml:space="preserve">เข้าใจง่ายแต่ต้องระวัง หาก class หนึ่งมีจำนวนมากกว่าอีก class มาก Accuracy อาจดูสูงทั้งที่โมเดลพลาด class สำคัญ</t>
  </si>
  <si>
    <t xml:space="preserve">13</t>
  </si>
  <si>
    <t xml:space="preserve">ในคนที่โมเดลทำนายเป็น 1 มีเป็น 1 จริงกี่ส่วน: TP/(TP+FP)</t>
  </si>
  <si>
    <t xml:space="preserve">สำคัญเมื่อ False Positive มีต้นทุนสูง</t>
  </si>
  <si>
    <t xml:space="preserve">14</t>
  </si>
  <si>
    <t xml:space="preserve">ในคนที่เป็น 1 จริง โมเดลค้นพบได้กี่ส่วน: TP/(TP+FN)</t>
  </si>
  <si>
    <t xml:space="preserve">สำคัญเมื่อการพลาดกรณี Positive หรือ False Negative มีต้นทุนสูง</t>
  </si>
  <si>
    <t xml:space="preserve">15</t>
  </si>
  <si>
    <t xml:space="preserve">ค่าเฉลี่ยแบบ harmonic ของ Precision และ Recall</t>
  </si>
  <si>
    <t xml:space="preserve">ใช้เมื่ออยากให้ Precision และ Recall สมดุล โดยเฉพาะเมื่อจำนวนแต่ละ class ไม่เท่ากัน</t>
  </si>
  <si>
    <t xml:space="preserve">สรุปที่มาของค่าปรับสเกลใน 01_Data</t>
  </si>
  <si>
    <t xml:space="preserve">พารามิเตอร์</t>
  </si>
  <si>
    <t xml:space="preserve">ที่มา</t>
  </si>
  <si>
    <t xml:space="preserve">ความหมายหลังแปลง</t>
  </si>
  <si>
    <t xml:space="preserve">5 ชั่วโมง → x1 = 0</t>
  </si>
  <si>
    <t xml:space="preserve">2.5/5/7.5 ชั่วโมง → -1/0/+1</t>
  </si>
  <si>
    <t xml:space="preserve">75% → x2 = 0</t>
  </si>
  <si>
    <t xml:space="preserve">60/75/90% → -1/0/+1</t>
  </si>
  <si>
    <t xml:space="preserve">คำสำคัญ: Center-and-Scale ในไฟล์นี้ใช้ค่าที่ใกล้สถิติจริงแต่ปัดให้คำนวณง่าย หากต้องการ z-score มาตรฐาน ให้ใช้ Mean และ Standard Deviation จริงโดยไม่ปัดค่า</t>
  </si>
  <si>
    <t xml:space="preserve">07 • แบบฝึกหัดและการทดลอง Threshold</t>
  </si>
  <si>
    <t xml:space="preserve">ใช้ probability เดิม แต่จำแนก class ที่ threshold ต่างกัน เพื่อเปรียบเทียบ trade-off</t>
  </si>
  <si>
    <t xml:space="preserve">ตารางทดลองอัตโนมัติ</t>
  </si>
  <si>
    <t xml:space="preserve">คำถามสำหรับอภิปราย</t>
  </si>
  <si>
    <t xml:space="preserve">1. Threshold ใดให้ F1-score สูงที่สุด? เหตุใดจึงไม่จำเป็นต้องเป็น 0.50 เสมอไป?</t>
  </si>
  <si>
    <t xml:space="preserve">บันทึกคำตอบ:</t>
  </si>
  <si>
    <t xml:space="preserve">2. เมื่อเพิ่ม threshold จำนวน FP และ FN เปลี่ยนอย่างไร? อธิบายจากตาราง</t>
  </si>
  <si>
    <t xml:space="preserve">3. ถ้าโจทย์คือคัดกรองนักศึกษาที่เสี่ยงตก และไม่อยากพลาดผู้ที่ต้องช่วยเหลือ ควรเน้น metric ใด?</t>
  </si>
  <si>
    <t xml:space="preserve">4. กลับไปปรับ Learning rate ใน 02_Training_Detail เป็น 0.10 และ 0.80 แล้วเปรียบเทียบกราฟ Loss</t>
  </si>
  <si>
    <t xml:space="preserve">5. เปลี่ยนค่า y ของข้อมูล Train หนึ่งแถว แล้วสังเกตว่าค่าน้ำหนักสุดท้ายและ metrics เปลี่ยนอย่างไร</t>
  </si>
  <si>
    <t xml:space="preserve">แนวคิดสำคัญ: metric ที่ดีที่สุดขึ้นอยู่กับต้นทุนของ FP และ FN ในบริบทจริง ไม่ใช่เลือก Accuracy สูงสุดเพียงอย่างเดียว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</si>
</sst>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\%"/>
    <numFmt numFmtId="166" formatCode="0.000"/>
    <numFmt numFmtId="167" formatCode="0.00"/>
    <numFmt numFmtId="168" formatCode="0.0000"/>
    <numFmt numFmtId="169" formatCode="&quot;TRUE&quot;;&quot;TRUE&quot;;&quot;FALSE&quot;"/>
    <numFmt numFmtId="170" formatCode="0.0%"/>
  </numFmts>
  <fonts count="36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</font>
    <font>
      <sz val="10"/>
      <color rgb="FFFFFFFF"/>
      <name val="Arial"/>
      <family val="0"/>
    </font>
    <font>
      <b val="true"/>
      <sz val="11"/>
      <color rgb="FFFFFFFF"/>
      <name val="Arial"/>
      <family val="0"/>
    </font>
    <font>
      <sz val="10"/>
      <color rgb="FF17324D"/>
      <name val="Arial"/>
      <family val="0"/>
    </font>
    <font>
      <b val="true"/>
      <sz val="10"/>
      <color rgb="FF0B7285"/>
      <name val="Arial"/>
      <family val="0"/>
    </font>
    <font>
      <b val="true"/>
      <sz val="10"/>
      <color rgb="FF17324D"/>
      <name val="Arial"/>
      <family val="0"/>
    </font>
    <font>
      <sz val="10"/>
      <color rgb="FF7048E8"/>
      <name val="Arial"/>
      <family val="0"/>
    </font>
    <font>
      <b val="true"/>
      <sz val="10"/>
      <color rgb="FF1971C2"/>
      <name val="Arial"/>
      <family val="0"/>
    </font>
    <font>
      <sz val="10"/>
      <color rgb="FF2B8A3E"/>
      <name val="Arial"/>
      <family val="0"/>
    </font>
    <font>
      <sz val="10"/>
      <color rgb="FFC92A2A"/>
      <name val="Arial"/>
      <family val="0"/>
    </font>
    <font>
      <b val="true"/>
      <sz val="9"/>
      <color rgb="FFFFFFFF"/>
      <name val="Arial"/>
      <family val="0"/>
    </font>
    <font>
      <b val="true"/>
      <sz val="9"/>
      <color rgb="FF17324D"/>
      <name val="Arial"/>
      <family val="0"/>
    </font>
    <font>
      <sz val="10"/>
      <color rgb="FF1971C2"/>
      <name val="Arial"/>
      <family val="0"/>
    </font>
    <font>
      <sz val="9"/>
      <color rgb="FF7048E8"/>
      <name val="Arial"/>
      <family val="0"/>
    </font>
    <font>
      <sz val="9"/>
      <color rgb="FF2B8A3E"/>
      <name val="Arial"/>
      <family val="0"/>
    </font>
    <font>
      <sz val="9"/>
      <color rgb="FF17324D"/>
      <name val="Arial"/>
      <family val="0"/>
    </font>
    <font>
      <b val="true"/>
      <sz val="9"/>
      <color rgb="FF7048E8"/>
      <name val="Arial"/>
      <family val="0"/>
    </font>
    <font>
      <i val="true"/>
      <sz val="9"/>
      <color rgb="FF495057"/>
      <name val="Arial"/>
      <family val="0"/>
    </font>
    <font>
      <sz val="10"/>
      <name val="Arial Unicode MS"/>
      <family val="2"/>
    </font>
    <font>
      <sz val="10"/>
      <name val="Arial"/>
      <family val="2"/>
    </font>
    <font>
      <b val="true"/>
      <sz val="10"/>
      <color rgb="FF2B8A3E"/>
      <name val="Arial"/>
      <family val="0"/>
    </font>
    <font>
      <sz val="9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11"/>
      <color rgb="FF7048E8"/>
      <name val="Arial"/>
      <family val="0"/>
    </font>
    <font>
      <b val="true"/>
      <sz val="18"/>
      <color rgb="FF000000"/>
      <name val="Calibri"/>
      <family val="2"/>
    </font>
    <font>
      <b val="true"/>
      <sz val="18"/>
      <color rgb="FF000000"/>
      <name val="Arial Unicode MS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971C2"/>
      <name val="Arial"/>
      <family val="0"/>
    </font>
    <font>
      <b val="true"/>
      <sz val="11"/>
      <color rgb="FF2B8A3E"/>
      <name val="Arial"/>
      <family val="0"/>
    </font>
    <font>
      <b val="true"/>
      <sz val="12"/>
      <color rgb="FF0B7285"/>
      <name val="Arial"/>
      <family val="0"/>
    </font>
    <font>
      <b val="true"/>
      <sz val="9"/>
      <color rgb="FF0B7285"/>
      <name val="Arial"/>
      <family val="0"/>
    </font>
  </fonts>
  <fills count="13">
    <fill>
      <patternFill patternType="none"/>
    </fill>
    <fill>
      <patternFill patternType="gray125"/>
    </fill>
    <fill>
      <patternFill patternType="solid">
        <fgColor rgb="FF17324D"/>
        <bgColor rgb="FF003300"/>
      </patternFill>
    </fill>
    <fill>
      <patternFill patternType="solid">
        <fgColor rgb="FF0B7285"/>
        <bgColor rgb="FF008080"/>
      </patternFill>
    </fill>
    <fill>
      <patternFill patternType="solid">
        <fgColor rgb="FFE7F5FF"/>
        <bgColor rgb="FFF1F3F5"/>
      </patternFill>
    </fill>
    <fill>
      <patternFill patternType="solid">
        <fgColor rgb="FFF1F3F5"/>
        <bgColor rgb="FFE7F5FF"/>
      </patternFill>
    </fill>
    <fill>
      <patternFill patternType="solid">
        <fgColor rgb="FFD0EBFF"/>
        <bgColor rgb="FFE7F5FF"/>
      </patternFill>
    </fill>
    <fill>
      <patternFill patternType="solid">
        <fgColor rgb="FFFFFFFF"/>
        <bgColor rgb="FFF1F3F5"/>
      </patternFill>
    </fill>
    <fill>
      <patternFill patternType="solid">
        <fgColor rgb="FFE5DBFF"/>
        <bgColor rgb="FFD9D9D9"/>
      </patternFill>
    </fill>
    <fill>
      <patternFill patternType="solid">
        <fgColor rgb="FFFFF3BF"/>
        <bgColor rgb="FFFFE3E3"/>
      </patternFill>
    </fill>
    <fill>
      <patternFill patternType="solid">
        <fgColor rgb="FFD3F9D8"/>
        <bgColor rgb="FFD0EBFF"/>
      </patternFill>
    </fill>
    <fill>
      <patternFill patternType="solid">
        <fgColor rgb="FFFFE3E3"/>
        <bgColor rgb="FFF1F3F5"/>
      </patternFill>
    </fill>
    <fill>
      <patternFill patternType="solid">
        <fgColor rgb="FFF59F00"/>
        <bgColor rgb="FFFFCC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ED4DA"/>
      </left>
      <right/>
      <top style="thin">
        <color rgb="FFCED4DA"/>
      </top>
      <bottom style="thin">
        <color rgb="FFCED4DA"/>
      </bottom>
      <diagonal/>
    </border>
    <border diagonalUp="false" diagonalDown="false"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  <border diagonalUp="false" diagonalDown="false">
      <left style="medium">
        <color rgb="FF17324D"/>
      </left>
      <right/>
      <top style="thin">
        <color rgb="FFCED4D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1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8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1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8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8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5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8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9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8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6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32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5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25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5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33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34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34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7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3" fillId="1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5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8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16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971C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3F9D8"/>
          <bgColor rgb="FF000000"/>
        </patternFill>
      </fill>
    </dxf>
    <dxf>
      <fill>
        <patternFill patternType="solid">
          <fgColor rgb="FFF1F3F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0EBFF"/>
          <bgColor rgb="FF000000"/>
        </patternFill>
      </fill>
    </dxf>
    <dxf>
      <fill>
        <patternFill patternType="solid">
          <fgColor rgb="FFFFF3BF"/>
          <bgColor rgb="FF000000"/>
        </patternFill>
      </fill>
    </dxf>
    <dxf>
      <font>
        <name val="Arial"/>
        <family val="0"/>
        <color rgb="FF000000"/>
      </font>
      <fill>
        <patternFill>
          <bgColor rgb="FFD3F9D8"/>
        </patternFill>
      </fill>
    </dxf>
    <dxf>
      <font>
        <name val="Arial"/>
        <family val="0"/>
        <color rgb="FF000000"/>
      </font>
      <fill>
        <patternFill>
          <bgColor rgb="FFF1F3F5"/>
        </patternFill>
      </fill>
    </dxf>
    <dxf>
      <fill>
        <patternFill patternType="solid">
          <fgColor rgb="FFE7F5FF"/>
          <bgColor rgb="FF000000"/>
        </patternFill>
      </fill>
    </dxf>
    <dxf>
      <fill>
        <patternFill patternType="solid">
          <fgColor rgb="FF2B8A3E"/>
          <bgColor rgb="FF000000"/>
        </patternFill>
      </fill>
    </dxf>
    <dxf>
      <fill>
        <patternFill patternType="solid">
          <fgColor rgb="FFFFE3E3"/>
          <bgColor rgb="FF000000"/>
        </patternFill>
      </fill>
    </dxf>
    <dxf>
      <fill>
        <patternFill patternType="solid">
          <fgColor rgb="FFC92A2A"/>
          <bgColor rgb="FF000000"/>
        </patternFill>
      </fill>
    </dxf>
    <dxf>
      <font>
        <name val="Arial"/>
        <family val="0"/>
        <b val="1"/>
        <color rgb="FF2B8A3E"/>
        <sz val="9"/>
      </font>
      <fill>
        <patternFill>
          <bgColor rgb="FFD3F9D8"/>
        </patternFill>
      </fill>
    </dxf>
    <dxf>
      <font>
        <name val="Arial"/>
        <family val="0"/>
        <b val="1"/>
        <color rgb="FFC92A2A"/>
        <sz val="9"/>
      </font>
      <fill>
        <patternFill>
          <bgColor rgb="FFFFE3E3"/>
        </patternFill>
      </fill>
    </dxf>
    <dxf>
      <font>
        <name val="Arial"/>
        <family val="0"/>
        <color rgb="FF000000"/>
      </font>
      <fill>
        <patternFill>
          <bgColor rgb="FFFFE3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285"/>
      <rgbColor rgb="FFB3C992"/>
      <rgbColor rgb="FF878787"/>
      <rgbColor rgb="FF9999FF"/>
      <rgbColor rgb="FF9D3E3B"/>
      <rgbColor rgb="FFFFF3BF"/>
      <rgbColor rgb="FFD0EBFF"/>
      <rgbColor rgb="FF660066"/>
      <rgbColor rgb="FFFF8080"/>
      <rgbColor rgb="FF1971C2"/>
      <rgbColor rgb="FFCE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5FF"/>
      <rgbColor rgb="FFD3F9D8"/>
      <rgbColor rgb="FFF1F3F5"/>
      <rgbColor rgb="FFD9D9D9"/>
      <rgbColor rgb="FFD4A5A4"/>
      <rgbColor rgb="FFE5DBFF"/>
      <rgbColor rgb="FFFFE3E3"/>
      <rgbColor rgb="FF3366FF"/>
      <rgbColor rgb="FF33CCCC"/>
      <rgbColor rgb="FF98B855"/>
      <rgbColor rgb="FFFFCC00"/>
      <rgbColor rgb="FFF59F00"/>
      <rgbColor rgb="FFFF6600"/>
      <rgbColor rgb="FF7048E8"/>
      <rgbColor rgb="FF87A44B"/>
      <rgbColor rgb="FF17324D"/>
      <rgbColor rgb="FF2B8A3E"/>
      <rgbColor rgb="FF003300"/>
      <rgbColor rgb="FF333300"/>
      <rgbColor rgb="FFC92A2A"/>
      <rgbColor rgb="FFBE4B48"/>
      <rgbColor rgb="FF333399"/>
      <rgbColor rgb="FF495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Log Loss ลดลงในแต่ละรอบ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03_Model_Path!$E$5</c:f>
              <c:strCache>
                <c:ptCount val="1"/>
                <c:pt idx="0">
                  <c:v>Avg Loss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03_Model_Path!$E$6:$E$20</c:f>
              <c:numCache>
                <c:formatCode>0.0000</c:formatCode>
                <c:ptCount val="15"/>
                <c:pt idx="0">
                  <c:v>0.693147180559945</c:v>
                </c:pt>
                <c:pt idx="1">
                  <c:v>0.608660301537872</c:v>
                </c:pt>
                <c:pt idx="2">
                  <c:v>0.545205683836669</c:v>
                </c:pt>
                <c:pt idx="3">
                  <c:v>0.49675458613102</c:v>
                </c:pt>
                <c:pt idx="4">
                  <c:v>0.458933229519195</c:v>
                </c:pt>
                <c:pt idx="5">
                  <c:v>0.428723927591644</c:v>
                </c:pt>
                <c:pt idx="6">
                  <c:v>0.404069062262606</c:v>
                </c:pt>
                <c:pt idx="7">
                  <c:v>0.383555015423213</c:v>
                </c:pt>
                <c:pt idx="8">
                  <c:v>0.366194590094399</c:v>
                </c:pt>
                <c:pt idx="9">
                  <c:v>0.351284668405161</c:v>
                </c:pt>
                <c:pt idx="10">
                  <c:v>0.338314193031823</c:v>
                </c:pt>
                <c:pt idx="11">
                  <c:v>0.326904344280292</c:v>
                </c:pt>
                <c:pt idx="12">
                  <c:v>0.316769113633611</c:v>
                </c:pt>
                <c:pt idx="13">
                  <c:v>0.307688872807359</c:v>
                </c:pt>
                <c:pt idx="14">
                  <c:v>0.299492330455602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032578"/>
        <c:axId val="66599563"/>
      </c:lineChart>
      <c:catAx>
        <c:axId val="370325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Iteration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599563"/>
        <c:crosses val="autoZero"/>
        <c:auto val="1"/>
        <c:lblAlgn val="ctr"/>
        <c:lblOffset val="100"/>
        <c:noMultiLvlLbl val="0"/>
      </c:catAx>
      <c:valAx>
        <c:axId val="665995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Average Log Loss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0325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การเปลี่ยนแปลงของ b, w1, w2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03_Model_Path!$I$5</c:f>
              <c:strCache>
                <c:ptCount val="1"/>
                <c:pt idx="0">
                  <c:v>b หลัง</c:v>
                </c:pt>
              </c:strCache>
            </c:strRef>
          </c:tx>
          <c:spPr>
            <a:solidFill>
              <a:srgbClr val="9d3e3b"/>
            </a:solidFill>
            <a:ln w="1260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03_Model_Path!$I$6:$I$20</c:f>
              <c:numCache>
                <c:formatCode>0.0000</c:formatCode>
                <c:ptCount val="15"/>
                <c:pt idx="0">
                  <c:v>0.04</c:v>
                </c:pt>
                <c:pt idx="1">
                  <c:v>0.0764570721578644</c:v>
                </c:pt>
                <c:pt idx="2">
                  <c:v>0.109882403272598</c:v>
                </c:pt>
                <c:pt idx="3">
                  <c:v>0.140792674526917</c:v>
                </c:pt>
                <c:pt idx="4">
                  <c:v>0.169625733788998</c:v>
                </c:pt>
                <c:pt idx="5">
                  <c:v>0.196727615524917</c:v>
                </c:pt>
                <c:pt idx="6">
                  <c:v>0.222365571039433</c:v>
                </c:pt>
                <c:pt idx="7">
                  <c:v>0.246745851643405</c:v>
                </c:pt>
                <c:pt idx="8">
                  <c:v>0.270029210481584</c:v>
                </c:pt>
                <c:pt idx="9">
                  <c:v>0.292342782971176</c:v>
                </c:pt>
                <c:pt idx="10">
                  <c:v>0.31378877010901</c:v>
                </c:pt>
                <c:pt idx="11">
                  <c:v>0.334450688345969</c:v>
                </c:pt>
                <c:pt idx="12">
                  <c:v>0.354397865725076</c:v>
                </c:pt>
                <c:pt idx="13">
                  <c:v>0.373688698603641</c:v>
                </c:pt>
                <c:pt idx="14">
                  <c:v>0.392373035566196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03_Model_Path!$J$5</c:f>
              <c:strCache>
                <c:ptCount val="1"/>
                <c:pt idx="0">
                  <c:v>w1 หลัง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03_Model_Path!$J$6:$J$20</c:f>
              <c:numCache>
                <c:formatCode>0.0000</c:formatCode>
                <c:ptCount val="15"/>
                <c:pt idx="0">
                  <c:v>0.14</c:v>
                </c:pt>
                <c:pt idx="1">
                  <c:v>0.260252493818078</c:v>
                </c:pt>
                <c:pt idx="2">
                  <c:v>0.364220426269862</c:v>
                </c:pt>
                <c:pt idx="3">
                  <c:v>0.455029891828793</c:v>
                </c:pt>
                <c:pt idx="4">
                  <c:v>0.535236461303009</c:v>
                </c:pt>
                <c:pt idx="5">
                  <c:v>0.606844312274462</c:v>
                </c:pt>
                <c:pt idx="6">
                  <c:v>0.671405031899042</c:v>
                </c:pt>
                <c:pt idx="7">
                  <c:v>0.730121256561829</c:v>
                </c:pt>
                <c:pt idx="8">
                  <c:v>0.783932533435727</c:v>
                </c:pt>
                <c:pt idx="9">
                  <c:v>0.833580838802556</c:v>
                </c:pt>
                <c:pt idx="10">
                  <c:v>0.87965905697701</c:v>
                </c:pt>
                <c:pt idx="11">
                  <c:v>0.922646542997567</c:v>
                </c:pt>
                <c:pt idx="12">
                  <c:v>0.962935260795531</c:v>
                </c:pt>
                <c:pt idx="13">
                  <c:v>1.00084913185677</c:v>
                </c:pt>
                <c:pt idx="14">
                  <c:v>1.03665849639306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03_Model_Path!$K$5</c:f>
              <c:strCache>
                <c:ptCount val="1"/>
                <c:pt idx="0">
                  <c:v>w2 หลัง</c:v>
                </c:pt>
              </c:strCache>
            </c:strRef>
          </c:tx>
          <c:spPr>
            <a:solidFill>
              <a:srgbClr val="d4a5a4"/>
            </a:solidFill>
            <a:ln w="1260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03_Model_Path!$K$6:$K$20</c:f>
              <c:numCache>
                <c:formatCode>0.0000</c:formatCode>
                <c:ptCount val="15"/>
                <c:pt idx="0">
                  <c:v>0.122666666666667</c:v>
                </c:pt>
                <c:pt idx="1">
                  <c:v>0.229216503888147</c:v>
                </c:pt>
                <c:pt idx="2">
                  <c:v>0.322476330429073</c:v>
                </c:pt>
                <c:pt idx="3">
                  <c:v>0.405000474660049</c:v>
                </c:pt>
                <c:pt idx="4">
                  <c:v>0.47887703000712</c:v>
                </c:pt>
                <c:pt idx="5">
                  <c:v>0.545742700735755</c:v>
                </c:pt>
                <c:pt idx="6">
                  <c:v>0.606863546478312</c:v>
                </c:pt>
                <c:pt idx="7">
                  <c:v>0.663219894102314</c:v>
                </c:pt>
                <c:pt idx="8">
                  <c:v>0.715576728506817</c:v>
                </c:pt>
                <c:pt idx="9">
                  <c:v>0.76453741089658</c:v>
                </c:pt>
                <c:pt idx="10">
                  <c:v>0.810583420902504</c:v>
                </c:pt>
                <c:pt idx="11">
                  <c:v>0.854103502113015</c:v>
                </c:pt>
                <c:pt idx="12">
                  <c:v>0.89541507573119</c:v>
                </c:pt>
                <c:pt idx="13">
                  <c:v>0.934780084863286</c:v>
                </c:pt>
                <c:pt idx="14">
                  <c:v>0.972416830485432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143993"/>
        <c:axId val="32582208"/>
      </c:lineChart>
      <c:catAx>
        <c:axId val="921439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Iteration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582208"/>
        <c:crosses val="autoZero"/>
        <c:auto val="1"/>
        <c:lblAlgn val="ctr"/>
        <c:lblOffset val="100"/>
        <c:noMultiLvlLbl val="0"/>
      </c:catAx>
      <c:valAx>
        <c:axId val="325822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Weight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1439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Probability เทียบกับ Threshold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04_Test_Prediction!$K$7</c:f>
              <c:strCache>
                <c:ptCount val="1"/>
                <c:pt idx="0">
                  <c:v>Probability p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04_Test_Prediction!$A$8:$A$17</c:f>
              <c:strCache>
                <c:ptCount val="10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</c:strCache>
            </c:strRef>
          </c:cat>
          <c:val>
            <c:numRef>
              <c:f>04_Test_Prediction!$K$8:$K$17</c:f>
              <c:numCache>
                <c:formatCode>0.0000</c:formatCode>
                <c:ptCount val="10"/>
                <c:pt idx="0">
                  <c:v>0.104502078986915</c:v>
                </c:pt>
                <c:pt idx="1">
                  <c:v>0.392467065790411</c:v>
                </c:pt>
                <c:pt idx="2">
                  <c:v>0.6062327901918</c:v>
                </c:pt>
                <c:pt idx="3">
                  <c:v>0.436370651549444</c:v>
                </c:pt>
                <c:pt idx="4">
                  <c:v>0.796537073694141</c:v>
                </c:pt>
                <c:pt idx="5">
                  <c:v>0.648522971209378</c:v>
                </c:pt>
                <c:pt idx="6">
                  <c:v>0.562000015428557</c:v>
                </c:pt>
                <c:pt idx="7">
                  <c:v>0.65752189002958</c:v>
                </c:pt>
                <c:pt idx="8">
                  <c:v>0.876587288983245</c:v>
                </c:pt>
                <c:pt idx="9">
                  <c:v>0.465281558273665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04_Test_Prediction!$O$7</c:f>
              <c:strCache>
                <c:ptCount val="1"/>
                <c:pt idx="0">
                  <c:v>Threshold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04_Test_Prediction!$A$8:$A$17</c:f>
              <c:strCache>
                <c:ptCount val="10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</c:strCache>
            </c:strRef>
          </c:cat>
          <c:val>
            <c:numRef>
              <c:f>04_Test_Prediction!$O$8:$O$17</c:f>
              <c:numCache>
                <c:formatCode>0.00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395170"/>
        <c:axId val="11913777"/>
      </c:lineChart>
      <c:catAx>
        <c:axId val="893951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Student 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913777"/>
        <c:crosses val="autoZero"/>
        <c:auto val="1"/>
        <c:lblAlgn val="ctr"/>
        <c:lblOffset val="100"/>
        <c:noMultiLvlLbl val="0"/>
      </c:catAx>
      <c:valAx>
        <c:axId val="1191377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Probability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3951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4</xdr:row>
      <xdr:rowOff>0</xdr:rowOff>
    </xdr:from>
    <xdr:to>
      <xdr:col>20</xdr:col>
      <xdr:colOff>507240</xdr:colOff>
      <xdr:row>12</xdr:row>
      <xdr:rowOff>270360</xdr:rowOff>
    </xdr:to>
    <xdr:graphicFrame>
      <xdr:nvGraphicFramePr>
        <xdr:cNvPr id="1" name="Chart 1"/>
        <xdr:cNvGraphicFramePr/>
      </xdr:nvGraphicFramePr>
      <xdr:xfrm>
        <a:off x="10690920" y="112392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20</xdr:row>
      <xdr:rowOff>0</xdr:rowOff>
    </xdr:from>
    <xdr:to>
      <xdr:col>20</xdr:col>
      <xdr:colOff>507240</xdr:colOff>
      <xdr:row>33</xdr:row>
      <xdr:rowOff>180720</xdr:rowOff>
    </xdr:to>
    <xdr:graphicFrame>
      <xdr:nvGraphicFramePr>
        <xdr:cNvPr id="2" name="Chart 2"/>
        <xdr:cNvGraphicFramePr/>
      </xdr:nvGraphicFramePr>
      <xdr:xfrm>
        <a:off x="10690920" y="583884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6</xdr:row>
      <xdr:rowOff>0</xdr:rowOff>
    </xdr:from>
    <xdr:to>
      <xdr:col>25</xdr:col>
      <xdr:colOff>255960</xdr:colOff>
      <xdr:row>14</xdr:row>
      <xdr:rowOff>183600</xdr:rowOff>
    </xdr:to>
    <xdr:graphicFrame>
      <xdr:nvGraphicFramePr>
        <xdr:cNvPr id="3" name="Chart 1"/>
        <xdr:cNvGraphicFramePr/>
      </xdr:nvGraphicFramePr>
      <xdr:xfrm>
        <a:off x="12805560" y="14896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3" topLeftCell="A4" activePane="bottomLeft" state="frozen"/>
      <selection pane="topLeft" activeCell="A1" activeCellId="0" sqref="A1"/>
      <selection pane="bottomLeft" activeCell="C11" activeCellId="0" sqref="C1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7" min="2" style="1" width="24"/>
    <col collapsed="false" customWidth="true" hidden="false" outlineLevel="0" max="8" min="8" style="1" width="4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2.5" hidden="false" customHeight="true" outlineLevel="0" collapsed="false">
      <c r="B4" s="4" t="s">
        <v>2</v>
      </c>
      <c r="C4" s="4"/>
      <c r="D4" s="4"/>
      <c r="E4" s="4"/>
      <c r="F4" s="4"/>
      <c r="G4" s="4"/>
    </row>
    <row r="5" customFormat="false" ht="27.75" hidden="false" customHeight="true" outlineLevel="0" collapsed="false">
      <c r="B5" s="5" t="s">
        <v>3</v>
      </c>
      <c r="C5" s="5"/>
      <c r="D5" s="5"/>
      <c r="E5" s="5"/>
      <c r="F5" s="5"/>
      <c r="G5" s="5"/>
    </row>
    <row r="6" customFormat="false" ht="27.75" hidden="false" customHeight="true" outlineLevel="0" collapsed="false">
      <c r="B6" s="6" t="s">
        <v>4</v>
      </c>
      <c r="C6" s="6"/>
      <c r="D6" s="6"/>
      <c r="E6" s="6"/>
      <c r="F6" s="6"/>
      <c r="G6" s="6"/>
    </row>
    <row r="7" customFormat="false" ht="27.75" hidden="false" customHeight="true" outlineLevel="0" collapsed="false">
      <c r="B7" s="5" t="s">
        <v>5</v>
      </c>
      <c r="C7" s="5"/>
      <c r="D7" s="5"/>
      <c r="E7" s="5"/>
      <c r="F7" s="5"/>
      <c r="G7" s="5"/>
    </row>
    <row r="8" customFormat="false" ht="27.75" hidden="false" customHeight="true" outlineLevel="0" collapsed="false">
      <c r="B8" s="6" t="s">
        <v>6</v>
      </c>
      <c r="C8" s="6"/>
      <c r="D8" s="6"/>
      <c r="E8" s="6"/>
      <c r="F8" s="6"/>
      <c r="G8" s="6"/>
    </row>
    <row r="10" customFormat="false" ht="22.5" hidden="false" customHeight="true" outlineLevel="0" collapsed="false">
      <c r="B10" s="4" t="s">
        <v>7</v>
      </c>
      <c r="C10" s="4"/>
      <c r="D10" s="4"/>
      <c r="E10" s="4"/>
      <c r="F10" s="4"/>
      <c r="G10" s="4"/>
    </row>
    <row r="11" customFormat="false" ht="25.5" hidden="false" customHeight="true" outlineLevel="0" collapsed="false">
      <c r="B11" s="7" t="s">
        <v>8</v>
      </c>
      <c r="C11" s="8" t="s">
        <v>9</v>
      </c>
      <c r="D11" s="8"/>
      <c r="E11" s="8"/>
      <c r="F11" s="8"/>
      <c r="G11" s="8"/>
    </row>
    <row r="12" customFormat="false" ht="25.5" hidden="false" customHeight="true" outlineLevel="0" collapsed="false">
      <c r="B12" s="7" t="s">
        <v>10</v>
      </c>
      <c r="C12" s="8" t="s">
        <v>11</v>
      </c>
      <c r="D12" s="8"/>
      <c r="E12" s="8"/>
      <c r="F12" s="8"/>
      <c r="G12" s="8"/>
    </row>
    <row r="13" customFormat="false" ht="25.5" hidden="false" customHeight="true" outlineLevel="0" collapsed="false">
      <c r="B13" s="7" t="s">
        <v>12</v>
      </c>
      <c r="C13" s="8" t="s">
        <v>13</v>
      </c>
      <c r="D13" s="8"/>
      <c r="E13" s="8"/>
      <c r="F13" s="8"/>
      <c r="G13" s="8"/>
    </row>
    <row r="14" customFormat="false" ht="25.5" hidden="false" customHeight="true" outlineLevel="0" collapsed="false">
      <c r="B14" s="7" t="s">
        <v>14</v>
      </c>
      <c r="C14" s="8" t="s">
        <v>15</v>
      </c>
      <c r="D14" s="8"/>
      <c r="E14" s="8"/>
      <c r="F14" s="8"/>
      <c r="G14" s="8"/>
    </row>
    <row r="15" customFormat="false" ht="25.5" hidden="false" customHeight="true" outlineLevel="0" collapsed="false">
      <c r="B15" s="7" t="s">
        <v>16</v>
      </c>
      <c r="C15" s="8" t="s">
        <v>17</v>
      </c>
      <c r="D15" s="8"/>
      <c r="E15" s="8"/>
      <c r="F15" s="8"/>
      <c r="G15" s="8"/>
    </row>
    <row r="16" customFormat="false" ht="25.5" hidden="false" customHeight="true" outlineLevel="0" collapsed="false">
      <c r="B16" s="7" t="s">
        <v>18</v>
      </c>
      <c r="C16" s="8" t="s">
        <v>19</v>
      </c>
      <c r="D16" s="8"/>
      <c r="E16" s="8"/>
      <c r="F16" s="8"/>
      <c r="G16" s="8"/>
    </row>
    <row r="17" customFormat="false" ht="25.5" hidden="false" customHeight="true" outlineLevel="0" collapsed="false">
      <c r="B17" s="7" t="s">
        <v>20</v>
      </c>
      <c r="C17" s="8" t="s">
        <v>21</v>
      </c>
      <c r="D17" s="8"/>
      <c r="E17" s="8"/>
      <c r="F17" s="8"/>
      <c r="G17" s="8"/>
    </row>
    <row r="18" customFormat="false" ht="22.5" hidden="false" customHeight="true" outlineLevel="0" collapsed="false">
      <c r="B18" s="4" t="s">
        <v>22</v>
      </c>
      <c r="C18" s="4"/>
      <c r="D18" s="4"/>
      <c r="E18" s="4"/>
      <c r="F18" s="4"/>
      <c r="G18" s="4"/>
    </row>
    <row r="19" customFormat="false" ht="24.75" hidden="false" customHeight="true" outlineLevel="0" collapsed="false">
      <c r="B19" s="9" t="s">
        <v>23</v>
      </c>
      <c r="C19" s="10" t="s">
        <v>24</v>
      </c>
      <c r="D19" s="10"/>
      <c r="E19" s="10"/>
      <c r="F19" s="10"/>
      <c r="G19" s="10"/>
    </row>
    <row r="20" customFormat="false" ht="24.75" hidden="false" customHeight="true" outlineLevel="0" collapsed="false">
      <c r="B20" s="9" t="s">
        <v>25</v>
      </c>
      <c r="C20" s="10" t="s">
        <v>26</v>
      </c>
      <c r="D20" s="10"/>
      <c r="E20" s="10"/>
      <c r="F20" s="10"/>
      <c r="G20" s="10"/>
    </row>
    <row r="21" customFormat="false" ht="24.75" hidden="false" customHeight="true" outlineLevel="0" collapsed="false">
      <c r="B21" s="9" t="s">
        <v>27</v>
      </c>
      <c r="C21" s="10" t="s">
        <v>28</v>
      </c>
      <c r="D21" s="10"/>
      <c r="E21" s="10"/>
      <c r="F21" s="10"/>
      <c r="G21" s="10"/>
    </row>
    <row r="22" customFormat="false" ht="24.75" hidden="false" customHeight="true" outlineLevel="0" collapsed="false">
      <c r="B22" s="9" t="s">
        <v>29</v>
      </c>
      <c r="C22" s="10" t="s">
        <v>30</v>
      </c>
      <c r="D22" s="10"/>
      <c r="E22" s="10"/>
      <c r="F22" s="10"/>
      <c r="G22" s="10"/>
    </row>
    <row r="23" customFormat="false" ht="24.75" hidden="false" customHeight="true" outlineLevel="0" collapsed="false">
      <c r="B23" s="9" t="s">
        <v>31</v>
      </c>
      <c r="C23" s="10" t="s">
        <v>32</v>
      </c>
      <c r="D23" s="10"/>
      <c r="E23" s="10"/>
      <c r="F23" s="10"/>
      <c r="G23" s="10"/>
    </row>
    <row r="24" customFormat="false" ht="24.75" hidden="false" customHeight="true" outlineLevel="0" collapsed="false">
      <c r="B24" s="9" t="s">
        <v>33</v>
      </c>
      <c r="C24" s="10" t="s">
        <v>34</v>
      </c>
      <c r="D24" s="10"/>
      <c r="E24" s="10"/>
      <c r="F24" s="10"/>
      <c r="G24" s="10"/>
    </row>
    <row r="26" customFormat="false" ht="22.5" hidden="false" customHeight="true" outlineLevel="0" collapsed="false">
      <c r="B26" s="4" t="s">
        <v>35</v>
      </c>
      <c r="C26" s="4"/>
      <c r="D26" s="4"/>
      <c r="E26" s="4"/>
      <c r="F26" s="4"/>
      <c r="G26" s="4"/>
    </row>
    <row r="27" customFormat="false" ht="24" hidden="false" customHeight="true" outlineLevel="0" collapsed="false">
      <c r="B27" s="11" t="s">
        <v>36</v>
      </c>
      <c r="C27" s="11"/>
      <c r="D27" s="11"/>
      <c r="E27" s="11"/>
      <c r="F27" s="11"/>
      <c r="G27" s="11"/>
    </row>
    <row r="28" customFormat="false" ht="24" hidden="false" customHeight="true" outlineLevel="0" collapsed="false">
      <c r="B28" s="12" t="s">
        <v>37</v>
      </c>
      <c r="C28" s="12"/>
      <c r="D28" s="12"/>
      <c r="E28" s="12"/>
      <c r="F28" s="12"/>
      <c r="G28" s="12"/>
    </row>
    <row r="29" customFormat="false" ht="24" hidden="false" customHeight="true" outlineLevel="0" collapsed="false">
      <c r="B29" s="13" t="s">
        <v>38</v>
      </c>
      <c r="C29" s="13"/>
      <c r="D29" s="13"/>
      <c r="E29" s="13"/>
      <c r="F29" s="13"/>
      <c r="G29" s="13"/>
    </row>
    <row r="30" customFormat="false" ht="24" hidden="false" customHeight="true" outlineLevel="0" collapsed="false">
      <c r="B30" s="14" t="s">
        <v>39</v>
      </c>
      <c r="C30" s="14"/>
      <c r="D30" s="14"/>
      <c r="E30" s="14"/>
      <c r="F30" s="14"/>
      <c r="G30" s="14"/>
    </row>
    <row r="31" customFormat="false" ht="24" hidden="false" customHeight="true" outlineLevel="0" collapsed="false">
      <c r="B31" s="15" t="s">
        <v>40</v>
      </c>
      <c r="C31" s="15"/>
      <c r="D31" s="15"/>
      <c r="E31" s="15"/>
      <c r="F31" s="15"/>
      <c r="G31" s="15"/>
    </row>
    <row r="33" customFormat="false" ht="24.75" hidden="false" customHeight="true" outlineLevel="0" collapsed="false">
      <c r="B33" s="16" t="s">
        <v>41</v>
      </c>
      <c r="C33" s="16"/>
      <c r="D33" s="16"/>
      <c r="E33" s="16"/>
      <c r="F33" s="16"/>
      <c r="G33" s="16"/>
    </row>
    <row r="34" customFormat="false" ht="24.75" hidden="false" customHeight="true" outlineLevel="0" collapsed="false">
      <c r="B34" s="16"/>
      <c r="C34" s="16"/>
      <c r="D34" s="16"/>
      <c r="E34" s="16"/>
      <c r="F34" s="16"/>
      <c r="G34" s="16"/>
    </row>
  </sheetData>
  <mergeCells count="29">
    <mergeCell ref="A1:H1"/>
    <mergeCell ref="A2:H2"/>
    <mergeCell ref="B4:G4"/>
    <mergeCell ref="B5:G5"/>
    <mergeCell ref="B6:G6"/>
    <mergeCell ref="B7:G7"/>
    <mergeCell ref="B8:G8"/>
    <mergeCell ref="B10:G10"/>
    <mergeCell ref="C11:G11"/>
    <mergeCell ref="C12:G12"/>
    <mergeCell ref="C13:G13"/>
    <mergeCell ref="C14:G14"/>
    <mergeCell ref="C15:G15"/>
    <mergeCell ref="C16:G16"/>
    <mergeCell ref="C17:G17"/>
    <mergeCell ref="B18:G18"/>
    <mergeCell ref="C19:G19"/>
    <mergeCell ref="C20:G20"/>
    <mergeCell ref="C21:G21"/>
    <mergeCell ref="C22:G22"/>
    <mergeCell ref="C23:G23"/>
    <mergeCell ref="C24:G24"/>
    <mergeCell ref="B26:G26"/>
    <mergeCell ref="B27:G27"/>
    <mergeCell ref="B28:G28"/>
    <mergeCell ref="B29:G29"/>
    <mergeCell ref="B30:G30"/>
    <mergeCell ref="B31:G31"/>
    <mergeCell ref="B33:G34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7"/>
  <sheetViews>
    <sheetView showFormulas="false" showGridLines="false" showRowColHeaders="true" showZeros="true" rightToLeft="false" tabSelected="false" showOutlineSymbols="true" defaultGridColor="true" view="normal" topLeftCell="B1" colorId="64" zoomScale="140" zoomScaleNormal="140" zoomScalePageLayoutView="100" workbookViewId="0">
      <pane xSplit="0" ySplit="5" topLeftCell="A6" activePane="bottomLeft" state="frozen"/>
      <selection pane="topLeft" activeCell="B1" activeCellId="0" sqref="B1"/>
      <selection pane="bottomLeft" activeCell="F6" activeCellId="0" sqref="F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5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9"/>
    <col collapsed="false" customWidth="true" hidden="false" outlineLevel="0" max="8" min="7" style="1" width="22"/>
    <col collapsed="false" customWidth="true" hidden="false" outlineLevel="0" max="9" min="9" style="1" width="3"/>
    <col collapsed="false" customWidth="true" hidden="false" outlineLevel="0" max="10" min="10" style="1" width="24"/>
    <col collapsed="false" customWidth="true" hidden="false" outlineLevel="0" max="11" min="11" style="1" width="15"/>
    <col collapsed="false" customWidth="true" hidden="false" outlineLevel="0" max="12" min="12" style="1" width="3"/>
    <col collapsed="false" customWidth="true" hidden="false" outlineLevel="0" max="13" min="13" style="1" width="21"/>
    <col collapsed="false" customWidth="true" hidden="false" outlineLevel="0" max="15" min="14" style="1" width="16"/>
    <col collapsed="false" customWidth="true" hidden="false" outlineLevel="0" max="17" min="16" style="1" width="22"/>
  </cols>
  <sheetData>
    <row r="1" customFormat="false" ht="33.75" hidden="false" customHeight="true" outlineLevel="0" collapsed="false">
      <c r="A1" s="2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24.75" hidden="false" customHeight="true" outlineLevel="0" collapsed="false">
      <c r="A2" s="3" t="s">
        <v>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22.5" hidden="false" customHeight="true" outlineLevel="0" collapsed="false">
      <c r="A4" s="4" t="s">
        <v>44</v>
      </c>
      <c r="B4" s="4"/>
      <c r="C4" s="4"/>
      <c r="D4" s="4"/>
      <c r="E4" s="4"/>
      <c r="F4" s="4"/>
      <c r="G4" s="4"/>
      <c r="H4" s="4"/>
      <c r="J4" s="17" t="s">
        <v>45</v>
      </c>
      <c r="K4" s="17"/>
      <c r="M4" s="17" t="s">
        <v>46</v>
      </c>
      <c r="N4" s="17"/>
      <c r="O4" s="17"/>
      <c r="P4" s="17"/>
      <c r="Q4" s="17"/>
    </row>
    <row r="5" customFormat="false" ht="33.75" hidden="false" customHeight="true" outlineLevel="0" collapsed="false">
      <c r="A5" s="18" t="s">
        <v>47</v>
      </c>
      <c r="B5" s="18" t="s">
        <v>48</v>
      </c>
      <c r="C5" s="18" t="s">
        <v>49</v>
      </c>
      <c r="D5" s="18" t="s">
        <v>50</v>
      </c>
      <c r="E5" s="18" t="s">
        <v>51</v>
      </c>
      <c r="F5" s="18" t="s">
        <v>52</v>
      </c>
      <c r="G5" s="18" t="s">
        <v>53</v>
      </c>
      <c r="H5" s="18" t="s">
        <v>54</v>
      </c>
      <c r="M5" s="19" t="s">
        <v>55</v>
      </c>
      <c r="N5" s="19"/>
      <c r="O5" s="19"/>
      <c r="P5" s="19"/>
      <c r="Q5" s="19"/>
    </row>
    <row r="6" customFormat="false" ht="22.5" hidden="false" customHeight="true" outlineLevel="0" collapsed="false">
      <c r="A6" s="20" t="s">
        <v>56</v>
      </c>
      <c r="B6" s="20" t="n">
        <v>1</v>
      </c>
      <c r="C6" s="21" t="n">
        <v>55</v>
      </c>
      <c r="D6" s="20" t="n">
        <v>0</v>
      </c>
      <c r="E6" s="22" t="s">
        <v>57</v>
      </c>
      <c r="F6" s="23" t="n">
        <f aca="false">(B6-$K$6)/$K$7</f>
        <v>-1.6</v>
      </c>
      <c r="G6" s="23" t="n">
        <f aca="false">(C6-$K$8)/$K$9</f>
        <v>-1.33333333333333</v>
      </c>
      <c r="H6" s="24" t="str">
        <f aca="false">IF(E6="Train","ใช้ฝึกโมเดล","เก็บไว้ประเมิน")</f>
        <v>ใช้ฝึกโมเดล</v>
      </c>
      <c r="J6" s="25" t="s">
        <v>58</v>
      </c>
      <c r="K6" s="26" t="n">
        <v>5</v>
      </c>
      <c r="M6" s="19"/>
      <c r="N6" s="19"/>
      <c r="O6" s="19"/>
      <c r="P6" s="19"/>
      <c r="Q6" s="19"/>
    </row>
    <row r="7" customFormat="false" ht="22.5" hidden="false" customHeight="true" outlineLevel="0" collapsed="false">
      <c r="A7" s="20" t="s">
        <v>59</v>
      </c>
      <c r="B7" s="20" t="n">
        <v>1.5</v>
      </c>
      <c r="C7" s="21" t="n">
        <v>60</v>
      </c>
      <c r="D7" s="20" t="n">
        <v>0</v>
      </c>
      <c r="E7" s="22" t="s">
        <v>57</v>
      </c>
      <c r="F7" s="23" t="n">
        <f aca="false">(B7-$K$6)/$K$7</f>
        <v>-1.4</v>
      </c>
      <c r="G7" s="23" t="n">
        <f aca="false">(C7-$K$8)/$K$9</f>
        <v>-1</v>
      </c>
      <c r="H7" s="24" t="str">
        <f aca="false">IF(E7="Train","ใช้ฝึกโมเดล","เก็บไว้ประเมิน")</f>
        <v>ใช้ฝึกโมเดล</v>
      </c>
      <c r="J7" s="25" t="s">
        <v>60</v>
      </c>
      <c r="K7" s="26" t="n">
        <v>2.5</v>
      </c>
      <c r="M7" s="19"/>
      <c r="N7" s="19"/>
      <c r="O7" s="19"/>
      <c r="P7" s="19"/>
      <c r="Q7" s="19"/>
    </row>
    <row r="8" customFormat="false" ht="22.5" hidden="false" customHeight="true" outlineLevel="0" collapsed="false">
      <c r="A8" s="20" t="s">
        <v>61</v>
      </c>
      <c r="B8" s="20" t="n">
        <v>2</v>
      </c>
      <c r="C8" s="21" t="n">
        <v>58</v>
      </c>
      <c r="D8" s="20" t="n">
        <v>0</v>
      </c>
      <c r="E8" s="22" t="s">
        <v>57</v>
      </c>
      <c r="F8" s="23" t="n">
        <f aca="false">(B8-$K$6)/$K$7</f>
        <v>-1.2</v>
      </c>
      <c r="G8" s="23" t="n">
        <f aca="false">(C8-$K$8)/$K$9</f>
        <v>-1.13333333333333</v>
      </c>
      <c r="H8" s="24" t="str">
        <f aca="false">IF(E8="Train","ใช้ฝึกโมเดล","เก็บไว้ประเมิน")</f>
        <v>ใช้ฝึกโมเดล</v>
      </c>
      <c r="J8" s="25" t="s">
        <v>62</v>
      </c>
      <c r="K8" s="26" t="n">
        <v>75</v>
      </c>
      <c r="M8" s="27" t="s">
        <v>63</v>
      </c>
      <c r="N8" s="27"/>
      <c r="O8" s="27"/>
      <c r="P8" s="27"/>
      <c r="Q8" s="27"/>
    </row>
    <row r="9" customFormat="false" ht="22.5" hidden="false" customHeight="true" outlineLevel="0" collapsed="false">
      <c r="A9" s="20" t="s">
        <v>64</v>
      </c>
      <c r="B9" s="20" t="n">
        <v>2.5</v>
      </c>
      <c r="C9" s="21" t="n">
        <v>65</v>
      </c>
      <c r="D9" s="20" t="n">
        <v>0</v>
      </c>
      <c r="E9" s="22" t="s">
        <v>57</v>
      </c>
      <c r="F9" s="23" t="n">
        <f aca="false">(B9-$K$6)/$K$7</f>
        <v>-1</v>
      </c>
      <c r="G9" s="23" t="n">
        <f aca="false">(C9-$K$8)/$K$9</f>
        <v>-0.666666666666667</v>
      </c>
      <c r="H9" s="24" t="str">
        <f aca="false">IF(E9="Train","ใช้ฝึกโมเดล","เก็บไว้ประเมิน")</f>
        <v>ใช้ฝึกโมเดล</v>
      </c>
      <c r="J9" s="25" t="s">
        <v>65</v>
      </c>
      <c r="K9" s="26" t="n">
        <v>15</v>
      </c>
      <c r="M9" s="27"/>
      <c r="N9" s="27"/>
      <c r="O9" s="27"/>
      <c r="P9" s="27"/>
      <c r="Q9" s="27"/>
    </row>
    <row r="10" customFormat="false" ht="22.5" hidden="false" customHeight="true" outlineLevel="0" collapsed="false">
      <c r="A10" s="20" t="s">
        <v>66</v>
      </c>
      <c r="B10" s="20" t="n">
        <v>3</v>
      </c>
      <c r="C10" s="21" t="n">
        <v>62</v>
      </c>
      <c r="D10" s="20" t="n">
        <v>0</v>
      </c>
      <c r="E10" s="22" t="s">
        <v>57</v>
      </c>
      <c r="F10" s="23" t="n">
        <f aca="false">(B10-$K$6)/$K$7</f>
        <v>-0.8</v>
      </c>
      <c r="G10" s="23" t="n">
        <f aca="false">(C10-$K$8)/$K$9</f>
        <v>-0.866666666666667</v>
      </c>
      <c r="H10" s="24" t="str">
        <f aca="false">IF(E10="Train","ใช้ฝึกโมเดล","เก็บไว้ประเมิน")</f>
        <v>ใช้ฝึกโมเดล</v>
      </c>
      <c r="M10" s="27"/>
      <c r="N10" s="27"/>
      <c r="O10" s="27"/>
      <c r="P10" s="27"/>
      <c r="Q10" s="27"/>
    </row>
    <row r="11" customFormat="false" ht="22.5" hidden="false" customHeight="true" outlineLevel="0" collapsed="false">
      <c r="A11" s="20" t="s">
        <v>67</v>
      </c>
      <c r="B11" s="20" t="n">
        <v>3.5</v>
      </c>
      <c r="C11" s="21" t="n">
        <v>70</v>
      </c>
      <c r="D11" s="20" t="n">
        <v>0</v>
      </c>
      <c r="E11" s="22" t="s">
        <v>57</v>
      </c>
      <c r="F11" s="23" t="n">
        <f aca="false">(B11-$K$6)/$K$7</f>
        <v>-0.6</v>
      </c>
      <c r="G11" s="23" t="n">
        <f aca="false">(C11-$K$8)/$K$9</f>
        <v>-0.333333333333333</v>
      </c>
      <c r="H11" s="24" t="str">
        <f aca="false">IF(E11="Train","ใช้ฝึกโมเดล","เก็บไว้ประเมิน")</f>
        <v>ใช้ฝึกโมเดล</v>
      </c>
      <c r="J11" s="28" t="s">
        <v>68</v>
      </c>
      <c r="K11" s="29" t="s">
        <v>69</v>
      </c>
    </row>
    <row r="12" customFormat="false" ht="22.5" hidden="false" customHeight="true" outlineLevel="0" collapsed="false">
      <c r="A12" s="20" t="s">
        <v>70</v>
      </c>
      <c r="B12" s="20" t="n">
        <v>4</v>
      </c>
      <c r="C12" s="21" t="n">
        <v>68</v>
      </c>
      <c r="D12" s="20" t="n">
        <v>0</v>
      </c>
      <c r="E12" s="22" t="s">
        <v>57</v>
      </c>
      <c r="F12" s="23" t="n">
        <f aca="false">(B12-$K$6)/$K$7</f>
        <v>-0.4</v>
      </c>
      <c r="G12" s="23" t="n">
        <f aca="false">(C12-$K$8)/$K$9</f>
        <v>-0.466666666666667</v>
      </c>
      <c r="H12" s="24" t="str">
        <f aca="false">IF(E12="Train","ใช้ฝึกโมเดล","เก็บไว้ประเมิน")</f>
        <v>ใช้ฝึกโมเดล</v>
      </c>
      <c r="M12" s="30" t="s">
        <v>71</v>
      </c>
      <c r="N12" s="30"/>
      <c r="O12" s="30"/>
      <c r="P12" s="30"/>
      <c r="Q12" s="30"/>
    </row>
    <row r="13" customFormat="false" ht="22.5" hidden="false" customHeight="true" outlineLevel="0" collapsed="false">
      <c r="A13" s="20" t="s">
        <v>72</v>
      </c>
      <c r="B13" s="20" t="n">
        <v>4.5</v>
      </c>
      <c r="C13" s="21" t="n">
        <v>72</v>
      </c>
      <c r="D13" s="20" t="n">
        <v>1</v>
      </c>
      <c r="E13" s="22" t="s">
        <v>57</v>
      </c>
      <c r="F13" s="23" t="n">
        <f aca="false">(B13-$K$6)/$K$7</f>
        <v>-0.2</v>
      </c>
      <c r="G13" s="23" t="n">
        <f aca="false">(C13-$K$8)/$K$9</f>
        <v>-0.2</v>
      </c>
      <c r="H13" s="24" t="str">
        <f aca="false">IF(E13="Train","ใช้ฝึกโมเดล","เก็บไว้ประเมิน")</f>
        <v>ใช้ฝึกโมเดล</v>
      </c>
      <c r="M13" s="30"/>
      <c r="N13" s="30"/>
      <c r="O13" s="30"/>
      <c r="P13" s="30"/>
      <c r="Q13" s="30"/>
    </row>
    <row r="14" customFormat="false" ht="22.5" hidden="false" customHeight="true" outlineLevel="0" collapsed="false">
      <c r="A14" s="20" t="s">
        <v>73</v>
      </c>
      <c r="B14" s="20" t="n">
        <v>5</v>
      </c>
      <c r="C14" s="21" t="n">
        <v>75</v>
      </c>
      <c r="D14" s="20" t="n">
        <v>1</v>
      </c>
      <c r="E14" s="22" t="s">
        <v>57</v>
      </c>
      <c r="F14" s="23" t="n">
        <f aca="false">(B14-$K$6)/$K$7</f>
        <v>0</v>
      </c>
      <c r="G14" s="23" t="n">
        <f aca="false">(C14-$K$8)/$K$9</f>
        <v>0</v>
      </c>
      <c r="H14" s="24" t="str">
        <f aca="false">IF(E14="Train","ใช้ฝึกโมเดล","เก็บไว้ประเมิน")</f>
        <v>ใช้ฝึกโมเดล</v>
      </c>
      <c r="M14" s="30"/>
      <c r="N14" s="30"/>
      <c r="O14" s="30"/>
      <c r="P14" s="30"/>
      <c r="Q14" s="30"/>
    </row>
    <row r="15" customFormat="false" ht="22.5" hidden="false" customHeight="true" outlineLevel="0" collapsed="false">
      <c r="A15" s="20" t="s">
        <v>74</v>
      </c>
      <c r="B15" s="20" t="n">
        <v>5.5</v>
      </c>
      <c r="C15" s="21" t="n">
        <v>78</v>
      </c>
      <c r="D15" s="20" t="n">
        <v>1</v>
      </c>
      <c r="E15" s="22" t="s">
        <v>57</v>
      </c>
      <c r="F15" s="23" t="n">
        <f aca="false">(B15-$K$6)/$K$7</f>
        <v>0.2</v>
      </c>
      <c r="G15" s="23" t="n">
        <f aca="false">(C15-$K$8)/$K$9</f>
        <v>0.2</v>
      </c>
      <c r="H15" s="24" t="str">
        <f aca="false">IF(E15="Train","ใช้ฝึกโมเดล","เก็บไว้ประเมิน")</f>
        <v>ใช้ฝึกโมเดล</v>
      </c>
      <c r="M15" s="31" t="s">
        <v>75</v>
      </c>
      <c r="N15" s="31"/>
      <c r="O15" s="31"/>
      <c r="P15" s="31"/>
      <c r="Q15" s="31"/>
    </row>
    <row r="16" customFormat="false" ht="22.5" hidden="false" customHeight="true" outlineLevel="0" collapsed="false">
      <c r="A16" s="20" t="s">
        <v>76</v>
      </c>
      <c r="B16" s="20" t="n">
        <v>6</v>
      </c>
      <c r="C16" s="21" t="n">
        <v>80</v>
      </c>
      <c r="D16" s="20" t="n">
        <v>1</v>
      </c>
      <c r="E16" s="22" t="s">
        <v>57</v>
      </c>
      <c r="F16" s="23" t="n">
        <f aca="false">(B16-$K$6)/$K$7</f>
        <v>0.4</v>
      </c>
      <c r="G16" s="23" t="n">
        <f aca="false">(C16-$K$8)/$K$9</f>
        <v>0.333333333333333</v>
      </c>
      <c r="H16" s="24" t="str">
        <f aca="false">IF(E16="Train","ใช้ฝึกโมเดล","เก็บไว้ประเมิน")</f>
        <v>ใช้ฝึกโมเดล</v>
      </c>
      <c r="M16" s="31"/>
      <c r="N16" s="31"/>
      <c r="O16" s="31"/>
      <c r="P16" s="31"/>
      <c r="Q16" s="31"/>
    </row>
    <row r="17" customFormat="false" ht="22.5" hidden="false" customHeight="true" outlineLevel="0" collapsed="false">
      <c r="A17" s="20" t="s">
        <v>77</v>
      </c>
      <c r="B17" s="20" t="n">
        <v>6.5</v>
      </c>
      <c r="C17" s="21" t="n">
        <v>82</v>
      </c>
      <c r="D17" s="20" t="n">
        <v>1</v>
      </c>
      <c r="E17" s="22" t="s">
        <v>57</v>
      </c>
      <c r="F17" s="23" t="n">
        <f aca="false">(B17-$K$6)/$K$7</f>
        <v>0.6</v>
      </c>
      <c r="G17" s="23" t="n">
        <f aca="false">(C17-$K$8)/$K$9</f>
        <v>0.466666666666667</v>
      </c>
      <c r="H17" s="24" t="str">
        <f aca="false">IF(E17="Train","ใช้ฝึกโมเดล","เก็บไว้ประเมิน")</f>
        <v>ใช้ฝึกโมเดล</v>
      </c>
      <c r="M17" s="31"/>
      <c r="N17" s="31"/>
      <c r="O17" s="31"/>
      <c r="P17" s="31"/>
      <c r="Q17" s="31"/>
    </row>
    <row r="18" customFormat="false" ht="22.5" hidden="false" customHeight="true" outlineLevel="0" collapsed="false">
      <c r="A18" s="20" t="s">
        <v>78</v>
      </c>
      <c r="B18" s="20" t="n">
        <v>7</v>
      </c>
      <c r="C18" s="21" t="n">
        <v>85</v>
      </c>
      <c r="D18" s="20" t="n">
        <v>1</v>
      </c>
      <c r="E18" s="22" t="s">
        <v>57</v>
      </c>
      <c r="F18" s="23" t="n">
        <f aca="false">(B18-$K$6)/$K$7</f>
        <v>0.8</v>
      </c>
      <c r="G18" s="23" t="n">
        <f aca="false">(C18-$K$8)/$K$9</f>
        <v>0.666666666666667</v>
      </c>
      <c r="H18" s="24" t="str">
        <f aca="false">IF(E18="Train","ใช้ฝึกโมเดล","เก็บไว้ประเมิน")</f>
        <v>ใช้ฝึกโมเดล</v>
      </c>
      <c r="M18" s="30" t="s">
        <v>79</v>
      </c>
      <c r="N18" s="30"/>
      <c r="O18" s="30"/>
      <c r="P18" s="30"/>
      <c r="Q18" s="30"/>
    </row>
    <row r="19" customFormat="false" ht="22.5" hidden="false" customHeight="true" outlineLevel="0" collapsed="false">
      <c r="A19" s="20" t="s">
        <v>80</v>
      </c>
      <c r="B19" s="20" t="n">
        <v>7.5</v>
      </c>
      <c r="C19" s="21" t="n">
        <v>88</v>
      </c>
      <c r="D19" s="20" t="n">
        <v>1</v>
      </c>
      <c r="E19" s="22" t="s">
        <v>57</v>
      </c>
      <c r="F19" s="23" t="n">
        <f aca="false">(B19-$K$6)/$K$7</f>
        <v>1</v>
      </c>
      <c r="G19" s="23" t="n">
        <f aca="false">(C19-$K$8)/$K$9</f>
        <v>0.866666666666667</v>
      </c>
      <c r="H19" s="24" t="str">
        <f aca="false">IF(E19="Train","ใช้ฝึกโมเดล","เก็บไว้ประเมิน")</f>
        <v>ใช้ฝึกโมเดล</v>
      </c>
      <c r="M19" s="30"/>
      <c r="N19" s="30"/>
      <c r="O19" s="30"/>
      <c r="P19" s="30"/>
      <c r="Q19" s="30"/>
    </row>
    <row r="20" customFormat="false" ht="22.5" hidden="false" customHeight="true" outlineLevel="0" collapsed="false">
      <c r="A20" s="20" t="s">
        <v>81</v>
      </c>
      <c r="B20" s="20" t="n">
        <v>8</v>
      </c>
      <c r="C20" s="21" t="n">
        <v>90</v>
      </c>
      <c r="D20" s="20" t="n">
        <v>1</v>
      </c>
      <c r="E20" s="22" t="s">
        <v>57</v>
      </c>
      <c r="F20" s="23" t="n">
        <f aca="false">(B20-$K$6)/$K$7</f>
        <v>1.2</v>
      </c>
      <c r="G20" s="23" t="n">
        <f aca="false">(C20-$K$8)/$K$9</f>
        <v>1</v>
      </c>
      <c r="H20" s="24" t="str">
        <f aca="false">IF(E20="Train","ใช้ฝึกโมเดล","เก็บไว้ประเมิน")</f>
        <v>ใช้ฝึกโมเดล</v>
      </c>
      <c r="M20" s="30"/>
      <c r="N20" s="30"/>
      <c r="O20" s="30"/>
      <c r="P20" s="30"/>
      <c r="Q20" s="30"/>
    </row>
    <row r="21" customFormat="false" ht="22.5" hidden="false" customHeight="true" outlineLevel="0" collapsed="false">
      <c r="A21" s="20" t="s">
        <v>82</v>
      </c>
      <c r="B21" s="20" t="n">
        <v>8.5</v>
      </c>
      <c r="C21" s="21" t="n">
        <v>92</v>
      </c>
      <c r="D21" s="20" t="n">
        <v>1</v>
      </c>
      <c r="E21" s="22" t="s">
        <v>57</v>
      </c>
      <c r="F21" s="23" t="n">
        <f aca="false">(B21-$K$6)/$K$7</f>
        <v>1.4</v>
      </c>
      <c r="G21" s="23" t="n">
        <f aca="false">(C21-$K$8)/$K$9</f>
        <v>1.13333333333333</v>
      </c>
      <c r="H21" s="24" t="str">
        <f aca="false">IF(E21="Train","ใช้ฝึกโมเดล","เก็บไว้ประเมิน")</f>
        <v>ใช้ฝึกโมเดล</v>
      </c>
      <c r="M21" s="31" t="s">
        <v>83</v>
      </c>
      <c r="N21" s="31"/>
      <c r="O21" s="31"/>
      <c r="P21" s="31"/>
      <c r="Q21" s="31"/>
    </row>
    <row r="22" customFormat="false" ht="22.5" hidden="false" customHeight="true" outlineLevel="0" collapsed="false">
      <c r="A22" s="20" t="s">
        <v>84</v>
      </c>
      <c r="B22" s="20" t="n">
        <v>9</v>
      </c>
      <c r="C22" s="21" t="n">
        <v>95</v>
      </c>
      <c r="D22" s="20" t="n">
        <v>1</v>
      </c>
      <c r="E22" s="22" t="s">
        <v>57</v>
      </c>
      <c r="F22" s="23" t="n">
        <f aca="false">(B22-$K$6)/$K$7</f>
        <v>1.6</v>
      </c>
      <c r="G22" s="23" t="n">
        <f aca="false">(C22-$K$8)/$K$9</f>
        <v>1.33333333333333</v>
      </c>
      <c r="H22" s="24" t="str">
        <f aca="false">IF(E22="Train","ใช้ฝึกโมเดล","เก็บไว้ประเมิน")</f>
        <v>ใช้ฝึกโมเดล</v>
      </c>
      <c r="M22" s="31"/>
      <c r="N22" s="31"/>
      <c r="O22" s="31"/>
      <c r="P22" s="31"/>
      <c r="Q22" s="31"/>
    </row>
    <row r="23" customFormat="false" ht="22.5" hidden="false" customHeight="true" outlineLevel="0" collapsed="false">
      <c r="A23" s="20" t="s">
        <v>85</v>
      </c>
      <c r="B23" s="20" t="n">
        <v>5</v>
      </c>
      <c r="C23" s="21" t="n">
        <v>65</v>
      </c>
      <c r="D23" s="20" t="n">
        <v>0</v>
      </c>
      <c r="E23" s="22" t="s">
        <v>57</v>
      </c>
      <c r="F23" s="23" t="n">
        <f aca="false">(B23-$K$6)/$K$7</f>
        <v>0</v>
      </c>
      <c r="G23" s="23" t="n">
        <f aca="false">(C23-$K$8)/$K$9</f>
        <v>-0.666666666666667</v>
      </c>
      <c r="H23" s="24" t="str">
        <f aca="false">IF(E23="Train","ใช้ฝึกโมเดล","เก็บไว้ประเมิน")</f>
        <v>ใช้ฝึกโมเดล</v>
      </c>
      <c r="M23" s="31"/>
      <c r="N23" s="31"/>
      <c r="O23" s="31"/>
      <c r="P23" s="31"/>
      <c r="Q23" s="31"/>
    </row>
    <row r="24" customFormat="false" ht="22.5" hidden="false" customHeight="true" outlineLevel="0" collapsed="false">
      <c r="A24" s="20" t="s">
        <v>86</v>
      </c>
      <c r="B24" s="20" t="n">
        <v>3</v>
      </c>
      <c r="C24" s="21" t="n">
        <v>85</v>
      </c>
      <c r="D24" s="20" t="n">
        <v>1</v>
      </c>
      <c r="E24" s="22" t="s">
        <v>57</v>
      </c>
      <c r="F24" s="23" t="n">
        <f aca="false">(B24-$K$6)/$K$7</f>
        <v>-0.8</v>
      </c>
      <c r="G24" s="23" t="n">
        <f aca="false">(C24-$K$8)/$K$9</f>
        <v>0.666666666666667</v>
      </c>
      <c r="H24" s="24" t="str">
        <f aca="false">IF(E24="Train","ใช้ฝึกโมเดล","เก็บไว้ประเมิน")</f>
        <v>ใช้ฝึกโมเดล</v>
      </c>
    </row>
    <row r="25" customFormat="false" ht="22.5" hidden="false" customHeight="true" outlineLevel="0" collapsed="false">
      <c r="A25" s="20" t="s">
        <v>87</v>
      </c>
      <c r="B25" s="20" t="n">
        <v>7</v>
      </c>
      <c r="C25" s="21" t="n">
        <v>65</v>
      </c>
      <c r="D25" s="20" t="n">
        <v>1</v>
      </c>
      <c r="E25" s="22" t="s">
        <v>57</v>
      </c>
      <c r="F25" s="23" t="n">
        <f aca="false">(B25-$K$6)/$K$7</f>
        <v>0.8</v>
      </c>
      <c r="G25" s="23" t="n">
        <f aca="false">(C25-$K$8)/$K$9</f>
        <v>-0.666666666666667</v>
      </c>
      <c r="H25" s="24" t="str">
        <f aca="false">IF(E25="Train","ใช้ฝึกโมเดล","เก็บไว้ประเมิน")</f>
        <v>ใช้ฝึกโมเดล</v>
      </c>
      <c r="M25" s="19" t="s">
        <v>88</v>
      </c>
      <c r="N25" s="19"/>
      <c r="O25" s="19"/>
      <c r="P25" s="19"/>
      <c r="Q25" s="19"/>
    </row>
    <row r="26" customFormat="false" ht="22.5" hidden="false" customHeight="true" outlineLevel="0" collapsed="false">
      <c r="A26" s="20" t="s">
        <v>89</v>
      </c>
      <c r="B26" s="20" t="n">
        <v>2</v>
      </c>
      <c r="C26" s="21" t="n">
        <v>55</v>
      </c>
      <c r="D26" s="20" t="n">
        <v>0</v>
      </c>
      <c r="E26" s="32" t="s">
        <v>90</v>
      </c>
      <c r="F26" s="23" t="n">
        <f aca="false">(B26-$K$6)/$K$7</f>
        <v>-1.2</v>
      </c>
      <c r="G26" s="23" t="n">
        <f aca="false">(C26-$K$8)/$K$9</f>
        <v>-1.33333333333333</v>
      </c>
      <c r="H26" s="24" t="str">
        <f aca="false">IF(E26="Train","ใช้ฝึกโมเดล","เก็บไว้ประเมิน")</f>
        <v>เก็บไว้ประเมิน</v>
      </c>
      <c r="M26" s="19"/>
      <c r="N26" s="19"/>
      <c r="O26" s="19"/>
      <c r="P26" s="19"/>
      <c r="Q26" s="19"/>
    </row>
    <row r="27" customFormat="false" ht="22.5" hidden="false" customHeight="true" outlineLevel="0" collapsed="false">
      <c r="A27" s="20" t="s">
        <v>91</v>
      </c>
      <c r="B27" s="20" t="n">
        <v>3</v>
      </c>
      <c r="C27" s="21" t="n">
        <v>75</v>
      </c>
      <c r="D27" s="20" t="n">
        <v>0</v>
      </c>
      <c r="E27" s="32" t="s">
        <v>90</v>
      </c>
      <c r="F27" s="23" t="n">
        <f aca="false">(B27-$K$6)/$K$7</f>
        <v>-0.8</v>
      </c>
      <c r="G27" s="23" t="n">
        <f aca="false">(C27-$K$8)/$K$9</f>
        <v>0</v>
      </c>
      <c r="H27" s="24" t="str">
        <f aca="false">IF(E27="Train","ใช้ฝึกโมเดล","เก็บไว้ประเมิน")</f>
        <v>เก็บไว้ประเมิน</v>
      </c>
      <c r="M27" s="19"/>
      <c r="N27" s="19"/>
      <c r="O27" s="19"/>
      <c r="P27" s="19"/>
      <c r="Q27" s="19"/>
    </row>
    <row r="28" customFormat="false" ht="22.5" hidden="false" customHeight="true" outlineLevel="0" collapsed="false">
      <c r="A28" s="20" t="s">
        <v>92</v>
      </c>
      <c r="B28" s="20" t="n">
        <v>4</v>
      </c>
      <c r="C28" s="21" t="n">
        <v>82</v>
      </c>
      <c r="D28" s="20" t="n">
        <v>1</v>
      </c>
      <c r="E28" s="32" t="s">
        <v>90</v>
      </c>
      <c r="F28" s="23" t="n">
        <f aca="false">(B28-$K$6)/$K$7</f>
        <v>-0.4</v>
      </c>
      <c r="G28" s="23" t="n">
        <f aca="false">(C28-$K$8)/$K$9</f>
        <v>0.466666666666667</v>
      </c>
      <c r="H28" s="24" t="str">
        <f aca="false">IF(E28="Train","ใช้ฝึกโมเดล","เก็บไว้ประเมิน")</f>
        <v>เก็บไว้ประเมิน</v>
      </c>
    </row>
    <row r="29" customFormat="false" ht="22.5" hidden="false" customHeight="true" outlineLevel="0" collapsed="false">
      <c r="A29" s="20" t="s">
        <v>93</v>
      </c>
      <c r="B29" s="20" t="n">
        <v>5</v>
      </c>
      <c r="C29" s="21" t="n">
        <v>65</v>
      </c>
      <c r="D29" s="20" t="n">
        <v>0</v>
      </c>
      <c r="E29" s="32" t="s">
        <v>90</v>
      </c>
      <c r="F29" s="23" t="n">
        <f aca="false">(B29-$K$6)/$K$7</f>
        <v>0</v>
      </c>
      <c r="G29" s="23" t="n">
        <f aca="false">(C29-$K$8)/$K$9</f>
        <v>-0.666666666666667</v>
      </c>
      <c r="H29" s="24" t="str">
        <f aca="false">IF(E29="Train","ใช้ฝึกโมเดล","เก็บไว้ประเมิน")</f>
        <v>เก็บไว้ประเมิน</v>
      </c>
      <c r="M29" s="4" t="s">
        <v>94</v>
      </c>
      <c r="N29" s="4"/>
      <c r="O29" s="4"/>
      <c r="P29" s="4"/>
      <c r="Q29" s="4"/>
    </row>
    <row r="30" customFormat="false" ht="33.75" hidden="false" customHeight="true" outlineLevel="0" collapsed="false">
      <c r="A30" s="20" t="s">
        <v>95</v>
      </c>
      <c r="B30" s="20" t="n">
        <v>5</v>
      </c>
      <c r="C30" s="21" t="n">
        <v>90</v>
      </c>
      <c r="D30" s="20" t="n">
        <v>1</v>
      </c>
      <c r="E30" s="32" t="s">
        <v>90</v>
      </c>
      <c r="F30" s="23" t="n">
        <f aca="false">(B30-$K$6)/$K$7</f>
        <v>0</v>
      </c>
      <c r="G30" s="23" t="n">
        <f aca="false">(C30-$K$8)/$K$9</f>
        <v>1</v>
      </c>
      <c r="H30" s="24" t="str">
        <f aca="false">IF(E30="Train","ใช้ฝึกโมเดล","เก็บไว้ประเมิน")</f>
        <v>เก็บไว้ประเมิน</v>
      </c>
      <c r="M30" s="18" t="s">
        <v>96</v>
      </c>
      <c r="N30" s="18" t="s">
        <v>97</v>
      </c>
      <c r="O30" s="18" t="s">
        <v>98</v>
      </c>
      <c r="P30" s="18" t="s">
        <v>99</v>
      </c>
      <c r="Q30" s="18"/>
    </row>
    <row r="31" customFormat="false" ht="30" hidden="false" customHeight="true" outlineLevel="0" collapsed="false">
      <c r="A31" s="20" t="s">
        <v>100</v>
      </c>
      <c r="B31" s="20" t="n">
        <v>6</v>
      </c>
      <c r="C31" s="21" t="n">
        <v>72</v>
      </c>
      <c r="D31" s="20" t="n">
        <v>1</v>
      </c>
      <c r="E31" s="32" t="s">
        <v>90</v>
      </c>
      <c r="F31" s="23" t="n">
        <f aca="false">(B31-$K$6)/$K$7</f>
        <v>0.4</v>
      </c>
      <c r="G31" s="23" t="n">
        <f aca="false">(C31-$K$8)/$K$9</f>
        <v>-0.2</v>
      </c>
      <c r="H31" s="24" t="str">
        <f aca="false">IF(E31="Train","ใช้ฝึกโมเดล","เก็บไว้ประเมิน")</f>
        <v>เก็บไว้ประเมิน</v>
      </c>
      <c r="M31" s="33" t="s">
        <v>58</v>
      </c>
      <c r="N31" s="34" t="n">
        <f aca="false">$K$6</f>
        <v>5</v>
      </c>
      <c r="O31" s="34" t="n">
        <f aca="false">AVERAGE($B$6:$B$25)</f>
        <v>5</v>
      </c>
      <c r="P31" s="35" t="s">
        <v>101</v>
      </c>
      <c r="Q31" s="35"/>
    </row>
    <row r="32" customFormat="false" ht="30" hidden="false" customHeight="true" outlineLevel="0" collapsed="false">
      <c r="A32" s="20" t="s">
        <v>102</v>
      </c>
      <c r="B32" s="20" t="n">
        <v>7</v>
      </c>
      <c r="C32" s="21" t="n">
        <v>60</v>
      </c>
      <c r="D32" s="20" t="n">
        <v>0</v>
      </c>
      <c r="E32" s="32" t="s">
        <v>90</v>
      </c>
      <c r="F32" s="23" t="n">
        <f aca="false">(B32-$K$6)/$K$7</f>
        <v>0.8</v>
      </c>
      <c r="G32" s="23" t="n">
        <f aca="false">(C32-$K$8)/$K$9</f>
        <v>-1</v>
      </c>
      <c r="H32" s="24" t="str">
        <f aca="false">IF(E32="Train","ใช้ฝึกโมเดล","เก็บไว้ประเมิน")</f>
        <v>เก็บไว้ประเมิน</v>
      </c>
      <c r="M32" s="36" t="s">
        <v>60</v>
      </c>
      <c r="N32" s="37" t="n">
        <f aca="false">$K$7</f>
        <v>2.5</v>
      </c>
      <c r="O32" s="37" t="n">
        <f aca="false">STDEVP($B$6:$B$25)</f>
        <v>2.34520787991172</v>
      </c>
      <c r="P32" s="38" t="s">
        <v>103</v>
      </c>
      <c r="Q32" s="38"/>
    </row>
    <row r="33" customFormat="false" ht="30" hidden="false" customHeight="true" outlineLevel="0" collapsed="false">
      <c r="A33" s="20" t="s">
        <v>104</v>
      </c>
      <c r="B33" s="20" t="n">
        <v>2.5</v>
      </c>
      <c r="C33" s="21" t="n">
        <v>95</v>
      </c>
      <c r="D33" s="20" t="n">
        <v>1</v>
      </c>
      <c r="E33" s="32" t="s">
        <v>90</v>
      </c>
      <c r="F33" s="23" t="n">
        <f aca="false">(B33-$K$6)/$K$7</f>
        <v>-1</v>
      </c>
      <c r="G33" s="23" t="n">
        <f aca="false">(C33-$K$8)/$K$9</f>
        <v>1.33333333333333</v>
      </c>
      <c r="H33" s="24" t="str">
        <f aca="false">IF(E33="Train","ใช้ฝึกโมเดล","เก็บไว้ประเมิน")</f>
        <v>เก็บไว้ประเมิน</v>
      </c>
      <c r="M33" s="33" t="s">
        <v>62</v>
      </c>
      <c r="N33" s="34" t="n">
        <f aca="false">$K$8</f>
        <v>75</v>
      </c>
      <c r="O33" s="34" t="n">
        <f aca="false">AVERAGE($C$6:$C$25)</f>
        <v>74.5</v>
      </c>
      <c r="P33" s="35" t="s">
        <v>105</v>
      </c>
      <c r="Q33" s="35"/>
    </row>
    <row r="34" customFormat="false" ht="30" hidden="false" customHeight="true" outlineLevel="0" collapsed="false">
      <c r="A34" s="20" t="s">
        <v>106</v>
      </c>
      <c r="B34" s="20" t="n">
        <v>8</v>
      </c>
      <c r="C34" s="21" t="n">
        <v>80</v>
      </c>
      <c r="D34" s="20" t="n">
        <v>1</v>
      </c>
      <c r="E34" s="32" t="s">
        <v>90</v>
      </c>
      <c r="F34" s="23" t="n">
        <f aca="false">(B34-$K$6)/$K$7</f>
        <v>1.2</v>
      </c>
      <c r="G34" s="23" t="n">
        <f aca="false">(C34-$K$8)/$K$9</f>
        <v>0.333333333333333</v>
      </c>
      <c r="H34" s="24" t="str">
        <f aca="false">IF(E34="Train","ใช้ฝึกโมเดล","เก็บไว้ประเมิน")</f>
        <v>เก็บไว้ประเมิน</v>
      </c>
      <c r="M34" s="36" t="s">
        <v>65</v>
      </c>
      <c r="N34" s="37" t="n">
        <f aca="false">$K$9</f>
        <v>15</v>
      </c>
      <c r="O34" s="37" t="n">
        <f aca="false">STDEVP($C$6:$C$25)</f>
        <v>11.8890706112799</v>
      </c>
      <c r="P34" s="38" t="s">
        <v>107</v>
      </c>
      <c r="Q34" s="38"/>
    </row>
    <row r="35" customFormat="false" ht="22.5" hidden="false" customHeight="true" outlineLevel="0" collapsed="false">
      <c r="A35" s="20" t="s">
        <v>108</v>
      </c>
      <c r="B35" s="20" t="n">
        <v>4.5</v>
      </c>
      <c r="C35" s="21" t="n">
        <v>70</v>
      </c>
      <c r="D35" s="20" t="n">
        <v>1</v>
      </c>
      <c r="E35" s="32" t="s">
        <v>90</v>
      </c>
      <c r="F35" s="23" t="n">
        <f aca="false">(B35-$K$6)/$K$7</f>
        <v>-0.2</v>
      </c>
      <c r="G35" s="23" t="n">
        <f aca="false">(C35-$K$8)/$K$9</f>
        <v>-0.333333333333333</v>
      </c>
      <c r="H35" s="24" t="str">
        <f aca="false">IF(E35="Train","ใช้ฝึกโมเดล","เก็บไว้ประเมิน")</f>
        <v>เก็บไว้ประเมิน</v>
      </c>
    </row>
    <row r="36" customFormat="false" ht="15" hidden="false" customHeight="true" outlineLevel="0" collapsed="false">
      <c r="M36" s="39" t="s">
        <v>109</v>
      </c>
      <c r="N36" s="39"/>
      <c r="O36" s="39"/>
      <c r="P36" s="39"/>
      <c r="Q36" s="39"/>
    </row>
    <row r="37" customFormat="false" ht="12.8" hidden="false" customHeight="false" outlineLevel="0" collapsed="false">
      <c r="A37" s="40" t="s">
        <v>110</v>
      </c>
      <c r="B37" s="41" t="s">
        <v>111</v>
      </c>
      <c r="C37" s="41"/>
      <c r="D37" s="41"/>
      <c r="E37" s="41"/>
      <c r="F37" s="41"/>
      <c r="G37" s="41"/>
      <c r="H37" s="41"/>
      <c r="M37" s="39"/>
      <c r="N37" s="39"/>
      <c r="O37" s="39"/>
      <c r="P37" s="39"/>
      <c r="Q37" s="39"/>
    </row>
  </sheetData>
  <autoFilter ref="A5:H35"/>
  <mergeCells count="20">
    <mergeCell ref="A1:Q1"/>
    <mergeCell ref="A2:Q2"/>
    <mergeCell ref="A4:H4"/>
    <mergeCell ref="J4:K4"/>
    <mergeCell ref="M4:Q4"/>
    <mergeCell ref="M5:Q7"/>
    <mergeCell ref="M8:Q10"/>
    <mergeCell ref="M12:Q14"/>
    <mergeCell ref="M15:Q17"/>
    <mergeCell ref="M18:Q20"/>
    <mergeCell ref="M21:Q23"/>
    <mergeCell ref="M25:Q27"/>
    <mergeCell ref="M29:Q29"/>
    <mergeCell ref="P30:Q30"/>
    <mergeCell ref="P31:Q31"/>
    <mergeCell ref="P32:Q32"/>
    <mergeCell ref="P33:Q33"/>
    <mergeCell ref="P34:Q34"/>
    <mergeCell ref="M36:Q37"/>
    <mergeCell ref="B37:H37"/>
  </mergeCells>
  <conditionalFormatting sqref="D6:D35">
    <cfRule type="cellIs" priority="2" operator="equal" aboveAverage="0" equalAverage="0" bottom="0" percent="0" rank="0" text="" dxfId="9">
      <formula>1</formula>
    </cfRule>
    <cfRule type="cellIs" priority="3" operator="equal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99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0" topLeftCell="A11" activePane="bottomLeft" state="frozen"/>
      <selection pane="topLeft" activeCell="A1" activeCellId="0" sqref="A1"/>
      <selection pane="bottomLeft" activeCell="A37" activeCellId="0" sqref="A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1"/>
    <col collapsed="false" customWidth="true" hidden="false" outlineLevel="0" max="4" min="4" style="1" width="10"/>
    <col collapsed="false" customWidth="true" hidden="false" outlineLevel="0" max="10" min="5" style="1" width="13"/>
    <col collapsed="false" customWidth="true" hidden="false" outlineLevel="0" max="11" min="11" style="1" width="14"/>
  </cols>
  <sheetData>
    <row r="1" customFormat="false" ht="33.75" hidden="false" customHeight="true" outlineLevel="0" collapsed="false">
      <c r="A1" s="2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4.75" hidden="false" customHeight="true" outlineLevel="0" collapsed="false">
      <c r="A2" s="3" t="s">
        <v>113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2.5" hidden="false" customHeight="true" outlineLevel="0" collapsed="false">
      <c r="A3" s="17" t="s">
        <v>114</v>
      </c>
      <c r="B3" s="17"/>
      <c r="C3" s="17"/>
      <c r="D3" s="17"/>
      <c r="E3" s="17"/>
      <c r="F3" s="17"/>
    </row>
    <row r="4" customFormat="false" ht="12.8" hidden="false" customHeight="false" outlineLevel="0" collapsed="false">
      <c r="A4" s="9" t="s">
        <v>115</v>
      </c>
      <c r="B4" s="42" t="n">
        <v>0.4</v>
      </c>
    </row>
    <row r="5" customFormat="false" ht="12.8" hidden="false" customHeight="false" outlineLevel="0" collapsed="false">
      <c r="A5" s="9" t="s">
        <v>116</v>
      </c>
      <c r="B5" s="43" t="n">
        <v>15</v>
      </c>
    </row>
    <row r="6" customFormat="false" ht="13" hidden="false" customHeight="false" outlineLevel="0" collapsed="false">
      <c r="A6" s="9" t="s">
        <v>117</v>
      </c>
      <c r="B6" s="44" t="n">
        <f aca="false">COUNTIF(01_Data!E6:E35,"Train")</f>
        <v>20</v>
      </c>
    </row>
    <row r="7" customFormat="false" ht="13" hidden="false" customHeight="false" outlineLevel="0" collapsed="false">
      <c r="C7" s="45" t="s">
        <v>118</v>
      </c>
      <c r="D7" s="46" t="n">
        <v>0</v>
      </c>
      <c r="E7" s="45" t="s">
        <v>119</v>
      </c>
      <c r="F7" s="46" t="n">
        <v>0</v>
      </c>
      <c r="G7" s="45" t="s">
        <v>120</v>
      </c>
      <c r="H7" s="46" t="n">
        <v>0</v>
      </c>
    </row>
    <row r="11" customFormat="false" ht="22.5" hidden="false" customHeight="true" outlineLevel="0" collapsed="false">
      <c r="A11" s="4" t="s">
        <v>121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customFormat="false" ht="15" hidden="false" customHeight="true" outlineLevel="0" collapsed="false">
      <c r="A12" s="47" t="s">
        <v>122</v>
      </c>
      <c r="B12" s="48" t="n">
        <v>1</v>
      </c>
      <c r="C12" s="47" t="s">
        <v>123</v>
      </c>
      <c r="D12" s="49" t="n">
        <f aca="false">$D$7</f>
        <v>0</v>
      </c>
      <c r="E12" s="47" t="s">
        <v>124</v>
      </c>
      <c r="F12" s="49" t="n">
        <f aca="false">$F$7</f>
        <v>0</v>
      </c>
      <c r="G12" s="47" t="s">
        <v>125</v>
      </c>
      <c r="H12" s="49" t="n">
        <f aca="false">$H$7</f>
        <v>0</v>
      </c>
      <c r="I12" s="48" t="s">
        <v>126</v>
      </c>
      <c r="J12" s="48"/>
      <c r="K12" s="48"/>
    </row>
    <row r="13" customFormat="false" ht="33.75" hidden="false" customHeight="true" outlineLevel="0" collapsed="false">
      <c r="A13" s="18" t="s">
        <v>127</v>
      </c>
      <c r="B13" s="18" t="s">
        <v>128</v>
      </c>
      <c r="C13" s="18" t="s">
        <v>129</v>
      </c>
      <c r="D13" s="18" t="s">
        <v>130</v>
      </c>
      <c r="E13" s="18" t="s">
        <v>131</v>
      </c>
      <c r="F13" s="18" t="s">
        <v>132</v>
      </c>
      <c r="G13" s="18" t="s">
        <v>133</v>
      </c>
      <c r="H13" s="18" t="s">
        <v>134</v>
      </c>
      <c r="I13" s="18" t="s">
        <v>135</v>
      </c>
      <c r="J13" s="18" t="s">
        <v>136</v>
      </c>
      <c r="K13" s="18" t="s">
        <v>137</v>
      </c>
    </row>
    <row r="14" customFormat="false" ht="12.8" hidden="false" customHeight="false" outlineLevel="0" collapsed="false">
      <c r="A14" s="50" t="str">
        <f aca="false">01_Data!A6</f>
        <v>S01</v>
      </c>
      <c r="B14" s="51" t="n">
        <f aca="false">01_Data!F6</f>
        <v>-1.6</v>
      </c>
      <c r="C14" s="51" t="n">
        <f aca="false">01_Data!G6</f>
        <v>-1.33333333333333</v>
      </c>
      <c r="D14" s="51" t="n">
        <f aca="false">01_Data!D6</f>
        <v>0</v>
      </c>
      <c r="E14" s="52" t="n">
        <f aca="false">$D$12+$F$12*B14+$H$12*C14</f>
        <v>0</v>
      </c>
      <c r="F14" s="52" t="n">
        <f aca="false">1/(1+EXP(-E14))</f>
        <v>0.5</v>
      </c>
      <c r="G14" s="53" t="n">
        <f aca="false">F14-D14</f>
        <v>0.5</v>
      </c>
      <c r="H14" s="53" t="n">
        <f aca="false">G14</f>
        <v>0.5</v>
      </c>
      <c r="I14" s="53" t="n">
        <f aca="false">G14*B14</f>
        <v>-0.8</v>
      </c>
      <c r="J14" s="53" t="n">
        <f aca="false">G14*C14</f>
        <v>-0.666666666666667</v>
      </c>
      <c r="K14" s="52" t="n">
        <f aca="false">-(D14*LN(MIN(MAX(F14,0.000001),0.999999))+(1-D14)*LN(MIN(MAX(1-F14,0.000001),0.999999)))</f>
        <v>0.693147180559945</v>
      </c>
    </row>
    <row r="15" customFormat="false" ht="12.8" hidden="false" customHeight="false" outlineLevel="0" collapsed="false">
      <c r="A15" s="50" t="str">
        <f aca="false">01_Data!A7</f>
        <v>S02</v>
      </c>
      <c r="B15" s="51" t="n">
        <f aca="false">01_Data!F7</f>
        <v>-1.4</v>
      </c>
      <c r="C15" s="51" t="n">
        <f aca="false">01_Data!G7</f>
        <v>-1</v>
      </c>
      <c r="D15" s="51" t="n">
        <f aca="false">01_Data!D7</f>
        <v>0</v>
      </c>
      <c r="E15" s="52" t="n">
        <f aca="false">$D$12+$F$12*B15+$H$12*C15</f>
        <v>0</v>
      </c>
      <c r="F15" s="52" t="n">
        <f aca="false">1/(1+EXP(-E15))</f>
        <v>0.5</v>
      </c>
      <c r="G15" s="53" t="n">
        <f aca="false">F15-D15</f>
        <v>0.5</v>
      </c>
      <c r="H15" s="53" t="n">
        <f aca="false">G15</f>
        <v>0.5</v>
      </c>
      <c r="I15" s="53" t="n">
        <f aca="false">G15*B15</f>
        <v>-0.7</v>
      </c>
      <c r="J15" s="53" t="n">
        <f aca="false">G15*C15</f>
        <v>-0.5</v>
      </c>
      <c r="K15" s="52" t="n">
        <f aca="false">-(D15*LN(MIN(MAX(F15,0.000001),0.999999))+(1-D15)*LN(MIN(MAX(1-F15,0.000001),0.999999)))</f>
        <v>0.693147180559945</v>
      </c>
    </row>
    <row r="16" customFormat="false" ht="12.8" hidden="false" customHeight="false" outlineLevel="0" collapsed="false">
      <c r="A16" s="50" t="str">
        <f aca="false">01_Data!A8</f>
        <v>S03</v>
      </c>
      <c r="B16" s="51" t="n">
        <f aca="false">01_Data!F8</f>
        <v>-1.2</v>
      </c>
      <c r="C16" s="51" t="n">
        <f aca="false">01_Data!G8</f>
        <v>-1.13333333333333</v>
      </c>
      <c r="D16" s="51" t="n">
        <f aca="false">01_Data!D8</f>
        <v>0</v>
      </c>
      <c r="E16" s="52" t="n">
        <f aca="false">$D$12+$F$12*B16+$H$12*C16</f>
        <v>0</v>
      </c>
      <c r="F16" s="52" t="n">
        <f aca="false">1/(1+EXP(-E16))</f>
        <v>0.5</v>
      </c>
      <c r="G16" s="53" t="n">
        <f aca="false">F16-D16</f>
        <v>0.5</v>
      </c>
      <c r="H16" s="53" t="n">
        <f aca="false">G16</f>
        <v>0.5</v>
      </c>
      <c r="I16" s="53" t="n">
        <f aca="false">G16*B16</f>
        <v>-0.6</v>
      </c>
      <c r="J16" s="53" t="n">
        <f aca="false">G16*C16</f>
        <v>-0.566666666666667</v>
      </c>
      <c r="K16" s="52" t="n">
        <f aca="false">-(D16*LN(MIN(MAX(F16,0.000001),0.999999))+(1-D16)*LN(MIN(MAX(1-F16,0.000001),0.999999)))</f>
        <v>0.693147180559945</v>
      </c>
    </row>
    <row r="17" customFormat="false" ht="12.8" hidden="false" customHeight="false" outlineLevel="0" collapsed="false">
      <c r="A17" s="50" t="str">
        <f aca="false">01_Data!A9</f>
        <v>S04</v>
      </c>
      <c r="B17" s="51" t="n">
        <f aca="false">01_Data!F9</f>
        <v>-1</v>
      </c>
      <c r="C17" s="51" t="n">
        <f aca="false">01_Data!G9</f>
        <v>-0.666666666666667</v>
      </c>
      <c r="D17" s="51" t="n">
        <f aca="false">01_Data!D9</f>
        <v>0</v>
      </c>
      <c r="E17" s="52" t="n">
        <f aca="false">$D$12+$F$12*B17+$H$12*C17</f>
        <v>0</v>
      </c>
      <c r="F17" s="52" t="n">
        <f aca="false">1/(1+EXP(-E17))</f>
        <v>0.5</v>
      </c>
      <c r="G17" s="53" t="n">
        <f aca="false">F17-D17</f>
        <v>0.5</v>
      </c>
      <c r="H17" s="53" t="n">
        <f aca="false">G17</f>
        <v>0.5</v>
      </c>
      <c r="I17" s="53" t="n">
        <f aca="false">G17*B17</f>
        <v>-0.5</v>
      </c>
      <c r="J17" s="53" t="n">
        <f aca="false">G17*C17</f>
        <v>-0.333333333333333</v>
      </c>
      <c r="K17" s="52" t="n">
        <f aca="false">-(D17*LN(MIN(MAX(F17,0.000001),0.999999))+(1-D17)*LN(MIN(MAX(1-F17,0.000001),0.999999)))</f>
        <v>0.693147180559945</v>
      </c>
    </row>
    <row r="18" customFormat="false" ht="12.8" hidden="false" customHeight="false" outlineLevel="0" collapsed="false">
      <c r="A18" s="50" t="str">
        <f aca="false">01_Data!A10</f>
        <v>S05</v>
      </c>
      <c r="B18" s="51" t="n">
        <f aca="false">01_Data!F10</f>
        <v>-0.8</v>
      </c>
      <c r="C18" s="51" t="n">
        <f aca="false">01_Data!G10</f>
        <v>-0.866666666666667</v>
      </c>
      <c r="D18" s="51" t="n">
        <f aca="false">01_Data!D10</f>
        <v>0</v>
      </c>
      <c r="E18" s="52" t="n">
        <f aca="false">$D$12+$F$12*B18+$H$12*C18</f>
        <v>0</v>
      </c>
      <c r="F18" s="52" t="n">
        <f aca="false">1/(1+EXP(-E18))</f>
        <v>0.5</v>
      </c>
      <c r="G18" s="53" t="n">
        <f aca="false">F18-D18</f>
        <v>0.5</v>
      </c>
      <c r="H18" s="53" t="n">
        <f aca="false">G18</f>
        <v>0.5</v>
      </c>
      <c r="I18" s="53" t="n">
        <f aca="false">G18*B18</f>
        <v>-0.4</v>
      </c>
      <c r="J18" s="53" t="n">
        <f aca="false">G18*C18</f>
        <v>-0.433333333333333</v>
      </c>
      <c r="K18" s="52" t="n">
        <f aca="false">-(D18*LN(MIN(MAX(F18,0.000001),0.999999))+(1-D18)*LN(MIN(MAX(1-F18,0.000001),0.999999)))</f>
        <v>0.693147180559945</v>
      </c>
    </row>
    <row r="19" customFormat="false" ht="12.8" hidden="false" customHeight="false" outlineLevel="0" collapsed="false">
      <c r="A19" s="50" t="str">
        <f aca="false">01_Data!A11</f>
        <v>S06</v>
      </c>
      <c r="B19" s="51" t="n">
        <f aca="false">01_Data!F11</f>
        <v>-0.6</v>
      </c>
      <c r="C19" s="51" t="n">
        <f aca="false">01_Data!G11</f>
        <v>-0.333333333333333</v>
      </c>
      <c r="D19" s="51" t="n">
        <f aca="false">01_Data!D11</f>
        <v>0</v>
      </c>
      <c r="E19" s="52" t="n">
        <f aca="false">$D$12+$F$12*B19+$H$12*C19</f>
        <v>0</v>
      </c>
      <c r="F19" s="52" t="n">
        <f aca="false">1/(1+EXP(-E19))</f>
        <v>0.5</v>
      </c>
      <c r="G19" s="53" t="n">
        <f aca="false">F19-D19</f>
        <v>0.5</v>
      </c>
      <c r="H19" s="53" t="n">
        <f aca="false">G19</f>
        <v>0.5</v>
      </c>
      <c r="I19" s="53" t="n">
        <f aca="false">G19*B19</f>
        <v>-0.3</v>
      </c>
      <c r="J19" s="53" t="n">
        <f aca="false">G19*C19</f>
        <v>-0.166666666666667</v>
      </c>
      <c r="K19" s="52" t="n">
        <f aca="false">-(D19*LN(MIN(MAX(F19,0.000001),0.999999))+(1-D19)*LN(MIN(MAX(1-F19,0.000001),0.999999)))</f>
        <v>0.693147180559945</v>
      </c>
    </row>
    <row r="20" customFormat="false" ht="12.8" hidden="false" customHeight="false" outlineLevel="0" collapsed="false">
      <c r="A20" s="50" t="str">
        <f aca="false">01_Data!A12</f>
        <v>S07</v>
      </c>
      <c r="B20" s="51" t="n">
        <f aca="false">01_Data!F12</f>
        <v>-0.4</v>
      </c>
      <c r="C20" s="51" t="n">
        <f aca="false">01_Data!G12</f>
        <v>-0.466666666666667</v>
      </c>
      <c r="D20" s="51" t="n">
        <f aca="false">01_Data!D12</f>
        <v>0</v>
      </c>
      <c r="E20" s="52" t="n">
        <f aca="false">$D$12+$F$12*B20+$H$12*C20</f>
        <v>0</v>
      </c>
      <c r="F20" s="52" t="n">
        <f aca="false">1/(1+EXP(-E20))</f>
        <v>0.5</v>
      </c>
      <c r="G20" s="53" t="n">
        <f aca="false">F20-D20</f>
        <v>0.5</v>
      </c>
      <c r="H20" s="53" t="n">
        <f aca="false">G20</f>
        <v>0.5</v>
      </c>
      <c r="I20" s="53" t="n">
        <f aca="false">G20*B20</f>
        <v>-0.2</v>
      </c>
      <c r="J20" s="53" t="n">
        <f aca="false">G20*C20</f>
        <v>-0.233333333333333</v>
      </c>
      <c r="K20" s="52" t="n">
        <f aca="false">-(D20*LN(MIN(MAX(F20,0.000001),0.999999))+(1-D20)*LN(MIN(MAX(1-F20,0.000001),0.999999)))</f>
        <v>0.693147180559945</v>
      </c>
    </row>
    <row r="21" customFormat="false" ht="12.8" hidden="false" customHeight="false" outlineLevel="0" collapsed="false">
      <c r="A21" s="50" t="str">
        <f aca="false">01_Data!A13</f>
        <v>S08</v>
      </c>
      <c r="B21" s="51" t="n">
        <f aca="false">01_Data!F13</f>
        <v>-0.2</v>
      </c>
      <c r="C21" s="51" t="n">
        <f aca="false">01_Data!G13</f>
        <v>-0.2</v>
      </c>
      <c r="D21" s="51" t="n">
        <f aca="false">01_Data!D13</f>
        <v>1</v>
      </c>
      <c r="E21" s="52" t="n">
        <f aca="false">$D$12+$F$12*B21+$H$12*C21</f>
        <v>0</v>
      </c>
      <c r="F21" s="52" t="n">
        <f aca="false">1/(1+EXP(-E21))</f>
        <v>0.5</v>
      </c>
      <c r="G21" s="53" t="n">
        <f aca="false">F21-D21</f>
        <v>-0.5</v>
      </c>
      <c r="H21" s="53" t="n">
        <f aca="false">G21</f>
        <v>-0.5</v>
      </c>
      <c r="I21" s="53" t="n">
        <f aca="false">G21*B21</f>
        <v>0.1</v>
      </c>
      <c r="J21" s="53" t="n">
        <f aca="false">G21*C21</f>
        <v>0.1</v>
      </c>
      <c r="K21" s="52" t="n">
        <f aca="false">-(D21*LN(MIN(MAX(F21,0.000001),0.999999))+(1-D21)*LN(MIN(MAX(1-F21,0.000001),0.999999)))</f>
        <v>0.693147180559945</v>
      </c>
    </row>
    <row r="22" customFormat="false" ht="12.8" hidden="false" customHeight="false" outlineLevel="0" collapsed="false">
      <c r="A22" s="50" t="str">
        <f aca="false">01_Data!A14</f>
        <v>S09</v>
      </c>
      <c r="B22" s="51" t="n">
        <f aca="false">01_Data!F14</f>
        <v>0</v>
      </c>
      <c r="C22" s="51" t="n">
        <f aca="false">01_Data!G14</f>
        <v>0</v>
      </c>
      <c r="D22" s="51" t="n">
        <f aca="false">01_Data!D14</f>
        <v>1</v>
      </c>
      <c r="E22" s="52" t="n">
        <f aca="false">$D$12+$F$12*B22+$H$12*C22</f>
        <v>0</v>
      </c>
      <c r="F22" s="52" t="n">
        <f aca="false">1/(1+EXP(-E22))</f>
        <v>0.5</v>
      </c>
      <c r="G22" s="53" t="n">
        <f aca="false">F22-D22</f>
        <v>-0.5</v>
      </c>
      <c r="H22" s="53" t="n">
        <f aca="false">G22</f>
        <v>-0.5</v>
      </c>
      <c r="I22" s="53" t="n">
        <f aca="false">G22*B22</f>
        <v>-0</v>
      </c>
      <c r="J22" s="53" t="n">
        <f aca="false">G22*C22</f>
        <v>-0</v>
      </c>
      <c r="K22" s="52" t="n">
        <f aca="false">-(D22*LN(MIN(MAX(F22,0.000001),0.999999))+(1-D22)*LN(MIN(MAX(1-F22,0.000001),0.999999)))</f>
        <v>0.693147180559945</v>
      </c>
    </row>
    <row r="23" customFormat="false" ht="12.8" hidden="false" customHeight="false" outlineLevel="0" collapsed="false">
      <c r="A23" s="50" t="str">
        <f aca="false">01_Data!A15</f>
        <v>S10</v>
      </c>
      <c r="B23" s="51" t="n">
        <f aca="false">01_Data!F15</f>
        <v>0.2</v>
      </c>
      <c r="C23" s="51" t="n">
        <f aca="false">01_Data!G15</f>
        <v>0.2</v>
      </c>
      <c r="D23" s="51" t="n">
        <f aca="false">01_Data!D15</f>
        <v>1</v>
      </c>
      <c r="E23" s="52" t="n">
        <f aca="false">$D$12+$F$12*B23+$H$12*C23</f>
        <v>0</v>
      </c>
      <c r="F23" s="52" t="n">
        <f aca="false">1/(1+EXP(-E23))</f>
        <v>0.5</v>
      </c>
      <c r="G23" s="53" t="n">
        <f aca="false">F23-D23</f>
        <v>-0.5</v>
      </c>
      <c r="H23" s="53" t="n">
        <f aca="false">G23</f>
        <v>-0.5</v>
      </c>
      <c r="I23" s="53" t="n">
        <f aca="false">G23*B23</f>
        <v>-0.1</v>
      </c>
      <c r="J23" s="53" t="n">
        <f aca="false">G23*C23</f>
        <v>-0.1</v>
      </c>
      <c r="K23" s="52" t="n">
        <f aca="false">-(D23*LN(MIN(MAX(F23,0.000001),0.999999))+(1-D23)*LN(MIN(MAX(1-F23,0.000001),0.999999)))</f>
        <v>0.693147180559945</v>
      </c>
    </row>
    <row r="24" customFormat="false" ht="12.8" hidden="false" customHeight="false" outlineLevel="0" collapsed="false">
      <c r="A24" s="50" t="str">
        <f aca="false">01_Data!A16</f>
        <v>S11</v>
      </c>
      <c r="B24" s="51" t="n">
        <f aca="false">01_Data!F16</f>
        <v>0.4</v>
      </c>
      <c r="C24" s="51" t="n">
        <f aca="false">01_Data!G16</f>
        <v>0.333333333333333</v>
      </c>
      <c r="D24" s="51" t="n">
        <f aca="false">01_Data!D16</f>
        <v>1</v>
      </c>
      <c r="E24" s="52" t="n">
        <f aca="false">$D$12+$F$12*B24+$H$12*C24</f>
        <v>0</v>
      </c>
      <c r="F24" s="52" t="n">
        <f aca="false">1/(1+EXP(-E24))</f>
        <v>0.5</v>
      </c>
      <c r="G24" s="53" t="n">
        <f aca="false">F24-D24</f>
        <v>-0.5</v>
      </c>
      <c r="H24" s="53" t="n">
        <f aca="false">G24</f>
        <v>-0.5</v>
      </c>
      <c r="I24" s="53" t="n">
        <f aca="false">G24*B24</f>
        <v>-0.2</v>
      </c>
      <c r="J24" s="53" t="n">
        <f aca="false">G24*C24</f>
        <v>-0.166666666666667</v>
      </c>
      <c r="K24" s="52" t="n">
        <f aca="false">-(D24*LN(MIN(MAX(F24,0.000001),0.999999))+(1-D24)*LN(MIN(MAX(1-F24,0.000001),0.999999)))</f>
        <v>0.693147180559945</v>
      </c>
    </row>
    <row r="25" customFormat="false" ht="12.8" hidden="false" customHeight="false" outlineLevel="0" collapsed="false">
      <c r="A25" s="50" t="str">
        <f aca="false">01_Data!A17</f>
        <v>S12</v>
      </c>
      <c r="B25" s="51" t="n">
        <f aca="false">01_Data!F17</f>
        <v>0.6</v>
      </c>
      <c r="C25" s="51" t="n">
        <f aca="false">01_Data!G17</f>
        <v>0.466666666666667</v>
      </c>
      <c r="D25" s="51" t="n">
        <f aca="false">01_Data!D17</f>
        <v>1</v>
      </c>
      <c r="E25" s="52" t="n">
        <f aca="false">$D$12+$F$12*B25+$H$12*C25</f>
        <v>0</v>
      </c>
      <c r="F25" s="52" t="n">
        <f aca="false">1/(1+EXP(-E25))</f>
        <v>0.5</v>
      </c>
      <c r="G25" s="53" t="n">
        <f aca="false">F25-D25</f>
        <v>-0.5</v>
      </c>
      <c r="H25" s="53" t="n">
        <f aca="false">G25</f>
        <v>-0.5</v>
      </c>
      <c r="I25" s="53" t="n">
        <f aca="false">G25*B25</f>
        <v>-0.3</v>
      </c>
      <c r="J25" s="53" t="n">
        <f aca="false">G25*C25</f>
        <v>-0.233333333333333</v>
      </c>
      <c r="K25" s="52" t="n">
        <f aca="false">-(D25*LN(MIN(MAX(F25,0.000001),0.999999))+(1-D25)*LN(MIN(MAX(1-F25,0.000001),0.999999)))</f>
        <v>0.693147180559945</v>
      </c>
    </row>
    <row r="26" customFormat="false" ht="12.8" hidden="false" customHeight="false" outlineLevel="0" collapsed="false">
      <c r="A26" s="50" t="str">
        <f aca="false">01_Data!A18</f>
        <v>S13</v>
      </c>
      <c r="B26" s="51" t="n">
        <f aca="false">01_Data!F18</f>
        <v>0.8</v>
      </c>
      <c r="C26" s="51" t="n">
        <f aca="false">01_Data!G18</f>
        <v>0.666666666666667</v>
      </c>
      <c r="D26" s="51" t="n">
        <f aca="false">01_Data!D18</f>
        <v>1</v>
      </c>
      <c r="E26" s="52" t="n">
        <f aca="false">$D$12+$F$12*B26+$H$12*C26</f>
        <v>0</v>
      </c>
      <c r="F26" s="52" t="n">
        <f aca="false">1/(1+EXP(-E26))</f>
        <v>0.5</v>
      </c>
      <c r="G26" s="53" t="n">
        <f aca="false">F26-D26</f>
        <v>-0.5</v>
      </c>
      <c r="H26" s="53" t="n">
        <f aca="false">G26</f>
        <v>-0.5</v>
      </c>
      <c r="I26" s="53" t="n">
        <f aca="false">G26*B26</f>
        <v>-0.4</v>
      </c>
      <c r="J26" s="53" t="n">
        <f aca="false">G26*C26</f>
        <v>-0.333333333333333</v>
      </c>
      <c r="K26" s="52" t="n">
        <f aca="false">-(D26*LN(MIN(MAX(F26,0.000001),0.999999))+(1-D26)*LN(MIN(MAX(1-F26,0.000001),0.999999)))</f>
        <v>0.693147180559945</v>
      </c>
    </row>
    <row r="27" customFormat="false" ht="12.8" hidden="false" customHeight="false" outlineLevel="0" collapsed="false">
      <c r="A27" s="50" t="str">
        <f aca="false">01_Data!A19</f>
        <v>S14</v>
      </c>
      <c r="B27" s="51" t="n">
        <f aca="false">01_Data!F19</f>
        <v>1</v>
      </c>
      <c r="C27" s="51" t="n">
        <f aca="false">01_Data!G19</f>
        <v>0.866666666666667</v>
      </c>
      <c r="D27" s="51" t="n">
        <f aca="false">01_Data!D19</f>
        <v>1</v>
      </c>
      <c r="E27" s="52" t="n">
        <f aca="false">$D$12+$F$12*B27+$H$12*C27</f>
        <v>0</v>
      </c>
      <c r="F27" s="52" t="n">
        <f aca="false">1/(1+EXP(-E27))</f>
        <v>0.5</v>
      </c>
      <c r="G27" s="53" t="n">
        <f aca="false">F27-D27</f>
        <v>-0.5</v>
      </c>
      <c r="H27" s="53" t="n">
        <f aca="false">G27</f>
        <v>-0.5</v>
      </c>
      <c r="I27" s="53" t="n">
        <f aca="false">G27*B27</f>
        <v>-0.5</v>
      </c>
      <c r="J27" s="53" t="n">
        <f aca="false">G27*C27</f>
        <v>-0.433333333333333</v>
      </c>
      <c r="K27" s="52" t="n">
        <f aca="false">-(D27*LN(MIN(MAX(F27,0.000001),0.999999))+(1-D27)*LN(MIN(MAX(1-F27,0.000001),0.999999)))</f>
        <v>0.693147180559945</v>
      </c>
    </row>
    <row r="28" customFormat="false" ht="12.8" hidden="false" customHeight="false" outlineLevel="0" collapsed="false">
      <c r="A28" s="50" t="str">
        <f aca="false">01_Data!A20</f>
        <v>S15</v>
      </c>
      <c r="B28" s="51" t="n">
        <f aca="false">01_Data!F20</f>
        <v>1.2</v>
      </c>
      <c r="C28" s="51" t="n">
        <f aca="false">01_Data!G20</f>
        <v>1</v>
      </c>
      <c r="D28" s="51" t="n">
        <f aca="false">01_Data!D20</f>
        <v>1</v>
      </c>
      <c r="E28" s="52" t="n">
        <f aca="false">$D$12+$F$12*B28+$H$12*C28</f>
        <v>0</v>
      </c>
      <c r="F28" s="52" t="n">
        <f aca="false">1/(1+EXP(-E28))</f>
        <v>0.5</v>
      </c>
      <c r="G28" s="53" t="n">
        <f aca="false">F28-D28</f>
        <v>-0.5</v>
      </c>
      <c r="H28" s="53" t="n">
        <f aca="false">G28</f>
        <v>-0.5</v>
      </c>
      <c r="I28" s="53" t="n">
        <f aca="false">G28*B28</f>
        <v>-0.6</v>
      </c>
      <c r="J28" s="53" t="n">
        <f aca="false">G28*C28</f>
        <v>-0.5</v>
      </c>
      <c r="K28" s="52" t="n">
        <f aca="false">-(D28*LN(MIN(MAX(F28,0.000001),0.999999))+(1-D28)*LN(MIN(MAX(1-F28,0.000001),0.999999)))</f>
        <v>0.693147180559945</v>
      </c>
    </row>
    <row r="29" customFormat="false" ht="12.8" hidden="false" customHeight="false" outlineLevel="0" collapsed="false">
      <c r="A29" s="50" t="str">
        <f aca="false">01_Data!A21</f>
        <v>S16</v>
      </c>
      <c r="B29" s="51" t="n">
        <f aca="false">01_Data!F21</f>
        <v>1.4</v>
      </c>
      <c r="C29" s="51" t="n">
        <f aca="false">01_Data!G21</f>
        <v>1.13333333333333</v>
      </c>
      <c r="D29" s="51" t="n">
        <f aca="false">01_Data!D21</f>
        <v>1</v>
      </c>
      <c r="E29" s="52" t="n">
        <f aca="false">$D$12+$F$12*B29+$H$12*C29</f>
        <v>0</v>
      </c>
      <c r="F29" s="52" t="n">
        <f aca="false">1/(1+EXP(-E29))</f>
        <v>0.5</v>
      </c>
      <c r="G29" s="53" t="n">
        <f aca="false">F29-D29</f>
        <v>-0.5</v>
      </c>
      <c r="H29" s="53" t="n">
        <f aca="false">G29</f>
        <v>-0.5</v>
      </c>
      <c r="I29" s="53" t="n">
        <f aca="false">G29*B29</f>
        <v>-0.7</v>
      </c>
      <c r="J29" s="53" t="n">
        <f aca="false">G29*C29</f>
        <v>-0.566666666666667</v>
      </c>
      <c r="K29" s="52" t="n">
        <f aca="false">-(D29*LN(MIN(MAX(F29,0.000001),0.999999))+(1-D29)*LN(MIN(MAX(1-F29,0.000001),0.999999)))</f>
        <v>0.693147180559945</v>
      </c>
    </row>
    <row r="30" customFormat="false" ht="12.8" hidden="false" customHeight="false" outlineLevel="0" collapsed="false">
      <c r="A30" s="50" t="str">
        <f aca="false">01_Data!A22</f>
        <v>S17</v>
      </c>
      <c r="B30" s="51" t="n">
        <f aca="false">01_Data!F22</f>
        <v>1.6</v>
      </c>
      <c r="C30" s="51" t="n">
        <f aca="false">01_Data!G22</f>
        <v>1.33333333333333</v>
      </c>
      <c r="D30" s="51" t="n">
        <f aca="false">01_Data!D22</f>
        <v>1</v>
      </c>
      <c r="E30" s="52" t="n">
        <f aca="false">$D$12+$F$12*B30+$H$12*C30</f>
        <v>0</v>
      </c>
      <c r="F30" s="52" t="n">
        <f aca="false">1/(1+EXP(-E30))</f>
        <v>0.5</v>
      </c>
      <c r="G30" s="53" t="n">
        <f aca="false">F30-D30</f>
        <v>-0.5</v>
      </c>
      <c r="H30" s="53" t="n">
        <f aca="false">G30</f>
        <v>-0.5</v>
      </c>
      <c r="I30" s="53" t="n">
        <f aca="false">G30*B30</f>
        <v>-0.8</v>
      </c>
      <c r="J30" s="53" t="n">
        <f aca="false">G30*C30</f>
        <v>-0.666666666666667</v>
      </c>
      <c r="K30" s="52" t="n">
        <f aca="false">-(D30*LN(MIN(MAX(F30,0.000001),0.999999))+(1-D30)*LN(MIN(MAX(1-F30,0.000001),0.999999)))</f>
        <v>0.693147180559945</v>
      </c>
    </row>
    <row r="31" customFormat="false" ht="12.8" hidden="false" customHeight="false" outlineLevel="0" collapsed="false">
      <c r="A31" s="50" t="str">
        <f aca="false">01_Data!A23</f>
        <v>S18</v>
      </c>
      <c r="B31" s="51" t="n">
        <f aca="false">01_Data!F23</f>
        <v>0</v>
      </c>
      <c r="C31" s="51" t="n">
        <f aca="false">01_Data!G23</f>
        <v>-0.666666666666667</v>
      </c>
      <c r="D31" s="51" t="n">
        <f aca="false">01_Data!D23</f>
        <v>0</v>
      </c>
      <c r="E31" s="52" t="n">
        <f aca="false">$D$12+$F$12*B31+$H$12*C31</f>
        <v>0</v>
      </c>
      <c r="F31" s="52" t="n">
        <f aca="false">1/(1+EXP(-E31))</f>
        <v>0.5</v>
      </c>
      <c r="G31" s="53" t="n">
        <f aca="false">F31-D31</f>
        <v>0.5</v>
      </c>
      <c r="H31" s="53" t="n">
        <f aca="false">G31</f>
        <v>0.5</v>
      </c>
      <c r="I31" s="53" t="n">
        <f aca="false">G31*B31</f>
        <v>0</v>
      </c>
      <c r="J31" s="53" t="n">
        <f aca="false">G31*C31</f>
        <v>-0.333333333333333</v>
      </c>
      <c r="K31" s="52" t="n">
        <f aca="false">-(D31*LN(MIN(MAX(F31,0.000001),0.999999))+(1-D31)*LN(MIN(MAX(1-F31,0.000001),0.999999)))</f>
        <v>0.693147180559945</v>
      </c>
    </row>
    <row r="32" customFormat="false" ht="12.8" hidden="false" customHeight="false" outlineLevel="0" collapsed="false">
      <c r="A32" s="50" t="str">
        <f aca="false">01_Data!A24</f>
        <v>S19</v>
      </c>
      <c r="B32" s="51" t="n">
        <f aca="false">01_Data!F24</f>
        <v>-0.8</v>
      </c>
      <c r="C32" s="51" t="n">
        <f aca="false">01_Data!G24</f>
        <v>0.666666666666667</v>
      </c>
      <c r="D32" s="51" t="n">
        <f aca="false">01_Data!D24</f>
        <v>1</v>
      </c>
      <c r="E32" s="52" t="n">
        <f aca="false">$D$12+$F$12*B32+$H$12*C32</f>
        <v>0</v>
      </c>
      <c r="F32" s="52" t="n">
        <f aca="false">1/(1+EXP(-E32))</f>
        <v>0.5</v>
      </c>
      <c r="G32" s="53" t="n">
        <f aca="false">F32-D32</f>
        <v>-0.5</v>
      </c>
      <c r="H32" s="53" t="n">
        <f aca="false">G32</f>
        <v>-0.5</v>
      </c>
      <c r="I32" s="53" t="n">
        <f aca="false">G32*B32</f>
        <v>0.4</v>
      </c>
      <c r="J32" s="53" t="n">
        <f aca="false">G32*C32</f>
        <v>-0.333333333333333</v>
      </c>
      <c r="K32" s="52" t="n">
        <f aca="false">-(D32*LN(MIN(MAX(F32,0.000001),0.999999))+(1-D32)*LN(MIN(MAX(1-F32,0.000001),0.999999)))</f>
        <v>0.693147180559945</v>
      </c>
    </row>
    <row r="33" customFormat="false" ht="12.8" hidden="false" customHeight="false" outlineLevel="0" collapsed="false">
      <c r="A33" s="50" t="str">
        <f aca="false">01_Data!A25</f>
        <v>S20</v>
      </c>
      <c r="B33" s="51" t="n">
        <f aca="false">01_Data!F25</f>
        <v>0.8</v>
      </c>
      <c r="C33" s="51" t="n">
        <f aca="false">01_Data!G25</f>
        <v>-0.666666666666667</v>
      </c>
      <c r="D33" s="51" t="n">
        <f aca="false">01_Data!D25</f>
        <v>1</v>
      </c>
      <c r="E33" s="52" t="n">
        <f aca="false">$D$12+$F$12*B33+$H$12*C33</f>
        <v>0</v>
      </c>
      <c r="F33" s="52" t="n">
        <f aca="false">1/(1+EXP(-E33))</f>
        <v>0.5</v>
      </c>
      <c r="G33" s="53" t="n">
        <f aca="false">F33-D33</f>
        <v>-0.5</v>
      </c>
      <c r="H33" s="53" t="n">
        <f aca="false">G33</f>
        <v>-0.5</v>
      </c>
      <c r="I33" s="53" t="n">
        <f aca="false">G33*B33</f>
        <v>-0.4</v>
      </c>
      <c r="J33" s="53" t="n">
        <f aca="false">G33*C33</f>
        <v>0.333333333333333</v>
      </c>
      <c r="K33" s="52" t="n">
        <f aca="false">-(D33*LN(MIN(MAX(F33,0.000001),0.999999))+(1-D33)*LN(MIN(MAX(1-F33,0.000001),0.999999)))</f>
        <v>0.693147180559945</v>
      </c>
    </row>
    <row r="34" customFormat="false" ht="12.8" hidden="false" customHeight="false" outlineLevel="0" collapsed="false">
      <c r="A34" s="54" t="s">
        <v>138</v>
      </c>
      <c r="B34" s="54"/>
      <c r="C34" s="54"/>
      <c r="D34" s="54"/>
      <c r="E34" s="54"/>
      <c r="F34" s="54"/>
      <c r="G34" s="54" t="s">
        <v>139</v>
      </c>
      <c r="H34" s="55" t="n">
        <f aca="false">AVERAGE(H14:H33)</f>
        <v>-0.1</v>
      </c>
      <c r="I34" s="55" t="n">
        <f aca="false">AVERAGE(I14:I33)</f>
        <v>-0.35</v>
      </c>
      <c r="J34" s="55" t="n">
        <f aca="false">AVERAGE(J14:J33)</f>
        <v>-0.306666666666667</v>
      </c>
      <c r="K34" s="55" t="n">
        <f aca="false">AVERAGE(K14:K33)</f>
        <v>0.693147180559945</v>
      </c>
    </row>
    <row r="35" customFormat="false" ht="22.35" hidden="false" customHeight="true" outlineLevel="0" collapsed="false">
      <c r="A35" s="47" t="s">
        <v>140</v>
      </c>
      <c r="B35" s="47"/>
      <c r="C35" s="47" t="s">
        <v>141</v>
      </c>
      <c r="D35" s="56" t="n">
        <f aca="false">D12-$B$4*H34</f>
        <v>0.04</v>
      </c>
      <c r="E35" s="47" t="s">
        <v>142</v>
      </c>
      <c r="F35" s="56" t="n">
        <f aca="false">F12-$B$4*I34</f>
        <v>0.14</v>
      </c>
      <c r="G35" s="47" t="s">
        <v>143</v>
      </c>
      <c r="H35" s="56" t="n">
        <f aca="false">H12-$B$4*J34</f>
        <v>0.122666666666667</v>
      </c>
      <c r="I35" s="48" t="s">
        <v>144</v>
      </c>
      <c r="J35" s="48"/>
      <c r="K35" s="48"/>
    </row>
    <row r="37" customFormat="false" ht="22.5" hidden="false" customHeight="true" outlineLevel="0" collapsed="false">
      <c r="A37" s="57" t="s">
        <v>145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</row>
    <row r="38" customFormat="false" ht="15" hidden="false" customHeight="true" outlineLevel="0" collapsed="false">
      <c r="A38" s="47" t="s">
        <v>122</v>
      </c>
      <c r="B38" s="48" t="n">
        <v>2</v>
      </c>
      <c r="C38" s="47" t="s">
        <v>123</v>
      </c>
      <c r="D38" s="58" t="n">
        <f aca="false">D35</f>
        <v>0.04</v>
      </c>
      <c r="E38" s="47" t="s">
        <v>124</v>
      </c>
      <c r="F38" s="58" t="n">
        <f aca="false">F35</f>
        <v>0.14</v>
      </c>
      <c r="G38" s="47" t="s">
        <v>125</v>
      </c>
      <c r="H38" s="58" t="n">
        <f aca="false">H35</f>
        <v>0.122666666666667</v>
      </c>
      <c r="I38" s="48" t="s">
        <v>126</v>
      </c>
      <c r="J38" s="48"/>
      <c r="K38" s="48"/>
    </row>
    <row r="39" customFormat="false" ht="33.75" hidden="false" customHeight="true" outlineLevel="0" collapsed="false">
      <c r="A39" s="18" t="s">
        <v>127</v>
      </c>
      <c r="B39" s="18" t="s">
        <v>128</v>
      </c>
      <c r="C39" s="18" t="s">
        <v>129</v>
      </c>
      <c r="D39" s="18" t="s">
        <v>130</v>
      </c>
      <c r="E39" s="18" t="s">
        <v>131</v>
      </c>
      <c r="F39" s="18" t="s">
        <v>132</v>
      </c>
      <c r="G39" s="18" t="s">
        <v>133</v>
      </c>
      <c r="H39" s="18" t="s">
        <v>146</v>
      </c>
      <c r="I39" s="18" t="s">
        <v>147</v>
      </c>
      <c r="J39" s="18" t="s">
        <v>148</v>
      </c>
      <c r="K39" s="18" t="s">
        <v>33</v>
      </c>
    </row>
    <row r="40" customFormat="false" ht="12.8" hidden="false" customHeight="false" outlineLevel="0" collapsed="false">
      <c r="A40" s="50" t="str">
        <f aca="false">01_Data!A6</f>
        <v>S01</v>
      </c>
      <c r="B40" s="51" t="n">
        <f aca="false">01_Data!F6</f>
        <v>-1.6</v>
      </c>
      <c r="C40" s="51" t="n">
        <f aca="false">01_Data!G6</f>
        <v>-1.33333333333333</v>
      </c>
      <c r="D40" s="51" t="n">
        <f aca="false">01_Data!D6</f>
        <v>0</v>
      </c>
      <c r="E40" s="52" t="n">
        <f aca="false">$D$38+$F$38*B40+$H$38*C40</f>
        <v>-0.347555555555556</v>
      </c>
      <c r="F40" s="52" t="n">
        <f aca="false">1/(1+EXP(-E40))</f>
        <v>0.413975317732607</v>
      </c>
      <c r="G40" s="53" t="n">
        <f aca="false">F40-D40</f>
        <v>0.413975317732607</v>
      </c>
      <c r="H40" s="53" t="n">
        <f aca="false">G40</f>
        <v>0.413975317732607</v>
      </c>
      <c r="I40" s="53" t="n">
        <f aca="false">G40*B40</f>
        <v>-0.662360508372171</v>
      </c>
      <c r="J40" s="53" t="n">
        <f aca="false">G40*C40</f>
        <v>-0.551967090310143</v>
      </c>
      <c r="K40" s="52" t="n">
        <f aca="false">-(D40*LN(MIN(MAX(F40,0.000001),0.999999))+(1-D40)*LN(MIN(MAX(1-F40,0.000001),0.999999)))</f>
        <v>0.534393370381916</v>
      </c>
    </row>
    <row r="41" customFormat="false" ht="12.8" hidden="false" customHeight="false" outlineLevel="0" collapsed="false">
      <c r="A41" s="50" t="str">
        <f aca="false">01_Data!A7</f>
        <v>S02</v>
      </c>
      <c r="B41" s="51" t="n">
        <f aca="false">01_Data!F7</f>
        <v>-1.4</v>
      </c>
      <c r="C41" s="51" t="n">
        <f aca="false">01_Data!G7</f>
        <v>-1</v>
      </c>
      <c r="D41" s="51" t="n">
        <f aca="false">01_Data!D7</f>
        <v>0</v>
      </c>
      <c r="E41" s="52" t="n">
        <f aca="false">$D$38+$F$38*B41+$H$38*C41</f>
        <v>-0.278666666666667</v>
      </c>
      <c r="F41" s="52" t="n">
        <f aca="false">1/(1+EXP(-E41))</f>
        <v>0.430780690756897</v>
      </c>
      <c r="G41" s="53" t="n">
        <f aca="false">F41-D41</f>
        <v>0.430780690756897</v>
      </c>
      <c r="H41" s="53" t="n">
        <f aca="false">G41</f>
        <v>0.430780690756897</v>
      </c>
      <c r="I41" s="53" t="n">
        <f aca="false">G41*B41</f>
        <v>-0.603092967059656</v>
      </c>
      <c r="J41" s="53" t="n">
        <f aca="false">G41*C41</f>
        <v>-0.430780690756897</v>
      </c>
      <c r="K41" s="52" t="n">
        <f aca="false">-(D41*LN(MIN(MAX(F41,0.000001),0.999999))+(1-D41)*LN(MIN(MAX(1-F41,0.000001),0.999999)))</f>
        <v>0.563489489864838</v>
      </c>
    </row>
    <row r="42" customFormat="false" ht="12.8" hidden="false" customHeight="false" outlineLevel="0" collapsed="false">
      <c r="A42" s="50" t="str">
        <f aca="false">01_Data!A8</f>
        <v>S03</v>
      </c>
      <c r="B42" s="51" t="n">
        <f aca="false">01_Data!F8</f>
        <v>-1.2</v>
      </c>
      <c r="C42" s="51" t="n">
        <f aca="false">01_Data!G8</f>
        <v>-1.13333333333333</v>
      </c>
      <c r="D42" s="51" t="n">
        <f aca="false">01_Data!D8</f>
        <v>0</v>
      </c>
      <c r="E42" s="52" t="n">
        <f aca="false">$D$38+$F$38*B42+$H$38*C42</f>
        <v>-0.267022222222222</v>
      </c>
      <c r="F42" s="52" t="n">
        <f aca="false">1/(1+EXP(-E42))</f>
        <v>0.433638280679346</v>
      </c>
      <c r="G42" s="53" t="n">
        <f aca="false">F42-D42</f>
        <v>0.433638280679346</v>
      </c>
      <c r="H42" s="53" t="n">
        <f aca="false">G42</f>
        <v>0.433638280679346</v>
      </c>
      <c r="I42" s="53" t="n">
        <f aca="false">G42*B42</f>
        <v>-0.520365936815215</v>
      </c>
      <c r="J42" s="53" t="n">
        <f aca="false">G42*C42</f>
        <v>-0.491456718103259</v>
      </c>
      <c r="K42" s="52" t="n">
        <f aca="false">-(D42*LN(MIN(MAX(F42,0.000001),0.999999))+(1-D42)*LN(MIN(MAX(1-F42,0.000001),0.999999)))</f>
        <v>0.568522324831833</v>
      </c>
    </row>
    <row r="43" customFormat="false" ht="12.8" hidden="false" customHeight="false" outlineLevel="0" collapsed="false">
      <c r="A43" s="50" t="str">
        <f aca="false">01_Data!A9</f>
        <v>S04</v>
      </c>
      <c r="B43" s="51" t="n">
        <f aca="false">01_Data!F9</f>
        <v>-1</v>
      </c>
      <c r="C43" s="51" t="n">
        <f aca="false">01_Data!G9</f>
        <v>-0.666666666666667</v>
      </c>
      <c r="D43" s="51" t="n">
        <f aca="false">01_Data!D9</f>
        <v>0</v>
      </c>
      <c r="E43" s="52" t="n">
        <f aca="false">$D$38+$F$38*B43+$H$38*C43</f>
        <v>-0.181777777777778</v>
      </c>
      <c r="F43" s="52" t="n">
        <f aca="false">1/(1+EXP(-E43))</f>
        <v>0.454680279118302</v>
      </c>
      <c r="G43" s="53" t="n">
        <f aca="false">F43-D43</f>
        <v>0.454680279118302</v>
      </c>
      <c r="H43" s="53" t="n">
        <f aca="false">G43</f>
        <v>0.454680279118302</v>
      </c>
      <c r="I43" s="53" t="n">
        <f aca="false">G43*B43</f>
        <v>-0.454680279118302</v>
      </c>
      <c r="J43" s="53" t="n">
        <f aca="false">G43*C43</f>
        <v>-0.303120186078868</v>
      </c>
      <c r="K43" s="52" t="n">
        <f aca="false">-(D43*LN(MIN(MAX(F43,0.000001),0.999999))+(1-D43)*LN(MIN(MAX(1-F43,0.000001),0.999999)))</f>
        <v>0.606383012507481</v>
      </c>
    </row>
    <row r="44" customFormat="false" ht="12.8" hidden="false" customHeight="false" outlineLevel="0" collapsed="false">
      <c r="A44" s="50" t="str">
        <f aca="false">01_Data!A10</f>
        <v>S05</v>
      </c>
      <c r="B44" s="51" t="n">
        <f aca="false">01_Data!F10</f>
        <v>-0.8</v>
      </c>
      <c r="C44" s="51" t="n">
        <f aca="false">01_Data!G10</f>
        <v>-0.866666666666667</v>
      </c>
      <c r="D44" s="51" t="n">
        <f aca="false">01_Data!D10</f>
        <v>0</v>
      </c>
      <c r="E44" s="52" t="n">
        <f aca="false">$D$38+$F$38*B44+$H$38*C44</f>
        <v>-0.178311111111111</v>
      </c>
      <c r="F44" s="52" t="n">
        <f aca="false">1/(1+EXP(-E44))</f>
        <v>0.455539959879771</v>
      </c>
      <c r="G44" s="53" t="n">
        <f aca="false">F44-D44</f>
        <v>0.455539959879771</v>
      </c>
      <c r="H44" s="53" t="n">
        <f aca="false">G44</f>
        <v>0.455539959879771</v>
      </c>
      <c r="I44" s="53" t="n">
        <f aca="false">G44*B44</f>
        <v>-0.364431967903817</v>
      </c>
      <c r="J44" s="53" t="n">
        <f aca="false">G44*C44</f>
        <v>-0.394801298562469</v>
      </c>
      <c r="K44" s="52" t="n">
        <f aca="false">-(D44*LN(MIN(MAX(F44,0.000001),0.999999))+(1-D44)*LN(MIN(MAX(1-F44,0.000001),0.999999)))</f>
        <v>0.607960727511115</v>
      </c>
    </row>
    <row r="45" customFormat="false" ht="12.8" hidden="false" customHeight="false" outlineLevel="0" collapsed="false">
      <c r="A45" s="50" t="str">
        <f aca="false">01_Data!A11</f>
        <v>S06</v>
      </c>
      <c r="B45" s="51" t="n">
        <f aca="false">01_Data!F11</f>
        <v>-0.6</v>
      </c>
      <c r="C45" s="51" t="n">
        <f aca="false">01_Data!G11</f>
        <v>-0.333333333333333</v>
      </c>
      <c r="D45" s="51" t="n">
        <f aca="false">01_Data!D11</f>
        <v>0</v>
      </c>
      <c r="E45" s="52" t="n">
        <f aca="false">$D$38+$F$38*B45+$H$38*C45</f>
        <v>-0.0848888888888889</v>
      </c>
      <c r="F45" s="52" t="n">
        <f aca="false">1/(1+EXP(-E45))</f>
        <v>0.478790512763649</v>
      </c>
      <c r="G45" s="53" t="n">
        <f aca="false">F45-D45</f>
        <v>0.478790512763649</v>
      </c>
      <c r="H45" s="53" t="n">
        <f aca="false">G45</f>
        <v>0.478790512763649</v>
      </c>
      <c r="I45" s="53" t="n">
        <f aca="false">G45*B45</f>
        <v>-0.287274307658189</v>
      </c>
      <c r="J45" s="53" t="n">
        <f aca="false">G45*C45</f>
        <v>-0.159596837587883</v>
      </c>
      <c r="K45" s="52" t="n">
        <f aca="false">-(D45*LN(MIN(MAX(F45,0.000001),0.999999))+(1-D45)*LN(MIN(MAX(1-F45,0.000001),0.999999)))</f>
        <v>0.651603231218005</v>
      </c>
    </row>
    <row r="46" customFormat="false" ht="12.8" hidden="false" customHeight="false" outlineLevel="0" collapsed="false">
      <c r="A46" s="50" t="str">
        <f aca="false">01_Data!A12</f>
        <v>S07</v>
      </c>
      <c r="B46" s="51" t="n">
        <f aca="false">01_Data!F12</f>
        <v>-0.4</v>
      </c>
      <c r="C46" s="51" t="n">
        <f aca="false">01_Data!G12</f>
        <v>-0.466666666666667</v>
      </c>
      <c r="D46" s="51" t="n">
        <f aca="false">01_Data!D12</f>
        <v>0</v>
      </c>
      <c r="E46" s="52" t="n">
        <f aca="false">$D$38+$F$38*B46+$H$38*C46</f>
        <v>-0.0732444444444444</v>
      </c>
      <c r="F46" s="52" t="n">
        <f aca="false">1/(1+EXP(-E46))</f>
        <v>0.481697070708615</v>
      </c>
      <c r="G46" s="53" t="n">
        <f aca="false">F46-D46</f>
        <v>0.481697070708615</v>
      </c>
      <c r="H46" s="53" t="n">
        <f aca="false">G46</f>
        <v>0.481697070708615</v>
      </c>
      <c r="I46" s="53" t="n">
        <f aca="false">G46*B46</f>
        <v>-0.192678828283446</v>
      </c>
      <c r="J46" s="53" t="n">
        <f aca="false">G46*C46</f>
        <v>-0.224791966330687</v>
      </c>
      <c r="K46" s="52" t="n">
        <f aca="false">-(D46*LN(MIN(MAX(F46,0.000001),0.999999))+(1-D46)*LN(MIN(MAX(1-F46,0.000001),0.999999)))</f>
        <v>0.657195402072976</v>
      </c>
    </row>
    <row r="47" customFormat="false" ht="12.8" hidden="false" customHeight="false" outlineLevel="0" collapsed="false">
      <c r="A47" s="50" t="str">
        <f aca="false">01_Data!A13</f>
        <v>S08</v>
      </c>
      <c r="B47" s="51" t="n">
        <f aca="false">01_Data!F13</f>
        <v>-0.2</v>
      </c>
      <c r="C47" s="51" t="n">
        <f aca="false">01_Data!G13</f>
        <v>-0.2</v>
      </c>
      <c r="D47" s="51" t="n">
        <f aca="false">01_Data!D13</f>
        <v>1</v>
      </c>
      <c r="E47" s="52" t="n">
        <f aca="false">$D$38+$F$38*B47+$H$38*C47</f>
        <v>-0.0125333333333333</v>
      </c>
      <c r="F47" s="52" t="n">
        <f aca="false">1/(1+EXP(-E47))</f>
        <v>0.496866707682516</v>
      </c>
      <c r="G47" s="53" t="n">
        <f aca="false">F47-D47</f>
        <v>-0.503133292317484</v>
      </c>
      <c r="H47" s="53" t="n">
        <f aca="false">G47</f>
        <v>-0.503133292317484</v>
      </c>
      <c r="I47" s="53" t="n">
        <f aca="false">G47*B47</f>
        <v>0.100626658463497</v>
      </c>
      <c r="J47" s="53" t="n">
        <f aca="false">G47*C47</f>
        <v>0.100626658463497</v>
      </c>
      <c r="K47" s="52" t="n">
        <f aca="false">-(D47*LN(MIN(MAX(F47,0.000001),0.999999))+(1-D47)*LN(MIN(MAX(1-F47,0.000001),0.999999)))</f>
        <v>0.699433482653651</v>
      </c>
    </row>
    <row r="48" customFormat="false" ht="12.8" hidden="false" customHeight="false" outlineLevel="0" collapsed="false">
      <c r="A48" s="50" t="str">
        <f aca="false">01_Data!A14</f>
        <v>S09</v>
      </c>
      <c r="B48" s="51" t="n">
        <f aca="false">01_Data!F14</f>
        <v>0</v>
      </c>
      <c r="C48" s="51" t="n">
        <f aca="false">01_Data!G14</f>
        <v>0</v>
      </c>
      <c r="D48" s="51" t="n">
        <f aca="false">01_Data!D14</f>
        <v>1</v>
      </c>
      <c r="E48" s="52" t="n">
        <f aca="false">$D$38+$F$38*B48+$H$38*C48</f>
        <v>0.04</v>
      </c>
      <c r="F48" s="52" t="n">
        <f aca="false">1/(1+EXP(-E48))</f>
        <v>0.509998666879966</v>
      </c>
      <c r="G48" s="53" t="n">
        <f aca="false">F48-D48</f>
        <v>-0.490001333120034</v>
      </c>
      <c r="H48" s="53" t="n">
        <f aca="false">G48</f>
        <v>-0.490001333120034</v>
      </c>
      <c r="I48" s="53" t="n">
        <f aca="false">G48*B48</f>
        <v>-0</v>
      </c>
      <c r="J48" s="53" t="n">
        <f aca="false">G48*C48</f>
        <v>-0</v>
      </c>
      <c r="K48" s="52" t="n">
        <f aca="false">-(D48*LN(MIN(MAX(F48,0.000001),0.999999))+(1-D48)*LN(MIN(MAX(1-F48,0.000001),0.999999)))</f>
        <v>0.673347167228034</v>
      </c>
    </row>
    <row r="49" customFormat="false" ht="12.8" hidden="false" customHeight="false" outlineLevel="0" collapsed="false">
      <c r="A49" s="50" t="str">
        <f aca="false">01_Data!A15</f>
        <v>S10</v>
      </c>
      <c r="B49" s="51" t="n">
        <f aca="false">01_Data!F15</f>
        <v>0.2</v>
      </c>
      <c r="C49" s="51" t="n">
        <f aca="false">01_Data!G15</f>
        <v>0.2</v>
      </c>
      <c r="D49" s="51" t="n">
        <f aca="false">01_Data!D15</f>
        <v>1</v>
      </c>
      <c r="E49" s="52" t="n">
        <f aca="false">$D$38+$F$38*B49+$H$38*C49</f>
        <v>0.0925333333333333</v>
      </c>
      <c r="F49" s="52" t="n">
        <f aca="false">1/(1+EXP(-E49))</f>
        <v>0.523116841015885</v>
      </c>
      <c r="G49" s="53" t="n">
        <f aca="false">F49-D49</f>
        <v>-0.476883158984116</v>
      </c>
      <c r="H49" s="53" t="n">
        <f aca="false">G49</f>
        <v>-0.476883158984116</v>
      </c>
      <c r="I49" s="53" t="n">
        <f aca="false">G49*B49</f>
        <v>-0.0953766317968231</v>
      </c>
      <c r="J49" s="53" t="n">
        <f aca="false">G49*C49</f>
        <v>-0.0953766317968231</v>
      </c>
      <c r="K49" s="52" t="n">
        <f aca="false">-(D49*LN(MIN(MAX(F49,0.000001),0.999999))+(1-D49)*LN(MIN(MAX(1-F49,0.000001),0.999999)))</f>
        <v>0.647950434484381</v>
      </c>
    </row>
    <row r="50" customFormat="false" ht="12.8" hidden="false" customHeight="false" outlineLevel="0" collapsed="false">
      <c r="A50" s="50" t="str">
        <f aca="false">01_Data!A16</f>
        <v>S11</v>
      </c>
      <c r="B50" s="51" t="n">
        <f aca="false">01_Data!F16</f>
        <v>0.4</v>
      </c>
      <c r="C50" s="51" t="n">
        <f aca="false">01_Data!G16</f>
        <v>0.333333333333333</v>
      </c>
      <c r="D50" s="51" t="n">
        <f aca="false">01_Data!D16</f>
        <v>1</v>
      </c>
      <c r="E50" s="52" t="n">
        <f aca="false">$D$38+$F$38*B50+$H$38*C50</f>
        <v>0.136888888888889</v>
      </c>
      <c r="F50" s="52" t="n">
        <f aca="false">1/(1+EXP(-E50))</f>
        <v>0.534168882551327</v>
      </c>
      <c r="G50" s="53" t="n">
        <f aca="false">F50-D50</f>
        <v>-0.465831117448673</v>
      </c>
      <c r="H50" s="53" t="n">
        <f aca="false">G50</f>
        <v>-0.465831117448673</v>
      </c>
      <c r="I50" s="53" t="n">
        <f aca="false">G50*B50</f>
        <v>-0.186332446979469</v>
      </c>
      <c r="J50" s="53" t="n">
        <f aca="false">G50*C50</f>
        <v>-0.155277039149558</v>
      </c>
      <c r="K50" s="52" t="n">
        <f aca="false">-(D50*LN(MIN(MAX(F50,0.000001),0.999999))+(1-D50)*LN(MIN(MAX(1-F50,0.000001),0.999999)))</f>
        <v>0.627043230562009</v>
      </c>
    </row>
    <row r="51" customFormat="false" ht="12.8" hidden="false" customHeight="false" outlineLevel="0" collapsed="false">
      <c r="A51" s="50" t="str">
        <f aca="false">01_Data!A17</f>
        <v>S12</v>
      </c>
      <c r="B51" s="51" t="n">
        <f aca="false">01_Data!F17</f>
        <v>0.6</v>
      </c>
      <c r="C51" s="51" t="n">
        <f aca="false">01_Data!G17</f>
        <v>0.466666666666667</v>
      </c>
      <c r="D51" s="51" t="n">
        <f aca="false">01_Data!D17</f>
        <v>1</v>
      </c>
      <c r="E51" s="52" t="n">
        <f aca="false">$D$38+$F$38*B51+$H$38*C51</f>
        <v>0.181244444444444</v>
      </c>
      <c r="F51" s="52" t="n">
        <f aca="false">1/(1+EXP(-E51))</f>
        <v>0.545187479756283</v>
      </c>
      <c r="G51" s="53" t="n">
        <f aca="false">F51-D51</f>
        <v>-0.454812520243717</v>
      </c>
      <c r="H51" s="53" t="n">
        <f aca="false">G51</f>
        <v>-0.454812520243717</v>
      </c>
      <c r="I51" s="53" t="n">
        <f aca="false">G51*B51</f>
        <v>-0.27288751214623</v>
      </c>
      <c r="J51" s="53" t="n">
        <f aca="false">G51*C51</f>
        <v>-0.212245842780401</v>
      </c>
      <c r="K51" s="52" t="n">
        <f aca="false">-(D51*LN(MIN(MAX(F51,0.000001),0.999999))+(1-D51)*LN(MIN(MAX(1-F51,0.000001),0.999999)))</f>
        <v>0.606625543920361</v>
      </c>
    </row>
    <row r="52" customFormat="false" ht="12.8" hidden="false" customHeight="false" outlineLevel="0" collapsed="false">
      <c r="A52" s="50" t="str">
        <f aca="false">01_Data!A18</f>
        <v>S13</v>
      </c>
      <c r="B52" s="51" t="n">
        <f aca="false">01_Data!F18</f>
        <v>0.8</v>
      </c>
      <c r="C52" s="51" t="n">
        <f aca="false">01_Data!G18</f>
        <v>0.666666666666667</v>
      </c>
      <c r="D52" s="51" t="n">
        <f aca="false">01_Data!D18</f>
        <v>1</v>
      </c>
      <c r="E52" s="52" t="n">
        <f aca="false">$D$38+$F$38*B52+$H$38*C52</f>
        <v>0.233777777777778</v>
      </c>
      <c r="F52" s="52" t="n">
        <f aca="false">1/(1+EXP(-E52))</f>
        <v>0.558179715426712</v>
      </c>
      <c r="G52" s="53" t="n">
        <f aca="false">F52-D52</f>
        <v>-0.441820284573289</v>
      </c>
      <c r="H52" s="53" t="n">
        <f aca="false">G52</f>
        <v>-0.441820284573289</v>
      </c>
      <c r="I52" s="53" t="n">
        <f aca="false">G52*B52</f>
        <v>-0.353456227658631</v>
      </c>
      <c r="J52" s="53" t="n">
        <f aca="false">G52*C52</f>
        <v>-0.294546856382192</v>
      </c>
      <c r="K52" s="52" t="n">
        <f aca="false">-(D52*LN(MIN(MAX(F52,0.000001),0.999999))+(1-D52)*LN(MIN(MAX(1-F52,0.000001),0.999999)))</f>
        <v>0.583074297797258</v>
      </c>
    </row>
    <row r="53" customFormat="false" ht="12.8" hidden="false" customHeight="false" outlineLevel="0" collapsed="false">
      <c r="A53" s="50" t="str">
        <f aca="false">01_Data!A19</f>
        <v>S14</v>
      </c>
      <c r="B53" s="51" t="n">
        <f aca="false">01_Data!F19</f>
        <v>1</v>
      </c>
      <c r="C53" s="51" t="n">
        <f aca="false">01_Data!G19</f>
        <v>0.866666666666667</v>
      </c>
      <c r="D53" s="51" t="n">
        <f aca="false">01_Data!D19</f>
        <v>1</v>
      </c>
      <c r="E53" s="52" t="n">
        <f aca="false">$D$38+$F$38*B53+$H$38*C53</f>
        <v>0.286311111111111</v>
      </c>
      <c r="F53" s="52" t="n">
        <f aca="false">1/(1+EXP(-E53))</f>
        <v>0.571092792965336</v>
      </c>
      <c r="G53" s="53" t="n">
        <f aca="false">F53-D53</f>
        <v>-0.428907207034664</v>
      </c>
      <c r="H53" s="53" t="n">
        <f aca="false">G53</f>
        <v>-0.428907207034664</v>
      </c>
      <c r="I53" s="53" t="n">
        <f aca="false">G53*B53</f>
        <v>-0.428907207034664</v>
      </c>
      <c r="J53" s="53" t="n">
        <f aca="false">G53*C53</f>
        <v>-0.371719579430042</v>
      </c>
      <c r="K53" s="52" t="n">
        <f aca="false">-(D53*LN(MIN(MAX(F53,0.000001),0.999999))+(1-D53)*LN(MIN(MAX(1-F53,0.000001),0.999999)))</f>
        <v>0.56020357295786</v>
      </c>
    </row>
    <row r="54" customFormat="false" ht="12.8" hidden="false" customHeight="false" outlineLevel="0" collapsed="false">
      <c r="A54" s="50" t="str">
        <f aca="false">01_Data!A20</f>
        <v>S15</v>
      </c>
      <c r="B54" s="51" t="n">
        <f aca="false">01_Data!F20</f>
        <v>1.2</v>
      </c>
      <c r="C54" s="51" t="n">
        <f aca="false">01_Data!G20</f>
        <v>1</v>
      </c>
      <c r="D54" s="51" t="n">
        <f aca="false">01_Data!D20</f>
        <v>1</v>
      </c>
      <c r="E54" s="52" t="n">
        <f aca="false">$D$38+$F$38*B54+$H$38*C54</f>
        <v>0.330666666666667</v>
      </c>
      <c r="F54" s="52" t="n">
        <f aca="false">1/(1+EXP(-E54))</f>
        <v>0.58192157826437</v>
      </c>
      <c r="G54" s="53" t="n">
        <f aca="false">F54-D54</f>
        <v>-0.41807842173563</v>
      </c>
      <c r="H54" s="53" t="n">
        <f aca="false">G54</f>
        <v>-0.41807842173563</v>
      </c>
      <c r="I54" s="53" t="n">
        <f aca="false">G54*B54</f>
        <v>-0.501694106082756</v>
      </c>
      <c r="J54" s="53" t="n">
        <f aca="false">G54*C54</f>
        <v>-0.41807842173563</v>
      </c>
      <c r="K54" s="52" t="n">
        <f aca="false">-(D54*LN(MIN(MAX(F54,0.000001),0.999999))+(1-D54)*LN(MIN(MAX(1-F54,0.000001),0.999999)))</f>
        <v>0.54141958557988</v>
      </c>
    </row>
    <row r="55" customFormat="false" ht="12.8" hidden="false" customHeight="false" outlineLevel="0" collapsed="false">
      <c r="A55" s="50" t="str">
        <f aca="false">01_Data!A21</f>
        <v>S16</v>
      </c>
      <c r="B55" s="51" t="n">
        <f aca="false">01_Data!F21</f>
        <v>1.4</v>
      </c>
      <c r="C55" s="51" t="n">
        <f aca="false">01_Data!G21</f>
        <v>1.13333333333333</v>
      </c>
      <c r="D55" s="51" t="n">
        <f aca="false">01_Data!D21</f>
        <v>1</v>
      </c>
      <c r="E55" s="52" t="n">
        <f aca="false">$D$38+$F$38*B55+$H$38*C55</f>
        <v>0.375022222222222</v>
      </c>
      <c r="F55" s="52" t="n">
        <f aca="false">1/(1+EXP(-E55))</f>
        <v>0.592671964674161</v>
      </c>
      <c r="G55" s="53" t="n">
        <f aca="false">F55-D55</f>
        <v>-0.407328035325839</v>
      </c>
      <c r="H55" s="53" t="n">
        <f aca="false">G55</f>
        <v>-0.407328035325839</v>
      </c>
      <c r="I55" s="53" t="n">
        <f aca="false">G55*B55</f>
        <v>-0.570259249456174</v>
      </c>
      <c r="J55" s="53" t="n">
        <f aca="false">G55*C55</f>
        <v>-0.461638440035951</v>
      </c>
      <c r="K55" s="52" t="n">
        <f aca="false">-(D55*LN(MIN(MAX(F55,0.000001),0.999999))+(1-D55)*LN(MIN(MAX(1-F55,0.000001),0.999999)))</f>
        <v>0.523114212346114</v>
      </c>
    </row>
    <row r="56" customFormat="false" ht="12.8" hidden="false" customHeight="false" outlineLevel="0" collapsed="false">
      <c r="A56" s="50" t="str">
        <f aca="false">01_Data!A22</f>
        <v>S17</v>
      </c>
      <c r="B56" s="51" t="n">
        <f aca="false">01_Data!F22</f>
        <v>1.6</v>
      </c>
      <c r="C56" s="51" t="n">
        <f aca="false">01_Data!G22</f>
        <v>1.33333333333333</v>
      </c>
      <c r="D56" s="51" t="n">
        <f aca="false">01_Data!D22</f>
        <v>1</v>
      </c>
      <c r="E56" s="52" t="n">
        <f aca="false">$D$38+$F$38*B56+$H$38*C56</f>
        <v>0.427555555555556</v>
      </c>
      <c r="F56" s="52" t="n">
        <f aca="false">1/(1+EXP(-E56))</f>
        <v>0.605289806855624</v>
      </c>
      <c r="G56" s="53" t="n">
        <f aca="false">F56-D56</f>
        <v>-0.394710193144376</v>
      </c>
      <c r="H56" s="53" t="n">
        <f aca="false">G56</f>
        <v>-0.394710193144376</v>
      </c>
      <c r="I56" s="53" t="n">
        <f aca="false">G56*B56</f>
        <v>-0.631536309031002</v>
      </c>
      <c r="J56" s="53" t="n">
        <f aca="false">G56*C56</f>
        <v>-0.526280257525835</v>
      </c>
      <c r="K56" s="52" t="n">
        <f aca="false">-(D56*LN(MIN(MAX(F56,0.000001),0.999999))+(1-D56)*LN(MIN(MAX(1-F56,0.000001),0.999999)))</f>
        <v>0.502047916048484</v>
      </c>
    </row>
    <row r="57" customFormat="false" ht="12.8" hidden="false" customHeight="false" outlineLevel="0" collapsed="false">
      <c r="A57" s="50" t="str">
        <f aca="false">01_Data!A23</f>
        <v>S18</v>
      </c>
      <c r="B57" s="51" t="n">
        <f aca="false">01_Data!F23</f>
        <v>0</v>
      </c>
      <c r="C57" s="51" t="n">
        <f aca="false">01_Data!G23</f>
        <v>-0.666666666666667</v>
      </c>
      <c r="D57" s="51" t="n">
        <f aca="false">01_Data!D23</f>
        <v>0</v>
      </c>
      <c r="E57" s="52" t="n">
        <f aca="false">$D$38+$F$38*B57+$H$38*C57</f>
        <v>-0.0417777777777778</v>
      </c>
      <c r="F57" s="52" t="n">
        <f aca="false">1/(1+EXP(-E57))</f>
        <v>0.489557074419857</v>
      </c>
      <c r="G57" s="53" t="n">
        <f aca="false">F57-D57</f>
        <v>0.489557074419857</v>
      </c>
      <c r="H57" s="53" t="n">
        <f aca="false">G57</f>
        <v>0.489557074419857</v>
      </c>
      <c r="I57" s="53" t="n">
        <f aca="false">G57*B57</f>
        <v>0</v>
      </c>
      <c r="J57" s="53" t="n">
        <f aca="false">G57*C57</f>
        <v>-0.326371382946571</v>
      </c>
      <c r="K57" s="52" t="n">
        <f aca="false">-(D57*LN(MIN(MAX(F57,0.000001),0.999999))+(1-D57)*LN(MIN(MAX(1-F57,0.000001),0.999999)))</f>
        <v>0.672476448645946</v>
      </c>
    </row>
    <row r="58" customFormat="false" ht="12.8" hidden="false" customHeight="false" outlineLevel="0" collapsed="false">
      <c r="A58" s="50" t="str">
        <f aca="false">01_Data!A24</f>
        <v>S19</v>
      </c>
      <c r="B58" s="51" t="n">
        <f aca="false">01_Data!F24</f>
        <v>-0.8</v>
      </c>
      <c r="C58" s="51" t="n">
        <f aca="false">01_Data!G24</f>
        <v>0.666666666666667</v>
      </c>
      <c r="D58" s="51" t="n">
        <f aca="false">01_Data!D24</f>
        <v>1</v>
      </c>
      <c r="E58" s="52" t="n">
        <f aca="false">$D$38+$F$38*B58+$H$38*C58</f>
        <v>0.00977777777777779</v>
      </c>
      <c r="F58" s="52" t="n">
        <f aca="false">1/(1+EXP(-E58))</f>
        <v>0.502444424969551</v>
      </c>
      <c r="G58" s="53" t="n">
        <f aca="false">F58-D58</f>
        <v>-0.497555575030449</v>
      </c>
      <c r="H58" s="53" t="n">
        <f aca="false">G58</f>
        <v>-0.497555575030449</v>
      </c>
      <c r="I58" s="53" t="n">
        <f aca="false">G58*B58</f>
        <v>0.39804446002436</v>
      </c>
      <c r="J58" s="53" t="n">
        <f aca="false">G58*C58</f>
        <v>-0.331703716686966</v>
      </c>
      <c r="K58" s="52" t="n">
        <f aca="false">-(D58*LN(MIN(MAX(F58,0.000001),0.999999))+(1-D58)*LN(MIN(MAX(1-F58,0.000001),0.999999)))</f>
        <v>0.688270242240735</v>
      </c>
    </row>
    <row r="59" customFormat="false" ht="12.8" hidden="false" customHeight="false" outlineLevel="0" collapsed="false">
      <c r="A59" s="50" t="str">
        <f aca="false">01_Data!A25</f>
        <v>S20</v>
      </c>
      <c r="B59" s="51" t="n">
        <f aca="false">01_Data!F25</f>
        <v>0.8</v>
      </c>
      <c r="C59" s="51" t="n">
        <f aca="false">01_Data!G25</f>
        <v>-0.666666666666667</v>
      </c>
      <c r="D59" s="51" t="n">
        <f aca="false">01_Data!D25</f>
        <v>1</v>
      </c>
      <c r="E59" s="52" t="n">
        <f aca="false">$D$38+$F$38*B59+$H$38*C59</f>
        <v>0.0702222222222222</v>
      </c>
      <c r="F59" s="52" t="n">
        <f aca="false">1/(1+EXP(-E59))</f>
        <v>0.517548345006006</v>
      </c>
      <c r="G59" s="53" t="n">
        <f aca="false">F59-D59</f>
        <v>-0.482451654993994</v>
      </c>
      <c r="H59" s="53" t="n">
        <f aca="false">G59</f>
        <v>-0.482451654993994</v>
      </c>
      <c r="I59" s="53" t="n">
        <f aca="false">G59*B59</f>
        <v>-0.385961323995196</v>
      </c>
      <c r="J59" s="53" t="n">
        <f aca="false">G59*C59</f>
        <v>0.321634436662663</v>
      </c>
      <c r="K59" s="52" t="n">
        <f aca="false">-(D59*LN(MIN(MAX(F59,0.000001),0.999999))+(1-D59)*LN(MIN(MAX(1-F59,0.000001),0.999999)))</f>
        <v>0.658652337904558</v>
      </c>
    </row>
    <row r="60" customFormat="false" ht="12.8" hidden="false" customHeight="false" outlineLevel="0" collapsed="false">
      <c r="A60" s="54" t="s">
        <v>138</v>
      </c>
      <c r="B60" s="54"/>
      <c r="C60" s="54"/>
      <c r="D60" s="54"/>
      <c r="E60" s="54"/>
      <c r="F60" s="54"/>
      <c r="G60" s="54" t="s">
        <v>139</v>
      </c>
      <c r="H60" s="55" t="n">
        <f aca="false">AVERAGE(H40:H59)</f>
        <v>-0.091142680394661</v>
      </c>
      <c r="I60" s="55" t="n">
        <f aca="false">AVERAGE(I40:I59)</f>
        <v>-0.300631234545194</v>
      </c>
      <c r="J60" s="55" t="n">
        <f aca="false">AVERAGE(J40:J59)</f>
        <v>-0.266374593053701</v>
      </c>
      <c r="K60" s="55" t="n">
        <f aca="false">AVERAGE(K40:K59)</f>
        <v>0.608660301537872</v>
      </c>
    </row>
    <row r="61" customFormat="false" ht="22.35" hidden="false" customHeight="true" outlineLevel="0" collapsed="false">
      <c r="A61" s="47" t="s">
        <v>140</v>
      </c>
      <c r="B61" s="47"/>
      <c r="C61" s="47" t="s">
        <v>141</v>
      </c>
      <c r="D61" s="56" t="n">
        <f aca="false">D38-$B$4*H60</f>
        <v>0.0764570721578644</v>
      </c>
      <c r="E61" s="47" t="s">
        <v>142</v>
      </c>
      <c r="F61" s="56" t="n">
        <f aca="false">F38-$B$4*I60</f>
        <v>0.260252493818078</v>
      </c>
      <c r="G61" s="47" t="s">
        <v>143</v>
      </c>
      <c r="H61" s="56" t="n">
        <f aca="false">H38-$B$4*J60</f>
        <v>0.229216503888147</v>
      </c>
      <c r="I61" s="48" t="s">
        <v>144</v>
      </c>
      <c r="J61" s="48"/>
      <c r="K61" s="48"/>
    </row>
    <row r="63" customFormat="false" ht="22.5" hidden="false" customHeight="true" outlineLevel="0" collapsed="false">
      <c r="A63" s="4" t="s">
        <v>149</v>
      </c>
      <c r="B63" s="4"/>
      <c r="C63" s="4"/>
      <c r="D63" s="4"/>
      <c r="E63" s="4"/>
      <c r="F63" s="4"/>
      <c r="G63" s="4"/>
      <c r="H63" s="4"/>
      <c r="I63" s="4"/>
      <c r="J63" s="4"/>
      <c r="K63" s="4"/>
    </row>
    <row r="64" customFormat="false" ht="15" hidden="false" customHeight="true" outlineLevel="0" collapsed="false">
      <c r="A64" s="47" t="s">
        <v>122</v>
      </c>
      <c r="B64" s="48" t="n">
        <v>3</v>
      </c>
      <c r="C64" s="47" t="s">
        <v>123</v>
      </c>
      <c r="D64" s="58" t="n">
        <f aca="false">D61</f>
        <v>0.0764570721578644</v>
      </c>
      <c r="E64" s="47" t="s">
        <v>124</v>
      </c>
      <c r="F64" s="58" t="n">
        <f aca="false">F61</f>
        <v>0.260252493818078</v>
      </c>
      <c r="G64" s="47" t="s">
        <v>125</v>
      </c>
      <c r="H64" s="58" t="n">
        <f aca="false">H61</f>
        <v>0.229216503888147</v>
      </c>
      <c r="I64" s="48" t="s">
        <v>126</v>
      </c>
      <c r="J64" s="48"/>
      <c r="K64" s="48"/>
    </row>
    <row r="65" customFormat="false" ht="33.75" hidden="false" customHeight="true" outlineLevel="0" collapsed="false">
      <c r="A65" s="18" t="s">
        <v>127</v>
      </c>
      <c r="B65" s="18" t="s">
        <v>128</v>
      </c>
      <c r="C65" s="18" t="s">
        <v>129</v>
      </c>
      <c r="D65" s="18" t="s">
        <v>130</v>
      </c>
      <c r="E65" s="18" t="s">
        <v>131</v>
      </c>
      <c r="F65" s="18" t="s">
        <v>132</v>
      </c>
      <c r="G65" s="18" t="s">
        <v>133</v>
      </c>
      <c r="H65" s="18" t="s">
        <v>146</v>
      </c>
      <c r="I65" s="18" t="s">
        <v>147</v>
      </c>
      <c r="J65" s="18" t="s">
        <v>148</v>
      </c>
      <c r="K65" s="18" t="s">
        <v>33</v>
      </c>
    </row>
    <row r="66" customFormat="false" ht="12.8" hidden="false" customHeight="false" outlineLevel="0" collapsed="false">
      <c r="A66" s="50" t="str">
        <f aca="false">01_Data!A6</f>
        <v>S01</v>
      </c>
      <c r="B66" s="51" t="n">
        <f aca="false">01_Data!F6</f>
        <v>-1.6</v>
      </c>
      <c r="C66" s="51" t="n">
        <f aca="false">01_Data!G6</f>
        <v>-1.33333333333333</v>
      </c>
      <c r="D66" s="51" t="n">
        <f aca="false">01_Data!D6</f>
        <v>0</v>
      </c>
      <c r="E66" s="52" t="n">
        <f aca="false">$D$64+$F$64*B66+$H$64*C66</f>
        <v>-0.645568923135256</v>
      </c>
      <c r="F66" s="52" t="n">
        <f aca="false">1/(1+EXP(-E66))</f>
        <v>0.343988763923652</v>
      </c>
      <c r="G66" s="53" t="n">
        <f aca="false">F66-D66</f>
        <v>0.343988763923652</v>
      </c>
      <c r="H66" s="53" t="n">
        <f aca="false">G66</f>
        <v>0.343988763923652</v>
      </c>
      <c r="I66" s="53" t="n">
        <f aca="false">G66*B66</f>
        <v>-0.550382022277844</v>
      </c>
      <c r="J66" s="53" t="n">
        <f aca="false">G66*C66</f>
        <v>-0.458651685231536</v>
      </c>
      <c r="K66" s="52" t="n">
        <f aca="false">-(D66*LN(MIN(MAX(F66,0.000001),0.999999))+(1-D66)*LN(MIN(MAX(1-F66,0.000001),0.999999)))</f>
        <v>0.421577362019569</v>
      </c>
    </row>
    <row r="67" customFormat="false" ht="12.8" hidden="false" customHeight="false" outlineLevel="0" collapsed="false">
      <c r="A67" s="50" t="str">
        <f aca="false">01_Data!A7</f>
        <v>S02</v>
      </c>
      <c r="B67" s="51" t="n">
        <f aca="false">01_Data!F7</f>
        <v>-1.4</v>
      </c>
      <c r="C67" s="51" t="n">
        <f aca="false">01_Data!G7</f>
        <v>-1</v>
      </c>
      <c r="D67" s="51" t="n">
        <f aca="false">01_Data!D7</f>
        <v>0</v>
      </c>
      <c r="E67" s="52" t="n">
        <f aca="false">$D$64+$F$64*B67+$H$64*C67</f>
        <v>-0.517112923075591</v>
      </c>
      <c r="F67" s="52" t="n">
        <f aca="false">1/(1+EXP(-E67))</f>
        <v>0.373527576270822</v>
      </c>
      <c r="G67" s="53" t="n">
        <f aca="false">F67-D67</f>
        <v>0.373527576270822</v>
      </c>
      <c r="H67" s="53" t="n">
        <f aca="false">G67</f>
        <v>0.373527576270822</v>
      </c>
      <c r="I67" s="53" t="n">
        <f aca="false">G67*B67</f>
        <v>-0.52293860677915</v>
      </c>
      <c r="J67" s="53" t="n">
        <f aca="false">G67*C67</f>
        <v>-0.373527576270822</v>
      </c>
      <c r="K67" s="52" t="n">
        <f aca="false">-(D67*LN(MIN(MAX(F67,0.000001),0.999999))+(1-D67)*LN(MIN(MAX(1-F67,0.000001),0.999999)))</f>
        <v>0.467650522008733</v>
      </c>
    </row>
    <row r="68" customFormat="false" ht="12.8" hidden="false" customHeight="false" outlineLevel="0" collapsed="false">
      <c r="A68" s="50" t="str">
        <f aca="false">01_Data!A8</f>
        <v>S03</v>
      </c>
      <c r="B68" s="51" t="n">
        <f aca="false">01_Data!F8</f>
        <v>-1.2</v>
      </c>
      <c r="C68" s="51" t="n">
        <f aca="false">01_Data!G8</f>
        <v>-1.13333333333333</v>
      </c>
      <c r="D68" s="51" t="n">
        <f aca="false">01_Data!D8</f>
        <v>0</v>
      </c>
      <c r="E68" s="52" t="n">
        <f aca="false">$D$64+$F$64*B68+$H$64*C68</f>
        <v>-0.495624624830395</v>
      </c>
      <c r="F68" s="52" t="n">
        <f aca="false">1/(1+EXP(-E68))</f>
        <v>0.3785694477895</v>
      </c>
      <c r="G68" s="53" t="n">
        <f aca="false">F68-D68</f>
        <v>0.3785694477895</v>
      </c>
      <c r="H68" s="53" t="n">
        <f aca="false">G68</f>
        <v>0.3785694477895</v>
      </c>
      <c r="I68" s="53" t="n">
        <f aca="false">G68*B68</f>
        <v>-0.454283337347399</v>
      </c>
      <c r="J68" s="53" t="n">
        <f aca="false">G68*C68</f>
        <v>-0.429045374161433</v>
      </c>
      <c r="K68" s="52" t="n">
        <f aca="false">-(D68*LN(MIN(MAX(F68,0.000001),0.999999))+(1-D68)*LN(MIN(MAX(1-F68,0.000001),0.999999)))</f>
        <v>0.475731116494628</v>
      </c>
    </row>
    <row r="69" customFormat="false" ht="12.8" hidden="false" customHeight="false" outlineLevel="0" collapsed="false">
      <c r="A69" s="50" t="str">
        <f aca="false">01_Data!A9</f>
        <v>S04</v>
      </c>
      <c r="B69" s="51" t="n">
        <f aca="false">01_Data!F9</f>
        <v>-1</v>
      </c>
      <c r="C69" s="51" t="n">
        <f aca="false">01_Data!G9</f>
        <v>-0.666666666666667</v>
      </c>
      <c r="D69" s="51" t="n">
        <f aca="false">01_Data!D9</f>
        <v>0</v>
      </c>
      <c r="E69" s="52" t="n">
        <f aca="false">$D$64+$F$64*B69+$H$64*C69</f>
        <v>-0.336606424252311</v>
      </c>
      <c r="F69" s="52" t="n">
        <f aca="false">1/(1+EXP(-E69))</f>
        <v>0.416634051982198</v>
      </c>
      <c r="G69" s="53" t="n">
        <f aca="false">F69-D69</f>
        <v>0.416634051982198</v>
      </c>
      <c r="H69" s="53" t="n">
        <f aca="false">G69</f>
        <v>0.416634051982198</v>
      </c>
      <c r="I69" s="53" t="n">
        <f aca="false">G69*B69</f>
        <v>-0.416634051982198</v>
      </c>
      <c r="J69" s="53" t="n">
        <f aca="false">G69*C69</f>
        <v>-0.277756034654798</v>
      </c>
      <c r="K69" s="52" t="n">
        <f aca="false">-(D69*LN(MIN(MAX(F69,0.000001),0.999999))+(1-D69)*LN(MIN(MAX(1-F69,0.000001),0.999999)))</f>
        <v>0.538940591407981</v>
      </c>
    </row>
    <row r="70" customFormat="false" ht="12.8" hidden="false" customHeight="false" outlineLevel="0" collapsed="false">
      <c r="A70" s="50" t="str">
        <f aca="false">01_Data!A10</f>
        <v>S05</v>
      </c>
      <c r="B70" s="51" t="n">
        <f aca="false">01_Data!F10</f>
        <v>-0.8</v>
      </c>
      <c r="C70" s="51" t="n">
        <f aca="false">01_Data!G10</f>
        <v>-0.866666666666667</v>
      </c>
      <c r="D70" s="51" t="n">
        <f aca="false">01_Data!D10</f>
        <v>0</v>
      </c>
      <c r="E70" s="52" t="n">
        <f aca="false">$D$64+$F$64*B70+$H$64*C70</f>
        <v>-0.330399226266325</v>
      </c>
      <c r="F70" s="52" t="n">
        <f aca="false">1/(1+EXP(-E70))</f>
        <v>0.418143488429582</v>
      </c>
      <c r="G70" s="53" t="n">
        <f aca="false">F70-D70</f>
        <v>0.418143488429582</v>
      </c>
      <c r="H70" s="53" t="n">
        <f aca="false">G70</f>
        <v>0.418143488429582</v>
      </c>
      <c r="I70" s="53" t="n">
        <f aca="false">G70*B70</f>
        <v>-0.334514790743665</v>
      </c>
      <c r="J70" s="53" t="n">
        <f aca="false">G70*C70</f>
        <v>-0.362391023305637</v>
      </c>
      <c r="K70" s="52" t="n">
        <f aca="false">-(D70*LN(MIN(MAX(F70,0.000001),0.999999))+(1-D70)*LN(MIN(MAX(1-F70,0.000001),0.999999)))</f>
        <v>0.541531405341031</v>
      </c>
    </row>
    <row r="71" customFormat="false" ht="12.8" hidden="false" customHeight="false" outlineLevel="0" collapsed="false">
      <c r="A71" s="50" t="str">
        <f aca="false">01_Data!A11</f>
        <v>S06</v>
      </c>
      <c r="B71" s="51" t="n">
        <f aca="false">01_Data!F11</f>
        <v>-0.6</v>
      </c>
      <c r="C71" s="51" t="n">
        <f aca="false">01_Data!G11</f>
        <v>-0.333333333333333</v>
      </c>
      <c r="D71" s="51" t="n">
        <f aca="false">01_Data!D11</f>
        <v>0</v>
      </c>
      <c r="E71" s="52" t="n">
        <f aca="false">$D$64+$F$64*B71+$H$64*C71</f>
        <v>-0.156099925429031</v>
      </c>
      <c r="F71" s="52" t="n">
        <f aca="false">1/(1+EXP(-E71))</f>
        <v>0.461054070106105</v>
      </c>
      <c r="G71" s="53" t="n">
        <f aca="false">F71-D71</f>
        <v>0.461054070106105</v>
      </c>
      <c r="H71" s="53" t="n">
        <f aca="false">G71</f>
        <v>0.461054070106105</v>
      </c>
      <c r="I71" s="53" t="n">
        <f aca="false">G71*B71</f>
        <v>-0.276632442063663</v>
      </c>
      <c r="J71" s="53" t="n">
        <f aca="false">G71*C71</f>
        <v>-0.153684690035368</v>
      </c>
      <c r="K71" s="52" t="n">
        <f aca="false">-(D71*LN(MIN(MAX(F71,0.000001),0.999999))+(1-D71)*LN(MIN(MAX(1-F71,0.000001),0.999999)))</f>
        <v>0.618140028700828</v>
      </c>
    </row>
    <row r="72" customFormat="false" ht="12.8" hidden="false" customHeight="false" outlineLevel="0" collapsed="false">
      <c r="A72" s="50" t="str">
        <f aca="false">01_Data!A12</f>
        <v>S07</v>
      </c>
      <c r="B72" s="51" t="n">
        <f aca="false">01_Data!F12</f>
        <v>-0.4</v>
      </c>
      <c r="C72" s="51" t="n">
        <f aca="false">01_Data!G12</f>
        <v>-0.466666666666667</v>
      </c>
      <c r="D72" s="51" t="n">
        <f aca="false">01_Data!D12</f>
        <v>0</v>
      </c>
      <c r="E72" s="52" t="n">
        <f aca="false">$D$64+$F$64*B72+$H$64*C72</f>
        <v>-0.134611627183835</v>
      </c>
      <c r="F72" s="52" t="n">
        <f aca="false">1/(1+EXP(-E72))</f>
        <v>0.466397817994258</v>
      </c>
      <c r="G72" s="53" t="n">
        <f aca="false">F72-D72</f>
        <v>0.466397817994258</v>
      </c>
      <c r="H72" s="53" t="n">
        <f aca="false">G72</f>
        <v>0.466397817994258</v>
      </c>
      <c r="I72" s="53" t="n">
        <f aca="false">G72*B72</f>
        <v>-0.186559127197703</v>
      </c>
      <c r="J72" s="53" t="n">
        <f aca="false">G72*C72</f>
        <v>-0.217652315063987</v>
      </c>
      <c r="K72" s="52" t="n">
        <f aca="false">-(D72*LN(MIN(MAX(F72,0.000001),0.999999))+(1-D72)*LN(MIN(MAX(1-F72,0.000001),0.999999)))</f>
        <v>0.628104695172925</v>
      </c>
    </row>
    <row r="73" customFormat="false" ht="12.8" hidden="false" customHeight="false" outlineLevel="0" collapsed="false">
      <c r="A73" s="50" t="str">
        <f aca="false">01_Data!A13</f>
        <v>S08</v>
      </c>
      <c r="B73" s="51" t="n">
        <f aca="false">01_Data!F13</f>
        <v>-0.2</v>
      </c>
      <c r="C73" s="51" t="n">
        <f aca="false">01_Data!G13</f>
        <v>-0.2</v>
      </c>
      <c r="D73" s="51" t="n">
        <f aca="false">01_Data!D13</f>
        <v>1</v>
      </c>
      <c r="E73" s="52" t="n">
        <f aca="false">$D$64+$F$64*B73+$H$64*C73</f>
        <v>-0.0214367273833805</v>
      </c>
      <c r="F73" s="52" t="n">
        <f aca="false">1/(1+EXP(-E73))</f>
        <v>0.494641023371593</v>
      </c>
      <c r="G73" s="53" t="n">
        <f aca="false">F73-D73</f>
        <v>-0.505358976628408</v>
      </c>
      <c r="H73" s="53" t="n">
        <f aca="false">G73</f>
        <v>-0.505358976628408</v>
      </c>
      <c r="I73" s="53" t="n">
        <f aca="false">G73*B73</f>
        <v>0.101071795325682</v>
      </c>
      <c r="J73" s="53" t="n">
        <f aca="false">G73*C73</f>
        <v>0.101071795325682</v>
      </c>
      <c r="K73" s="52" t="n">
        <f aca="false">-(D73*LN(MIN(MAX(F73,0.000001),0.999999))+(1-D73)*LN(MIN(MAX(1-F73,0.000001),0.999999)))</f>
        <v>0.703922984811935</v>
      </c>
    </row>
    <row r="74" customFormat="false" ht="12.8" hidden="false" customHeight="false" outlineLevel="0" collapsed="false">
      <c r="A74" s="50" t="str">
        <f aca="false">01_Data!A14</f>
        <v>S09</v>
      </c>
      <c r="B74" s="51" t="n">
        <f aca="false">01_Data!F14</f>
        <v>0</v>
      </c>
      <c r="C74" s="51" t="n">
        <f aca="false">01_Data!G14</f>
        <v>0</v>
      </c>
      <c r="D74" s="51" t="n">
        <f aca="false">01_Data!D14</f>
        <v>1</v>
      </c>
      <c r="E74" s="52" t="n">
        <f aca="false">$D$64+$F$64*B74+$H$64*C74</f>
        <v>0.0764570721578644</v>
      </c>
      <c r="F74" s="52" t="n">
        <f aca="false">1/(1+EXP(-E74))</f>
        <v>0.51910496214864</v>
      </c>
      <c r="G74" s="53" t="n">
        <f aca="false">F74-D74</f>
        <v>-0.48089503785136</v>
      </c>
      <c r="H74" s="53" t="n">
        <f aca="false">G74</f>
        <v>-0.48089503785136</v>
      </c>
      <c r="I74" s="53" t="n">
        <f aca="false">G74*B74</f>
        <v>-0</v>
      </c>
      <c r="J74" s="53" t="n">
        <f aca="false">G74*C74</f>
        <v>-0</v>
      </c>
      <c r="K74" s="52" t="n">
        <f aca="false">-(D74*LN(MIN(MAX(F74,0.000001),0.999999))+(1-D74)*LN(MIN(MAX(1-F74,0.000001),0.999999)))</f>
        <v>0.655649177056441</v>
      </c>
    </row>
    <row r="75" customFormat="false" ht="12.8" hidden="false" customHeight="false" outlineLevel="0" collapsed="false">
      <c r="A75" s="50" t="str">
        <f aca="false">01_Data!A15</f>
        <v>S10</v>
      </c>
      <c r="B75" s="51" t="n">
        <f aca="false">01_Data!F15</f>
        <v>0.2</v>
      </c>
      <c r="C75" s="51" t="n">
        <f aca="false">01_Data!G15</f>
        <v>0.2</v>
      </c>
      <c r="D75" s="51" t="n">
        <f aca="false">01_Data!D15</f>
        <v>1</v>
      </c>
      <c r="E75" s="52" t="n">
        <f aca="false">$D$64+$F$64*B75+$H$64*C75</f>
        <v>0.174350871699109</v>
      </c>
      <c r="F75" s="52" t="n">
        <f aca="false">1/(1+EXP(-E75))</f>
        <v>0.543477636763176</v>
      </c>
      <c r="G75" s="53" t="n">
        <f aca="false">F75-D75</f>
        <v>-0.456522363236824</v>
      </c>
      <c r="H75" s="53" t="n">
        <f aca="false">G75</f>
        <v>-0.456522363236824</v>
      </c>
      <c r="I75" s="53" t="n">
        <f aca="false">G75*B75</f>
        <v>-0.0913044726473649</v>
      </c>
      <c r="J75" s="53" t="n">
        <f aca="false">G75*C75</f>
        <v>-0.0913044726473649</v>
      </c>
      <c r="K75" s="52" t="n">
        <f aca="false">-(D75*LN(MIN(MAX(F75,0.000001),0.999999))+(1-D75)*LN(MIN(MAX(1-F75,0.000001),0.999999)))</f>
        <v>0.609766719977311</v>
      </c>
    </row>
    <row r="76" customFormat="false" ht="12.8" hidden="false" customHeight="false" outlineLevel="0" collapsed="false">
      <c r="A76" s="50" t="str">
        <f aca="false">01_Data!A16</f>
        <v>S11</v>
      </c>
      <c r="B76" s="51" t="n">
        <f aca="false">01_Data!F16</f>
        <v>0.4</v>
      </c>
      <c r="C76" s="51" t="n">
        <f aca="false">01_Data!G16</f>
        <v>0.333333333333333</v>
      </c>
      <c r="D76" s="51" t="n">
        <f aca="false">01_Data!D16</f>
        <v>1</v>
      </c>
      <c r="E76" s="52" t="n">
        <f aca="false">$D$64+$F$64*B76+$H$64*C76</f>
        <v>0.256963570981145</v>
      </c>
      <c r="F76" s="52" t="n">
        <f aca="false">1/(1+EXP(-E76))</f>
        <v>0.563889724343609</v>
      </c>
      <c r="G76" s="53" t="n">
        <f aca="false">F76-D76</f>
        <v>-0.436110275656391</v>
      </c>
      <c r="H76" s="53" t="n">
        <f aca="false">G76</f>
        <v>-0.436110275656391</v>
      </c>
      <c r="I76" s="53" t="n">
        <f aca="false">G76*B76</f>
        <v>-0.174444110262557</v>
      </c>
      <c r="J76" s="53" t="n">
        <f aca="false">G76*C76</f>
        <v>-0.145370091885464</v>
      </c>
      <c r="K76" s="52" t="n">
        <f aca="false">-(D76*LN(MIN(MAX(F76,0.000001),0.999999))+(1-D76)*LN(MIN(MAX(1-F76,0.000001),0.999999)))</f>
        <v>0.572896570814889</v>
      </c>
    </row>
    <row r="77" customFormat="false" ht="12.8" hidden="false" customHeight="false" outlineLevel="0" collapsed="false">
      <c r="A77" s="50" t="str">
        <f aca="false">01_Data!A17</f>
        <v>S12</v>
      </c>
      <c r="B77" s="51" t="n">
        <f aca="false">01_Data!F17</f>
        <v>0.6</v>
      </c>
      <c r="C77" s="51" t="n">
        <f aca="false">01_Data!G17</f>
        <v>0.466666666666667</v>
      </c>
      <c r="D77" s="51" t="n">
        <f aca="false">01_Data!D17</f>
        <v>1</v>
      </c>
      <c r="E77" s="52" t="n">
        <f aca="false">$D$64+$F$64*B77+$H$64*C77</f>
        <v>0.33957627026318</v>
      </c>
      <c r="F77" s="52" t="n">
        <f aca="false">1/(1+EXP(-E77))</f>
        <v>0.584087590245802</v>
      </c>
      <c r="G77" s="53" t="n">
        <f aca="false">F77-D77</f>
        <v>-0.415912409754198</v>
      </c>
      <c r="H77" s="53" t="n">
        <f aca="false">G77</f>
        <v>-0.415912409754198</v>
      </c>
      <c r="I77" s="53" t="n">
        <f aca="false">G77*B77</f>
        <v>-0.249547445852519</v>
      </c>
      <c r="J77" s="53" t="n">
        <f aca="false">G77*C77</f>
        <v>-0.194092457885293</v>
      </c>
      <c r="K77" s="52" t="n">
        <f aca="false">-(D77*LN(MIN(MAX(F77,0.000001),0.999999))+(1-D77)*LN(MIN(MAX(1-F77,0.000001),0.999999)))</f>
        <v>0.537704324102674</v>
      </c>
    </row>
    <row r="78" customFormat="false" ht="12.8" hidden="false" customHeight="false" outlineLevel="0" collapsed="false">
      <c r="A78" s="50" t="str">
        <f aca="false">01_Data!A18</f>
        <v>S13</v>
      </c>
      <c r="B78" s="51" t="n">
        <f aca="false">01_Data!F18</f>
        <v>0.8</v>
      </c>
      <c r="C78" s="51" t="n">
        <f aca="false">01_Data!G18</f>
        <v>0.666666666666667</v>
      </c>
      <c r="D78" s="51" t="n">
        <f aca="false">01_Data!D18</f>
        <v>1</v>
      </c>
      <c r="E78" s="52" t="n">
        <f aca="false">$D$64+$F$64*B78+$H$64*C78</f>
        <v>0.437470069804425</v>
      </c>
      <c r="F78" s="52" t="n">
        <f aca="false">1/(1+EXP(-E78))</f>
        <v>0.607656034192621</v>
      </c>
      <c r="G78" s="53" t="n">
        <f aca="false">F78-D78</f>
        <v>-0.392343965807379</v>
      </c>
      <c r="H78" s="53" t="n">
        <f aca="false">G78</f>
        <v>-0.392343965807379</v>
      </c>
      <c r="I78" s="53" t="n">
        <f aca="false">G78*B78</f>
        <v>-0.313875172645904</v>
      </c>
      <c r="J78" s="53" t="n">
        <f aca="false">G78*C78</f>
        <v>-0.261562643871586</v>
      </c>
      <c r="K78" s="52" t="n">
        <f aca="false">-(D78*LN(MIN(MAX(F78,0.000001),0.999999))+(1-D78)*LN(MIN(MAX(1-F78,0.000001),0.999999)))</f>
        <v>0.498146290339219</v>
      </c>
    </row>
    <row r="79" customFormat="false" ht="12.8" hidden="false" customHeight="false" outlineLevel="0" collapsed="false">
      <c r="A79" s="50" t="str">
        <f aca="false">01_Data!A19</f>
        <v>S14</v>
      </c>
      <c r="B79" s="51" t="n">
        <f aca="false">01_Data!F19</f>
        <v>1</v>
      </c>
      <c r="C79" s="51" t="n">
        <f aca="false">01_Data!G19</f>
        <v>0.866666666666667</v>
      </c>
      <c r="D79" s="51" t="n">
        <f aca="false">01_Data!D19</f>
        <v>1</v>
      </c>
      <c r="E79" s="52" t="n">
        <f aca="false">$D$64+$F$64*B79+$H$64*C79</f>
        <v>0.53536386934567</v>
      </c>
      <c r="F79" s="52" t="n">
        <f aca="false">1/(1+EXP(-E79))</f>
        <v>0.630733278058095</v>
      </c>
      <c r="G79" s="53" t="n">
        <f aca="false">F79-D79</f>
        <v>-0.369266721941905</v>
      </c>
      <c r="H79" s="53" t="n">
        <f aca="false">G79</f>
        <v>-0.369266721941905</v>
      </c>
      <c r="I79" s="53" t="n">
        <f aca="false">G79*B79</f>
        <v>-0.369266721941905</v>
      </c>
      <c r="J79" s="53" t="n">
        <f aca="false">G79*C79</f>
        <v>-0.320031159016317</v>
      </c>
      <c r="K79" s="52" t="n">
        <f aca="false">-(D79*LN(MIN(MAX(F79,0.000001),0.999999))+(1-D79)*LN(MIN(MAX(1-F79,0.000001),0.999999)))</f>
        <v>0.460872203016369</v>
      </c>
    </row>
    <row r="80" customFormat="false" ht="12.8" hidden="false" customHeight="false" outlineLevel="0" collapsed="false">
      <c r="A80" s="50" t="str">
        <f aca="false">01_Data!A20</f>
        <v>S15</v>
      </c>
      <c r="B80" s="51" t="n">
        <f aca="false">01_Data!F20</f>
        <v>1.2</v>
      </c>
      <c r="C80" s="51" t="n">
        <f aca="false">01_Data!G20</f>
        <v>1</v>
      </c>
      <c r="D80" s="51" t="n">
        <f aca="false">01_Data!D20</f>
        <v>1</v>
      </c>
      <c r="E80" s="52" t="n">
        <f aca="false">$D$64+$F$64*B80+$H$64*C80</f>
        <v>0.617976568627705</v>
      </c>
      <c r="F80" s="52" t="n">
        <f aca="false">1/(1+EXP(-E80))</f>
        <v>0.649758210932937</v>
      </c>
      <c r="G80" s="53" t="n">
        <f aca="false">F80-D80</f>
        <v>-0.350241789067063</v>
      </c>
      <c r="H80" s="53" t="n">
        <f aca="false">G80</f>
        <v>-0.350241789067063</v>
      </c>
      <c r="I80" s="53" t="n">
        <f aca="false">G80*B80</f>
        <v>-0.420290146880475</v>
      </c>
      <c r="J80" s="53" t="n">
        <f aca="false">G80*C80</f>
        <v>-0.350241789067063</v>
      </c>
      <c r="K80" s="52" t="n">
        <f aca="false">-(D80*LN(MIN(MAX(F80,0.000001),0.999999))+(1-D80)*LN(MIN(MAX(1-F80,0.000001),0.999999)))</f>
        <v>0.431154968475456</v>
      </c>
    </row>
    <row r="81" customFormat="false" ht="12.8" hidden="false" customHeight="false" outlineLevel="0" collapsed="false">
      <c r="A81" s="50" t="str">
        <f aca="false">01_Data!A21</f>
        <v>S16</v>
      </c>
      <c r="B81" s="51" t="n">
        <f aca="false">01_Data!F21</f>
        <v>1.4</v>
      </c>
      <c r="C81" s="51" t="n">
        <f aca="false">01_Data!G21</f>
        <v>1.13333333333333</v>
      </c>
      <c r="D81" s="51" t="n">
        <f aca="false">01_Data!D21</f>
        <v>1</v>
      </c>
      <c r="E81" s="52" t="n">
        <f aca="false">$D$64+$F$64*B81+$H$64*C81</f>
        <v>0.70058926790974</v>
      </c>
      <c r="F81" s="52" t="n">
        <f aca="false">1/(1+EXP(-E81))</f>
        <v>0.668318407498832</v>
      </c>
      <c r="G81" s="53" t="n">
        <f aca="false">F81-D81</f>
        <v>-0.331681592501168</v>
      </c>
      <c r="H81" s="53" t="n">
        <f aca="false">G81</f>
        <v>-0.331681592501168</v>
      </c>
      <c r="I81" s="53" t="n">
        <f aca="false">G81*B81</f>
        <v>-0.464354229501635</v>
      </c>
      <c r="J81" s="53" t="n">
        <f aca="false">G81*C81</f>
        <v>-0.375905804834657</v>
      </c>
      <c r="K81" s="52" t="n">
        <f aca="false">-(D81*LN(MIN(MAX(F81,0.000001),0.999999))+(1-D81)*LN(MIN(MAX(1-F81,0.000001),0.999999)))</f>
        <v>0.402990561078414</v>
      </c>
    </row>
    <row r="82" customFormat="false" ht="12.8" hidden="false" customHeight="false" outlineLevel="0" collapsed="false">
      <c r="A82" s="50" t="str">
        <f aca="false">01_Data!A22</f>
        <v>S17</v>
      </c>
      <c r="B82" s="51" t="n">
        <f aca="false">01_Data!F22</f>
        <v>1.6</v>
      </c>
      <c r="C82" s="51" t="n">
        <f aca="false">01_Data!G22</f>
        <v>1.33333333333333</v>
      </c>
      <c r="D82" s="51" t="n">
        <f aca="false">01_Data!D22</f>
        <v>1</v>
      </c>
      <c r="E82" s="52" t="n">
        <f aca="false">$D$64+$F$64*B82+$H$64*C82</f>
        <v>0.798483067450985</v>
      </c>
      <c r="F82" s="52" t="n">
        <f aca="false">1/(1+EXP(-E82))</f>
        <v>0.689649901071666</v>
      </c>
      <c r="G82" s="53" t="n">
        <f aca="false">F82-D82</f>
        <v>-0.310350098928334</v>
      </c>
      <c r="H82" s="53" t="n">
        <f aca="false">G82</f>
        <v>-0.310350098928334</v>
      </c>
      <c r="I82" s="53" t="n">
        <f aca="false">G82*B82</f>
        <v>-0.496560158285334</v>
      </c>
      <c r="J82" s="53" t="n">
        <f aca="false">G82*C82</f>
        <v>-0.413800131904445</v>
      </c>
      <c r="K82" s="52" t="n">
        <f aca="false">-(D82*LN(MIN(MAX(F82,0.000001),0.999999))+(1-D82)*LN(MIN(MAX(1-F82,0.000001),0.999999)))</f>
        <v>0.371571199907778</v>
      </c>
    </row>
    <row r="83" customFormat="false" ht="12.8" hidden="false" customHeight="false" outlineLevel="0" collapsed="false">
      <c r="A83" s="50" t="str">
        <f aca="false">01_Data!A23</f>
        <v>S18</v>
      </c>
      <c r="B83" s="51" t="n">
        <f aca="false">01_Data!F23</f>
        <v>0</v>
      </c>
      <c r="C83" s="51" t="n">
        <f aca="false">01_Data!G23</f>
        <v>-0.666666666666667</v>
      </c>
      <c r="D83" s="51" t="n">
        <f aca="false">01_Data!D23</f>
        <v>0</v>
      </c>
      <c r="E83" s="52" t="n">
        <f aca="false">$D$64+$F$64*B83+$H$64*C83</f>
        <v>-0.0763539304342335</v>
      </c>
      <c r="F83" s="52" t="n">
        <f aca="false">1/(1+EXP(-E83))</f>
        <v>0.480920785686296</v>
      </c>
      <c r="G83" s="53" t="n">
        <f aca="false">F83-D83</f>
        <v>0.480920785686296</v>
      </c>
      <c r="H83" s="53" t="n">
        <f aca="false">G83</f>
        <v>0.480920785686296</v>
      </c>
      <c r="I83" s="53" t="n">
        <f aca="false">G83*B83</f>
        <v>0</v>
      </c>
      <c r="J83" s="53" t="n">
        <f aca="false">G83*C83</f>
        <v>-0.320613857124197</v>
      </c>
      <c r="K83" s="52" t="n">
        <f aca="false">-(D83*LN(MIN(MAX(F83,0.000001),0.999999))+(1-D83)*LN(MIN(MAX(1-F83,0.000001),0.999999)))</f>
        <v>0.655698778727368</v>
      </c>
    </row>
    <row r="84" customFormat="false" ht="12.8" hidden="false" customHeight="false" outlineLevel="0" collapsed="false">
      <c r="A84" s="50" t="str">
        <f aca="false">01_Data!A24</f>
        <v>S19</v>
      </c>
      <c r="B84" s="51" t="n">
        <f aca="false">01_Data!F24</f>
        <v>-0.8</v>
      </c>
      <c r="C84" s="51" t="n">
        <f aca="false">01_Data!G24</f>
        <v>0.666666666666667</v>
      </c>
      <c r="D84" s="51" t="n">
        <f aca="false">01_Data!D24</f>
        <v>1</v>
      </c>
      <c r="E84" s="52" t="n">
        <f aca="false">$D$64+$F$64*B84+$H$64*C84</f>
        <v>0.0210660796955002</v>
      </c>
      <c r="F84" s="52" t="n">
        <f aca="false">1/(1+EXP(-E84))</f>
        <v>0.505266325167959</v>
      </c>
      <c r="G84" s="53" t="n">
        <f aca="false">F84-D84</f>
        <v>-0.494733674832041</v>
      </c>
      <c r="H84" s="53" t="n">
        <f aca="false">G84</f>
        <v>-0.494733674832041</v>
      </c>
      <c r="I84" s="53" t="n">
        <f aca="false">G84*B84</f>
        <v>0.395786939865633</v>
      </c>
      <c r="J84" s="53" t="n">
        <f aca="false">G84*C84</f>
        <v>-0.329822449888027</v>
      </c>
      <c r="K84" s="52" t="n">
        <f aca="false">-(D84*LN(MIN(MAX(F84,0.000001),0.999999))+(1-D84)*LN(MIN(MAX(1-F84,0.000001),0.999999)))</f>
        <v>0.682669612150711</v>
      </c>
    </row>
    <row r="85" customFormat="false" ht="12.8" hidden="false" customHeight="false" outlineLevel="0" collapsed="false">
      <c r="A85" s="50" t="str">
        <f aca="false">01_Data!A25</f>
        <v>S20</v>
      </c>
      <c r="B85" s="51" t="n">
        <f aca="false">01_Data!F25</f>
        <v>0.8</v>
      </c>
      <c r="C85" s="51" t="n">
        <f aca="false">01_Data!G25</f>
        <v>-0.666666666666667</v>
      </c>
      <c r="D85" s="51" t="n">
        <f aca="false">01_Data!D25</f>
        <v>1</v>
      </c>
      <c r="E85" s="52" t="n">
        <f aca="false">$D$64+$F$64*B85+$H$64*C85</f>
        <v>0.131848064620229</v>
      </c>
      <c r="F85" s="52" t="n">
        <f aca="false">1/(1+EXP(-E85))</f>
        <v>0.532914348286003</v>
      </c>
      <c r="G85" s="53" t="n">
        <f aca="false">F85-D85</f>
        <v>-0.467085651713997</v>
      </c>
      <c r="H85" s="53" t="n">
        <f aca="false">G85</f>
        <v>-0.467085651713997</v>
      </c>
      <c r="I85" s="53" t="n">
        <f aca="false">G85*B85</f>
        <v>-0.373668521371198</v>
      </c>
      <c r="J85" s="53" t="n">
        <f aca="false">G85*C85</f>
        <v>0.311390434475998</v>
      </c>
      <c r="K85" s="52" t="n">
        <f aca="false">-(D85*LN(MIN(MAX(F85,0.000001),0.999999))+(1-D85)*LN(MIN(MAX(1-F85,0.000001),0.999999)))</f>
        <v>0.629394565129122</v>
      </c>
    </row>
    <row r="86" customFormat="false" ht="12.8" hidden="false" customHeight="false" outlineLevel="0" collapsed="false">
      <c r="A86" s="54" t="s">
        <v>138</v>
      </c>
      <c r="B86" s="54"/>
      <c r="C86" s="54"/>
      <c r="D86" s="54"/>
      <c r="E86" s="54"/>
      <c r="F86" s="54"/>
      <c r="G86" s="54" t="s">
        <v>139</v>
      </c>
      <c r="H86" s="55" t="n">
        <f aca="false">AVERAGE(H66:H85)</f>
        <v>-0.0835633277868328</v>
      </c>
      <c r="I86" s="55" t="n">
        <f aca="false">AVERAGE(I66:I85)</f>
        <v>-0.25991983112946</v>
      </c>
      <c r="J86" s="55" t="n">
        <f aca="false">AVERAGE(J66:J85)</f>
        <v>-0.233149566352316</v>
      </c>
      <c r="K86" s="55" t="n">
        <f aca="false">AVERAGE(K66:K85)</f>
        <v>0.545205683836669</v>
      </c>
    </row>
    <row r="87" customFormat="false" ht="22.35" hidden="false" customHeight="true" outlineLevel="0" collapsed="false">
      <c r="A87" s="47" t="s">
        <v>140</v>
      </c>
      <c r="B87" s="47"/>
      <c r="C87" s="47" t="s">
        <v>141</v>
      </c>
      <c r="D87" s="56" t="n">
        <f aca="false">D64-$B$4*H86</f>
        <v>0.109882403272598</v>
      </c>
      <c r="E87" s="47" t="s">
        <v>142</v>
      </c>
      <c r="F87" s="56" t="n">
        <f aca="false">F64-$B$4*I86</f>
        <v>0.364220426269862</v>
      </c>
      <c r="G87" s="47" t="s">
        <v>143</v>
      </c>
      <c r="H87" s="56" t="n">
        <f aca="false">H64-$B$4*J86</f>
        <v>0.322476330429073</v>
      </c>
      <c r="I87" s="48" t="s">
        <v>144</v>
      </c>
      <c r="J87" s="48"/>
      <c r="K87" s="48"/>
    </row>
    <row r="89" customFormat="false" ht="22.5" hidden="false" customHeight="true" outlineLevel="0" collapsed="false">
      <c r="A89" s="57" t="s">
        <v>150</v>
      </c>
      <c r="B89" s="57"/>
      <c r="C89" s="57"/>
      <c r="D89" s="57"/>
      <c r="E89" s="57"/>
      <c r="F89" s="57"/>
      <c r="G89" s="57"/>
      <c r="H89" s="57"/>
      <c r="I89" s="57"/>
      <c r="J89" s="57"/>
      <c r="K89" s="57"/>
    </row>
    <row r="90" customFormat="false" ht="15" hidden="false" customHeight="true" outlineLevel="0" collapsed="false">
      <c r="A90" s="47" t="s">
        <v>122</v>
      </c>
      <c r="B90" s="48" t="n">
        <v>4</v>
      </c>
      <c r="C90" s="47" t="s">
        <v>123</v>
      </c>
      <c r="D90" s="58" t="n">
        <f aca="false">D87</f>
        <v>0.109882403272598</v>
      </c>
      <c r="E90" s="47" t="s">
        <v>124</v>
      </c>
      <c r="F90" s="58" t="n">
        <f aca="false">F87</f>
        <v>0.364220426269862</v>
      </c>
      <c r="G90" s="47" t="s">
        <v>125</v>
      </c>
      <c r="H90" s="58" t="n">
        <f aca="false">H87</f>
        <v>0.322476330429073</v>
      </c>
      <c r="I90" s="48" t="s">
        <v>126</v>
      </c>
      <c r="J90" s="48"/>
      <c r="K90" s="48"/>
    </row>
    <row r="91" customFormat="false" ht="33.75" hidden="false" customHeight="true" outlineLevel="0" collapsed="false">
      <c r="A91" s="18" t="s">
        <v>127</v>
      </c>
      <c r="B91" s="18" t="s">
        <v>128</v>
      </c>
      <c r="C91" s="18" t="s">
        <v>129</v>
      </c>
      <c r="D91" s="18" t="s">
        <v>130</v>
      </c>
      <c r="E91" s="18" t="s">
        <v>131</v>
      </c>
      <c r="F91" s="18" t="s">
        <v>132</v>
      </c>
      <c r="G91" s="18" t="s">
        <v>133</v>
      </c>
      <c r="H91" s="18" t="s">
        <v>146</v>
      </c>
      <c r="I91" s="18" t="s">
        <v>147</v>
      </c>
      <c r="J91" s="18" t="s">
        <v>148</v>
      </c>
      <c r="K91" s="18" t="s">
        <v>33</v>
      </c>
    </row>
    <row r="92" customFormat="false" ht="12.8" hidden="false" customHeight="false" outlineLevel="0" collapsed="false">
      <c r="A92" s="50" t="str">
        <f aca="false">01_Data!A6</f>
        <v>S01</v>
      </c>
      <c r="B92" s="51" t="n">
        <f aca="false">01_Data!F6</f>
        <v>-1.6</v>
      </c>
      <c r="C92" s="51" t="n">
        <f aca="false">01_Data!G6</f>
        <v>-1.33333333333333</v>
      </c>
      <c r="D92" s="51" t="n">
        <f aca="false">01_Data!D6</f>
        <v>0</v>
      </c>
      <c r="E92" s="52" t="n">
        <f aca="false">$D$90+$F$90*B92+$H$90*C92</f>
        <v>-0.902838719331279</v>
      </c>
      <c r="F92" s="52" t="n">
        <f aca="false">1/(1+EXP(-E92))</f>
        <v>0.288467489192175</v>
      </c>
      <c r="G92" s="53" t="n">
        <f aca="false">F92-D92</f>
        <v>0.288467489192175</v>
      </c>
      <c r="H92" s="53" t="n">
        <f aca="false">G92</f>
        <v>0.288467489192175</v>
      </c>
      <c r="I92" s="53" t="n">
        <f aca="false">G92*B92</f>
        <v>-0.46154798270748</v>
      </c>
      <c r="J92" s="53" t="n">
        <f aca="false">G92*C92</f>
        <v>-0.3846233189229</v>
      </c>
      <c r="K92" s="52" t="n">
        <f aca="false">-(D92*LN(MIN(MAX(F92,0.000001),0.999999))+(1-D92)*LN(MIN(MAX(1-F92,0.000001),0.999999)))</f>
        <v>0.340334169161177</v>
      </c>
    </row>
    <row r="93" customFormat="false" ht="12.8" hidden="false" customHeight="false" outlineLevel="0" collapsed="false">
      <c r="A93" s="50" t="str">
        <f aca="false">01_Data!A7</f>
        <v>S02</v>
      </c>
      <c r="B93" s="51" t="n">
        <f aca="false">01_Data!F7</f>
        <v>-1.4</v>
      </c>
      <c r="C93" s="51" t="n">
        <f aca="false">01_Data!G7</f>
        <v>-1</v>
      </c>
      <c r="D93" s="51" t="n">
        <f aca="false">01_Data!D7</f>
        <v>0</v>
      </c>
      <c r="E93" s="52" t="n">
        <f aca="false">$D$90+$F$90*B93+$H$90*C93</f>
        <v>-0.722502523934282</v>
      </c>
      <c r="F93" s="52" t="n">
        <f aca="false">1/(1+EXP(-E93))</f>
        <v>0.326842148322796</v>
      </c>
      <c r="G93" s="53" t="n">
        <f aca="false">F93-D93</f>
        <v>0.326842148322796</v>
      </c>
      <c r="H93" s="53" t="n">
        <f aca="false">G93</f>
        <v>0.326842148322796</v>
      </c>
      <c r="I93" s="53" t="n">
        <f aca="false">G93*B93</f>
        <v>-0.457579007651914</v>
      </c>
      <c r="J93" s="53" t="n">
        <f aca="false">G93*C93</f>
        <v>-0.326842148322796</v>
      </c>
      <c r="K93" s="52" t="n">
        <f aca="false">-(D93*LN(MIN(MAX(F93,0.000001),0.999999))+(1-D93)*LN(MIN(MAX(1-F93,0.000001),0.999999)))</f>
        <v>0.395775427542315</v>
      </c>
    </row>
    <row r="94" customFormat="false" ht="12.8" hidden="false" customHeight="false" outlineLevel="0" collapsed="false">
      <c r="A94" s="50" t="str">
        <f aca="false">01_Data!A8</f>
        <v>S03</v>
      </c>
      <c r="B94" s="51" t="n">
        <f aca="false">01_Data!F8</f>
        <v>-1.2</v>
      </c>
      <c r="C94" s="51" t="n">
        <f aca="false">01_Data!G8</f>
        <v>-1.13333333333333</v>
      </c>
      <c r="D94" s="51" t="n">
        <f aca="false">01_Data!D8</f>
        <v>0</v>
      </c>
      <c r="E94" s="52" t="n">
        <f aca="false">$D$90+$F$90*B94+$H$90*C94</f>
        <v>-0.69265528273752</v>
      </c>
      <c r="F94" s="52" t="n">
        <f aca="false">1/(1+EXP(-E94))</f>
        <v>0.333442652920679</v>
      </c>
      <c r="G94" s="53" t="n">
        <f aca="false">F94-D94</f>
        <v>0.333442652920679</v>
      </c>
      <c r="H94" s="53" t="n">
        <f aca="false">G94</f>
        <v>0.333442652920679</v>
      </c>
      <c r="I94" s="53" t="n">
        <f aca="false">G94*B94</f>
        <v>-0.400131183504815</v>
      </c>
      <c r="J94" s="53" t="n">
        <f aca="false">G94*C94</f>
        <v>-0.377901673310103</v>
      </c>
      <c r="K94" s="52" t="n">
        <f aca="false">-(D94*LN(MIN(MAX(F94,0.000001),0.999999))+(1-D94)*LN(MIN(MAX(1-F94,0.000001),0.999999)))</f>
        <v>0.405629100935272</v>
      </c>
    </row>
    <row r="95" customFormat="false" ht="12.8" hidden="false" customHeight="false" outlineLevel="0" collapsed="false">
      <c r="A95" s="50" t="str">
        <f aca="false">01_Data!A9</f>
        <v>S04</v>
      </c>
      <c r="B95" s="51" t="n">
        <f aca="false">01_Data!F9</f>
        <v>-1</v>
      </c>
      <c r="C95" s="51" t="n">
        <f aca="false">01_Data!G9</f>
        <v>-0.666666666666667</v>
      </c>
      <c r="D95" s="51" t="n">
        <f aca="false">01_Data!D9</f>
        <v>0</v>
      </c>
      <c r="E95" s="52" t="n">
        <f aca="false">$D$90+$F$90*B95+$H$90*C95</f>
        <v>-0.469322243283313</v>
      </c>
      <c r="F95" s="52" t="n">
        <f aca="false">1/(1+EXP(-E95))</f>
        <v>0.384776672073805</v>
      </c>
      <c r="G95" s="53" t="n">
        <f aca="false">F95-D95</f>
        <v>0.384776672073805</v>
      </c>
      <c r="H95" s="53" t="n">
        <f aca="false">G95</f>
        <v>0.384776672073805</v>
      </c>
      <c r="I95" s="53" t="n">
        <f aca="false">G95*B95</f>
        <v>-0.384776672073805</v>
      </c>
      <c r="J95" s="53" t="n">
        <f aca="false">G95*C95</f>
        <v>-0.256517781382536</v>
      </c>
      <c r="K95" s="52" t="n">
        <f aca="false">-(D95*LN(MIN(MAX(F95,0.000001),0.999999))+(1-D95)*LN(MIN(MAX(1-F95,0.000001),0.999999)))</f>
        <v>0.485769942253775</v>
      </c>
    </row>
    <row r="96" customFormat="false" ht="12.8" hidden="false" customHeight="false" outlineLevel="0" collapsed="false">
      <c r="A96" s="50" t="str">
        <f aca="false">01_Data!A10</f>
        <v>S05</v>
      </c>
      <c r="B96" s="51" t="n">
        <f aca="false">01_Data!F10</f>
        <v>-0.8</v>
      </c>
      <c r="C96" s="51" t="n">
        <f aca="false">01_Data!G10</f>
        <v>-0.866666666666667</v>
      </c>
      <c r="D96" s="51" t="n">
        <f aca="false">01_Data!D10</f>
        <v>0</v>
      </c>
      <c r="E96" s="52" t="n">
        <f aca="false">$D$90+$F$90*B96+$H$90*C96</f>
        <v>-0.460973424115155</v>
      </c>
      <c r="F96" s="52" t="n">
        <f aca="false">1/(1+EXP(-E96))</f>
        <v>0.386754926022732</v>
      </c>
      <c r="G96" s="53" t="n">
        <f aca="false">F96-D96</f>
        <v>0.386754926022732</v>
      </c>
      <c r="H96" s="53" t="n">
        <f aca="false">G96</f>
        <v>0.386754926022732</v>
      </c>
      <c r="I96" s="53" t="n">
        <f aca="false">G96*B96</f>
        <v>-0.309403940818186</v>
      </c>
      <c r="J96" s="53" t="n">
        <f aca="false">G96*C96</f>
        <v>-0.335187602553034</v>
      </c>
      <c r="K96" s="52" t="n">
        <f aca="false">-(D96*LN(MIN(MAX(F96,0.000001),0.999999))+(1-D96)*LN(MIN(MAX(1-F96,0.000001),0.999999)))</f>
        <v>0.488990628525995</v>
      </c>
    </row>
    <row r="97" customFormat="false" ht="12.8" hidden="false" customHeight="false" outlineLevel="0" collapsed="false">
      <c r="A97" s="50" t="str">
        <f aca="false">01_Data!A11</f>
        <v>S06</v>
      </c>
      <c r="B97" s="51" t="n">
        <f aca="false">01_Data!F11</f>
        <v>-0.6</v>
      </c>
      <c r="C97" s="51" t="n">
        <f aca="false">01_Data!G11</f>
        <v>-0.333333333333333</v>
      </c>
      <c r="D97" s="51" t="n">
        <f aca="false">01_Data!D11</f>
        <v>0</v>
      </c>
      <c r="E97" s="52" t="n">
        <f aca="false">$D$90+$F$90*B97+$H$90*C97</f>
        <v>-0.216141962632344</v>
      </c>
      <c r="F97" s="52" t="n">
        <f aca="false">1/(1+EXP(-E97))</f>
        <v>0.446173897425857</v>
      </c>
      <c r="G97" s="53" t="n">
        <f aca="false">F97-D97</f>
        <v>0.446173897425857</v>
      </c>
      <c r="H97" s="53" t="n">
        <f aca="false">G97</f>
        <v>0.446173897425857</v>
      </c>
      <c r="I97" s="53" t="n">
        <f aca="false">G97*B97</f>
        <v>-0.267704338455514</v>
      </c>
      <c r="J97" s="53" t="n">
        <f aca="false">G97*C97</f>
        <v>-0.148724632475286</v>
      </c>
      <c r="K97" s="52" t="n">
        <f aca="false">-(D97*LN(MIN(MAX(F97,0.000001),0.999999))+(1-D97)*LN(MIN(MAX(1-F97,0.000001),0.999999)))</f>
        <v>0.590904535780472</v>
      </c>
    </row>
    <row r="98" customFormat="false" ht="12.8" hidden="false" customHeight="false" outlineLevel="0" collapsed="false">
      <c r="A98" s="50" t="str">
        <f aca="false">01_Data!A12</f>
        <v>S07</v>
      </c>
      <c r="B98" s="51" t="n">
        <f aca="false">01_Data!F12</f>
        <v>-0.4</v>
      </c>
      <c r="C98" s="51" t="n">
        <f aca="false">01_Data!G12</f>
        <v>-0.466666666666667</v>
      </c>
      <c r="D98" s="51" t="n">
        <f aca="false">01_Data!D12</f>
        <v>0</v>
      </c>
      <c r="E98" s="52" t="n">
        <f aca="false">$D$90+$F$90*B98+$H$90*C98</f>
        <v>-0.186294721435581</v>
      </c>
      <c r="F98" s="52" t="n">
        <f aca="false">1/(1+EXP(-E98))</f>
        <v>0.453560551570439</v>
      </c>
      <c r="G98" s="53" t="n">
        <f aca="false">F98-D98</f>
        <v>0.453560551570439</v>
      </c>
      <c r="H98" s="53" t="n">
        <f aca="false">G98</f>
        <v>0.453560551570439</v>
      </c>
      <c r="I98" s="53" t="n">
        <f aca="false">G98*B98</f>
        <v>-0.181424220628176</v>
      </c>
      <c r="J98" s="53" t="n">
        <f aca="false">G98*C98</f>
        <v>-0.211661590732872</v>
      </c>
      <c r="K98" s="52" t="n">
        <f aca="false">-(D98*LN(MIN(MAX(F98,0.000001),0.999999))+(1-D98)*LN(MIN(MAX(1-F98,0.000001),0.999999)))</f>
        <v>0.604331776352203</v>
      </c>
    </row>
    <row r="99" customFormat="false" ht="12.8" hidden="false" customHeight="false" outlineLevel="0" collapsed="false">
      <c r="A99" s="50" t="str">
        <f aca="false">01_Data!A13</f>
        <v>S08</v>
      </c>
      <c r="B99" s="51" t="n">
        <f aca="false">01_Data!F13</f>
        <v>-0.2</v>
      </c>
      <c r="C99" s="51" t="n">
        <f aca="false">01_Data!G13</f>
        <v>-0.2</v>
      </c>
      <c r="D99" s="51" t="n">
        <f aca="false">01_Data!D13</f>
        <v>1</v>
      </c>
      <c r="E99" s="52" t="n">
        <f aca="false">$D$90+$F$90*B99+$H$90*C99</f>
        <v>-0.0274569480671894</v>
      </c>
      <c r="F99" s="52" t="n">
        <f aca="false">1/(1+EXP(-E99))</f>
        <v>0.493136194187232</v>
      </c>
      <c r="G99" s="53" t="n">
        <f aca="false">F99-D99</f>
        <v>-0.506863805812769</v>
      </c>
      <c r="H99" s="53" t="n">
        <f aca="false">G99</f>
        <v>-0.506863805812769</v>
      </c>
      <c r="I99" s="53" t="n">
        <f aca="false">G99*B99</f>
        <v>0.101372761162554</v>
      </c>
      <c r="J99" s="53" t="n">
        <f aca="false">G99*C99</f>
        <v>0.101372761162554</v>
      </c>
      <c r="K99" s="52" t="n">
        <f aca="false">-(D99*LN(MIN(MAX(F99,0.000001),0.999999))+(1-D99)*LN(MIN(MAX(1-F99,0.000001),0.999999)))</f>
        <v>0.706969887133225</v>
      </c>
    </row>
    <row r="100" customFormat="false" ht="12.8" hidden="false" customHeight="false" outlineLevel="0" collapsed="false">
      <c r="A100" s="50" t="str">
        <f aca="false">01_Data!A14</f>
        <v>S09</v>
      </c>
      <c r="B100" s="51" t="n">
        <f aca="false">01_Data!F14</f>
        <v>0</v>
      </c>
      <c r="C100" s="51" t="n">
        <f aca="false">01_Data!G14</f>
        <v>0</v>
      </c>
      <c r="D100" s="51" t="n">
        <f aca="false">01_Data!D14</f>
        <v>1</v>
      </c>
      <c r="E100" s="52" t="n">
        <f aca="false">$D$90+$F$90*B100+$H$90*C100</f>
        <v>0.109882403272598</v>
      </c>
      <c r="F100" s="52" t="n">
        <f aca="false">1/(1+EXP(-E100))</f>
        <v>0.52744299382157</v>
      </c>
      <c r="G100" s="53" t="n">
        <f aca="false">F100-D100</f>
        <v>-0.47255700617843</v>
      </c>
      <c r="H100" s="53" t="n">
        <f aca="false">G100</f>
        <v>-0.47255700617843</v>
      </c>
      <c r="I100" s="53" t="n">
        <f aca="false">G100*B100</f>
        <v>-0</v>
      </c>
      <c r="J100" s="53" t="n">
        <f aca="false">G100*C100</f>
        <v>-0</v>
      </c>
      <c r="K100" s="52" t="n">
        <f aca="false">-(D100*LN(MIN(MAX(F100,0.000001),0.999999))+(1-D100)*LN(MIN(MAX(1-F100,0.000001),0.999999)))</f>
        <v>0.639714488056448</v>
      </c>
    </row>
    <row r="101" customFormat="false" ht="12.8" hidden="false" customHeight="false" outlineLevel="0" collapsed="false">
      <c r="A101" s="50" t="str">
        <f aca="false">01_Data!A15</f>
        <v>S10</v>
      </c>
      <c r="B101" s="51" t="n">
        <f aca="false">01_Data!F15</f>
        <v>0.2</v>
      </c>
      <c r="C101" s="51" t="n">
        <f aca="false">01_Data!G15</f>
        <v>0.2</v>
      </c>
      <c r="D101" s="51" t="n">
        <f aca="false">01_Data!D15</f>
        <v>1</v>
      </c>
      <c r="E101" s="52" t="n">
        <f aca="false">$D$90+$F$90*B101+$H$90*C101</f>
        <v>0.247221754612385</v>
      </c>
      <c r="F101" s="52" t="n">
        <f aca="false">1/(1+EXP(-E101))</f>
        <v>0.561492562300991</v>
      </c>
      <c r="G101" s="53" t="n">
        <f aca="false">F101-D101</f>
        <v>-0.438507437699009</v>
      </c>
      <c r="H101" s="53" t="n">
        <f aca="false">G101</f>
        <v>-0.438507437699009</v>
      </c>
      <c r="I101" s="53" t="n">
        <f aca="false">G101*B101</f>
        <v>-0.0877014875398018</v>
      </c>
      <c r="J101" s="53" t="n">
        <f aca="false">G101*C101</f>
        <v>-0.0877014875398018</v>
      </c>
      <c r="K101" s="52" t="n">
        <f aca="false">-(D101*LN(MIN(MAX(F101,0.000001),0.999999))+(1-D101)*LN(MIN(MAX(1-F101,0.000001),0.999999)))</f>
        <v>0.577156751016052</v>
      </c>
    </row>
    <row r="102" customFormat="false" ht="12.8" hidden="false" customHeight="false" outlineLevel="0" collapsed="false">
      <c r="A102" s="50" t="str">
        <f aca="false">01_Data!A16</f>
        <v>S11</v>
      </c>
      <c r="B102" s="51" t="n">
        <f aca="false">01_Data!F16</f>
        <v>0.4</v>
      </c>
      <c r="C102" s="51" t="n">
        <f aca="false">01_Data!G16</f>
        <v>0.333333333333333</v>
      </c>
      <c r="D102" s="51" t="n">
        <f aca="false">01_Data!D16</f>
        <v>1</v>
      </c>
      <c r="E102" s="52" t="n">
        <f aca="false">$D$90+$F$90*B102+$H$90*C102</f>
        <v>0.363062683923567</v>
      </c>
      <c r="F102" s="52" t="n">
        <f aca="false">1/(1+EXP(-E102))</f>
        <v>0.589781620769267</v>
      </c>
      <c r="G102" s="53" t="n">
        <f aca="false">F102-D102</f>
        <v>-0.410218379230733</v>
      </c>
      <c r="H102" s="53" t="n">
        <f aca="false">G102</f>
        <v>-0.410218379230733</v>
      </c>
      <c r="I102" s="53" t="n">
        <f aca="false">G102*B102</f>
        <v>-0.164087351692293</v>
      </c>
      <c r="J102" s="53" t="n">
        <f aca="false">G102*C102</f>
        <v>-0.136739459743578</v>
      </c>
      <c r="K102" s="52" t="n">
        <f aca="false">-(D102*LN(MIN(MAX(F102,0.000001),0.999999))+(1-D102)*LN(MIN(MAX(1-F102,0.000001),0.999999)))</f>
        <v>0.528002944888354</v>
      </c>
    </row>
    <row r="103" customFormat="false" ht="12.8" hidden="false" customHeight="false" outlineLevel="0" collapsed="false">
      <c r="A103" s="50" t="str">
        <f aca="false">01_Data!A17</f>
        <v>S12</v>
      </c>
      <c r="B103" s="51" t="n">
        <f aca="false">01_Data!F17</f>
        <v>0.6</v>
      </c>
      <c r="C103" s="51" t="n">
        <f aca="false">01_Data!G17</f>
        <v>0.466666666666667</v>
      </c>
      <c r="D103" s="51" t="n">
        <f aca="false">01_Data!D17</f>
        <v>1</v>
      </c>
      <c r="E103" s="52" t="n">
        <f aca="false">$D$90+$F$90*B103+$H$90*C103</f>
        <v>0.478903613234749</v>
      </c>
      <c r="F103" s="52" t="n">
        <f aca="false">1/(1+EXP(-E103))</f>
        <v>0.617488945599137</v>
      </c>
      <c r="G103" s="53" t="n">
        <f aca="false">F103-D103</f>
        <v>-0.382511054400864</v>
      </c>
      <c r="H103" s="53" t="n">
        <f aca="false">G103</f>
        <v>-0.382511054400864</v>
      </c>
      <c r="I103" s="53" t="n">
        <f aca="false">G103*B103</f>
        <v>-0.229506632640518</v>
      </c>
      <c r="J103" s="53" t="n">
        <f aca="false">G103*C103</f>
        <v>-0.178505158720403</v>
      </c>
      <c r="K103" s="52" t="n">
        <f aca="false">-(D103*LN(MIN(MAX(F103,0.000001),0.999999))+(1-D103)*LN(MIN(MAX(1-F103,0.000001),0.999999)))</f>
        <v>0.482094112503992</v>
      </c>
    </row>
    <row r="104" customFormat="false" ht="12.8" hidden="false" customHeight="false" outlineLevel="0" collapsed="false">
      <c r="A104" s="50" t="str">
        <f aca="false">01_Data!A18</f>
        <v>S13</v>
      </c>
      <c r="B104" s="51" t="n">
        <f aca="false">01_Data!F18</f>
        <v>0.8</v>
      </c>
      <c r="C104" s="51" t="n">
        <f aca="false">01_Data!G18</f>
        <v>0.666666666666667</v>
      </c>
      <c r="D104" s="51" t="n">
        <f aca="false">01_Data!D18</f>
        <v>1</v>
      </c>
      <c r="E104" s="52" t="n">
        <f aca="false">$D$90+$F$90*B104+$H$90*C104</f>
        <v>0.616242964574536</v>
      </c>
      <c r="F104" s="52" t="n">
        <f aca="false">1/(1+EXP(-E104))</f>
        <v>0.6493635880085</v>
      </c>
      <c r="G104" s="53" t="n">
        <f aca="false">F104-D104</f>
        <v>-0.3506364119915</v>
      </c>
      <c r="H104" s="53" t="n">
        <f aca="false">G104</f>
        <v>-0.3506364119915</v>
      </c>
      <c r="I104" s="53" t="n">
        <f aca="false">G104*B104</f>
        <v>-0.2805091295932</v>
      </c>
      <c r="J104" s="53" t="n">
        <f aca="false">G104*C104</f>
        <v>-0.233757607994334</v>
      </c>
      <c r="K104" s="52" t="n">
        <f aca="false">-(D104*LN(MIN(MAX(F104,0.000001),0.999999))+(1-D104)*LN(MIN(MAX(1-F104,0.000001),0.999999)))</f>
        <v>0.431762491090959</v>
      </c>
    </row>
    <row r="105" customFormat="false" ht="12.8" hidden="false" customHeight="false" outlineLevel="0" collapsed="false">
      <c r="A105" s="50" t="str">
        <f aca="false">01_Data!A19</f>
        <v>S14</v>
      </c>
      <c r="B105" s="51" t="n">
        <f aca="false">01_Data!F19</f>
        <v>1</v>
      </c>
      <c r="C105" s="51" t="n">
        <f aca="false">01_Data!G19</f>
        <v>0.866666666666667</v>
      </c>
      <c r="D105" s="51" t="n">
        <f aca="false">01_Data!D19</f>
        <v>1</v>
      </c>
      <c r="E105" s="52" t="n">
        <f aca="false">$D$90+$F$90*B105+$H$90*C105</f>
        <v>0.753582315914323</v>
      </c>
      <c r="F105" s="52" t="n">
        <f aca="false">1/(1+EXP(-E105))</f>
        <v>0.6799587663396</v>
      </c>
      <c r="G105" s="53" t="n">
        <f aca="false">F105-D105</f>
        <v>-0.3200412336604</v>
      </c>
      <c r="H105" s="53" t="n">
        <f aca="false">G105</f>
        <v>-0.3200412336604</v>
      </c>
      <c r="I105" s="53" t="n">
        <f aca="false">G105*B105</f>
        <v>-0.3200412336604</v>
      </c>
      <c r="J105" s="53" t="n">
        <f aca="false">G105*C105</f>
        <v>-0.277369069172347</v>
      </c>
      <c r="K105" s="52" t="n">
        <f aca="false">-(D105*LN(MIN(MAX(F105,0.000001),0.999999))+(1-D105)*LN(MIN(MAX(1-F105,0.000001),0.999999)))</f>
        <v>0.385723120386409</v>
      </c>
    </row>
    <row r="106" customFormat="false" ht="12.8" hidden="false" customHeight="false" outlineLevel="0" collapsed="false">
      <c r="A106" s="50" t="str">
        <f aca="false">01_Data!A20</f>
        <v>S15</v>
      </c>
      <c r="B106" s="51" t="n">
        <f aca="false">01_Data!F20</f>
        <v>1.2</v>
      </c>
      <c r="C106" s="51" t="n">
        <f aca="false">01_Data!G20</f>
        <v>1</v>
      </c>
      <c r="D106" s="51" t="n">
        <f aca="false">01_Data!D20</f>
        <v>1</v>
      </c>
      <c r="E106" s="52" t="n">
        <f aca="false">$D$90+$F$90*B106+$H$90*C106</f>
        <v>0.869423245225505</v>
      </c>
      <c r="F106" s="52" t="n">
        <f aca="false">1/(1+EXP(-E106))</f>
        <v>0.704625673156334</v>
      </c>
      <c r="G106" s="53" t="n">
        <f aca="false">F106-D106</f>
        <v>-0.295374326843666</v>
      </c>
      <c r="H106" s="53" t="n">
        <f aca="false">G106</f>
        <v>-0.295374326843666</v>
      </c>
      <c r="I106" s="53" t="n">
        <f aca="false">G106*B106</f>
        <v>-0.354449192212399</v>
      </c>
      <c r="J106" s="53" t="n">
        <f aca="false">G106*C106</f>
        <v>-0.295374326843666</v>
      </c>
      <c r="K106" s="52" t="n">
        <f aca="false">-(D106*LN(MIN(MAX(F106,0.000001),0.999999))+(1-D106)*LN(MIN(MAX(1-F106,0.000001),0.999999)))</f>
        <v>0.350088577241015</v>
      </c>
    </row>
    <row r="107" customFormat="false" ht="12.8" hidden="false" customHeight="false" outlineLevel="0" collapsed="false">
      <c r="A107" s="50" t="str">
        <f aca="false">01_Data!A21</f>
        <v>S16</v>
      </c>
      <c r="B107" s="51" t="n">
        <f aca="false">01_Data!F21</f>
        <v>1.4</v>
      </c>
      <c r="C107" s="51" t="n">
        <f aca="false">01_Data!G21</f>
        <v>1.13333333333333</v>
      </c>
      <c r="D107" s="51" t="n">
        <f aca="false">01_Data!D21</f>
        <v>1</v>
      </c>
      <c r="E107" s="52" t="n">
        <f aca="false">$D$90+$F$90*B107+$H$90*C107</f>
        <v>0.985264174536687</v>
      </c>
      <c r="F107" s="52" t="n">
        <f aca="false">1/(1+EXP(-E107))</f>
        <v>0.72815149394739</v>
      </c>
      <c r="G107" s="53" t="n">
        <f aca="false">F107-D107</f>
        <v>-0.27184850605261</v>
      </c>
      <c r="H107" s="53" t="n">
        <f aca="false">G107</f>
        <v>-0.27184850605261</v>
      </c>
      <c r="I107" s="53" t="n">
        <f aca="false">G107*B107</f>
        <v>-0.380587908473654</v>
      </c>
      <c r="J107" s="53" t="n">
        <f aca="false">G107*C107</f>
        <v>-0.308094973526291</v>
      </c>
      <c r="K107" s="52" t="n">
        <f aca="false">-(D107*LN(MIN(MAX(F107,0.000001),0.999999))+(1-D107)*LN(MIN(MAX(1-F107,0.000001),0.999999)))</f>
        <v>0.317246156352858</v>
      </c>
    </row>
    <row r="108" customFormat="false" ht="12.8" hidden="false" customHeight="false" outlineLevel="0" collapsed="false">
      <c r="A108" s="50" t="str">
        <f aca="false">01_Data!A22</f>
        <v>S17</v>
      </c>
      <c r="B108" s="51" t="n">
        <f aca="false">01_Data!F22</f>
        <v>1.6</v>
      </c>
      <c r="C108" s="51" t="n">
        <f aca="false">01_Data!G22</f>
        <v>1.33333333333333</v>
      </c>
      <c r="D108" s="51" t="n">
        <f aca="false">01_Data!D22</f>
        <v>1</v>
      </c>
      <c r="E108" s="52" t="n">
        <f aca="false">$D$90+$F$90*B108+$H$90*C108</f>
        <v>1.12260352587647</v>
      </c>
      <c r="F108" s="52" t="n">
        <f aca="false">1/(1+EXP(-E108))</f>
        <v>0.754471324360908</v>
      </c>
      <c r="G108" s="53" t="n">
        <f aca="false">F108-D108</f>
        <v>-0.245528675639092</v>
      </c>
      <c r="H108" s="53" t="n">
        <f aca="false">G108</f>
        <v>-0.245528675639092</v>
      </c>
      <c r="I108" s="53" t="n">
        <f aca="false">G108*B108</f>
        <v>-0.392845881022547</v>
      </c>
      <c r="J108" s="53" t="n">
        <f aca="false">G108*C108</f>
        <v>-0.327371567518789</v>
      </c>
      <c r="K108" s="52" t="n">
        <f aca="false">-(D108*LN(MIN(MAX(F108,0.000001),0.999999))+(1-D108)*LN(MIN(MAX(1-F108,0.000001),0.999999)))</f>
        <v>0.28173800764505</v>
      </c>
    </row>
    <row r="109" customFormat="false" ht="12.8" hidden="false" customHeight="false" outlineLevel="0" collapsed="false">
      <c r="A109" s="50" t="str">
        <f aca="false">01_Data!A23</f>
        <v>S18</v>
      </c>
      <c r="B109" s="51" t="n">
        <f aca="false">01_Data!F23</f>
        <v>0</v>
      </c>
      <c r="C109" s="51" t="n">
        <f aca="false">01_Data!G23</f>
        <v>-0.666666666666667</v>
      </c>
      <c r="D109" s="51" t="n">
        <f aca="false">01_Data!D23</f>
        <v>0</v>
      </c>
      <c r="E109" s="52" t="n">
        <f aca="false">$D$90+$F$90*B109+$H$90*C109</f>
        <v>-0.105101817013451</v>
      </c>
      <c r="F109" s="52" t="n">
        <f aca="false">1/(1+EXP(-E109))</f>
        <v>0.473748706471943</v>
      </c>
      <c r="G109" s="53" t="n">
        <f aca="false">F109-D109</f>
        <v>0.473748706471943</v>
      </c>
      <c r="H109" s="53" t="n">
        <f aca="false">G109</f>
        <v>0.473748706471943</v>
      </c>
      <c r="I109" s="53" t="n">
        <f aca="false">G109*B109</f>
        <v>0</v>
      </c>
      <c r="J109" s="53" t="n">
        <f aca="false">G109*C109</f>
        <v>-0.315832470981296</v>
      </c>
      <c r="K109" s="52" t="n">
        <f aca="false">-(D109*LN(MIN(MAX(F109,0.000001),0.999999))+(1-D109)*LN(MIN(MAX(1-F109,0.000001),0.999999)))</f>
        <v>0.641976435978008</v>
      </c>
    </row>
    <row r="110" customFormat="false" ht="12.8" hidden="false" customHeight="false" outlineLevel="0" collapsed="false">
      <c r="A110" s="50" t="str">
        <f aca="false">01_Data!A24</f>
        <v>S19</v>
      </c>
      <c r="B110" s="51" t="n">
        <f aca="false">01_Data!F24</f>
        <v>-0.8</v>
      </c>
      <c r="C110" s="51" t="n">
        <f aca="false">01_Data!G24</f>
        <v>0.666666666666667</v>
      </c>
      <c r="D110" s="51" t="n">
        <f aca="false">01_Data!D24</f>
        <v>1</v>
      </c>
      <c r="E110" s="52" t="n">
        <f aca="false">$D$90+$F$90*B110+$H$90*C110</f>
        <v>0.0334902825427571</v>
      </c>
      <c r="F110" s="52" t="n">
        <f aca="false">1/(1+EXP(-E110))</f>
        <v>0.508371788167862</v>
      </c>
      <c r="G110" s="53" t="n">
        <f aca="false">F110-D110</f>
        <v>-0.491628211832138</v>
      </c>
      <c r="H110" s="53" t="n">
        <f aca="false">G110</f>
        <v>-0.491628211832138</v>
      </c>
      <c r="I110" s="53" t="n">
        <f aca="false">G110*B110</f>
        <v>0.39330256946571</v>
      </c>
      <c r="J110" s="53" t="n">
        <f aca="false">G110*C110</f>
        <v>-0.327752141221425</v>
      </c>
      <c r="K110" s="52" t="n">
        <f aca="false">-(D110*LN(MIN(MAX(F110,0.000001),0.999999))+(1-D110)*LN(MIN(MAX(1-F110,0.000001),0.999999)))</f>
        <v>0.676542232615154</v>
      </c>
    </row>
    <row r="111" customFormat="false" ht="12.8" hidden="false" customHeight="false" outlineLevel="0" collapsed="false">
      <c r="A111" s="50" t="str">
        <f aca="false">01_Data!A25</f>
        <v>S20</v>
      </c>
      <c r="B111" s="51" t="n">
        <f aca="false">01_Data!F25</f>
        <v>0.8</v>
      </c>
      <c r="C111" s="51" t="n">
        <f aca="false">01_Data!G25</f>
        <v>-0.666666666666667</v>
      </c>
      <c r="D111" s="51" t="n">
        <f aca="false">01_Data!D25</f>
        <v>1</v>
      </c>
      <c r="E111" s="52" t="n">
        <f aca="false">$D$90+$F$90*B111+$H$90*C111</f>
        <v>0.186274524002438</v>
      </c>
      <c r="F111" s="52" t="n">
        <f aca="false">1/(1+EXP(-E111))</f>
        <v>0.546434442624816</v>
      </c>
      <c r="G111" s="53" t="n">
        <f aca="false">F111-D111</f>
        <v>-0.453565557375184</v>
      </c>
      <c r="H111" s="53" t="n">
        <f aca="false">G111</f>
        <v>-0.453565557375184</v>
      </c>
      <c r="I111" s="53" t="n">
        <f aca="false">G111*B111</f>
        <v>-0.362852445900147</v>
      </c>
      <c r="J111" s="53" t="n">
        <f aca="false">G111*C111</f>
        <v>0.302377038250123</v>
      </c>
      <c r="K111" s="52" t="n">
        <f aca="false">-(D111*LN(MIN(MAX(F111,0.000001),0.999999))+(1-D111)*LN(MIN(MAX(1-F111,0.000001),0.999999)))</f>
        <v>0.604340937161672</v>
      </c>
    </row>
    <row r="112" customFormat="false" ht="12.8" hidden="false" customHeight="false" outlineLevel="0" collapsed="false">
      <c r="A112" s="54" t="s">
        <v>138</v>
      </c>
      <c r="B112" s="54"/>
      <c r="C112" s="54"/>
      <c r="D112" s="54"/>
      <c r="E112" s="54"/>
      <c r="F112" s="54"/>
      <c r="G112" s="54" t="s">
        <v>139</v>
      </c>
      <c r="H112" s="55" t="n">
        <f aca="false">AVERAGE(H92:H111)</f>
        <v>-0.0772756781357984</v>
      </c>
      <c r="I112" s="55" t="n">
        <f aca="false">AVERAGE(I92:I111)</f>
        <v>-0.227023663897329</v>
      </c>
      <c r="J112" s="55" t="n">
        <f aca="false">AVERAGE(J92:J111)</f>
        <v>-0.206310360577439</v>
      </c>
      <c r="K112" s="55" t="n">
        <f aca="false">AVERAGE(K92:K111)</f>
        <v>0.49675458613102</v>
      </c>
    </row>
    <row r="113" customFormat="false" ht="22.35" hidden="false" customHeight="true" outlineLevel="0" collapsed="false">
      <c r="A113" s="47" t="s">
        <v>140</v>
      </c>
      <c r="B113" s="47"/>
      <c r="C113" s="47" t="s">
        <v>141</v>
      </c>
      <c r="D113" s="56" t="n">
        <f aca="false">D90-$B$4*H112</f>
        <v>0.140792674526917</v>
      </c>
      <c r="E113" s="47" t="s">
        <v>142</v>
      </c>
      <c r="F113" s="56" t="n">
        <f aca="false">F90-$B$4*I112</f>
        <v>0.455029891828793</v>
      </c>
      <c r="G113" s="47" t="s">
        <v>143</v>
      </c>
      <c r="H113" s="56" t="n">
        <f aca="false">H90-$B$4*J112</f>
        <v>0.405000474660049</v>
      </c>
      <c r="I113" s="48" t="s">
        <v>144</v>
      </c>
      <c r="J113" s="48"/>
      <c r="K113" s="48"/>
    </row>
    <row r="115" customFormat="false" ht="22.5" hidden="false" customHeight="true" outlineLevel="0" collapsed="false">
      <c r="A115" s="4" t="s">
        <v>151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customFormat="false" ht="15" hidden="false" customHeight="true" outlineLevel="0" collapsed="false">
      <c r="A116" s="47" t="s">
        <v>122</v>
      </c>
      <c r="B116" s="48" t="n">
        <v>5</v>
      </c>
      <c r="C116" s="47" t="s">
        <v>123</v>
      </c>
      <c r="D116" s="58" t="n">
        <f aca="false">D113</f>
        <v>0.140792674526917</v>
      </c>
      <c r="E116" s="47" t="s">
        <v>124</v>
      </c>
      <c r="F116" s="58" t="n">
        <f aca="false">F113</f>
        <v>0.455029891828793</v>
      </c>
      <c r="G116" s="47" t="s">
        <v>125</v>
      </c>
      <c r="H116" s="58" t="n">
        <f aca="false">H113</f>
        <v>0.405000474660049</v>
      </c>
      <c r="I116" s="48" t="s">
        <v>126</v>
      </c>
      <c r="J116" s="48"/>
      <c r="K116" s="48"/>
    </row>
    <row r="117" customFormat="false" ht="33.75" hidden="false" customHeight="true" outlineLevel="0" collapsed="false">
      <c r="A117" s="18" t="s">
        <v>127</v>
      </c>
      <c r="B117" s="18" t="s">
        <v>128</v>
      </c>
      <c r="C117" s="18" t="s">
        <v>129</v>
      </c>
      <c r="D117" s="18" t="s">
        <v>130</v>
      </c>
      <c r="E117" s="18" t="s">
        <v>131</v>
      </c>
      <c r="F117" s="18" t="s">
        <v>132</v>
      </c>
      <c r="G117" s="18" t="s">
        <v>133</v>
      </c>
      <c r="H117" s="18" t="s">
        <v>146</v>
      </c>
      <c r="I117" s="18" t="s">
        <v>147</v>
      </c>
      <c r="J117" s="18" t="s">
        <v>148</v>
      </c>
      <c r="K117" s="18" t="s">
        <v>33</v>
      </c>
    </row>
    <row r="118" customFormat="false" ht="12.8" hidden="false" customHeight="false" outlineLevel="0" collapsed="false">
      <c r="A118" s="50" t="str">
        <f aca="false">01_Data!A6</f>
        <v>S01</v>
      </c>
      <c r="B118" s="51" t="n">
        <f aca="false">01_Data!F6</f>
        <v>-1.6</v>
      </c>
      <c r="C118" s="51" t="n">
        <f aca="false">01_Data!G6</f>
        <v>-1.33333333333333</v>
      </c>
      <c r="D118" s="51" t="n">
        <f aca="false">01_Data!D6</f>
        <v>0</v>
      </c>
      <c r="E118" s="52" t="n">
        <f aca="false">$D$116+$F$116*B118+$H$116*C118</f>
        <v>-1.12725578527922</v>
      </c>
      <c r="F118" s="52" t="n">
        <f aca="false">1/(1+EXP(-E118))</f>
        <v>0.244667891499033</v>
      </c>
      <c r="G118" s="53" t="n">
        <f aca="false">F118-D118</f>
        <v>0.244667891499033</v>
      </c>
      <c r="H118" s="53" t="n">
        <f aca="false">G118</f>
        <v>0.244667891499033</v>
      </c>
      <c r="I118" s="53" t="n">
        <f aca="false">G118*B118</f>
        <v>-0.391468626398453</v>
      </c>
      <c r="J118" s="53" t="n">
        <f aca="false">G118*C118</f>
        <v>-0.326223855332044</v>
      </c>
      <c r="K118" s="52" t="n">
        <f aca="false">-(D118*LN(MIN(MAX(F118,0.000001),0.999999))+(1-D118)*LN(MIN(MAX(1-F118,0.000001),0.999999)))</f>
        <v>0.280597747642206</v>
      </c>
    </row>
    <row r="119" customFormat="false" ht="12.8" hidden="false" customHeight="false" outlineLevel="0" collapsed="false">
      <c r="A119" s="50" t="str">
        <f aca="false">01_Data!A7</f>
        <v>S02</v>
      </c>
      <c r="B119" s="51" t="n">
        <f aca="false">01_Data!F7</f>
        <v>-1.4</v>
      </c>
      <c r="C119" s="51" t="n">
        <f aca="false">01_Data!G7</f>
        <v>-1</v>
      </c>
      <c r="D119" s="51" t="n">
        <f aca="false">01_Data!D7</f>
        <v>0</v>
      </c>
      <c r="E119" s="52" t="n">
        <f aca="false">$D$116+$F$116*B119+$H$116*C119</f>
        <v>-0.901249648693443</v>
      </c>
      <c r="F119" s="52" t="n">
        <f aca="false">1/(1+EXP(-E119))</f>
        <v>0.288793761896585</v>
      </c>
      <c r="G119" s="53" t="n">
        <f aca="false">F119-D119</f>
        <v>0.288793761896585</v>
      </c>
      <c r="H119" s="53" t="n">
        <f aca="false">G119</f>
        <v>0.288793761896585</v>
      </c>
      <c r="I119" s="53" t="n">
        <f aca="false">G119*B119</f>
        <v>-0.404311266655219</v>
      </c>
      <c r="J119" s="53" t="n">
        <f aca="false">G119*C119</f>
        <v>-0.288793761896585</v>
      </c>
      <c r="K119" s="52" t="n">
        <f aca="false">-(D119*LN(MIN(MAX(F119,0.000001),0.999999))+(1-D119)*LN(MIN(MAX(1-F119,0.000001),0.999999)))</f>
        <v>0.340792823584386</v>
      </c>
    </row>
    <row r="120" customFormat="false" ht="12.8" hidden="false" customHeight="false" outlineLevel="0" collapsed="false">
      <c r="A120" s="50" t="str">
        <f aca="false">01_Data!A8</f>
        <v>S03</v>
      </c>
      <c r="B120" s="51" t="n">
        <f aca="false">01_Data!F8</f>
        <v>-1.2</v>
      </c>
      <c r="C120" s="51" t="n">
        <f aca="false">01_Data!G8</f>
        <v>-1.13333333333333</v>
      </c>
      <c r="D120" s="51" t="n">
        <f aca="false">01_Data!D8</f>
        <v>0</v>
      </c>
      <c r="E120" s="52" t="n">
        <f aca="false">$D$116+$F$116*B120+$H$116*C120</f>
        <v>-0.864243733615691</v>
      </c>
      <c r="F120" s="52" t="n">
        <f aca="false">1/(1+EXP(-E120))</f>
        <v>0.296453471295982</v>
      </c>
      <c r="G120" s="53" t="n">
        <f aca="false">F120-D120</f>
        <v>0.296453471295982</v>
      </c>
      <c r="H120" s="53" t="n">
        <f aca="false">G120</f>
        <v>0.296453471295982</v>
      </c>
      <c r="I120" s="53" t="n">
        <f aca="false">G120*B120</f>
        <v>-0.355744165555178</v>
      </c>
      <c r="J120" s="53" t="n">
        <f aca="false">G120*C120</f>
        <v>-0.335980600802112</v>
      </c>
      <c r="K120" s="52" t="n">
        <f aca="false">-(D120*LN(MIN(MAX(F120,0.000001),0.999999))+(1-D120)*LN(MIN(MAX(1-F120,0.000001),0.999999)))</f>
        <v>0.351621265732017</v>
      </c>
    </row>
    <row r="121" customFormat="false" ht="12.8" hidden="false" customHeight="false" outlineLevel="0" collapsed="false">
      <c r="A121" s="50" t="str">
        <f aca="false">01_Data!A9</f>
        <v>S04</v>
      </c>
      <c r="B121" s="51" t="n">
        <f aca="false">01_Data!F9</f>
        <v>-1</v>
      </c>
      <c r="C121" s="51" t="n">
        <f aca="false">01_Data!G9</f>
        <v>-0.666666666666667</v>
      </c>
      <c r="D121" s="51" t="n">
        <f aca="false">01_Data!D9</f>
        <v>0</v>
      </c>
      <c r="E121" s="52" t="n">
        <f aca="false">$D$116+$F$116*B121+$H$116*C121</f>
        <v>-0.584237533741909</v>
      </c>
      <c r="F121" s="52" t="n">
        <f aca="false">1/(1+EXP(-E121))</f>
        <v>0.357958121183108</v>
      </c>
      <c r="G121" s="53" t="n">
        <f aca="false">F121-D121</f>
        <v>0.357958121183108</v>
      </c>
      <c r="H121" s="53" t="n">
        <f aca="false">G121</f>
        <v>0.357958121183108</v>
      </c>
      <c r="I121" s="53" t="n">
        <f aca="false">G121*B121</f>
        <v>-0.357958121183108</v>
      </c>
      <c r="J121" s="53" t="n">
        <f aca="false">G121*C121</f>
        <v>-0.238638747455406</v>
      </c>
      <c r="K121" s="52" t="n">
        <f aca="false">-(D121*LN(MIN(MAX(F121,0.000001),0.999999))+(1-D121)*LN(MIN(MAX(1-F121,0.000001),0.999999)))</f>
        <v>0.443101745617666</v>
      </c>
    </row>
    <row r="122" customFormat="false" ht="12.8" hidden="false" customHeight="false" outlineLevel="0" collapsed="false">
      <c r="A122" s="50" t="str">
        <f aca="false">01_Data!A10</f>
        <v>S05</v>
      </c>
      <c r="B122" s="51" t="n">
        <f aca="false">01_Data!F10</f>
        <v>-0.8</v>
      </c>
      <c r="C122" s="51" t="n">
        <f aca="false">01_Data!G10</f>
        <v>-0.866666666666667</v>
      </c>
      <c r="D122" s="51" t="n">
        <f aca="false">01_Data!D10</f>
        <v>0</v>
      </c>
      <c r="E122" s="52" t="n">
        <f aca="false">$D$116+$F$116*B122+$H$116*C122</f>
        <v>-0.57423165030816</v>
      </c>
      <c r="F122" s="52" t="n">
        <f aca="false">1/(1+EXP(-E122))</f>
        <v>0.360260968103184</v>
      </c>
      <c r="G122" s="53" t="n">
        <f aca="false">F122-D122</f>
        <v>0.360260968103184</v>
      </c>
      <c r="H122" s="53" t="n">
        <f aca="false">G122</f>
        <v>0.360260968103184</v>
      </c>
      <c r="I122" s="53" t="n">
        <f aca="false">G122*B122</f>
        <v>-0.288208774482547</v>
      </c>
      <c r="J122" s="53" t="n">
        <f aca="false">G122*C122</f>
        <v>-0.312226172356093</v>
      </c>
      <c r="K122" s="52" t="n">
        <f aca="false">-(D122*LN(MIN(MAX(F122,0.000001),0.999999))+(1-D122)*LN(MIN(MAX(1-F122,0.000001),0.999999)))</f>
        <v>0.446694948447445</v>
      </c>
    </row>
    <row r="123" customFormat="false" ht="12.8" hidden="false" customHeight="false" outlineLevel="0" collapsed="false">
      <c r="A123" s="50" t="str">
        <f aca="false">01_Data!A11</f>
        <v>S06</v>
      </c>
      <c r="B123" s="51" t="n">
        <f aca="false">01_Data!F11</f>
        <v>-0.6</v>
      </c>
      <c r="C123" s="51" t="n">
        <f aca="false">01_Data!G11</f>
        <v>-0.333333333333333</v>
      </c>
      <c r="D123" s="51" t="n">
        <f aca="false">01_Data!D11</f>
        <v>0</v>
      </c>
      <c r="E123" s="52" t="n">
        <f aca="false">$D$116+$F$116*B123+$H$116*C123</f>
        <v>-0.267225418790375</v>
      </c>
      <c r="F123" s="52" t="n">
        <f aca="false">1/(1+EXP(-E123))</f>
        <v>0.433588377063257</v>
      </c>
      <c r="G123" s="53" t="n">
        <f aca="false">F123-D123</f>
        <v>0.433588377063257</v>
      </c>
      <c r="H123" s="53" t="n">
        <f aca="false">G123</f>
        <v>0.433588377063257</v>
      </c>
      <c r="I123" s="53" t="n">
        <f aca="false">G123*B123</f>
        <v>-0.260153026237954</v>
      </c>
      <c r="J123" s="53" t="n">
        <f aca="false">G123*C123</f>
        <v>-0.144529459021086</v>
      </c>
      <c r="K123" s="52" t="n">
        <f aca="false">-(D123*LN(MIN(MAX(F123,0.000001),0.999999))+(1-D123)*LN(MIN(MAX(1-F123,0.000001),0.999999)))</f>
        <v>0.568434216091524</v>
      </c>
    </row>
    <row r="124" customFormat="false" ht="12.8" hidden="false" customHeight="false" outlineLevel="0" collapsed="false">
      <c r="A124" s="50" t="str">
        <f aca="false">01_Data!A12</f>
        <v>S07</v>
      </c>
      <c r="B124" s="51" t="n">
        <f aca="false">01_Data!F12</f>
        <v>-0.4</v>
      </c>
      <c r="C124" s="51" t="n">
        <f aca="false">01_Data!G12</f>
        <v>-0.466666666666667</v>
      </c>
      <c r="D124" s="51" t="n">
        <f aca="false">01_Data!D12</f>
        <v>0</v>
      </c>
      <c r="E124" s="52" t="n">
        <f aca="false">$D$116+$F$116*B124+$H$116*C124</f>
        <v>-0.230219503712623</v>
      </c>
      <c r="F124" s="52" t="n">
        <f aca="false">1/(1+EXP(-E124))</f>
        <v>0.442697989537252</v>
      </c>
      <c r="G124" s="53" t="n">
        <f aca="false">F124-D124</f>
        <v>0.442697989537252</v>
      </c>
      <c r="H124" s="53" t="n">
        <f aca="false">G124</f>
        <v>0.442697989537252</v>
      </c>
      <c r="I124" s="53" t="n">
        <f aca="false">G124*B124</f>
        <v>-0.177079195814901</v>
      </c>
      <c r="J124" s="53" t="n">
        <f aca="false">G124*C124</f>
        <v>-0.206592395117384</v>
      </c>
      <c r="K124" s="52" t="n">
        <f aca="false">-(D124*LN(MIN(MAX(F124,0.000001),0.999999))+(1-D124)*LN(MIN(MAX(1-F124,0.000001),0.999999)))</f>
        <v>0.584647976907775</v>
      </c>
    </row>
    <row r="125" customFormat="false" ht="12.8" hidden="false" customHeight="false" outlineLevel="0" collapsed="false">
      <c r="A125" s="50" t="str">
        <f aca="false">01_Data!A13</f>
        <v>S08</v>
      </c>
      <c r="B125" s="51" t="n">
        <f aca="false">01_Data!F13</f>
        <v>-0.2</v>
      </c>
      <c r="C125" s="51" t="n">
        <f aca="false">01_Data!G13</f>
        <v>-0.2</v>
      </c>
      <c r="D125" s="51" t="n">
        <f aca="false">01_Data!D13</f>
        <v>1</v>
      </c>
      <c r="E125" s="52" t="n">
        <f aca="false">$D$116+$F$116*B125+$H$116*C125</f>
        <v>-0.0312133987708515</v>
      </c>
      <c r="F125" s="52" t="n">
        <f aca="false">1/(1+EXP(-E125))</f>
        <v>0.492197283797099</v>
      </c>
      <c r="G125" s="53" t="n">
        <f aca="false">F125-D125</f>
        <v>-0.507802716202901</v>
      </c>
      <c r="H125" s="53" t="n">
        <f aca="false">G125</f>
        <v>-0.507802716202901</v>
      </c>
      <c r="I125" s="53" t="n">
        <f aca="false">G125*B125</f>
        <v>0.10156054324058</v>
      </c>
      <c r="J125" s="53" t="n">
        <f aca="false">G125*C125</f>
        <v>0.10156054324058</v>
      </c>
      <c r="K125" s="52" t="n">
        <f aca="false">-(D125*LN(MIN(MAX(F125,0.000001),0.999999))+(1-D125)*LN(MIN(MAX(1-F125,0.000001),0.999999)))</f>
        <v>0.708875659534722</v>
      </c>
    </row>
    <row r="126" customFormat="false" ht="12.8" hidden="false" customHeight="false" outlineLevel="0" collapsed="false">
      <c r="A126" s="50" t="str">
        <f aca="false">01_Data!A14</f>
        <v>S09</v>
      </c>
      <c r="B126" s="51" t="n">
        <f aca="false">01_Data!F14</f>
        <v>0</v>
      </c>
      <c r="C126" s="51" t="n">
        <f aca="false">01_Data!G14</f>
        <v>0</v>
      </c>
      <c r="D126" s="51" t="n">
        <f aca="false">01_Data!D14</f>
        <v>1</v>
      </c>
      <c r="E126" s="52" t="n">
        <f aca="false">$D$116+$F$116*B126+$H$116*C126</f>
        <v>0.140792674526917</v>
      </c>
      <c r="F126" s="52" t="n">
        <f aca="false">1/(1+EXP(-E126))</f>
        <v>0.535140140454566</v>
      </c>
      <c r="G126" s="53" t="n">
        <f aca="false">F126-D126</f>
        <v>-0.464859859545434</v>
      </c>
      <c r="H126" s="53" t="n">
        <f aca="false">G126</f>
        <v>-0.464859859545434</v>
      </c>
      <c r="I126" s="53" t="n">
        <f aca="false">G126*B126</f>
        <v>-0</v>
      </c>
      <c r="J126" s="53" t="n">
        <f aca="false">G126*C126</f>
        <v>-0</v>
      </c>
      <c r="K126" s="52" t="n">
        <f aca="false">-(D126*LN(MIN(MAX(F126,0.000001),0.999999))+(1-D126)*LN(MIN(MAX(1-F126,0.000001),0.999999)))</f>
        <v>0.625226621612783</v>
      </c>
    </row>
    <row r="127" customFormat="false" ht="12.8" hidden="false" customHeight="false" outlineLevel="0" collapsed="false">
      <c r="A127" s="50" t="str">
        <f aca="false">01_Data!A15</f>
        <v>S10</v>
      </c>
      <c r="B127" s="51" t="n">
        <f aca="false">01_Data!F15</f>
        <v>0.2</v>
      </c>
      <c r="C127" s="51" t="n">
        <f aca="false">01_Data!G15</f>
        <v>0.2</v>
      </c>
      <c r="D127" s="51" t="n">
        <f aca="false">01_Data!D15</f>
        <v>1</v>
      </c>
      <c r="E127" s="52" t="n">
        <f aca="false">$D$116+$F$116*B127+$H$116*C127</f>
        <v>0.312798747824685</v>
      </c>
      <c r="F127" s="52" t="n">
        <f aca="false">1/(1+EXP(-E127))</f>
        <v>0.577568256314388</v>
      </c>
      <c r="G127" s="53" t="n">
        <f aca="false">F127-D127</f>
        <v>-0.422431743685612</v>
      </c>
      <c r="H127" s="53" t="n">
        <f aca="false">G127</f>
        <v>-0.422431743685612</v>
      </c>
      <c r="I127" s="53" t="n">
        <f aca="false">G127*B127</f>
        <v>-0.0844863487371225</v>
      </c>
      <c r="J127" s="53" t="n">
        <f aca="false">G127*C127</f>
        <v>-0.0844863487371225</v>
      </c>
      <c r="K127" s="52" t="n">
        <f aca="false">-(D127*LN(MIN(MAX(F127,0.000001),0.999999))+(1-D127)*LN(MIN(MAX(1-F127,0.000001),0.999999)))</f>
        <v>0.548928650818215</v>
      </c>
    </row>
    <row r="128" customFormat="false" ht="12.8" hidden="false" customHeight="false" outlineLevel="0" collapsed="false">
      <c r="A128" s="50" t="str">
        <f aca="false">01_Data!A16</f>
        <v>S11</v>
      </c>
      <c r="B128" s="51" t="n">
        <f aca="false">01_Data!F16</f>
        <v>0.4</v>
      </c>
      <c r="C128" s="51" t="n">
        <f aca="false">01_Data!G16</f>
        <v>0.333333333333333</v>
      </c>
      <c r="D128" s="51" t="n">
        <f aca="false">01_Data!D16</f>
        <v>1</v>
      </c>
      <c r="E128" s="52" t="n">
        <f aca="false">$D$116+$F$116*B128+$H$116*C128</f>
        <v>0.457804789478451</v>
      </c>
      <c r="F128" s="52" t="n">
        <f aca="false">1/(1+EXP(-E128))</f>
        <v>0.612493282166213</v>
      </c>
      <c r="G128" s="53" t="n">
        <f aca="false">F128-D128</f>
        <v>-0.387506717833787</v>
      </c>
      <c r="H128" s="53" t="n">
        <f aca="false">G128</f>
        <v>-0.387506717833787</v>
      </c>
      <c r="I128" s="53" t="n">
        <f aca="false">G128*B128</f>
        <v>-0.155002687133515</v>
      </c>
      <c r="J128" s="53" t="n">
        <f aca="false">G128*C128</f>
        <v>-0.129168905944596</v>
      </c>
      <c r="K128" s="52" t="n">
        <f aca="false">-(D128*LN(MIN(MAX(F128,0.000001),0.999999))+(1-D128)*LN(MIN(MAX(1-F128,0.000001),0.999999)))</f>
        <v>0.4902173045153</v>
      </c>
    </row>
    <row r="129" customFormat="false" ht="12.8" hidden="false" customHeight="false" outlineLevel="0" collapsed="false">
      <c r="A129" s="50" t="str">
        <f aca="false">01_Data!A17</f>
        <v>S12</v>
      </c>
      <c r="B129" s="51" t="n">
        <f aca="false">01_Data!F17</f>
        <v>0.6</v>
      </c>
      <c r="C129" s="51" t="n">
        <f aca="false">01_Data!G17</f>
        <v>0.466666666666667</v>
      </c>
      <c r="D129" s="51" t="n">
        <f aca="false">01_Data!D17</f>
        <v>1</v>
      </c>
      <c r="E129" s="52" t="n">
        <f aca="false">$D$116+$F$116*B129+$H$116*C129</f>
        <v>0.602810831132216</v>
      </c>
      <c r="F129" s="52" t="n">
        <f aca="false">1/(1+EXP(-E129))</f>
        <v>0.646299116491861</v>
      </c>
      <c r="G129" s="53" t="n">
        <f aca="false">F129-D129</f>
        <v>-0.353700883508139</v>
      </c>
      <c r="H129" s="53" t="n">
        <f aca="false">G129</f>
        <v>-0.353700883508139</v>
      </c>
      <c r="I129" s="53" t="n">
        <f aca="false">G129*B129</f>
        <v>-0.212220530104883</v>
      </c>
      <c r="J129" s="53" t="n">
        <f aca="false">G129*C129</f>
        <v>-0.165060412303798</v>
      </c>
      <c r="K129" s="52" t="n">
        <f aca="false">-(D129*LN(MIN(MAX(F129,0.000001),0.999999))+(1-D129)*LN(MIN(MAX(1-F129,0.000001),0.999999)))</f>
        <v>0.436492853739038</v>
      </c>
    </row>
    <row r="130" customFormat="false" ht="12.8" hidden="false" customHeight="false" outlineLevel="0" collapsed="false">
      <c r="A130" s="50" t="str">
        <f aca="false">01_Data!A18</f>
        <v>S13</v>
      </c>
      <c r="B130" s="51" t="n">
        <f aca="false">01_Data!F18</f>
        <v>0.8</v>
      </c>
      <c r="C130" s="51" t="n">
        <f aca="false">01_Data!G18</f>
        <v>0.666666666666667</v>
      </c>
      <c r="D130" s="51" t="n">
        <f aca="false">01_Data!D18</f>
        <v>1</v>
      </c>
      <c r="E130" s="52" t="n">
        <f aca="false">$D$116+$F$116*B130+$H$116*C130</f>
        <v>0.774816904429984</v>
      </c>
      <c r="F130" s="52" t="n">
        <f aca="false">1/(1+EXP(-E130))</f>
        <v>0.684561964573195</v>
      </c>
      <c r="G130" s="53" t="n">
        <f aca="false">F130-D130</f>
        <v>-0.315438035426805</v>
      </c>
      <c r="H130" s="53" t="n">
        <f aca="false">G130</f>
        <v>-0.315438035426805</v>
      </c>
      <c r="I130" s="53" t="n">
        <f aca="false">G130*B130</f>
        <v>-0.252350428341444</v>
      </c>
      <c r="J130" s="53" t="n">
        <f aca="false">G130*C130</f>
        <v>-0.21029202361787</v>
      </c>
      <c r="K130" s="52" t="n">
        <f aca="false">-(D130*LN(MIN(MAX(F130,0.000001),0.999999))+(1-D130)*LN(MIN(MAX(1-F130,0.000001),0.999999)))</f>
        <v>0.378976113042993</v>
      </c>
    </row>
    <row r="131" customFormat="false" ht="12.8" hidden="false" customHeight="false" outlineLevel="0" collapsed="false">
      <c r="A131" s="50" t="str">
        <f aca="false">01_Data!A19</f>
        <v>S14</v>
      </c>
      <c r="B131" s="51" t="n">
        <f aca="false">01_Data!F19</f>
        <v>1</v>
      </c>
      <c r="C131" s="51" t="n">
        <f aca="false">01_Data!G19</f>
        <v>0.866666666666667</v>
      </c>
      <c r="D131" s="51" t="n">
        <f aca="false">01_Data!D19</f>
        <v>1</v>
      </c>
      <c r="E131" s="52" t="n">
        <f aca="false">$D$116+$F$116*B131+$H$116*C131</f>
        <v>0.946822977727753</v>
      </c>
      <c r="F131" s="52" t="n">
        <f aca="false">1/(1+EXP(-E131))</f>
        <v>0.720475804565485</v>
      </c>
      <c r="G131" s="53" t="n">
        <f aca="false">F131-D131</f>
        <v>-0.279524195434515</v>
      </c>
      <c r="H131" s="53" t="n">
        <f aca="false">G131</f>
        <v>-0.279524195434515</v>
      </c>
      <c r="I131" s="53" t="n">
        <f aca="false">G131*B131</f>
        <v>-0.279524195434515</v>
      </c>
      <c r="J131" s="53" t="n">
        <f aca="false">G131*C131</f>
        <v>-0.242254302709913</v>
      </c>
      <c r="K131" s="52" t="n">
        <f aca="false">-(D131*LN(MIN(MAX(F131,0.000001),0.999999))+(1-D131)*LN(MIN(MAX(1-F131,0.000001),0.999999)))</f>
        <v>0.327843445556139</v>
      </c>
    </row>
    <row r="132" customFormat="false" ht="12.8" hidden="false" customHeight="false" outlineLevel="0" collapsed="false">
      <c r="A132" s="50" t="str">
        <f aca="false">01_Data!A20</f>
        <v>S15</v>
      </c>
      <c r="B132" s="51" t="n">
        <f aca="false">01_Data!F20</f>
        <v>1.2</v>
      </c>
      <c r="C132" s="51" t="n">
        <f aca="false">01_Data!G20</f>
        <v>1</v>
      </c>
      <c r="D132" s="51" t="n">
        <f aca="false">01_Data!D20</f>
        <v>1</v>
      </c>
      <c r="E132" s="52" t="n">
        <f aca="false">$D$116+$F$116*B132+$H$116*C132</f>
        <v>1.09182901938152</v>
      </c>
      <c r="F132" s="52" t="n">
        <f aca="false">1/(1+EXP(-E132))</f>
        <v>0.748725981391026</v>
      </c>
      <c r="G132" s="53" t="n">
        <f aca="false">F132-D132</f>
        <v>-0.251274018608974</v>
      </c>
      <c r="H132" s="53" t="n">
        <f aca="false">G132</f>
        <v>-0.251274018608974</v>
      </c>
      <c r="I132" s="53" t="n">
        <f aca="false">G132*B132</f>
        <v>-0.301528822330769</v>
      </c>
      <c r="J132" s="53" t="n">
        <f aca="false">G132*C132</f>
        <v>-0.251274018608974</v>
      </c>
      <c r="K132" s="52" t="n">
        <f aca="false">-(D132*LN(MIN(MAX(F132,0.000001),0.999999))+(1-D132)*LN(MIN(MAX(1-F132,0.000001),0.999999)))</f>
        <v>0.289382208342755</v>
      </c>
    </row>
    <row r="133" customFormat="false" ht="12.8" hidden="false" customHeight="false" outlineLevel="0" collapsed="false">
      <c r="A133" s="50" t="str">
        <f aca="false">01_Data!A21</f>
        <v>S16</v>
      </c>
      <c r="B133" s="51" t="n">
        <f aca="false">01_Data!F21</f>
        <v>1.4</v>
      </c>
      <c r="C133" s="51" t="n">
        <f aca="false">01_Data!G21</f>
        <v>1.13333333333333</v>
      </c>
      <c r="D133" s="51" t="n">
        <f aca="false">01_Data!D21</f>
        <v>1</v>
      </c>
      <c r="E133" s="52" t="n">
        <f aca="false">$D$116+$F$116*B133+$H$116*C133</f>
        <v>1.23683506103528</v>
      </c>
      <c r="F133" s="52" t="n">
        <f aca="false">1/(1+EXP(-E133))</f>
        <v>0.775012630407339</v>
      </c>
      <c r="G133" s="53" t="n">
        <f aca="false">F133-D133</f>
        <v>-0.224987369592661</v>
      </c>
      <c r="H133" s="53" t="n">
        <f aca="false">G133</f>
        <v>-0.224987369592661</v>
      </c>
      <c r="I133" s="53" t="n">
        <f aca="false">G133*B133</f>
        <v>-0.314982317429726</v>
      </c>
      <c r="J133" s="53" t="n">
        <f aca="false">G133*C133</f>
        <v>-0.25498568553835</v>
      </c>
      <c r="K133" s="52" t="n">
        <f aca="false">-(D133*LN(MIN(MAX(F133,0.000001),0.999999))+(1-D133)*LN(MIN(MAX(1-F133,0.000001),0.999999)))</f>
        <v>0.254875952461798</v>
      </c>
    </row>
    <row r="134" customFormat="false" ht="12.8" hidden="false" customHeight="false" outlineLevel="0" collapsed="false">
      <c r="A134" s="50" t="str">
        <f aca="false">01_Data!A22</f>
        <v>S17</v>
      </c>
      <c r="B134" s="51" t="n">
        <f aca="false">01_Data!F22</f>
        <v>1.6</v>
      </c>
      <c r="C134" s="51" t="n">
        <f aca="false">01_Data!G22</f>
        <v>1.33333333333333</v>
      </c>
      <c r="D134" s="51" t="n">
        <f aca="false">01_Data!D22</f>
        <v>1</v>
      </c>
      <c r="E134" s="52" t="n">
        <f aca="false">$D$116+$F$116*B134+$H$116*C134</f>
        <v>1.40884113433305</v>
      </c>
      <c r="F134" s="52" t="n">
        <f aca="false">1/(1+EXP(-E134))</f>
        <v>0.803583095750229</v>
      </c>
      <c r="G134" s="53" t="n">
        <f aca="false">F134-D134</f>
        <v>-0.196416904249771</v>
      </c>
      <c r="H134" s="53" t="n">
        <f aca="false">G134</f>
        <v>-0.196416904249771</v>
      </c>
      <c r="I134" s="53" t="n">
        <f aca="false">G134*B134</f>
        <v>-0.314267046799634</v>
      </c>
      <c r="J134" s="53" t="n">
        <f aca="false">G134*C134</f>
        <v>-0.261889205666362</v>
      </c>
      <c r="K134" s="52" t="n">
        <f aca="false">-(D134*LN(MIN(MAX(F134,0.000001),0.999999))+(1-D134)*LN(MIN(MAX(1-F134,0.000001),0.999999)))</f>
        <v>0.218674681914391</v>
      </c>
    </row>
    <row r="135" customFormat="false" ht="12.8" hidden="false" customHeight="false" outlineLevel="0" collapsed="false">
      <c r="A135" s="50" t="str">
        <f aca="false">01_Data!A23</f>
        <v>S18</v>
      </c>
      <c r="B135" s="51" t="n">
        <f aca="false">01_Data!F23</f>
        <v>0</v>
      </c>
      <c r="C135" s="51" t="n">
        <f aca="false">01_Data!G23</f>
        <v>-0.666666666666667</v>
      </c>
      <c r="D135" s="51" t="n">
        <f aca="false">01_Data!D23</f>
        <v>0</v>
      </c>
      <c r="E135" s="52" t="n">
        <f aca="false">$D$116+$F$116*B135+$H$116*C135</f>
        <v>-0.129207641913116</v>
      </c>
      <c r="F135" s="52" t="n">
        <f aca="false">1/(1+EXP(-E135))</f>
        <v>0.467742953620195</v>
      </c>
      <c r="G135" s="53" t="n">
        <f aca="false">F135-D135</f>
        <v>0.467742953620195</v>
      </c>
      <c r="H135" s="53" t="n">
        <f aca="false">G135</f>
        <v>0.467742953620195</v>
      </c>
      <c r="I135" s="53" t="n">
        <f aca="false">G135*B135</f>
        <v>0</v>
      </c>
      <c r="J135" s="53" t="n">
        <f aca="false">G135*C135</f>
        <v>-0.311828635746797</v>
      </c>
      <c r="K135" s="52" t="n">
        <f aca="false">-(D135*LN(MIN(MAX(F135,0.000001),0.999999))+(1-D135)*LN(MIN(MAX(1-F135,0.000001),0.999999)))</f>
        <v>0.630628736442626</v>
      </c>
    </row>
    <row r="136" customFormat="false" ht="12.8" hidden="false" customHeight="false" outlineLevel="0" collapsed="false">
      <c r="A136" s="50" t="str">
        <f aca="false">01_Data!A24</f>
        <v>S19</v>
      </c>
      <c r="B136" s="51" t="n">
        <f aca="false">01_Data!F24</f>
        <v>-0.8</v>
      </c>
      <c r="C136" s="51" t="n">
        <f aca="false">01_Data!G24</f>
        <v>0.666666666666667</v>
      </c>
      <c r="D136" s="51" t="n">
        <f aca="false">01_Data!D24</f>
        <v>1</v>
      </c>
      <c r="E136" s="52" t="n">
        <f aca="false">$D$116+$F$116*B136+$H$116*C136</f>
        <v>0.0467690775039148</v>
      </c>
      <c r="F136" s="52" t="n">
        <f aca="false">1/(1+EXP(-E136))</f>
        <v>0.511690138588239</v>
      </c>
      <c r="G136" s="53" t="n">
        <f aca="false">F136-D136</f>
        <v>-0.488309861411761</v>
      </c>
      <c r="H136" s="53" t="n">
        <f aca="false">G136</f>
        <v>-0.488309861411761</v>
      </c>
      <c r="I136" s="53" t="n">
        <f aca="false">G136*B136</f>
        <v>0.390647889129409</v>
      </c>
      <c r="J136" s="53" t="n">
        <f aca="false">G136*C136</f>
        <v>-0.325539907607841</v>
      </c>
      <c r="K136" s="52" t="n">
        <f aca="false">-(D136*LN(MIN(MAX(F136,0.000001),0.999999))+(1-D136)*LN(MIN(MAX(1-F136,0.000001),0.999999)))</f>
        <v>0.670036035218748</v>
      </c>
    </row>
    <row r="137" customFormat="false" ht="12.8" hidden="false" customHeight="false" outlineLevel="0" collapsed="false">
      <c r="A137" s="50" t="str">
        <f aca="false">01_Data!A25</f>
        <v>S20</v>
      </c>
      <c r="B137" s="51" t="n">
        <f aca="false">01_Data!F25</f>
        <v>0.8</v>
      </c>
      <c r="C137" s="51" t="n">
        <f aca="false">01_Data!G25</f>
        <v>-0.666666666666667</v>
      </c>
      <c r="D137" s="51" t="n">
        <f aca="false">01_Data!D25</f>
        <v>1</v>
      </c>
      <c r="E137" s="52" t="n">
        <f aca="false">$D$116+$F$116*B137+$H$116*C137</f>
        <v>0.234816271549919</v>
      </c>
      <c r="F137" s="52" t="n">
        <f aca="false">1/(1+EXP(-E137))</f>
        <v>0.558435808197733</v>
      </c>
      <c r="G137" s="53" t="n">
        <f aca="false">F137-D137</f>
        <v>-0.441564191802267</v>
      </c>
      <c r="H137" s="53" t="n">
        <f aca="false">G137</f>
        <v>-0.441564191802267</v>
      </c>
      <c r="I137" s="53" t="n">
        <f aca="false">G137*B137</f>
        <v>-0.353251353441814</v>
      </c>
      <c r="J137" s="53" t="n">
        <f aca="false">G137*C137</f>
        <v>0.294376127868178</v>
      </c>
      <c r="K137" s="52" t="n">
        <f aca="false">-(D137*LN(MIN(MAX(F137,0.000001),0.999999))+(1-D137)*LN(MIN(MAX(1-F137,0.000001),0.999999)))</f>
        <v>0.582615603161381</v>
      </c>
    </row>
    <row r="138" customFormat="false" ht="12.8" hidden="false" customHeight="false" outlineLevel="0" collapsed="false">
      <c r="A138" s="54" t="s">
        <v>138</v>
      </c>
      <c r="B138" s="54"/>
      <c r="C138" s="54"/>
      <c r="D138" s="54"/>
      <c r="E138" s="54"/>
      <c r="F138" s="54"/>
      <c r="G138" s="54" t="s">
        <v>139</v>
      </c>
      <c r="H138" s="55" t="n">
        <f aca="false">AVERAGE(H118:H137)</f>
        <v>-0.0720826481552016</v>
      </c>
      <c r="I138" s="55" t="n">
        <f aca="false">AVERAGE(I118:I137)</f>
        <v>-0.20051642368554</v>
      </c>
      <c r="J138" s="55" t="n">
        <f aca="false">AVERAGE(J118:J137)</f>
        <v>-0.184691388367679</v>
      </c>
      <c r="K138" s="55" t="n">
        <f aca="false">AVERAGE(K118:K137)</f>
        <v>0.458933229519195</v>
      </c>
    </row>
    <row r="139" customFormat="false" ht="22.35" hidden="false" customHeight="true" outlineLevel="0" collapsed="false">
      <c r="A139" s="47" t="s">
        <v>140</v>
      </c>
      <c r="B139" s="47"/>
      <c r="C139" s="47" t="s">
        <v>141</v>
      </c>
      <c r="D139" s="56" t="n">
        <f aca="false">D116-$B$4*H138</f>
        <v>0.169625733788998</v>
      </c>
      <c r="E139" s="47" t="s">
        <v>142</v>
      </c>
      <c r="F139" s="56" t="n">
        <f aca="false">F116-$B$4*I138</f>
        <v>0.535236461303009</v>
      </c>
      <c r="G139" s="47" t="s">
        <v>143</v>
      </c>
      <c r="H139" s="56" t="n">
        <f aca="false">H116-$B$4*J138</f>
        <v>0.47887703000712</v>
      </c>
      <c r="I139" s="48" t="s">
        <v>144</v>
      </c>
      <c r="J139" s="48"/>
      <c r="K139" s="48"/>
    </row>
    <row r="141" customFormat="false" ht="22.5" hidden="false" customHeight="true" outlineLevel="0" collapsed="false">
      <c r="A141" s="57" t="s">
        <v>152</v>
      </c>
      <c r="B141" s="57"/>
      <c r="C141" s="57"/>
      <c r="D141" s="57"/>
      <c r="E141" s="57"/>
      <c r="F141" s="57"/>
      <c r="G141" s="57"/>
      <c r="H141" s="57"/>
      <c r="I141" s="57"/>
      <c r="J141" s="57"/>
      <c r="K141" s="57"/>
    </row>
    <row r="142" customFormat="false" ht="15" hidden="false" customHeight="true" outlineLevel="0" collapsed="false">
      <c r="A142" s="47" t="s">
        <v>122</v>
      </c>
      <c r="B142" s="48" t="n">
        <v>6</v>
      </c>
      <c r="C142" s="47" t="s">
        <v>123</v>
      </c>
      <c r="D142" s="58" t="n">
        <f aca="false">D139</f>
        <v>0.169625733788998</v>
      </c>
      <c r="E142" s="47" t="s">
        <v>124</v>
      </c>
      <c r="F142" s="58" t="n">
        <f aca="false">F139</f>
        <v>0.535236461303009</v>
      </c>
      <c r="G142" s="47" t="s">
        <v>125</v>
      </c>
      <c r="H142" s="58" t="n">
        <f aca="false">H139</f>
        <v>0.47887703000712</v>
      </c>
      <c r="I142" s="48" t="s">
        <v>126</v>
      </c>
      <c r="J142" s="48"/>
      <c r="K142" s="48"/>
    </row>
    <row r="143" customFormat="false" ht="33.75" hidden="false" customHeight="true" outlineLevel="0" collapsed="false">
      <c r="A143" s="18" t="s">
        <v>127</v>
      </c>
      <c r="B143" s="18" t="s">
        <v>128</v>
      </c>
      <c r="C143" s="18" t="s">
        <v>129</v>
      </c>
      <c r="D143" s="18" t="s">
        <v>130</v>
      </c>
      <c r="E143" s="18" t="s">
        <v>131</v>
      </c>
      <c r="F143" s="18" t="s">
        <v>132</v>
      </c>
      <c r="G143" s="18" t="s">
        <v>133</v>
      </c>
      <c r="H143" s="18" t="s">
        <v>146</v>
      </c>
      <c r="I143" s="18" t="s">
        <v>147</v>
      </c>
      <c r="J143" s="18" t="s">
        <v>148</v>
      </c>
      <c r="K143" s="18" t="s">
        <v>33</v>
      </c>
    </row>
    <row r="144" customFormat="false" ht="12.8" hidden="false" customHeight="false" outlineLevel="0" collapsed="false">
      <c r="A144" s="50" t="str">
        <f aca="false">01_Data!A6</f>
        <v>S01</v>
      </c>
      <c r="B144" s="51" t="n">
        <f aca="false">01_Data!F6</f>
        <v>-1.6</v>
      </c>
      <c r="C144" s="51" t="n">
        <f aca="false">01_Data!G6</f>
        <v>-1.33333333333333</v>
      </c>
      <c r="D144" s="51" t="n">
        <f aca="false">01_Data!D6</f>
        <v>0</v>
      </c>
      <c r="E144" s="52" t="n">
        <f aca="false">$D$142+$F$142*B144+$H$142*C144</f>
        <v>-1.32525531097198</v>
      </c>
      <c r="F144" s="52" t="n">
        <f aca="false">1/(1+EXP(-E144))</f>
        <v>0.209945275451701</v>
      </c>
      <c r="G144" s="53" t="n">
        <f aca="false">F144-D144</f>
        <v>0.209945275451701</v>
      </c>
      <c r="H144" s="53" t="n">
        <f aca="false">G144</f>
        <v>0.209945275451701</v>
      </c>
      <c r="I144" s="53" t="n">
        <f aca="false">G144*B144</f>
        <v>-0.335912440722721</v>
      </c>
      <c r="J144" s="53" t="n">
        <f aca="false">G144*C144</f>
        <v>-0.279927033935601</v>
      </c>
      <c r="K144" s="52" t="n">
        <f aca="false">-(D144*LN(MIN(MAX(F144,0.000001),0.999999))+(1-D144)*LN(MIN(MAX(1-F144,0.000001),0.999999)))</f>
        <v>0.235653064340109</v>
      </c>
    </row>
    <row r="145" customFormat="false" ht="12.8" hidden="false" customHeight="false" outlineLevel="0" collapsed="false">
      <c r="A145" s="50" t="str">
        <f aca="false">01_Data!A7</f>
        <v>S02</v>
      </c>
      <c r="B145" s="51" t="n">
        <f aca="false">01_Data!F7</f>
        <v>-1.4</v>
      </c>
      <c r="C145" s="51" t="n">
        <f aca="false">01_Data!G7</f>
        <v>-1</v>
      </c>
      <c r="D145" s="51" t="n">
        <f aca="false">01_Data!D7</f>
        <v>0</v>
      </c>
      <c r="E145" s="52" t="n">
        <f aca="false">$D$142+$F$142*B145+$H$142*C145</f>
        <v>-1.05858234204234</v>
      </c>
      <c r="F145" s="52" t="n">
        <f aca="false">1/(1+EXP(-E145))</f>
        <v>0.257580464170887</v>
      </c>
      <c r="G145" s="53" t="n">
        <f aca="false">F145-D145</f>
        <v>0.257580464170887</v>
      </c>
      <c r="H145" s="53" t="n">
        <f aca="false">G145</f>
        <v>0.257580464170887</v>
      </c>
      <c r="I145" s="53" t="n">
        <f aca="false">G145*B145</f>
        <v>-0.360612649839242</v>
      </c>
      <c r="J145" s="53" t="n">
        <f aca="false">G145*C145</f>
        <v>-0.257580464170887</v>
      </c>
      <c r="K145" s="52" t="n">
        <f aca="false">-(D145*LN(MIN(MAX(F145,0.000001),0.999999))+(1-D145)*LN(MIN(MAX(1-F145,0.000001),0.999999)))</f>
        <v>0.297840783431374</v>
      </c>
    </row>
    <row r="146" customFormat="false" ht="12.8" hidden="false" customHeight="false" outlineLevel="0" collapsed="false">
      <c r="A146" s="50" t="str">
        <f aca="false">01_Data!A8</f>
        <v>S03</v>
      </c>
      <c r="B146" s="51" t="n">
        <f aca="false">01_Data!F8</f>
        <v>-1.2</v>
      </c>
      <c r="C146" s="51" t="n">
        <f aca="false">01_Data!G8</f>
        <v>-1.13333333333333</v>
      </c>
      <c r="D146" s="51" t="n">
        <f aca="false">01_Data!D8</f>
        <v>0</v>
      </c>
      <c r="E146" s="52" t="n">
        <f aca="false">$D$142+$F$142*B146+$H$142*C146</f>
        <v>-1.01538532044935</v>
      </c>
      <c r="F146" s="52" t="n">
        <f aca="false">1/(1+EXP(-E146))</f>
        <v>0.265927258308309</v>
      </c>
      <c r="G146" s="53" t="n">
        <f aca="false">F146-D146</f>
        <v>0.265927258308309</v>
      </c>
      <c r="H146" s="53" t="n">
        <f aca="false">G146</f>
        <v>0.265927258308309</v>
      </c>
      <c r="I146" s="53" t="n">
        <f aca="false">G146*B146</f>
        <v>-0.319112709969971</v>
      </c>
      <c r="J146" s="53" t="n">
        <f aca="false">G146*C146</f>
        <v>-0.301384226082751</v>
      </c>
      <c r="K146" s="52" t="n">
        <f aca="false">-(D146*LN(MIN(MAX(F146,0.000001),0.999999))+(1-D146)*LN(MIN(MAX(1-F146,0.000001),0.999999)))</f>
        <v>0.309147152155817</v>
      </c>
    </row>
    <row r="147" customFormat="false" ht="12.8" hidden="false" customHeight="false" outlineLevel="0" collapsed="false">
      <c r="A147" s="50" t="str">
        <f aca="false">01_Data!A9</f>
        <v>S04</v>
      </c>
      <c r="B147" s="51" t="n">
        <f aca="false">01_Data!F9</f>
        <v>-1</v>
      </c>
      <c r="C147" s="51" t="n">
        <f aca="false">01_Data!G9</f>
        <v>-0.666666666666667</v>
      </c>
      <c r="D147" s="51" t="n">
        <f aca="false">01_Data!D9</f>
        <v>0</v>
      </c>
      <c r="E147" s="52" t="n">
        <f aca="false">$D$142+$F$142*B147+$H$142*C147</f>
        <v>-0.684862080852092</v>
      </c>
      <c r="F147" s="52" t="n">
        <f aca="false">1/(1+EXP(-E147))</f>
        <v>0.335177001885161</v>
      </c>
      <c r="G147" s="53" t="n">
        <f aca="false">F147-D147</f>
        <v>0.335177001885161</v>
      </c>
      <c r="H147" s="53" t="n">
        <f aca="false">G147</f>
        <v>0.335177001885161</v>
      </c>
      <c r="I147" s="53" t="n">
        <f aca="false">G147*B147</f>
        <v>-0.335177001885161</v>
      </c>
      <c r="J147" s="53" t="n">
        <f aca="false">G147*C147</f>
        <v>-0.223451334590107</v>
      </c>
      <c r="K147" s="52" t="n">
        <f aca="false">-(D147*LN(MIN(MAX(F147,0.000001),0.999999))+(1-D147)*LN(MIN(MAX(1-F147,0.000001),0.999999)))</f>
        <v>0.408234442003701</v>
      </c>
    </row>
    <row r="148" customFormat="false" ht="12.8" hidden="false" customHeight="false" outlineLevel="0" collapsed="false">
      <c r="A148" s="50" t="str">
        <f aca="false">01_Data!A10</f>
        <v>S05</v>
      </c>
      <c r="B148" s="51" t="n">
        <f aca="false">01_Data!F10</f>
        <v>-0.8</v>
      </c>
      <c r="C148" s="51" t="n">
        <f aca="false">01_Data!G10</f>
        <v>-0.866666666666667</v>
      </c>
      <c r="D148" s="51" t="n">
        <f aca="false">01_Data!D10</f>
        <v>0</v>
      </c>
      <c r="E148" s="52" t="n">
        <f aca="false">$D$142+$F$142*B148+$H$142*C148</f>
        <v>-0.673590194592914</v>
      </c>
      <c r="F148" s="52" t="n">
        <f aca="false">1/(1+EXP(-E148))</f>
        <v>0.337693402883896</v>
      </c>
      <c r="G148" s="53" t="n">
        <f aca="false">F148-D148</f>
        <v>0.337693402883896</v>
      </c>
      <c r="H148" s="53" t="n">
        <f aca="false">G148</f>
        <v>0.337693402883896</v>
      </c>
      <c r="I148" s="53" t="n">
        <f aca="false">G148*B148</f>
        <v>-0.270154722307117</v>
      </c>
      <c r="J148" s="53" t="n">
        <f aca="false">G148*C148</f>
        <v>-0.29266761583271</v>
      </c>
      <c r="K148" s="52" t="n">
        <f aca="false">-(D148*LN(MIN(MAX(F148,0.000001),0.999999))+(1-D148)*LN(MIN(MAX(1-F148,0.000001),0.999999)))</f>
        <v>0.412026692622644</v>
      </c>
    </row>
    <row r="149" customFormat="false" ht="12.8" hidden="false" customHeight="false" outlineLevel="0" collapsed="false">
      <c r="A149" s="50" t="str">
        <f aca="false">01_Data!A11</f>
        <v>S06</v>
      </c>
      <c r="B149" s="51" t="n">
        <f aca="false">01_Data!F11</f>
        <v>-0.6</v>
      </c>
      <c r="C149" s="51" t="n">
        <f aca="false">01_Data!G11</f>
        <v>-0.333333333333333</v>
      </c>
      <c r="D149" s="51" t="n">
        <f aca="false">01_Data!D11</f>
        <v>0</v>
      </c>
      <c r="E149" s="52" t="n">
        <f aca="false">$D$142+$F$142*B149+$H$142*C149</f>
        <v>-0.311141819661848</v>
      </c>
      <c r="F149" s="52" t="n">
        <f aca="false">1/(1+EXP(-E149))</f>
        <v>0.422836058135999</v>
      </c>
      <c r="G149" s="53" t="n">
        <f aca="false">F149-D149</f>
        <v>0.422836058135999</v>
      </c>
      <c r="H149" s="53" t="n">
        <f aca="false">G149</f>
        <v>0.422836058135999</v>
      </c>
      <c r="I149" s="53" t="n">
        <f aca="false">G149*B149</f>
        <v>-0.253701634881599</v>
      </c>
      <c r="J149" s="53" t="n">
        <f aca="false">G149*C149</f>
        <v>-0.140945352712</v>
      </c>
      <c r="K149" s="52" t="n">
        <f aca="false">-(D149*LN(MIN(MAX(F149,0.000001),0.999999))+(1-D149)*LN(MIN(MAX(1-F149,0.000001),0.999999)))</f>
        <v>0.549628924816891</v>
      </c>
    </row>
    <row r="150" customFormat="false" ht="12.8" hidden="false" customHeight="false" outlineLevel="0" collapsed="false">
      <c r="A150" s="50" t="str">
        <f aca="false">01_Data!A12</f>
        <v>S07</v>
      </c>
      <c r="B150" s="51" t="n">
        <f aca="false">01_Data!F12</f>
        <v>-0.4</v>
      </c>
      <c r="C150" s="51" t="n">
        <f aca="false">01_Data!G12</f>
        <v>-0.466666666666667</v>
      </c>
      <c r="D150" s="51" t="n">
        <f aca="false">01_Data!D12</f>
        <v>0</v>
      </c>
      <c r="E150" s="52" t="n">
        <f aca="false">$D$142+$F$142*B150+$H$142*C150</f>
        <v>-0.267944798068862</v>
      </c>
      <c r="F150" s="52" t="n">
        <f aca="false">1/(1+EXP(-E150))</f>
        <v>0.433411713516322</v>
      </c>
      <c r="G150" s="53" t="n">
        <f aca="false">F150-D150</f>
        <v>0.433411713516322</v>
      </c>
      <c r="H150" s="53" t="n">
        <f aca="false">G150</f>
        <v>0.433411713516322</v>
      </c>
      <c r="I150" s="53" t="n">
        <f aca="false">G150*B150</f>
        <v>-0.173364685406529</v>
      </c>
      <c r="J150" s="53" t="n">
        <f aca="false">G150*C150</f>
        <v>-0.20225879964095</v>
      </c>
      <c r="K150" s="52" t="n">
        <f aca="false">-(D150*LN(MIN(MAX(F150,0.000001),0.999999))+(1-D150)*LN(MIN(MAX(1-F150,0.000001),0.999999)))</f>
        <v>0.568122365142732</v>
      </c>
    </row>
    <row r="151" customFormat="false" ht="12.8" hidden="false" customHeight="false" outlineLevel="0" collapsed="false">
      <c r="A151" s="50" t="str">
        <f aca="false">01_Data!A13</f>
        <v>S08</v>
      </c>
      <c r="B151" s="51" t="n">
        <f aca="false">01_Data!F13</f>
        <v>-0.2</v>
      </c>
      <c r="C151" s="51" t="n">
        <f aca="false">01_Data!G13</f>
        <v>-0.2</v>
      </c>
      <c r="D151" s="51" t="n">
        <f aca="false">01_Data!D13</f>
        <v>1</v>
      </c>
      <c r="E151" s="52" t="n">
        <f aca="false">$D$142+$F$142*B151+$H$142*C151</f>
        <v>-0.0331969644730284</v>
      </c>
      <c r="F151" s="52" t="n">
        <f aca="false">1/(1+EXP(-E151))</f>
        <v>0.491701520971326</v>
      </c>
      <c r="G151" s="53" t="n">
        <f aca="false">F151-D151</f>
        <v>-0.508298479028674</v>
      </c>
      <c r="H151" s="53" t="n">
        <f aca="false">G151</f>
        <v>-0.508298479028674</v>
      </c>
      <c r="I151" s="53" t="n">
        <f aca="false">G151*B151</f>
        <v>0.101659695805735</v>
      </c>
      <c r="J151" s="53" t="n">
        <f aca="false">G151*C151</f>
        <v>0.101659695805735</v>
      </c>
      <c r="K151" s="52" t="n">
        <f aca="false">-(D151*LN(MIN(MAX(F151,0.000001),0.999999))+(1-D151)*LN(MIN(MAX(1-F151,0.000001),0.999999)))</f>
        <v>0.70988341127774</v>
      </c>
    </row>
    <row r="152" customFormat="false" ht="12.8" hidden="false" customHeight="false" outlineLevel="0" collapsed="false">
      <c r="A152" s="50" t="str">
        <f aca="false">01_Data!A14</f>
        <v>S09</v>
      </c>
      <c r="B152" s="51" t="n">
        <f aca="false">01_Data!F14</f>
        <v>0</v>
      </c>
      <c r="C152" s="51" t="n">
        <f aca="false">01_Data!G14</f>
        <v>0</v>
      </c>
      <c r="D152" s="51" t="n">
        <f aca="false">01_Data!D14</f>
        <v>1</v>
      </c>
      <c r="E152" s="52" t="n">
        <f aca="false">$D$142+$F$142*B152+$H$142*C152</f>
        <v>0.169625733788998</v>
      </c>
      <c r="F152" s="52" t="n">
        <f aca="false">1/(1+EXP(-E152))</f>
        <v>0.542305045524082</v>
      </c>
      <c r="G152" s="53" t="n">
        <f aca="false">F152-D152</f>
        <v>-0.457694954475918</v>
      </c>
      <c r="H152" s="53" t="n">
        <f aca="false">G152</f>
        <v>-0.457694954475918</v>
      </c>
      <c r="I152" s="53" t="n">
        <f aca="false">G152*B152</f>
        <v>-0</v>
      </c>
      <c r="J152" s="53" t="n">
        <f aca="false">G152*C152</f>
        <v>-0</v>
      </c>
      <c r="K152" s="52" t="n">
        <f aca="false">-(D152*LN(MIN(MAX(F152,0.000001),0.999999))+(1-D152)*LN(MIN(MAX(1-F152,0.000001),0.999999)))</f>
        <v>0.611926621243161</v>
      </c>
    </row>
    <row r="153" customFormat="false" ht="12.8" hidden="false" customHeight="false" outlineLevel="0" collapsed="false">
      <c r="A153" s="50" t="str">
        <f aca="false">01_Data!A15</f>
        <v>S10</v>
      </c>
      <c r="B153" s="51" t="n">
        <f aca="false">01_Data!F15</f>
        <v>0.2</v>
      </c>
      <c r="C153" s="51" t="n">
        <f aca="false">01_Data!G15</f>
        <v>0.2</v>
      </c>
      <c r="D153" s="51" t="n">
        <f aca="false">01_Data!D15</f>
        <v>1</v>
      </c>
      <c r="E153" s="52" t="n">
        <f aca="false">$D$142+$F$142*B153+$H$142*C153</f>
        <v>0.372448432051024</v>
      </c>
      <c r="F153" s="52" t="n">
        <f aca="false">1/(1+EXP(-E153))</f>
        <v>0.592050473186866</v>
      </c>
      <c r="G153" s="53" t="n">
        <f aca="false">F153-D153</f>
        <v>-0.407949526813134</v>
      </c>
      <c r="H153" s="53" t="n">
        <f aca="false">G153</f>
        <v>-0.407949526813134</v>
      </c>
      <c r="I153" s="53" t="n">
        <f aca="false">G153*B153</f>
        <v>-0.0815899053626267</v>
      </c>
      <c r="J153" s="53" t="n">
        <f aca="false">G153*C153</f>
        <v>-0.0815899053626267</v>
      </c>
      <c r="K153" s="52" t="n">
        <f aca="false">-(D153*LN(MIN(MAX(F153,0.000001),0.999999))+(1-D153)*LN(MIN(MAX(1-F153,0.000001),0.999999)))</f>
        <v>0.524163388970855</v>
      </c>
    </row>
    <row r="154" customFormat="false" ht="12.8" hidden="false" customHeight="false" outlineLevel="0" collapsed="false">
      <c r="A154" s="50" t="str">
        <f aca="false">01_Data!A16</f>
        <v>S11</v>
      </c>
      <c r="B154" s="51" t="n">
        <f aca="false">01_Data!F16</f>
        <v>0.4</v>
      </c>
      <c r="C154" s="51" t="n">
        <f aca="false">01_Data!G16</f>
        <v>0.333333333333333</v>
      </c>
      <c r="D154" s="51" t="n">
        <f aca="false">01_Data!D16</f>
        <v>1</v>
      </c>
      <c r="E154" s="52" t="n">
        <f aca="false">$D$142+$F$142*B154+$H$142*C154</f>
        <v>0.543345994979241</v>
      </c>
      <c r="F154" s="52" t="n">
        <f aca="false">1/(1+EXP(-E154))</f>
        <v>0.632590437579464</v>
      </c>
      <c r="G154" s="53" t="n">
        <f aca="false">F154-D154</f>
        <v>-0.367409562420536</v>
      </c>
      <c r="H154" s="53" t="n">
        <f aca="false">G154</f>
        <v>-0.367409562420536</v>
      </c>
      <c r="I154" s="53" t="n">
        <f aca="false">G154*B154</f>
        <v>-0.146963824968215</v>
      </c>
      <c r="J154" s="53" t="n">
        <f aca="false">G154*C154</f>
        <v>-0.122469854140179</v>
      </c>
      <c r="K154" s="52" t="n">
        <f aca="false">-(D154*LN(MIN(MAX(F154,0.000001),0.999999))+(1-D154)*LN(MIN(MAX(1-F154,0.000001),0.999999)))</f>
        <v>0.457932084286387</v>
      </c>
    </row>
    <row r="155" customFormat="false" ht="12.8" hidden="false" customHeight="false" outlineLevel="0" collapsed="false">
      <c r="A155" s="50" t="str">
        <f aca="false">01_Data!A17</f>
        <v>S12</v>
      </c>
      <c r="B155" s="51" t="n">
        <f aca="false">01_Data!F17</f>
        <v>0.6</v>
      </c>
      <c r="C155" s="51" t="n">
        <f aca="false">01_Data!G17</f>
        <v>0.466666666666667</v>
      </c>
      <c r="D155" s="51" t="n">
        <f aca="false">01_Data!D17</f>
        <v>1</v>
      </c>
      <c r="E155" s="52" t="n">
        <f aca="false">$D$142+$F$142*B155+$H$142*C155</f>
        <v>0.714243557907459</v>
      </c>
      <c r="F155" s="52" t="n">
        <f aca="false">1/(1+EXP(-E155))</f>
        <v>0.67133815203013</v>
      </c>
      <c r="G155" s="53" t="n">
        <f aca="false">F155-D155</f>
        <v>-0.328661847969871</v>
      </c>
      <c r="H155" s="53" t="n">
        <f aca="false">G155</f>
        <v>-0.328661847969871</v>
      </c>
      <c r="I155" s="53" t="n">
        <f aca="false">G155*B155</f>
        <v>-0.197197108781922</v>
      </c>
      <c r="J155" s="53" t="n">
        <f aca="false">G155*C155</f>
        <v>-0.153375529052606</v>
      </c>
      <c r="K155" s="52" t="n">
        <f aca="false">-(D155*LN(MIN(MAX(F155,0.000001),0.999999))+(1-D155)*LN(MIN(MAX(1-F155,0.000001),0.999999)))</f>
        <v>0.398482316596909</v>
      </c>
    </row>
    <row r="156" customFormat="false" ht="12.8" hidden="false" customHeight="false" outlineLevel="0" collapsed="false">
      <c r="A156" s="50" t="str">
        <f aca="false">01_Data!A18</f>
        <v>S13</v>
      </c>
      <c r="B156" s="51" t="n">
        <f aca="false">01_Data!F18</f>
        <v>0.8</v>
      </c>
      <c r="C156" s="51" t="n">
        <f aca="false">01_Data!G18</f>
        <v>0.666666666666667</v>
      </c>
      <c r="D156" s="51" t="n">
        <f aca="false">01_Data!D18</f>
        <v>1</v>
      </c>
      <c r="E156" s="52" t="n">
        <f aca="false">$D$142+$F$142*B156+$H$142*C156</f>
        <v>0.917066256169485</v>
      </c>
      <c r="F156" s="52" t="n">
        <f aca="false">1/(1+EXP(-E156))</f>
        <v>0.714443958244557</v>
      </c>
      <c r="G156" s="53" t="n">
        <f aca="false">F156-D156</f>
        <v>-0.285556041755443</v>
      </c>
      <c r="H156" s="53" t="n">
        <f aca="false">G156</f>
        <v>-0.285556041755443</v>
      </c>
      <c r="I156" s="53" t="n">
        <f aca="false">G156*B156</f>
        <v>-0.228444833404354</v>
      </c>
      <c r="J156" s="53" t="n">
        <f aca="false">G156*C156</f>
        <v>-0.190370694503628</v>
      </c>
      <c r="K156" s="52" t="n">
        <f aca="false">-(D156*LN(MIN(MAX(F156,0.000001),0.999999))+(1-D156)*LN(MIN(MAX(1-F156,0.000001),0.999999)))</f>
        <v>0.336250719615536</v>
      </c>
    </row>
    <row r="157" customFormat="false" ht="12.8" hidden="false" customHeight="false" outlineLevel="0" collapsed="false">
      <c r="A157" s="50" t="str">
        <f aca="false">01_Data!A19</f>
        <v>S14</v>
      </c>
      <c r="B157" s="51" t="n">
        <f aca="false">01_Data!F19</f>
        <v>1</v>
      </c>
      <c r="C157" s="51" t="n">
        <f aca="false">01_Data!G19</f>
        <v>0.866666666666667</v>
      </c>
      <c r="D157" s="51" t="n">
        <f aca="false">01_Data!D19</f>
        <v>1</v>
      </c>
      <c r="E157" s="52" t="n">
        <f aca="false">$D$142+$F$142*B157+$H$142*C157</f>
        <v>1.11988895443151</v>
      </c>
      <c r="F157" s="52" t="n">
        <f aca="false">1/(1+EXP(-E157))</f>
        <v>0.753968118055276</v>
      </c>
      <c r="G157" s="53" t="n">
        <f aca="false">F157-D157</f>
        <v>-0.246031881944724</v>
      </c>
      <c r="H157" s="53" t="n">
        <f aca="false">G157</f>
        <v>-0.246031881944724</v>
      </c>
      <c r="I157" s="53" t="n">
        <f aca="false">G157*B157</f>
        <v>-0.246031881944724</v>
      </c>
      <c r="J157" s="53" t="n">
        <f aca="false">G157*C157</f>
        <v>-0.213227631018761</v>
      </c>
      <c r="K157" s="52" t="n">
        <f aca="false">-(D157*LN(MIN(MAX(F157,0.000001),0.999999))+(1-D157)*LN(MIN(MAX(1-F157,0.000001),0.999999)))</f>
        <v>0.282405195614482</v>
      </c>
    </row>
    <row r="158" customFormat="false" ht="12.8" hidden="false" customHeight="false" outlineLevel="0" collapsed="false">
      <c r="A158" s="50" t="str">
        <f aca="false">01_Data!A20</f>
        <v>S15</v>
      </c>
      <c r="B158" s="51" t="n">
        <f aca="false">01_Data!F20</f>
        <v>1.2</v>
      </c>
      <c r="C158" s="51" t="n">
        <f aca="false">01_Data!G20</f>
        <v>1</v>
      </c>
      <c r="D158" s="51" t="n">
        <f aca="false">01_Data!D20</f>
        <v>1</v>
      </c>
      <c r="E158" s="52" t="n">
        <f aca="false">$D$142+$F$142*B158+$H$142*C158</f>
        <v>1.29078651735973</v>
      </c>
      <c r="F158" s="52" t="n">
        <f aca="false">1/(1+EXP(-E158))</f>
        <v>0.784280285648493</v>
      </c>
      <c r="G158" s="53" t="n">
        <f aca="false">F158-D158</f>
        <v>-0.215719714351507</v>
      </c>
      <c r="H158" s="53" t="n">
        <f aca="false">G158</f>
        <v>-0.215719714351507</v>
      </c>
      <c r="I158" s="53" t="n">
        <f aca="false">G158*B158</f>
        <v>-0.258863657221809</v>
      </c>
      <c r="J158" s="53" t="n">
        <f aca="false">G158*C158</f>
        <v>-0.215719714351507</v>
      </c>
      <c r="K158" s="52" t="n">
        <f aca="false">-(D158*LN(MIN(MAX(F158,0.000001),0.999999))+(1-D158)*LN(MIN(MAX(1-F158,0.000001),0.999999)))</f>
        <v>0.242988815317493</v>
      </c>
    </row>
    <row r="159" customFormat="false" ht="12.8" hidden="false" customHeight="false" outlineLevel="0" collapsed="false">
      <c r="A159" s="50" t="str">
        <f aca="false">01_Data!A21</f>
        <v>S16</v>
      </c>
      <c r="B159" s="51" t="n">
        <f aca="false">01_Data!F21</f>
        <v>1.4</v>
      </c>
      <c r="C159" s="51" t="n">
        <f aca="false">01_Data!G21</f>
        <v>1.13333333333333</v>
      </c>
      <c r="D159" s="51" t="n">
        <f aca="false">01_Data!D21</f>
        <v>1</v>
      </c>
      <c r="E159" s="52" t="n">
        <f aca="false">$D$142+$F$142*B159+$H$142*C159</f>
        <v>1.46168408028795</v>
      </c>
      <c r="F159" s="52" t="n">
        <f aca="false">1/(1+EXP(-E159))</f>
        <v>0.811790115349036</v>
      </c>
      <c r="G159" s="53" t="n">
        <f aca="false">F159-D159</f>
        <v>-0.188209884650964</v>
      </c>
      <c r="H159" s="53" t="n">
        <f aca="false">G159</f>
        <v>-0.188209884650964</v>
      </c>
      <c r="I159" s="53" t="n">
        <f aca="false">G159*B159</f>
        <v>-0.26349383851135</v>
      </c>
      <c r="J159" s="53" t="n">
        <f aca="false">G159*C159</f>
        <v>-0.21330453593776</v>
      </c>
      <c r="K159" s="52" t="n">
        <f aca="false">-(D159*LN(MIN(MAX(F159,0.000001),0.999999))+(1-D159)*LN(MIN(MAX(1-F159,0.000001),0.999999)))</f>
        <v>0.208513450866011</v>
      </c>
    </row>
    <row r="160" customFormat="false" ht="12.8" hidden="false" customHeight="false" outlineLevel="0" collapsed="false">
      <c r="A160" s="50" t="str">
        <f aca="false">01_Data!A22</f>
        <v>S17</v>
      </c>
      <c r="B160" s="51" t="n">
        <f aca="false">01_Data!F22</f>
        <v>1.6</v>
      </c>
      <c r="C160" s="51" t="n">
        <f aca="false">01_Data!G22</f>
        <v>1.33333333333333</v>
      </c>
      <c r="D160" s="51" t="n">
        <f aca="false">01_Data!D22</f>
        <v>1</v>
      </c>
      <c r="E160" s="52" t="n">
        <f aca="false">$D$142+$F$142*B160+$H$142*C160</f>
        <v>1.66450677854997</v>
      </c>
      <c r="F160" s="52" t="n">
        <f aca="false">1/(1+EXP(-E160))</f>
        <v>0.840842057186426</v>
      </c>
      <c r="G160" s="53" t="n">
        <f aca="false">F160-D160</f>
        <v>-0.159157942813574</v>
      </c>
      <c r="H160" s="53" t="n">
        <f aca="false">G160</f>
        <v>-0.159157942813574</v>
      </c>
      <c r="I160" s="53" t="n">
        <f aca="false">G160*B160</f>
        <v>-0.254652708501719</v>
      </c>
      <c r="J160" s="53" t="n">
        <f aca="false">G160*C160</f>
        <v>-0.212210590418099</v>
      </c>
      <c r="K160" s="52" t="n">
        <f aca="false">-(D160*LN(MIN(MAX(F160,0.000001),0.999999))+(1-D160)*LN(MIN(MAX(1-F160,0.000001),0.999999)))</f>
        <v>0.173351440229813</v>
      </c>
    </row>
    <row r="161" customFormat="false" ht="12.8" hidden="false" customHeight="false" outlineLevel="0" collapsed="false">
      <c r="A161" s="50" t="str">
        <f aca="false">01_Data!A23</f>
        <v>S18</v>
      </c>
      <c r="B161" s="51" t="n">
        <f aca="false">01_Data!F23</f>
        <v>0</v>
      </c>
      <c r="C161" s="51" t="n">
        <f aca="false">01_Data!G23</f>
        <v>-0.666666666666667</v>
      </c>
      <c r="D161" s="51" t="n">
        <f aca="false">01_Data!D23</f>
        <v>0</v>
      </c>
      <c r="E161" s="52" t="n">
        <f aca="false">$D$142+$F$142*B161+$H$142*C161</f>
        <v>-0.149625619549083</v>
      </c>
      <c r="F161" s="52" t="n">
        <f aca="false">1/(1+EXP(-E161))</f>
        <v>0.462663226567598</v>
      </c>
      <c r="G161" s="53" t="n">
        <f aca="false">F161-D161</f>
        <v>0.462663226567598</v>
      </c>
      <c r="H161" s="53" t="n">
        <f aca="false">G161</f>
        <v>0.462663226567598</v>
      </c>
      <c r="I161" s="53" t="n">
        <f aca="false">G161*B161</f>
        <v>0</v>
      </c>
      <c r="J161" s="53" t="n">
        <f aca="false">G161*C161</f>
        <v>-0.308442151045065</v>
      </c>
      <c r="K161" s="52" t="n">
        <f aca="false">-(D161*LN(MIN(MAX(F161,0.000001),0.999999))+(1-D161)*LN(MIN(MAX(1-F161,0.000001),0.999999)))</f>
        <v>0.621130242434684</v>
      </c>
    </row>
    <row r="162" customFormat="false" ht="12.8" hidden="false" customHeight="false" outlineLevel="0" collapsed="false">
      <c r="A162" s="50" t="str">
        <f aca="false">01_Data!A24</f>
        <v>S19</v>
      </c>
      <c r="B162" s="51" t="n">
        <f aca="false">01_Data!F24</f>
        <v>-0.8</v>
      </c>
      <c r="C162" s="51" t="n">
        <f aca="false">01_Data!G24</f>
        <v>0.666666666666667</v>
      </c>
      <c r="D162" s="51" t="n">
        <f aca="false">01_Data!D24</f>
        <v>1</v>
      </c>
      <c r="E162" s="52" t="n">
        <f aca="false">$D$142+$F$142*B162+$H$142*C162</f>
        <v>0.0606879180846704</v>
      </c>
      <c r="F162" s="52" t="n">
        <f aca="false">1/(1+EXP(-E162))</f>
        <v>0.515167324672583</v>
      </c>
      <c r="G162" s="53" t="n">
        <f aca="false">F162-D162</f>
        <v>-0.484832675327417</v>
      </c>
      <c r="H162" s="53" t="n">
        <f aca="false">G162</f>
        <v>-0.484832675327417</v>
      </c>
      <c r="I162" s="53" t="n">
        <f aca="false">G162*B162</f>
        <v>0.387866140261933</v>
      </c>
      <c r="J162" s="53" t="n">
        <f aca="false">G162*C162</f>
        <v>-0.323221783551611</v>
      </c>
      <c r="K162" s="52" t="n">
        <f aca="false">-(D162*LN(MIN(MAX(F162,0.000001),0.999999))+(1-D162)*LN(MIN(MAX(1-F162,0.000001),0.999999)))</f>
        <v>0.663263528810856</v>
      </c>
    </row>
    <row r="163" customFormat="false" ht="12.8" hidden="false" customHeight="false" outlineLevel="0" collapsed="false">
      <c r="A163" s="50" t="str">
        <f aca="false">01_Data!A25</f>
        <v>S20</v>
      </c>
      <c r="B163" s="51" t="n">
        <f aca="false">01_Data!F25</f>
        <v>0.8</v>
      </c>
      <c r="C163" s="51" t="n">
        <f aca="false">01_Data!G25</f>
        <v>-0.666666666666667</v>
      </c>
      <c r="D163" s="51" t="n">
        <f aca="false">01_Data!D25</f>
        <v>1</v>
      </c>
      <c r="E163" s="52" t="n">
        <f aca="false">$D$142+$F$142*B163+$H$142*C163</f>
        <v>0.278563549493325</v>
      </c>
      <c r="F163" s="52" t="n">
        <f aca="false">1/(1+EXP(-E163))</f>
        <v>0.56919402383594</v>
      </c>
      <c r="G163" s="53" t="n">
        <f aca="false">F163-D163</f>
        <v>-0.43080597616406</v>
      </c>
      <c r="H163" s="53" t="n">
        <f aca="false">G163</f>
        <v>-0.43080597616406</v>
      </c>
      <c r="I163" s="53" t="n">
        <f aca="false">G163*B163</f>
        <v>-0.344644780931248</v>
      </c>
      <c r="J163" s="53" t="n">
        <f aca="false">G163*C163</f>
        <v>0.287203984109373</v>
      </c>
      <c r="K163" s="52" t="n">
        <f aca="false">-(D163*LN(MIN(MAX(F163,0.000001),0.999999))+(1-D163)*LN(MIN(MAX(1-F163,0.000001),0.999999)))</f>
        <v>0.563533912055675</v>
      </c>
    </row>
    <row r="164" customFormat="false" ht="12.8" hidden="false" customHeight="false" outlineLevel="0" collapsed="false">
      <c r="A164" s="54" t="s">
        <v>138</v>
      </c>
      <c r="B164" s="54"/>
      <c r="C164" s="54"/>
      <c r="D164" s="54"/>
      <c r="E164" s="54"/>
      <c r="F164" s="54"/>
      <c r="G164" s="54" t="s">
        <v>139</v>
      </c>
      <c r="H164" s="55" t="n">
        <f aca="false">AVERAGE(H144:H163)</f>
        <v>-0.0677547043397974</v>
      </c>
      <c r="I164" s="55" t="n">
        <f aca="false">AVERAGE(I144:I163)</f>
        <v>-0.179019627428632</v>
      </c>
      <c r="J164" s="55" t="n">
        <f aca="false">AVERAGE(J144:J163)</f>
        <v>-0.167164176821587</v>
      </c>
      <c r="K164" s="55" t="n">
        <f aca="false">AVERAGE(K144:K163)</f>
        <v>0.428723927591644</v>
      </c>
    </row>
    <row r="165" customFormat="false" ht="22.35" hidden="false" customHeight="true" outlineLevel="0" collapsed="false">
      <c r="A165" s="47" t="s">
        <v>140</v>
      </c>
      <c r="B165" s="47"/>
      <c r="C165" s="47" t="s">
        <v>141</v>
      </c>
      <c r="D165" s="56" t="n">
        <f aca="false">D142-$B$4*H164</f>
        <v>0.196727615524917</v>
      </c>
      <c r="E165" s="47" t="s">
        <v>142</v>
      </c>
      <c r="F165" s="56" t="n">
        <f aca="false">F142-$B$4*I164</f>
        <v>0.606844312274462</v>
      </c>
      <c r="G165" s="47" t="s">
        <v>143</v>
      </c>
      <c r="H165" s="56" t="n">
        <f aca="false">H142-$B$4*J164</f>
        <v>0.545742700735755</v>
      </c>
      <c r="I165" s="48" t="s">
        <v>144</v>
      </c>
      <c r="J165" s="48"/>
      <c r="K165" s="48"/>
    </row>
    <row r="167" customFormat="false" ht="22.5" hidden="false" customHeight="true" outlineLevel="0" collapsed="false">
      <c r="A167" s="4" t="s">
        <v>153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customFormat="false" ht="15" hidden="false" customHeight="true" outlineLevel="0" collapsed="false">
      <c r="A168" s="47" t="s">
        <v>122</v>
      </c>
      <c r="B168" s="48" t="n">
        <v>7</v>
      </c>
      <c r="C168" s="47" t="s">
        <v>123</v>
      </c>
      <c r="D168" s="58" t="n">
        <f aca="false">D165</f>
        <v>0.196727615524917</v>
      </c>
      <c r="E168" s="47" t="s">
        <v>124</v>
      </c>
      <c r="F168" s="58" t="n">
        <f aca="false">F165</f>
        <v>0.606844312274462</v>
      </c>
      <c r="G168" s="47" t="s">
        <v>125</v>
      </c>
      <c r="H168" s="58" t="n">
        <f aca="false">H165</f>
        <v>0.545742700735755</v>
      </c>
      <c r="I168" s="48" t="s">
        <v>126</v>
      </c>
      <c r="J168" s="48"/>
      <c r="K168" s="48"/>
    </row>
    <row r="169" customFormat="false" ht="33.75" hidden="false" customHeight="true" outlineLevel="0" collapsed="false">
      <c r="A169" s="18" t="s">
        <v>127</v>
      </c>
      <c r="B169" s="18" t="s">
        <v>128</v>
      </c>
      <c r="C169" s="18" t="s">
        <v>129</v>
      </c>
      <c r="D169" s="18" t="s">
        <v>130</v>
      </c>
      <c r="E169" s="18" t="s">
        <v>131</v>
      </c>
      <c r="F169" s="18" t="s">
        <v>132</v>
      </c>
      <c r="G169" s="18" t="s">
        <v>133</v>
      </c>
      <c r="H169" s="18" t="s">
        <v>146</v>
      </c>
      <c r="I169" s="18" t="s">
        <v>147</v>
      </c>
      <c r="J169" s="18" t="s">
        <v>148</v>
      </c>
      <c r="K169" s="18" t="s">
        <v>33</v>
      </c>
    </row>
    <row r="170" customFormat="false" ht="12.8" hidden="false" customHeight="false" outlineLevel="0" collapsed="false">
      <c r="A170" s="50" t="str">
        <f aca="false">01_Data!A6</f>
        <v>S01</v>
      </c>
      <c r="B170" s="51" t="n">
        <f aca="false">01_Data!F6</f>
        <v>-1.6</v>
      </c>
      <c r="C170" s="51" t="n">
        <f aca="false">01_Data!G6</f>
        <v>-1.33333333333333</v>
      </c>
      <c r="D170" s="51" t="n">
        <f aca="false">01_Data!D6</f>
        <v>0</v>
      </c>
      <c r="E170" s="52" t="n">
        <f aca="false">$D$168+$F$168*B170+$H$168*C170</f>
        <v>-1.50188021842856</v>
      </c>
      <c r="F170" s="52" t="n">
        <f aca="false">1/(1+EXP(-E170))</f>
        <v>0.182145263327346</v>
      </c>
      <c r="G170" s="53" t="n">
        <f aca="false">F170-D170</f>
        <v>0.182145263327346</v>
      </c>
      <c r="H170" s="53" t="n">
        <f aca="false">G170</f>
        <v>0.182145263327346</v>
      </c>
      <c r="I170" s="53" t="n">
        <f aca="false">G170*B170</f>
        <v>-0.291432421323753</v>
      </c>
      <c r="J170" s="53" t="n">
        <f aca="false">G170*C170</f>
        <v>-0.242860351103128</v>
      </c>
      <c r="K170" s="52" t="n">
        <f aca="false">-(D170*LN(MIN(MAX(F170,0.000001),0.999999))+(1-D170)*LN(MIN(MAX(1-F170,0.000001),0.999999)))</f>
        <v>0.201070541678975</v>
      </c>
    </row>
    <row r="171" customFormat="false" ht="12.8" hidden="false" customHeight="false" outlineLevel="0" collapsed="false">
      <c r="A171" s="50" t="str">
        <f aca="false">01_Data!A7</f>
        <v>S02</v>
      </c>
      <c r="B171" s="51" t="n">
        <f aca="false">01_Data!F7</f>
        <v>-1.4</v>
      </c>
      <c r="C171" s="51" t="n">
        <f aca="false">01_Data!G7</f>
        <v>-1</v>
      </c>
      <c r="D171" s="51" t="n">
        <f aca="false">01_Data!D7</f>
        <v>0</v>
      </c>
      <c r="E171" s="52" t="n">
        <f aca="false">$D$168+$F$168*B171+$H$168*C171</f>
        <v>-1.19859712239509</v>
      </c>
      <c r="F171" s="52" t="n">
        <f aca="false">1/(1+EXP(-E171))</f>
        <v>0.231724874634927</v>
      </c>
      <c r="G171" s="53" t="n">
        <f aca="false">F171-D171</f>
        <v>0.231724874634927</v>
      </c>
      <c r="H171" s="53" t="n">
        <f aca="false">G171</f>
        <v>0.231724874634927</v>
      </c>
      <c r="I171" s="53" t="n">
        <f aca="false">G171*B171</f>
        <v>-0.324414824488898</v>
      </c>
      <c r="J171" s="53" t="n">
        <f aca="false">G171*C171</f>
        <v>-0.231724874634927</v>
      </c>
      <c r="K171" s="52" t="n">
        <f aca="false">-(D171*LN(MIN(MAX(F171,0.000001),0.999999))+(1-D171)*LN(MIN(MAX(1-F171,0.000001),0.999999)))</f>
        <v>0.263607373833276</v>
      </c>
    </row>
    <row r="172" customFormat="false" ht="12.8" hidden="false" customHeight="false" outlineLevel="0" collapsed="false">
      <c r="A172" s="50" t="str">
        <f aca="false">01_Data!A8</f>
        <v>S03</v>
      </c>
      <c r="B172" s="51" t="n">
        <f aca="false">01_Data!F8</f>
        <v>-1.2</v>
      </c>
      <c r="C172" s="51" t="n">
        <f aca="false">01_Data!G8</f>
        <v>-1.13333333333333</v>
      </c>
      <c r="D172" s="51" t="n">
        <f aca="false">01_Data!D8</f>
        <v>0</v>
      </c>
      <c r="E172" s="52" t="n">
        <f aca="false">$D$168+$F$168*B172+$H$168*C172</f>
        <v>-1.14999395337163</v>
      </c>
      <c r="F172" s="52" t="n">
        <f aca="false">1/(1+EXP(-E172))</f>
        <v>0.240490187493989</v>
      </c>
      <c r="G172" s="53" t="n">
        <f aca="false">F172-D172</f>
        <v>0.240490187493989</v>
      </c>
      <c r="H172" s="53" t="n">
        <f aca="false">G172</f>
        <v>0.240490187493989</v>
      </c>
      <c r="I172" s="53" t="n">
        <f aca="false">G172*B172</f>
        <v>-0.288588224992786</v>
      </c>
      <c r="J172" s="53" t="n">
        <f aca="false">G172*C172</f>
        <v>-0.27255554582652</v>
      </c>
      <c r="K172" s="52" t="n">
        <f aca="false">-(D172*LN(MIN(MAX(F172,0.000001),0.999999))+(1-D172)*LN(MIN(MAX(1-F172,0.000001),0.999999)))</f>
        <v>0.27508203733785</v>
      </c>
    </row>
    <row r="173" customFormat="false" ht="12.8" hidden="false" customHeight="false" outlineLevel="0" collapsed="false">
      <c r="A173" s="50" t="str">
        <f aca="false">01_Data!A9</f>
        <v>S04</v>
      </c>
      <c r="B173" s="51" t="n">
        <f aca="false">01_Data!F9</f>
        <v>-1</v>
      </c>
      <c r="C173" s="51" t="n">
        <f aca="false">01_Data!G9</f>
        <v>-0.666666666666667</v>
      </c>
      <c r="D173" s="51" t="n">
        <f aca="false">01_Data!D9</f>
        <v>0</v>
      </c>
      <c r="E173" s="52" t="n">
        <f aca="false">$D$168+$F$168*B173+$H$168*C173</f>
        <v>-0.773945163906716</v>
      </c>
      <c r="F173" s="52" t="n">
        <f aca="false">1/(1+EXP(-E173))</f>
        <v>0.315626306635703</v>
      </c>
      <c r="G173" s="53" t="n">
        <f aca="false">F173-D173</f>
        <v>0.315626306635703</v>
      </c>
      <c r="H173" s="53" t="n">
        <f aca="false">G173</f>
        <v>0.315626306635703</v>
      </c>
      <c r="I173" s="53" t="n">
        <f aca="false">G173*B173</f>
        <v>-0.315626306635703</v>
      </c>
      <c r="J173" s="53" t="n">
        <f aca="false">G173*C173</f>
        <v>-0.210417537757135</v>
      </c>
      <c r="K173" s="52" t="n">
        <f aca="false">-(D173*LN(MIN(MAX(F173,0.000001),0.999999))+(1-D173)*LN(MIN(MAX(1-F173,0.000001),0.999999)))</f>
        <v>0.379251175218477</v>
      </c>
    </row>
    <row r="174" customFormat="false" ht="12.8" hidden="false" customHeight="false" outlineLevel="0" collapsed="false">
      <c r="A174" s="50" t="str">
        <f aca="false">01_Data!A10</f>
        <v>S05</v>
      </c>
      <c r="B174" s="51" t="n">
        <f aca="false">01_Data!F10</f>
        <v>-0.8</v>
      </c>
      <c r="C174" s="51" t="n">
        <f aca="false">01_Data!G10</f>
        <v>-0.866666666666667</v>
      </c>
      <c r="D174" s="51" t="n">
        <f aca="false">01_Data!D10</f>
        <v>0</v>
      </c>
      <c r="E174" s="52" t="n">
        <f aca="false">$D$168+$F$168*B174+$H$168*C174</f>
        <v>-0.761724841598974</v>
      </c>
      <c r="F174" s="52" t="n">
        <f aca="false">1/(1+EXP(-E174))</f>
        <v>0.318271901627936</v>
      </c>
      <c r="G174" s="53" t="n">
        <f aca="false">F174-D174</f>
        <v>0.318271901627936</v>
      </c>
      <c r="H174" s="53" t="n">
        <f aca="false">G174</f>
        <v>0.318271901627936</v>
      </c>
      <c r="I174" s="53" t="n">
        <f aca="false">G174*B174</f>
        <v>-0.254617521302349</v>
      </c>
      <c r="J174" s="53" t="n">
        <f aca="false">G174*C174</f>
        <v>-0.275835648077545</v>
      </c>
      <c r="K174" s="52" t="n">
        <f aca="false">-(D174*LN(MIN(MAX(F174,0.000001),0.999999))+(1-D174)*LN(MIN(MAX(1-F174,0.000001),0.999999)))</f>
        <v>0.383124383372677</v>
      </c>
    </row>
    <row r="175" customFormat="false" ht="12.8" hidden="false" customHeight="false" outlineLevel="0" collapsed="false">
      <c r="A175" s="50" t="str">
        <f aca="false">01_Data!A11</f>
        <v>S06</v>
      </c>
      <c r="B175" s="51" t="n">
        <f aca="false">01_Data!F11</f>
        <v>-0.6</v>
      </c>
      <c r="C175" s="51" t="n">
        <f aca="false">01_Data!G11</f>
        <v>-0.333333333333333</v>
      </c>
      <c r="D175" s="51" t="n">
        <f aca="false">01_Data!D11</f>
        <v>0</v>
      </c>
      <c r="E175" s="52" t="n">
        <f aca="false">$D$168+$F$168*B175+$H$168*C175</f>
        <v>-0.349293205418346</v>
      </c>
      <c r="F175" s="52" t="n">
        <f aca="false">1/(1+EXP(-E175))</f>
        <v>0.41355382741404</v>
      </c>
      <c r="G175" s="53" t="n">
        <f aca="false">F175-D175</f>
        <v>0.41355382741404</v>
      </c>
      <c r="H175" s="53" t="n">
        <f aca="false">G175</f>
        <v>0.41355382741404</v>
      </c>
      <c r="I175" s="53" t="n">
        <f aca="false">G175*B175</f>
        <v>-0.248132296448424</v>
      </c>
      <c r="J175" s="53" t="n">
        <f aca="false">G175*C175</f>
        <v>-0.13785127580468</v>
      </c>
      <c r="K175" s="52" t="n">
        <f aca="false">-(D175*LN(MIN(MAX(F175,0.000001),0.999999))+(1-D175)*LN(MIN(MAX(1-F175,0.000001),0.999999)))</f>
        <v>0.533674392447448</v>
      </c>
    </row>
    <row r="176" customFormat="false" ht="12.8" hidden="false" customHeight="false" outlineLevel="0" collapsed="false">
      <c r="A176" s="50" t="str">
        <f aca="false">01_Data!A12</f>
        <v>S07</v>
      </c>
      <c r="B176" s="51" t="n">
        <f aca="false">01_Data!F12</f>
        <v>-0.4</v>
      </c>
      <c r="C176" s="51" t="n">
        <f aca="false">01_Data!G12</f>
        <v>-0.466666666666667</v>
      </c>
      <c r="D176" s="51" t="n">
        <f aca="false">01_Data!D12</f>
        <v>0</v>
      </c>
      <c r="E176" s="52" t="n">
        <f aca="false">$D$168+$F$168*B176+$H$168*C176</f>
        <v>-0.300690036394887</v>
      </c>
      <c r="F176" s="52" t="n">
        <f aca="false">1/(1+EXP(-E176))</f>
        <v>0.425388806727515</v>
      </c>
      <c r="G176" s="53" t="n">
        <f aca="false">F176-D176</f>
        <v>0.425388806727515</v>
      </c>
      <c r="H176" s="53" t="n">
        <f aca="false">G176</f>
        <v>0.425388806727515</v>
      </c>
      <c r="I176" s="53" t="n">
        <f aca="false">G176*B176</f>
        <v>-0.170155522691006</v>
      </c>
      <c r="J176" s="53" t="n">
        <f aca="false">G176*C176</f>
        <v>-0.19851477647284</v>
      </c>
      <c r="K176" s="52" t="n">
        <f aca="false">-(D176*LN(MIN(MAX(F176,0.000001),0.999999))+(1-D176)*LN(MIN(MAX(1-F176,0.000001),0.999999)))</f>
        <v>0.554061652514457</v>
      </c>
    </row>
    <row r="177" customFormat="false" ht="12.8" hidden="false" customHeight="false" outlineLevel="0" collapsed="false">
      <c r="A177" s="50" t="str">
        <f aca="false">01_Data!A13</f>
        <v>S08</v>
      </c>
      <c r="B177" s="51" t="n">
        <f aca="false">01_Data!F13</f>
        <v>-0.2</v>
      </c>
      <c r="C177" s="51" t="n">
        <f aca="false">01_Data!G13</f>
        <v>-0.2</v>
      </c>
      <c r="D177" s="51" t="n">
        <f aca="false">01_Data!D13</f>
        <v>1</v>
      </c>
      <c r="E177" s="52" t="n">
        <f aca="false">$D$168+$F$168*B177+$H$168*C177</f>
        <v>-0.033789787077127</v>
      </c>
      <c r="F177" s="52" t="n">
        <f aca="false">1/(1+EXP(-E177))</f>
        <v>0.491553356878121</v>
      </c>
      <c r="G177" s="53" t="n">
        <f aca="false">F177-D177</f>
        <v>-0.508446643121879</v>
      </c>
      <c r="H177" s="53" t="n">
        <f aca="false">G177</f>
        <v>-0.508446643121879</v>
      </c>
      <c r="I177" s="53" t="n">
        <f aca="false">G177*B177</f>
        <v>0.101689328624376</v>
      </c>
      <c r="J177" s="53" t="n">
        <f aca="false">G177*C177</f>
        <v>0.101689328624376</v>
      </c>
      <c r="K177" s="52" t="n">
        <f aca="false">-(D177*LN(MIN(MAX(F177,0.000001),0.999999))+(1-D177)*LN(MIN(MAX(1-F177,0.000001),0.999999)))</f>
        <v>0.710184786023322</v>
      </c>
    </row>
    <row r="178" customFormat="false" ht="12.8" hidden="false" customHeight="false" outlineLevel="0" collapsed="false">
      <c r="A178" s="50" t="str">
        <f aca="false">01_Data!A14</f>
        <v>S09</v>
      </c>
      <c r="B178" s="51" t="n">
        <f aca="false">01_Data!F14</f>
        <v>0</v>
      </c>
      <c r="C178" s="51" t="n">
        <f aca="false">01_Data!G14</f>
        <v>0</v>
      </c>
      <c r="D178" s="51" t="n">
        <f aca="false">01_Data!D14</f>
        <v>1</v>
      </c>
      <c r="E178" s="52" t="n">
        <f aca="false">$D$168+$F$168*B178+$H$168*C178</f>
        <v>0.196727615524917</v>
      </c>
      <c r="F178" s="52" t="n">
        <f aca="false">1/(1+EXP(-E178))</f>
        <v>0.54902389653753</v>
      </c>
      <c r="G178" s="53" t="n">
        <f aca="false">F178-D178</f>
        <v>-0.45097610346247</v>
      </c>
      <c r="H178" s="53" t="n">
        <f aca="false">G178</f>
        <v>-0.45097610346247</v>
      </c>
      <c r="I178" s="53" t="n">
        <f aca="false">G178*B178</f>
        <v>-0</v>
      </c>
      <c r="J178" s="53" t="n">
        <f aca="false">G178*C178</f>
        <v>-0</v>
      </c>
      <c r="K178" s="52" t="n">
        <f aca="false">-(D178*LN(MIN(MAX(F178,0.000001),0.999999))+(1-D178)*LN(MIN(MAX(1-F178,0.000001),0.999999)))</f>
        <v>0.599613311029131</v>
      </c>
    </row>
    <row r="179" customFormat="false" ht="12.8" hidden="false" customHeight="false" outlineLevel="0" collapsed="false">
      <c r="A179" s="50" t="str">
        <f aca="false">01_Data!A15</f>
        <v>S10</v>
      </c>
      <c r="B179" s="51" t="n">
        <f aca="false">01_Data!F15</f>
        <v>0.2</v>
      </c>
      <c r="C179" s="51" t="n">
        <f aca="false">01_Data!G15</f>
        <v>0.2</v>
      </c>
      <c r="D179" s="51" t="n">
        <f aca="false">01_Data!D15</f>
        <v>1</v>
      </c>
      <c r="E179" s="52" t="n">
        <f aca="false">$D$168+$F$168*B179+$H$168*C179</f>
        <v>0.42724501812696</v>
      </c>
      <c r="F179" s="52" t="n">
        <f aca="false">1/(1+EXP(-E179))</f>
        <v>0.605215612673552</v>
      </c>
      <c r="G179" s="53" t="n">
        <f aca="false">F179-D179</f>
        <v>-0.394784387326448</v>
      </c>
      <c r="H179" s="53" t="n">
        <f aca="false">G179</f>
        <v>-0.394784387326448</v>
      </c>
      <c r="I179" s="53" t="n">
        <f aca="false">G179*B179</f>
        <v>-0.0789568774652896</v>
      </c>
      <c r="J179" s="53" t="n">
        <f aca="false">G179*C179</f>
        <v>-0.0789568774652896</v>
      </c>
      <c r="K179" s="52" t="n">
        <f aca="false">-(D179*LN(MIN(MAX(F179,0.000001),0.999999))+(1-D179)*LN(MIN(MAX(1-F179,0.000001),0.999999)))</f>
        <v>0.502170499856814</v>
      </c>
    </row>
    <row r="180" customFormat="false" ht="12.8" hidden="false" customHeight="false" outlineLevel="0" collapsed="false">
      <c r="A180" s="50" t="str">
        <f aca="false">01_Data!A16</f>
        <v>S11</v>
      </c>
      <c r="B180" s="51" t="n">
        <f aca="false">01_Data!F16</f>
        <v>0.4</v>
      </c>
      <c r="C180" s="51" t="n">
        <f aca="false">01_Data!G16</f>
        <v>0.333333333333333</v>
      </c>
      <c r="D180" s="51" t="n">
        <f aca="false">01_Data!D16</f>
        <v>1</v>
      </c>
      <c r="E180" s="52" t="n">
        <f aca="false">$D$168+$F$168*B180+$H$168*C180</f>
        <v>0.621379574013287</v>
      </c>
      <c r="F180" s="52" t="n">
        <f aca="false">1/(1+EXP(-E180))</f>
        <v>0.650532246085102</v>
      </c>
      <c r="G180" s="53" t="n">
        <f aca="false">F180-D180</f>
        <v>-0.349467753914898</v>
      </c>
      <c r="H180" s="53" t="n">
        <f aca="false">G180</f>
        <v>-0.349467753914898</v>
      </c>
      <c r="I180" s="53" t="n">
        <f aca="false">G180*B180</f>
        <v>-0.139787101565959</v>
      </c>
      <c r="J180" s="53" t="n">
        <f aca="false">G180*C180</f>
        <v>-0.116489251304966</v>
      </c>
      <c r="K180" s="52" t="n">
        <f aca="false">-(D180*LN(MIN(MAX(F180,0.000001),0.999999))+(1-D180)*LN(MIN(MAX(1-F180,0.000001),0.999999)))</f>
        <v>0.429964411028209</v>
      </c>
    </row>
    <row r="181" customFormat="false" ht="12.8" hidden="false" customHeight="false" outlineLevel="0" collapsed="false">
      <c r="A181" s="50" t="str">
        <f aca="false">01_Data!A17</f>
        <v>S12</v>
      </c>
      <c r="B181" s="51" t="n">
        <f aca="false">01_Data!F17</f>
        <v>0.6</v>
      </c>
      <c r="C181" s="51" t="n">
        <f aca="false">01_Data!G17</f>
        <v>0.466666666666667</v>
      </c>
      <c r="D181" s="51" t="n">
        <f aca="false">01_Data!D17</f>
        <v>1</v>
      </c>
      <c r="E181" s="52" t="n">
        <f aca="false">$D$168+$F$168*B181+$H$168*C181</f>
        <v>0.815514129899613</v>
      </c>
      <c r="F181" s="52" t="n">
        <f aca="false">1/(1+EXP(-E181))</f>
        <v>0.693283285578399</v>
      </c>
      <c r="G181" s="53" t="n">
        <f aca="false">F181-D181</f>
        <v>-0.306716714421601</v>
      </c>
      <c r="H181" s="53" t="n">
        <f aca="false">G181</f>
        <v>-0.306716714421601</v>
      </c>
      <c r="I181" s="53" t="n">
        <f aca="false">G181*B181</f>
        <v>-0.184030028652961</v>
      </c>
      <c r="J181" s="53" t="n">
        <f aca="false">G181*C181</f>
        <v>-0.14313446673008</v>
      </c>
      <c r="K181" s="52" t="n">
        <f aca="false">-(D181*LN(MIN(MAX(F181,0.000001),0.999999))+(1-D181)*LN(MIN(MAX(1-F181,0.000001),0.999999)))</f>
        <v>0.366316581822217</v>
      </c>
    </row>
    <row r="182" customFormat="false" ht="12.8" hidden="false" customHeight="false" outlineLevel="0" collapsed="false">
      <c r="A182" s="50" t="str">
        <f aca="false">01_Data!A18</f>
        <v>S13</v>
      </c>
      <c r="B182" s="51" t="n">
        <f aca="false">01_Data!F18</f>
        <v>0.8</v>
      </c>
      <c r="C182" s="51" t="n">
        <f aca="false">01_Data!G18</f>
        <v>0.666666666666667</v>
      </c>
      <c r="D182" s="51" t="n">
        <f aca="false">01_Data!D18</f>
        <v>1</v>
      </c>
      <c r="E182" s="52" t="n">
        <f aca="false">$D$168+$F$168*B182+$H$168*C182</f>
        <v>1.04603153250166</v>
      </c>
      <c r="F182" s="52" t="n">
        <f aca="false">1/(1+EXP(-E182))</f>
        <v>0.740012116653028</v>
      </c>
      <c r="G182" s="53" t="n">
        <f aca="false">F182-D182</f>
        <v>-0.259987883346972</v>
      </c>
      <c r="H182" s="53" t="n">
        <f aca="false">G182</f>
        <v>-0.259987883346972</v>
      </c>
      <c r="I182" s="53" t="n">
        <f aca="false">G182*B182</f>
        <v>-0.207990306677578</v>
      </c>
      <c r="J182" s="53" t="n">
        <f aca="false">G182*C182</f>
        <v>-0.173325255564648</v>
      </c>
      <c r="K182" s="52" t="n">
        <f aca="false">-(D182*LN(MIN(MAX(F182,0.000001),0.999999))+(1-D182)*LN(MIN(MAX(1-F182,0.000001),0.999999)))</f>
        <v>0.301088719062529</v>
      </c>
    </row>
    <row r="183" customFormat="false" ht="12.8" hidden="false" customHeight="false" outlineLevel="0" collapsed="false">
      <c r="A183" s="50" t="str">
        <f aca="false">01_Data!A19</f>
        <v>S14</v>
      </c>
      <c r="B183" s="51" t="n">
        <f aca="false">01_Data!F19</f>
        <v>1</v>
      </c>
      <c r="C183" s="51" t="n">
        <f aca="false">01_Data!G19</f>
        <v>0.866666666666667</v>
      </c>
      <c r="D183" s="51" t="n">
        <f aca="false">01_Data!D19</f>
        <v>1</v>
      </c>
      <c r="E183" s="52" t="n">
        <f aca="false">$D$168+$F$168*B183+$H$168*C183</f>
        <v>1.2765489351037</v>
      </c>
      <c r="F183" s="52" t="n">
        <f aca="false">1/(1+EXP(-E183))</f>
        <v>0.781861756236548</v>
      </c>
      <c r="G183" s="53" t="n">
        <f aca="false">F183-D183</f>
        <v>-0.218138243763452</v>
      </c>
      <c r="H183" s="53" t="n">
        <f aca="false">G183</f>
        <v>-0.218138243763452</v>
      </c>
      <c r="I183" s="53" t="n">
        <f aca="false">G183*B183</f>
        <v>-0.218138243763452</v>
      </c>
      <c r="J183" s="53" t="n">
        <f aca="false">G183*C183</f>
        <v>-0.189053144594991</v>
      </c>
      <c r="K183" s="52" t="n">
        <f aca="false">-(D183*LN(MIN(MAX(F183,0.000001),0.999999))+(1-D183)*LN(MIN(MAX(1-F183,0.000001),0.999999)))</f>
        <v>0.246077336370864</v>
      </c>
    </row>
    <row r="184" customFormat="false" ht="12.8" hidden="false" customHeight="false" outlineLevel="0" collapsed="false">
      <c r="A184" s="50" t="str">
        <f aca="false">01_Data!A20</f>
        <v>S15</v>
      </c>
      <c r="B184" s="51" t="n">
        <f aca="false">01_Data!F20</f>
        <v>1.2</v>
      </c>
      <c r="C184" s="51" t="n">
        <f aca="false">01_Data!G20</f>
        <v>1</v>
      </c>
      <c r="D184" s="51" t="n">
        <f aca="false">01_Data!D20</f>
        <v>1</v>
      </c>
      <c r="E184" s="52" t="n">
        <f aca="false">$D$168+$F$168*B184+$H$168*C184</f>
        <v>1.47068349099003</v>
      </c>
      <c r="F184" s="52" t="n">
        <f aca="false">1/(1+EXP(-E184))</f>
        <v>0.81316125106667</v>
      </c>
      <c r="G184" s="53" t="n">
        <f aca="false">F184-D184</f>
        <v>-0.18683874893333</v>
      </c>
      <c r="H184" s="53" t="n">
        <f aca="false">G184</f>
        <v>-0.18683874893333</v>
      </c>
      <c r="I184" s="53" t="n">
        <f aca="false">G184*B184</f>
        <v>-0.224206498719996</v>
      </c>
      <c r="J184" s="53" t="n">
        <f aca="false">G184*C184</f>
        <v>-0.18683874893333</v>
      </c>
      <c r="K184" s="52" t="n">
        <f aca="false">-(D184*LN(MIN(MAX(F184,0.000001),0.999999))+(1-D184)*LN(MIN(MAX(1-F184,0.000001),0.999999)))</f>
        <v>0.20682584830585</v>
      </c>
    </row>
    <row r="185" customFormat="false" ht="12.8" hidden="false" customHeight="false" outlineLevel="0" collapsed="false">
      <c r="A185" s="50" t="str">
        <f aca="false">01_Data!A21</f>
        <v>S16</v>
      </c>
      <c r="B185" s="51" t="n">
        <f aca="false">01_Data!F21</f>
        <v>1.4</v>
      </c>
      <c r="C185" s="51" t="n">
        <f aca="false">01_Data!G21</f>
        <v>1.13333333333333</v>
      </c>
      <c r="D185" s="51" t="n">
        <f aca="false">01_Data!D21</f>
        <v>1</v>
      </c>
      <c r="E185" s="52" t="n">
        <f aca="false">$D$168+$F$168*B185+$H$168*C185</f>
        <v>1.66481804687635</v>
      </c>
      <c r="F185" s="52" t="n">
        <f aca="false">1/(1+EXP(-E185))</f>
        <v>0.840883708777594</v>
      </c>
      <c r="G185" s="53" t="n">
        <f aca="false">F185-D185</f>
        <v>-0.159116291222406</v>
      </c>
      <c r="H185" s="53" t="n">
        <f aca="false">G185</f>
        <v>-0.159116291222406</v>
      </c>
      <c r="I185" s="53" t="n">
        <f aca="false">G185*B185</f>
        <v>-0.222762807711369</v>
      </c>
      <c r="J185" s="53" t="n">
        <f aca="false">G185*C185</f>
        <v>-0.180331796718727</v>
      </c>
      <c r="K185" s="52" t="n">
        <f aca="false">-(D185*LN(MIN(MAX(F185,0.000001),0.999999))+(1-D185)*LN(MIN(MAX(1-F185,0.000001),0.999999)))</f>
        <v>0.173301905885963</v>
      </c>
    </row>
    <row r="186" customFormat="false" ht="12.8" hidden="false" customHeight="false" outlineLevel="0" collapsed="false">
      <c r="A186" s="50" t="str">
        <f aca="false">01_Data!A22</f>
        <v>S17</v>
      </c>
      <c r="B186" s="51" t="n">
        <f aca="false">01_Data!F22</f>
        <v>1.6</v>
      </c>
      <c r="C186" s="51" t="n">
        <f aca="false">01_Data!G22</f>
        <v>1.33333333333333</v>
      </c>
      <c r="D186" s="51" t="n">
        <f aca="false">01_Data!D22</f>
        <v>1</v>
      </c>
      <c r="E186" s="52" t="n">
        <f aca="false">$D$168+$F$168*B186+$H$168*C186</f>
        <v>1.8953354494784</v>
      </c>
      <c r="F186" s="52" t="n">
        <f aca="false">1/(1+EXP(-E186))</f>
        <v>0.869362679098486</v>
      </c>
      <c r="G186" s="53" t="n">
        <f aca="false">F186-D186</f>
        <v>-0.130637320901514</v>
      </c>
      <c r="H186" s="53" t="n">
        <f aca="false">G186</f>
        <v>-0.130637320901514</v>
      </c>
      <c r="I186" s="53" t="n">
        <f aca="false">G186*B186</f>
        <v>-0.209019713442423</v>
      </c>
      <c r="J186" s="53" t="n">
        <f aca="false">G186*C186</f>
        <v>-0.174183094535352</v>
      </c>
      <c r="K186" s="52" t="n">
        <f aca="false">-(D186*LN(MIN(MAX(F186,0.000001),0.999999))+(1-D186)*LN(MIN(MAX(1-F186,0.000001),0.999999)))</f>
        <v>0.139994888541752</v>
      </c>
    </row>
    <row r="187" customFormat="false" ht="12.8" hidden="false" customHeight="false" outlineLevel="0" collapsed="false">
      <c r="A187" s="50" t="str">
        <f aca="false">01_Data!A23</f>
        <v>S18</v>
      </c>
      <c r="B187" s="51" t="n">
        <f aca="false">01_Data!F23</f>
        <v>0</v>
      </c>
      <c r="C187" s="51" t="n">
        <f aca="false">01_Data!G23</f>
        <v>-0.666666666666667</v>
      </c>
      <c r="D187" s="51" t="n">
        <f aca="false">01_Data!D23</f>
        <v>0</v>
      </c>
      <c r="E187" s="52" t="n">
        <f aca="false">$D$168+$F$168*B187+$H$168*C187</f>
        <v>-0.167100851632254</v>
      </c>
      <c r="F187" s="52" t="n">
        <f aca="false">1/(1+EXP(-E187))</f>
        <v>0.458321722806343</v>
      </c>
      <c r="G187" s="53" t="n">
        <f aca="false">F187-D187</f>
        <v>0.458321722806343</v>
      </c>
      <c r="H187" s="53" t="n">
        <f aca="false">G187</f>
        <v>0.458321722806343</v>
      </c>
      <c r="I187" s="53" t="n">
        <f aca="false">G187*B187</f>
        <v>0</v>
      </c>
      <c r="J187" s="53" t="n">
        <f aca="false">G187*C187</f>
        <v>-0.305547815204228</v>
      </c>
      <c r="K187" s="52" t="n">
        <f aca="false">-(D187*LN(MIN(MAX(F187,0.000001),0.999999))+(1-D187)*LN(MIN(MAX(1-F187,0.000001),0.999999)))</f>
        <v>0.613083038297072</v>
      </c>
    </row>
    <row r="188" customFormat="false" ht="12.8" hidden="false" customHeight="false" outlineLevel="0" collapsed="false">
      <c r="A188" s="50" t="str">
        <f aca="false">01_Data!A24</f>
        <v>S19</v>
      </c>
      <c r="B188" s="51" t="n">
        <f aca="false">01_Data!F24</f>
        <v>-0.8</v>
      </c>
      <c r="C188" s="51" t="n">
        <f aca="false">01_Data!G24</f>
        <v>0.666666666666667</v>
      </c>
      <c r="D188" s="51" t="n">
        <f aca="false">01_Data!D24</f>
        <v>1</v>
      </c>
      <c r="E188" s="52" t="n">
        <f aca="false">$D$168+$F$168*B188+$H$168*C188</f>
        <v>0.075080632862517</v>
      </c>
      <c r="F188" s="52" t="n">
        <f aca="false">1/(1+EXP(-E188))</f>
        <v>0.518761345742798</v>
      </c>
      <c r="G188" s="53" t="n">
        <f aca="false">F188-D188</f>
        <v>-0.481238654257202</v>
      </c>
      <c r="H188" s="53" t="n">
        <f aca="false">G188</f>
        <v>-0.481238654257202</v>
      </c>
      <c r="I188" s="53" t="n">
        <f aca="false">G188*B188</f>
        <v>0.384990923405762</v>
      </c>
      <c r="J188" s="53" t="n">
        <f aca="false">G188*C188</f>
        <v>-0.320825769504801</v>
      </c>
      <c r="K188" s="52" t="n">
        <f aca="false">-(D188*LN(MIN(MAX(F188,0.000001),0.999999))+(1-D188)*LN(MIN(MAX(1-F188,0.000001),0.999999)))</f>
        <v>0.656311336364985</v>
      </c>
    </row>
    <row r="189" customFormat="false" ht="12.8" hidden="false" customHeight="false" outlineLevel="0" collapsed="false">
      <c r="A189" s="50" t="str">
        <f aca="false">01_Data!A25</f>
        <v>S20</v>
      </c>
      <c r="B189" s="51" t="n">
        <f aca="false">01_Data!F25</f>
        <v>0.8</v>
      </c>
      <c r="C189" s="51" t="n">
        <f aca="false">01_Data!G25</f>
        <v>-0.666666666666667</v>
      </c>
      <c r="D189" s="51" t="n">
        <f aca="false">01_Data!D25</f>
        <v>1</v>
      </c>
      <c r="E189" s="52" t="n">
        <f aca="false">$D$168+$F$168*B189+$H$168*C189</f>
        <v>0.318374598187316</v>
      </c>
      <c r="F189" s="52" t="n">
        <f aca="false">1/(1+EXP(-E189))</f>
        <v>0.578928078278536</v>
      </c>
      <c r="G189" s="53" t="n">
        <f aca="false">F189-D189</f>
        <v>-0.421071921721464</v>
      </c>
      <c r="H189" s="53" t="n">
        <f aca="false">G189</f>
        <v>-0.421071921721464</v>
      </c>
      <c r="I189" s="53" t="n">
        <f aca="false">G189*B189</f>
        <v>-0.336857537377171</v>
      </c>
      <c r="J189" s="53" t="n">
        <f aca="false">G189*C189</f>
        <v>0.280714614480976</v>
      </c>
      <c r="K189" s="52" t="n">
        <f aca="false">-(D189*LN(MIN(MAX(F189,0.000001),0.999999))+(1-D189)*LN(MIN(MAX(1-F189,0.000001),0.999999)))</f>
        <v>0.546577026260245</v>
      </c>
    </row>
    <row r="190" customFormat="false" ht="12.8" hidden="false" customHeight="false" outlineLevel="0" collapsed="false">
      <c r="A190" s="54" t="s">
        <v>138</v>
      </c>
      <c r="B190" s="54"/>
      <c r="C190" s="54"/>
      <c r="D190" s="54"/>
      <c r="E190" s="54"/>
      <c r="F190" s="54"/>
      <c r="G190" s="54" t="s">
        <v>139</v>
      </c>
      <c r="H190" s="55" t="n">
        <f aca="false">AVERAGE(H170:H189)</f>
        <v>-0.0640948887862919</v>
      </c>
      <c r="I190" s="55" t="n">
        <f aca="false">AVERAGE(I170:I189)</f>
        <v>-0.161401799061449</v>
      </c>
      <c r="J190" s="55" t="n">
        <f aca="false">AVERAGE(J170:J189)</f>
        <v>-0.152802114356392</v>
      </c>
      <c r="K190" s="55" t="n">
        <f aca="false">AVERAGE(K170:K189)</f>
        <v>0.404069062262606</v>
      </c>
    </row>
    <row r="191" customFormat="false" ht="22.35" hidden="false" customHeight="true" outlineLevel="0" collapsed="false">
      <c r="A191" s="47" t="s">
        <v>140</v>
      </c>
      <c r="B191" s="47"/>
      <c r="C191" s="47" t="s">
        <v>141</v>
      </c>
      <c r="D191" s="56" t="n">
        <f aca="false">D168-$B$4*H190</f>
        <v>0.222365571039433</v>
      </c>
      <c r="E191" s="47" t="s">
        <v>142</v>
      </c>
      <c r="F191" s="56" t="n">
        <f aca="false">F168-$B$4*I190</f>
        <v>0.671405031899042</v>
      </c>
      <c r="G191" s="47" t="s">
        <v>143</v>
      </c>
      <c r="H191" s="56" t="n">
        <f aca="false">H168-$B$4*J190</f>
        <v>0.606863546478312</v>
      </c>
      <c r="I191" s="48" t="s">
        <v>144</v>
      </c>
      <c r="J191" s="48"/>
      <c r="K191" s="48"/>
    </row>
    <row r="193" customFormat="false" ht="22.5" hidden="false" customHeight="true" outlineLevel="0" collapsed="false">
      <c r="A193" s="57" t="s">
        <v>154</v>
      </c>
      <c r="B193" s="57"/>
      <c r="C193" s="57"/>
      <c r="D193" s="57"/>
      <c r="E193" s="57"/>
      <c r="F193" s="57"/>
      <c r="G193" s="57"/>
      <c r="H193" s="57"/>
      <c r="I193" s="57"/>
      <c r="J193" s="57"/>
      <c r="K193" s="57"/>
    </row>
    <row r="194" customFormat="false" ht="15" hidden="false" customHeight="true" outlineLevel="0" collapsed="false">
      <c r="A194" s="47" t="s">
        <v>122</v>
      </c>
      <c r="B194" s="48" t="n">
        <v>8</v>
      </c>
      <c r="C194" s="47" t="s">
        <v>123</v>
      </c>
      <c r="D194" s="58" t="n">
        <f aca="false">D191</f>
        <v>0.222365571039433</v>
      </c>
      <c r="E194" s="47" t="s">
        <v>124</v>
      </c>
      <c r="F194" s="58" t="n">
        <f aca="false">F191</f>
        <v>0.671405031899042</v>
      </c>
      <c r="G194" s="47" t="s">
        <v>125</v>
      </c>
      <c r="H194" s="58" t="n">
        <f aca="false">H191</f>
        <v>0.606863546478312</v>
      </c>
      <c r="I194" s="48" t="s">
        <v>126</v>
      </c>
      <c r="J194" s="48"/>
      <c r="K194" s="48"/>
    </row>
    <row r="195" customFormat="false" ht="33.75" hidden="false" customHeight="true" outlineLevel="0" collapsed="false">
      <c r="A195" s="18" t="s">
        <v>127</v>
      </c>
      <c r="B195" s="18" t="s">
        <v>128</v>
      </c>
      <c r="C195" s="18" t="s">
        <v>129</v>
      </c>
      <c r="D195" s="18" t="s">
        <v>130</v>
      </c>
      <c r="E195" s="18" t="s">
        <v>131</v>
      </c>
      <c r="F195" s="18" t="s">
        <v>132</v>
      </c>
      <c r="G195" s="18" t="s">
        <v>133</v>
      </c>
      <c r="H195" s="18" t="s">
        <v>146</v>
      </c>
      <c r="I195" s="18" t="s">
        <v>147</v>
      </c>
      <c r="J195" s="18" t="s">
        <v>148</v>
      </c>
      <c r="K195" s="18" t="s">
        <v>33</v>
      </c>
    </row>
    <row r="196" customFormat="false" ht="12.8" hidden="false" customHeight="false" outlineLevel="0" collapsed="false">
      <c r="A196" s="50" t="str">
        <f aca="false">01_Data!A6</f>
        <v>S01</v>
      </c>
      <c r="B196" s="51" t="n">
        <f aca="false">01_Data!F6</f>
        <v>-1.6</v>
      </c>
      <c r="C196" s="51" t="n">
        <f aca="false">01_Data!G6</f>
        <v>-1.33333333333333</v>
      </c>
      <c r="D196" s="51" t="n">
        <f aca="false">01_Data!D6</f>
        <v>0</v>
      </c>
      <c r="E196" s="52" t="n">
        <f aca="false">$D$194+$F$194*B196+$H$194*C196</f>
        <v>-1.66103387530345</v>
      </c>
      <c r="F196" s="52" t="n">
        <f aca="false">1/(1+EXP(-E196))</f>
        <v>0.159623260300846</v>
      </c>
      <c r="G196" s="53" t="n">
        <f aca="false">F196-D196</f>
        <v>0.159623260300846</v>
      </c>
      <c r="H196" s="53" t="n">
        <f aca="false">G196</f>
        <v>0.159623260300846</v>
      </c>
      <c r="I196" s="53" t="n">
        <f aca="false">G196*B196</f>
        <v>-0.255397216481354</v>
      </c>
      <c r="J196" s="53" t="n">
        <f aca="false">G196*C196</f>
        <v>-0.212831013734461</v>
      </c>
      <c r="K196" s="52" t="n">
        <f aca="false">-(D196*LN(MIN(MAX(F196,0.000001),0.999999))+(1-D196)*LN(MIN(MAX(1-F196,0.000001),0.999999)))</f>
        <v>0.17390498804883</v>
      </c>
    </row>
    <row r="197" customFormat="false" ht="12.8" hidden="false" customHeight="false" outlineLevel="0" collapsed="false">
      <c r="A197" s="50" t="str">
        <f aca="false">01_Data!A7</f>
        <v>S02</v>
      </c>
      <c r="B197" s="51" t="n">
        <f aca="false">01_Data!F7</f>
        <v>-1.4</v>
      </c>
      <c r="C197" s="51" t="n">
        <f aca="false">01_Data!G7</f>
        <v>-1</v>
      </c>
      <c r="D197" s="51" t="n">
        <f aca="false">01_Data!D7</f>
        <v>0</v>
      </c>
      <c r="E197" s="52" t="n">
        <f aca="false">$D$194+$F$194*B197+$H$194*C197</f>
        <v>-1.32446502009754</v>
      </c>
      <c r="F197" s="52" t="n">
        <f aca="false">1/(1+EXP(-E197))</f>
        <v>0.210076389669557</v>
      </c>
      <c r="G197" s="53" t="n">
        <f aca="false">F197-D197</f>
        <v>0.210076389669557</v>
      </c>
      <c r="H197" s="53" t="n">
        <f aca="false">G197</f>
        <v>0.210076389669557</v>
      </c>
      <c r="I197" s="53" t="n">
        <f aca="false">G197*B197</f>
        <v>-0.29410694553738</v>
      </c>
      <c r="J197" s="53" t="n">
        <f aca="false">G197*C197</f>
        <v>-0.210076389669557</v>
      </c>
      <c r="K197" s="52" t="n">
        <f aca="false">-(D197*LN(MIN(MAX(F197,0.000001),0.999999))+(1-D197)*LN(MIN(MAX(1-F197,0.000001),0.999999)))</f>
        <v>0.235819033980658</v>
      </c>
    </row>
    <row r="198" customFormat="false" ht="12.8" hidden="false" customHeight="false" outlineLevel="0" collapsed="false">
      <c r="A198" s="50" t="str">
        <f aca="false">01_Data!A8</f>
        <v>S03</v>
      </c>
      <c r="B198" s="51" t="n">
        <f aca="false">01_Data!F8</f>
        <v>-1.2</v>
      </c>
      <c r="C198" s="51" t="n">
        <f aca="false">01_Data!G8</f>
        <v>-1.13333333333333</v>
      </c>
      <c r="D198" s="51" t="n">
        <f aca="false">01_Data!D8</f>
        <v>0</v>
      </c>
      <c r="E198" s="52" t="n">
        <f aca="false">$D$194+$F$194*B198+$H$194*C198</f>
        <v>-1.27109915324817</v>
      </c>
      <c r="F198" s="52" t="n">
        <f aca="false">1/(1+EXP(-E198))</f>
        <v>0.219069153239726</v>
      </c>
      <c r="G198" s="53" t="n">
        <f aca="false">F198-D198</f>
        <v>0.219069153239726</v>
      </c>
      <c r="H198" s="53" t="n">
        <f aca="false">G198</f>
        <v>0.219069153239726</v>
      </c>
      <c r="I198" s="53" t="n">
        <f aca="false">G198*B198</f>
        <v>-0.262882983887672</v>
      </c>
      <c r="J198" s="53" t="n">
        <f aca="false">G198*C198</f>
        <v>-0.24827837367169</v>
      </c>
      <c r="K198" s="52" t="n">
        <f aca="false">-(D198*LN(MIN(MAX(F198,0.000001),0.999999))+(1-D198)*LN(MIN(MAX(1-F198,0.000001),0.999999)))</f>
        <v>0.247268677543829</v>
      </c>
    </row>
    <row r="199" customFormat="false" ht="12.8" hidden="false" customHeight="false" outlineLevel="0" collapsed="false">
      <c r="A199" s="50" t="str">
        <f aca="false">01_Data!A9</f>
        <v>S04</v>
      </c>
      <c r="B199" s="51" t="n">
        <f aca="false">01_Data!F9</f>
        <v>-1</v>
      </c>
      <c r="C199" s="51" t="n">
        <f aca="false">01_Data!G9</f>
        <v>-0.666666666666667</v>
      </c>
      <c r="D199" s="51" t="n">
        <f aca="false">01_Data!D9</f>
        <v>0</v>
      </c>
      <c r="E199" s="52" t="n">
        <f aca="false">$D$194+$F$194*B199+$H$194*C199</f>
        <v>-0.853615158511816</v>
      </c>
      <c r="F199" s="52" t="n">
        <f aca="false">1/(1+EXP(-E199))</f>
        <v>0.298675045826316</v>
      </c>
      <c r="G199" s="53" t="n">
        <f aca="false">F199-D199</f>
        <v>0.298675045826316</v>
      </c>
      <c r="H199" s="53" t="n">
        <f aca="false">G199</f>
        <v>0.298675045826316</v>
      </c>
      <c r="I199" s="53" t="n">
        <f aca="false">G199*B199</f>
        <v>-0.298675045826316</v>
      </c>
      <c r="J199" s="53" t="n">
        <f aca="false">G199*C199</f>
        <v>-0.199116697217544</v>
      </c>
      <c r="K199" s="52" t="n">
        <f aca="false">-(D199*LN(MIN(MAX(F199,0.000001),0.999999))+(1-D199)*LN(MIN(MAX(1-F199,0.000001),0.999999)))</f>
        <v>0.354783941335001</v>
      </c>
    </row>
    <row r="200" customFormat="false" ht="12.8" hidden="false" customHeight="false" outlineLevel="0" collapsed="false">
      <c r="A200" s="50" t="str">
        <f aca="false">01_Data!A10</f>
        <v>S05</v>
      </c>
      <c r="B200" s="51" t="n">
        <f aca="false">01_Data!F10</f>
        <v>-0.8</v>
      </c>
      <c r="C200" s="51" t="n">
        <f aca="false">01_Data!G10</f>
        <v>-0.866666666666667</v>
      </c>
      <c r="D200" s="51" t="n">
        <f aca="false">01_Data!D10</f>
        <v>0</v>
      </c>
      <c r="E200" s="52" t="n">
        <f aca="false">$D$194+$F$194*B200+$H$194*C200</f>
        <v>-0.840706861427671</v>
      </c>
      <c r="F200" s="52" t="n">
        <f aca="false">1/(1+EXP(-E200))</f>
        <v>0.301385931699164</v>
      </c>
      <c r="G200" s="53" t="n">
        <f aca="false">F200-D200</f>
        <v>0.301385931699164</v>
      </c>
      <c r="H200" s="53" t="n">
        <f aca="false">G200</f>
        <v>0.301385931699164</v>
      </c>
      <c r="I200" s="53" t="n">
        <f aca="false">G200*B200</f>
        <v>-0.241108745359331</v>
      </c>
      <c r="J200" s="53" t="n">
        <f aca="false">G200*C200</f>
        <v>-0.261201140805942</v>
      </c>
      <c r="K200" s="52" t="n">
        <f aca="false">-(D200*LN(MIN(MAX(F200,0.000001),0.999999))+(1-D200)*LN(MIN(MAX(1-F200,0.000001),0.999999)))</f>
        <v>0.35865680896385</v>
      </c>
    </row>
    <row r="201" customFormat="false" ht="12.8" hidden="false" customHeight="false" outlineLevel="0" collapsed="false">
      <c r="A201" s="50" t="str">
        <f aca="false">01_Data!A11</f>
        <v>S06</v>
      </c>
      <c r="B201" s="51" t="n">
        <f aca="false">01_Data!F11</f>
        <v>-0.6</v>
      </c>
      <c r="C201" s="51" t="n">
        <f aca="false">01_Data!G11</f>
        <v>-0.333333333333333</v>
      </c>
      <c r="D201" s="51" t="n">
        <f aca="false">01_Data!D11</f>
        <v>0</v>
      </c>
      <c r="E201" s="52" t="n">
        <f aca="false">$D$194+$F$194*B201+$H$194*C201</f>
        <v>-0.382765296926096</v>
      </c>
      <c r="F201" s="52" t="n">
        <f aca="false">1/(1+EXP(-E201))</f>
        <v>0.405460114584751</v>
      </c>
      <c r="G201" s="53" t="n">
        <f aca="false">F201-D201</f>
        <v>0.405460114584751</v>
      </c>
      <c r="H201" s="53" t="n">
        <f aca="false">G201</f>
        <v>0.405460114584751</v>
      </c>
      <c r="I201" s="53" t="n">
        <f aca="false">G201*B201</f>
        <v>-0.24327606875085</v>
      </c>
      <c r="J201" s="53" t="n">
        <f aca="false">G201*C201</f>
        <v>-0.13515337152825</v>
      </c>
      <c r="K201" s="52" t="n">
        <f aca="false">-(D201*LN(MIN(MAX(F201,0.000001),0.999999))+(1-D201)*LN(MIN(MAX(1-F201,0.000001),0.999999)))</f>
        <v>0.519967474411706</v>
      </c>
    </row>
    <row r="202" customFormat="false" ht="15" hidden="false" customHeight="false" outlineLevel="0" collapsed="false">
      <c r="A202" s="50" t="str">
        <f aca="false">01_Data!A12</f>
        <v>S07</v>
      </c>
      <c r="B202" s="51" t="n">
        <f aca="false">01_Data!F12</f>
        <v>-0.4</v>
      </c>
      <c r="C202" s="51" t="n">
        <f aca="false">01_Data!G12</f>
        <v>-0.466666666666667</v>
      </c>
      <c r="D202" s="51" t="n">
        <f aca="false">01_Data!D12</f>
        <v>0</v>
      </c>
      <c r="E202" s="52" t="n">
        <f aca="false">$D$194+$F$194*B202+$H$194*C202</f>
        <v>-0.329399430076729</v>
      </c>
      <c r="F202" s="52" t="n">
        <f aca="false">1/(1+EXP(-E202))</f>
        <v>0.418386758243019</v>
      </c>
      <c r="G202" s="53" t="n">
        <f aca="false">F202-D202</f>
        <v>0.418386758243019</v>
      </c>
      <c r="H202" s="53" t="n">
        <f aca="false">G202</f>
        <v>0.418386758243019</v>
      </c>
      <c r="I202" s="53" t="n">
        <f aca="false">G202*B202</f>
        <v>-0.167354703297208</v>
      </c>
      <c r="J202" s="53" t="n">
        <f aca="false">G202*C202</f>
        <v>-0.195247153846742</v>
      </c>
      <c r="K202" s="52" t="n">
        <f aca="false">-(D202*LN(MIN(MAX(F202,0.000001),0.999999))+(1-D202)*LN(MIN(MAX(1-F202,0.000001),0.999999)))</f>
        <v>0.541949585214271</v>
      </c>
    </row>
    <row r="203" customFormat="false" ht="15" hidden="false" customHeight="false" outlineLevel="0" collapsed="false">
      <c r="A203" s="50" t="str">
        <f aca="false">01_Data!A13</f>
        <v>S08</v>
      </c>
      <c r="B203" s="51" t="n">
        <f aca="false">01_Data!F13</f>
        <v>-0.2</v>
      </c>
      <c r="C203" s="51" t="n">
        <f aca="false">01_Data!G13</f>
        <v>-0.2</v>
      </c>
      <c r="D203" s="51" t="n">
        <f aca="false">01_Data!D13</f>
        <v>1</v>
      </c>
      <c r="E203" s="52" t="n">
        <f aca="false">$D$194+$F$194*B203+$H$194*C203</f>
        <v>-0.0332881446360375</v>
      </c>
      <c r="F203" s="52" t="n">
        <f aca="false">1/(1+EXP(-E203))</f>
        <v>0.491678732226932</v>
      </c>
      <c r="G203" s="53" t="n">
        <f aca="false">F203-D203</f>
        <v>-0.508321267773068</v>
      </c>
      <c r="H203" s="53" t="n">
        <f aca="false">G203</f>
        <v>-0.508321267773068</v>
      </c>
      <c r="I203" s="53" t="n">
        <f aca="false">G203*B203</f>
        <v>0.101664253554614</v>
      </c>
      <c r="J203" s="53" t="n">
        <f aca="false">G203*C203</f>
        <v>0.101664253554614</v>
      </c>
      <c r="K203" s="52" t="n">
        <f aca="false">-(D203*LN(MIN(MAX(F203,0.000001),0.999999))+(1-D203)*LN(MIN(MAX(1-F203,0.000001),0.999999)))</f>
        <v>0.709929759054856</v>
      </c>
    </row>
    <row r="204" customFormat="false" ht="15" hidden="false" customHeight="false" outlineLevel="0" collapsed="false">
      <c r="A204" s="50" t="str">
        <f aca="false">01_Data!A14</f>
        <v>S09</v>
      </c>
      <c r="B204" s="51" t="n">
        <f aca="false">01_Data!F14</f>
        <v>0</v>
      </c>
      <c r="C204" s="51" t="n">
        <f aca="false">01_Data!G14</f>
        <v>0</v>
      </c>
      <c r="D204" s="51" t="n">
        <f aca="false">01_Data!D14</f>
        <v>1</v>
      </c>
      <c r="E204" s="52" t="n">
        <f aca="false">$D$194+$F$194*B204+$H$194*C204</f>
        <v>0.222365571039433</v>
      </c>
      <c r="F204" s="52" t="n">
        <f aca="false">1/(1+EXP(-E204))</f>
        <v>0.555363453367365</v>
      </c>
      <c r="G204" s="53" t="n">
        <f aca="false">F204-D204</f>
        <v>-0.444636546632635</v>
      </c>
      <c r="H204" s="53" t="n">
        <f aca="false">G204</f>
        <v>-0.444636546632635</v>
      </c>
      <c r="I204" s="53" t="n">
        <f aca="false">G204*B204</f>
        <v>-0</v>
      </c>
      <c r="J204" s="53" t="n">
        <f aca="false">G204*C204</f>
        <v>-0</v>
      </c>
      <c r="K204" s="52" t="n">
        <f aca="false">-(D204*LN(MIN(MAX(F204,0.000001),0.999999))+(1-D204)*LN(MIN(MAX(1-F204,0.000001),0.999999)))</f>
        <v>0.588132508637913</v>
      </c>
    </row>
    <row r="205" customFormat="false" ht="15" hidden="false" customHeight="false" outlineLevel="0" collapsed="false">
      <c r="A205" s="50" t="str">
        <f aca="false">01_Data!A15</f>
        <v>S10</v>
      </c>
      <c r="B205" s="51" t="n">
        <f aca="false">01_Data!F15</f>
        <v>0.2</v>
      </c>
      <c r="C205" s="51" t="n">
        <f aca="false">01_Data!G15</f>
        <v>0.2</v>
      </c>
      <c r="D205" s="51" t="n">
        <f aca="false">01_Data!D15</f>
        <v>1</v>
      </c>
      <c r="E205" s="52" t="n">
        <f aca="false">$D$194+$F$194*B205+$H$194*C205</f>
        <v>0.478019286714904</v>
      </c>
      <c r="F205" s="52" t="n">
        <f aca="false">1/(1+EXP(-E205))</f>
        <v>0.617280049214582</v>
      </c>
      <c r="G205" s="53" t="n">
        <f aca="false">F205-D205</f>
        <v>-0.382719950785418</v>
      </c>
      <c r="H205" s="53" t="n">
        <f aca="false">G205</f>
        <v>-0.382719950785418</v>
      </c>
      <c r="I205" s="53" t="n">
        <f aca="false">G205*B205</f>
        <v>-0.0765439901570836</v>
      </c>
      <c r="J205" s="53" t="n">
        <f aca="false">G205*C205</f>
        <v>-0.0765439901570836</v>
      </c>
      <c r="K205" s="52" t="n">
        <f aca="false">-(D205*LN(MIN(MAX(F205,0.000001),0.999999))+(1-D205)*LN(MIN(MAX(1-F205,0.000001),0.999999)))</f>
        <v>0.482432469536643</v>
      </c>
    </row>
    <row r="206" customFormat="false" ht="15" hidden="false" customHeight="false" outlineLevel="0" collapsed="false">
      <c r="A206" s="50" t="str">
        <f aca="false">01_Data!A16</f>
        <v>S11</v>
      </c>
      <c r="B206" s="51" t="n">
        <f aca="false">01_Data!F16</f>
        <v>0.4</v>
      </c>
      <c r="C206" s="51" t="n">
        <f aca="false">01_Data!G16</f>
        <v>0.333333333333333</v>
      </c>
      <c r="D206" s="51" t="n">
        <f aca="false">01_Data!D16</f>
        <v>1</v>
      </c>
      <c r="E206" s="52" t="n">
        <f aca="false">$D$194+$F$194*B206+$H$194*C206</f>
        <v>0.693215432625154</v>
      </c>
      <c r="F206" s="52" t="n">
        <f aca="false">1/(1+EXP(-E206))</f>
        <v>0.666681833619733</v>
      </c>
      <c r="G206" s="53" t="n">
        <f aca="false">F206-D206</f>
        <v>-0.333318166380267</v>
      </c>
      <c r="H206" s="53" t="n">
        <f aca="false">G206</f>
        <v>-0.333318166380267</v>
      </c>
      <c r="I206" s="53" t="n">
        <f aca="false">G206*B206</f>
        <v>-0.133327266552107</v>
      </c>
      <c r="J206" s="53" t="n">
        <f aca="false">G206*C206</f>
        <v>-0.111106055460089</v>
      </c>
      <c r="K206" s="52" t="n">
        <f aca="false">-(D206*LN(MIN(MAX(F206,0.000001),0.999999))+(1-D206)*LN(MIN(MAX(1-F206,0.000001),0.999999)))</f>
        <v>0.405442357937352</v>
      </c>
    </row>
    <row r="207" customFormat="false" ht="15" hidden="false" customHeight="false" outlineLevel="0" collapsed="false">
      <c r="A207" s="50" t="str">
        <f aca="false">01_Data!A17</f>
        <v>S12</v>
      </c>
      <c r="B207" s="51" t="n">
        <f aca="false">01_Data!F17</f>
        <v>0.6</v>
      </c>
      <c r="C207" s="51" t="n">
        <f aca="false">01_Data!G17</f>
        <v>0.466666666666667</v>
      </c>
      <c r="D207" s="51" t="n">
        <f aca="false">01_Data!D17</f>
        <v>1</v>
      </c>
      <c r="E207" s="52" t="n">
        <f aca="false">$D$194+$F$194*B207+$H$194*C207</f>
        <v>0.908411578535404</v>
      </c>
      <c r="F207" s="52" t="n">
        <f aca="false">1/(1+EXP(-E207))</f>
        <v>0.712675012648709</v>
      </c>
      <c r="G207" s="53" t="n">
        <f aca="false">F207-D207</f>
        <v>-0.287324987351291</v>
      </c>
      <c r="H207" s="53" t="n">
        <f aca="false">G207</f>
        <v>-0.287324987351291</v>
      </c>
      <c r="I207" s="53" t="n">
        <f aca="false">G207*B207</f>
        <v>-0.172394992410775</v>
      </c>
      <c r="J207" s="53" t="n">
        <f aca="false">G207*C207</f>
        <v>-0.134084994097269</v>
      </c>
      <c r="K207" s="52" t="n">
        <f aca="false">-(D207*LN(MIN(MAX(F207,0.000001),0.999999))+(1-D207)*LN(MIN(MAX(1-F207,0.000001),0.999999)))</f>
        <v>0.338729765214218</v>
      </c>
    </row>
    <row r="208" customFormat="false" ht="15" hidden="false" customHeight="false" outlineLevel="0" collapsed="false">
      <c r="A208" s="50" t="str">
        <f aca="false">01_Data!A18</f>
        <v>S13</v>
      </c>
      <c r="B208" s="51" t="n">
        <f aca="false">01_Data!F18</f>
        <v>0.8</v>
      </c>
      <c r="C208" s="51" t="n">
        <f aca="false">01_Data!G18</f>
        <v>0.666666666666667</v>
      </c>
      <c r="D208" s="51" t="n">
        <f aca="false">01_Data!D18</f>
        <v>1</v>
      </c>
      <c r="E208" s="52" t="n">
        <f aca="false">$D$194+$F$194*B208+$H$194*C208</f>
        <v>1.16406529421087</v>
      </c>
      <c r="F208" s="52" t="n">
        <f aca="false">1/(1+EXP(-E208))</f>
        <v>0.762070615032703</v>
      </c>
      <c r="G208" s="53" t="n">
        <f aca="false">F208-D208</f>
        <v>-0.237929384967297</v>
      </c>
      <c r="H208" s="53" t="n">
        <f aca="false">G208</f>
        <v>-0.237929384967297</v>
      </c>
      <c r="I208" s="53" t="n">
        <f aca="false">G208*B208</f>
        <v>-0.190343507973838</v>
      </c>
      <c r="J208" s="53" t="n">
        <f aca="false">G208*C208</f>
        <v>-0.158619589978198</v>
      </c>
      <c r="K208" s="52" t="n">
        <f aca="false">-(D208*LN(MIN(MAX(F208,0.000001),0.999999))+(1-D208)*LN(MIN(MAX(1-F208,0.000001),0.999999)))</f>
        <v>0.271716056942559</v>
      </c>
    </row>
    <row r="209" customFormat="false" ht="15" hidden="false" customHeight="false" outlineLevel="0" collapsed="false">
      <c r="A209" s="50" t="str">
        <f aca="false">01_Data!A19</f>
        <v>S14</v>
      </c>
      <c r="B209" s="51" t="n">
        <f aca="false">01_Data!F19</f>
        <v>1</v>
      </c>
      <c r="C209" s="51" t="n">
        <f aca="false">01_Data!G19</f>
        <v>0.866666666666667</v>
      </c>
      <c r="D209" s="51" t="n">
        <f aca="false">01_Data!D19</f>
        <v>1</v>
      </c>
      <c r="E209" s="52" t="n">
        <f aca="false">$D$194+$F$194*B209+$H$194*C209</f>
        <v>1.41971900988635</v>
      </c>
      <c r="F209" s="52" t="n">
        <f aca="false">1/(1+EXP(-E209))</f>
        <v>0.805294362243999</v>
      </c>
      <c r="G209" s="53" t="n">
        <f aca="false">F209-D209</f>
        <v>-0.194705637756001</v>
      </c>
      <c r="H209" s="53" t="n">
        <f aca="false">G209</f>
        <v>-0.194705637756001</v>
      </c>
      <c r="I209" s="53" t="n">
        <f aca="false">G209*B209</f>
        <v>-0.194705637756001</v>
      </c>
      <c r="J209" s="53" t="n">
        <f aca="false">G209*C209</f>
        <v>-0.168744886055201</v>
      </c>
      <c r="K209" s="52" t="n">
        <f aca="false">-(D209*LN(MIN(MAX(F209,0.000001),0.999999))+(1-D209)*LN(MIN(MAX(1-F209,0.000001),0.999999)))</f>
        <v>0.216547401019748</v>
      </c>
    </row>
    <row r="210" customFormat="false" ht="15" hidden="false" customHeight="false" outlineLevel="0" collapsed="false">
      <c r="A210" s="50" t="str">
        <f aca="false">01_Data!A20</f>
        <v>S15</v>
      </c>
      <c r="B210" s="51" t="n">
        <f aca="false">01_Data!F20</f>
        <v>1.2</v>
      </c>
      <c r="C210" s="51" t="n">
        <f aca="false">01_Data!G20</f>
        <v>1</v>
      </c>
      <c r="D210" s="51" t="n">
        <f aca="false">01_Data!D20</f>
        <v>1</v>
      </c>
      <c r="E210" s="52" t="n">
        <f aca="false">$D$194+$F$194*B210+$H$194*C210</f>
        <v>1.6349151557966</v>
      </c>
      <c r="F210" s="52" t="n">
        <f aca="false">1/(1+EXP(-E210))</f>
        <v>0.836841853769517</v>
      </c>
      <c r="G210" s="53" t="n">
        <f aca="false">F210-D210</f>
        <v>-0.163158146230483</v>
      </c>
      <c r="H210" s="53" t="n">
        <f aca="false">G210</f>
        <v>-0.163158146230483</v>
      </c>
      <c r="I210" s="53" t="n">
        <f aca="false">G210*B210</f>
        <v>-0.19578977547658</v>
      </c>
      <c r="J210" s="53" t="n">
        <f aca="false">G210*C210</f>
        <v>-0.163158146230483</v>
      </c>
      <c r="K210" s="52" t="n">
        <f aca="false">-(D210*LN(MIN(MAX(F210,0.000001),0.999999))+(1-D210)*LN(MIN(MAX(1-F210,0.000001),0.999999)))</f>
        <v>0.178120170467292</v>
      </c>
    </row>
    <row r="211" customFormat="false" ht="15" hidden="false" customHeight="false" outlineLevel="0" collapsed="false">
      <c r="A211" s="50" t="str">
        <f aca="false">01_Data!A21</f>
        <v>S16</v>
      </c>
      <c r="B211" s="51" t="n">
        <f aca="false">01_Data!F21</f>
        <v>1.4</v>
      </c>
      <c r="C211" s="51" t="n">
        <f aca="false">01_Data!G21</f>
        <v>1.13333333333333</v>
      </c>
      <c r="D211" s="51" t="n">
        <f aca="false">01_Data!D21</f>
        <v>1</v>
      </c>
      <c r="E211" s="52" t="n">
        <f aca="false">$D$194+$F$194*B211+$H$194*C211</f>
        <v>1.85011130170685</v>
      </c>
      <c r="F211" s="52" t="n">
        <f aca="false">1/(1+EXP(-E211))</f>
        <v>0.864140170556398</v>
      </c>
      <c r="G211" s="53" t="n">
        <f aca="false">F211-D211</f>
        <v>-0.135859829443602</v>
      </c>
      <c r="H211" s="53" t="n">
        <f aca="false">G211</f>
        <v>-0.135859829443602</v>
      </c>
      <c r="I211" s="53" t="n">
        <f aca="false">G211*B211</f>
        <v>-0.190203761221043</v>
      </c>
      <c r="J211" s="53" t="n">
        <f aca="false">G211*C211</f>
        <v>-0.153974473369416</v>
      </c>
      <c r="K211" s="52" t="n">
        <f aca="false">-(D211*LN(MIN(MAX(F211,0.000001),0.999999))+(1-D211)*LN(MIN(MAX(1-F211,0.000001),0.999999)))</f>
        <v>0.14602028889639</v>
      </c>
    </row>
    <row r="212" customFormat="false" ht="15" hidden="false" customHeight="false" outlineLevel="0" collapsed="false">
      <c r="A212" s="50" t="str">
        <f aca="false">01_Data!A22</f>
        <v>S17</v>
      </c>
      <c r="B212" s="51" t="n">
        <f aca="false">01_Data!F22</f>
        <v>1.6</v>
      </c>
      <c r="C212" s="51" t="n">
        <f aca="false">01_Data!G22</f>
        <v>1.33333333333333</v>
      </c>
      <c r="D212" s="51" t="n">
        <f aca="false">01_Data!D22</f>
        <v>1</v>
      </c>
      <c r="E212" s="52" t="n">
        <f aca="false">$D$194+$F$194*B212+$H$194*C212</f>
        <v>2.10576501738232</v>
      </c>
      <c r="F212" s="52" t="n">
        <f aca="false">1/(1+EXP(-E212))</f>
        <v>0.891462246523954</v>
      </c>
      <c r="G212" s="53" t="n">
        <f aca="false">F212-D212</f>
        <v>-0.108537753476046</v>
      </c>
      <c r="H212" s="53" t="n">
        <f aca="false">G212</f>
        <v>-0.108537753476046</v>
      </c>
      <c r="I212" s="53" t="n">
        <f aca="false">G212*B212</f>
        <v>-0.173660405561674</v>
      </c>
      <c r="J212" s="53" t="n">
        <f aca="false">G212*C212</f>
        <v>-0.144717004634728</v>
      </c>
      <c r="K212" s="52" t="n">
        <f aca="false">-(D212*LN(MIN(MAX(F212,0.000001),0.999999))+(1-D212)*LN(MIN(MAX(1-F212,0.000001),0.999999)))</f>
        <v>0.114892190838186</v>
      </c>
    </row>
    <row r="213" customFormat="false" ht="15" hidden="false" customHeight="false" outlineLevel="0" collapsed="false">
      <c r="A213" s="50" t="str">
        <f aca="false">01_Data!A23</f>
        <v>S18</v>
      </c>
      <c r="B213" s="51" t="n">
        <f aca="false">01_Data!F23</f>
        <v>0</v>
      </c>
      <c r="C213" s="51" t="n">
        <f aca="false">01_Data!G23</f>
        <v>-0.666666666666667</v>
      </c>
      <c r="D213" s="51" t="n">
        <f aca="false">01_Data!D23</f>
        <v>0</v>
      </c>
      <c r="E213" s="52" t="n">
        <f aca="false">$D$194+$F$194*B213+$H$194*C213</f>
        <v>-0.182210126612775</v>
      </c>
      <c r="F213" s="52" t="n">
        <f aca="false">1/(1+EXP(-E213))</f>
        <v>0.454573082003007</v>
      </c>
      <c r="G213" s="53" t="n">
        <f aca="false">F213-D213</f>
        <v>0.454573082003007</v>
      </c>
      <c r="H213" s="53" t="n">
        <f aca="false">G213</f>
        <v>0.454573082003007</v>
      </c>
      <c r="I213" s="53" t="n">
        <f aca="false">G213*B213</f>
        <v>0</v>
      </c>
      <c r="J213" s="53" t="n">
        <f aca="false">G213*C213</f>
        <v>-0.303048721335338</v>
      </c>
      <c r="K213" s="52" t="n">
        <f aca="false">-(D213*LN(MIN(MAX(F213,0.000001),0.999999))+(1-D213)*LN(MIN(MAX(1-F213,0.000001),0.999999)))</f>
        <v>0.606186455191934</v>
      </c>
    </row>
    <row r="214" customFormat="false" ht="15" hidden="false" customHeight="false" outlineLevel="0" collapsed="false">
      <c r="A214" s="50" t="str">
        <f aca="false">01_Data!A24</f>
        <v>S19</v>
      </c>
      <c r="B214" s="51" t="n">
        <f aca="false">01_Data!F24</f>
        <v>-0.8</v>
      </c>
      <c r="C214" s="51" t="n">
        <f aca="false">01_Data!G24</f>
        <v>0.666666666666667</v>
      </c>
      <c r="D214" s="51" t="n">
        <f aca="false">01_Data!D24</f>
        <v>1</v>
      </c>
      <c r="E214" s="52" t="n">
        <f aca="false">$D$194+$F$194*B214+$H$194*C214</f>
        <v>0.089817243172408</v>
      </c>
      <c r="F214" s="52" t="n">
        <f aca="false">1/(1+EXP(-E214))</f>
        <v>0.522439227793544</v>
      </c>
      <c r="G214" s="53" t="n">
        <f aca="false">F214-D214</f>
        <v>-0.477560772206456</v>
      </c>
      <c r="H214" s="53" t="n">
        <f aca="false">G214</f>
        <v>-0.477560772206456</v>
      </c>
      <c r="I214" s="53" t="n">
        <f aca="false">G214*B214</f>
        <v>0.382048617765165</v>
      </c>
      <c r="J214" s="53" t="n">
        <f aca="false">G214*C214</f>
        <v>-0.318373848137638</v>
      </c>
      <c r="K214" s="52" t="n">
        <f aca="false">-(D214*LN(MIN(MAX(F214,0.000001),0.999999))+(1-D214)*LN(MIN(MAX(1-F214,0.000001),0.999999)))</f>
        <v>0.649246612350734</v>
      </c>
    </row>
    <row r="215" customFormat="false" ht="15" hidden="false" customHeight="false" outlineLevel="0" collapsed="false">
      <c r="A215" s="50" t="str">
        <f aca="false">01_Data!A25</f>
        <v>S20</v>
      </c>
      <c r="B215" s="51" t="n">
        <f aca="false">01_Data!F25</f>
        <v>0.8</v>
      </c>
      <c r="C215" s="51" t="n">
        <f aca="false">01_Data!G25</f>
        <v>-0.666666666666667</v>
      </c>
      <c r="D215" s="51" t="n">
        <f aca="false">01_Data!D25</f>
        <v>1</v>
      </c>
      <c r="E215" s="52" t="n">
        <f aca="false">$D$194+$F$194*B215+$H$194*C215</f>
        <v>0.354913898906459</v>
      </c>
      <c r="F215" s="52" t="n">
        <f aca="false">1/(1+EXP(-E215))</f>
        <v>0.587808677237613</v>
      </c>
      <c r="G215" s="53" t="n">
        <f aca="false">F215-D215</f>
        <v>-0.412191322762387</v>
      </c>
      <c r="H215" s="53" t="n">
        <f aca="false">G215</f>
        <v>-0.412191322762387</v>
      </c>
      <c r="I215" s="53" t="n">
        <f aca="false">G215*B215</f>
        <v>-0.329753058209909</v>
      </c>
      <c r="J215" s="53" t="n">
        <f aca="false">G215*C215</f>
        <v>0.274794215174924</v>
      </c>
      <c r="K215" s="52" t="n">
        <f aca="false">-(D215*LN(MIN(MAX(F215,0.000001),0.999999))+(1-D215)*LN(MIN(MAX(1-F215,0.000001),0.999999)))</f>
        <v>0.531353762878289</v>
      </c>
    </row>
    <row r="216" customFormat="false" ht="15" hidden="false" customHeight="false" outlineLevel="0" collapsed="false">
      <c r="A216" s="54" t="s">
        <v>138</v>
      </c>
      <c r="B216" s="54"/>
      <c r="C216" s="54"/>
      <c r="D216" s="54"/>
      <c r="E216" s="54"/>
      <c r="F216" s="54"/>
      <c r="G216" s="54" t="s">
        <v>139</v>
      </c>
      <c r="H216" s="55" t="n">
        <f aca="false">AVERAGE(H196:H215)</f>
        <v>-0.0609507015099283</v>
      </c>
      <c r="I216" s="55" t="n">
        <f aca="false">AVERAGE(I196:I215)</f>
        <v>-0.146790561656967</v>
      </c>
      <c r="J216" s="55" t="n">
        <f aca="false">AVERAGE(J196:J215)</f>
        <v>-0.140890869060005</v>
      </c>
      <c r="K216" s="55" t="n">
        <f aca="false">AVERAGE(K196:K215)</f>
        <v>0.383555015423213</v>
      </c>
    </row>
    <row r="217" customFormat="false" ht="22.35" hidden="false" customHeight="true" outlineLevel="0" collapsed="false">
      <c r="A217" s="47" t="s">
        <v>140</v>
      </c>
      <c r="B217" s="47"/>
      <c r="C217" s="47" t="s">
        <v>141</v>
      </c>
      <c r="D217" s="56" t="n">
        <f aca="false">D194-$B$4*H216</f>
        <v>0.246745851643405</v>
      </c>
      <c r="E217" s="47" t="s">
        <v>142</v>
      </c>
      <c r="F217" s="56" t="n">
        <f aca="false">F194-$B$4*I216</f>
        <v>0.730121256561829</v>
      </c>
      <c r="G217" s="47" t="s">
        <v>143</v>
      </c>
      <c r="H217" s="56" t="n">
        <f aca="false">H194-$B$4*J216</f>
        <v>0.663219894102314</v>
      </c>
      <c r="I217" s="48" t="s">
        <v>144</v>
      </c>
      <c r="J217" s="48"/>
      <c r="K217" s="48"/>
    </row>
    <row r="219" customFormat="false" ht="22.5" hidden="false" customHeight="true" outlineLevel="0" collapsed="false">
      <c r="A219" s="4" t="s">
        <v>155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customFormat="false" ht="15" hidden="false" customHeight="true" outlineLevel="0" collapsed="false">
      <c r="A220" s="47" t="s">
        <v>122</v>
      </c>
      <c r="B220" s="48" t="n">
        <v>9</v>
      </c>
      <c r="C220" s="47" t="s">
        <v>123</v>
      </c>
      <c r="D220" s="58" t="n">
        <f aca="false">D217</f>
        <v>0.246745851643405</v>
      </c>
      <c r="E220" s="47" t="s">
        <v>124</v>
      </c>
      <c r="F220" s="58" t="n">
        <f aca="false">F217</f>
        <v>0.730121256561829</v>
      </c>
      <c r="G220" s="47" t="s">
        <v>125</v>
      </c>
      <c r="H220" s="58" t="n">
        <f aca="false">H217</f>
        <v>0.663219894102314</v>
      </c>
      <c r="I220" s="48" t="s">
        <v>126</v>
      </c>
      <c r="J220" s="48"/>
      <c r="K220" s="48"/>
    </row>
    <row r="221" customFormat="false" ht="33.75" hidden="false" customHeight="true" outlineLevel="0" collapsed="false">
      <c r="A221" s="18" t="s">
        <v>127</v>
      </c>
      <c r="B221" s="18" t="s">
        <v>128</v>
      </c>
      <c r="C221" s="18" t="s">
        <v>129</v>
      </c>
      <c r="D221" s="18" t="s">
        <v>130</v>
      </c>
      <c r="E221" s="18" t="s">
        <v>131</v>
      </c>
      <c r="F221" s="18" t="s">
        <v>132</v>
      </c>
      <c r="G221" s="18" t="s">
        <v>133</v>
      </c>
      <c r="H221" s="18" t="s">
        <v>146</v>
      </c>
      <c r="I221" s="18" t="s">
        <v>147</v>
      </c>
      <c r="J221" s="18" t="s">
        <v>148</v>
      </c>
      <c r="K221" s="18" t="s">
        <v>33</v>
      </c>
    </row>
    <row r="222" customFormat="false" ht="15" hidden="false" customHeight="false" outlineLevel="0" collapsed="false">
      <c r="A222" s="50" t="str">
        <f aca="false">01_Data!A6</f>
        <v>S01</v>
      </c>
      <c r="B222" s="51" t="n">
        <f aca="false">01_Data!F6</f>
        <v>-1.6</v>
      </c>
      <c r="C222" s="51" t="n">
        <f aca="false">01_Data!G6</f>
        <v>-1.33333333333333</v>
      </c>
      <c r="D222" s="51" t="n">
        <f aca="false">01_Data!D6</f>
        <v>0</v>
      </c>
      <c r="E222" s="52" t="n">
        <f aca="false">$D$220+$F$220*B222+$H$220*C222</f>
        <v>-1.80574135099194</v>
      </c>
      <c r="F222" s="52" t="n">
        <f aca="false">1/(1+EXP(-E222))</f>
        <v>0.14115361009528</v>
      </c>
      <c r="G222" s="53" t="n">
        <f aca="false">F222-D222</f>
        <v>0.14115361009528</v>
      </c>
      <c r="H222" s="53" t="n">
        <f aca="false">G222</f>
        <v>0.14115361009528</v>
      </c>
      <c r="I222" s="53" t="n">
        <f aca="false">G222*B222</f>
        <v>-0.225845776152447</v>
      </c>
      <c r="J222" s="53" t="n">
        <f aca="false">G222*C222</f>
        <v>-0.188204813460373</v>
      </c>
      <c r="K222" s="52" t="n">
        <f aca="false">-(D222*LN(MIN(MAX(F222,0.000001),0.999999))+(1-D222)*LN(MIN(MAX(1-F222,0.000001),0.999999)))</f>
        <v>0.152165197313979</v>
      </c>
    </row>
    <row r="223" customFormat="false" ht="15" hidden="false" customHeight="false" outlineLevel="0" collapsed="false">
      <c r="A223" s="50" t="str">
        <f aca="false">01_Data!A7</f>
        <v>S02</v>
      </c>
      <c r="B223" s="51" t="n">
        <f aca="false">01_Data!F7</f>
        <v>-1.4</v>
      </c>
      <c r="C223" s="51" t="n">
        <f aca="false">01_Data!G7</f>
        <v>-1</v>
      </c>
      <c r="D223" s="51" t="n">
        <f aca="false">01_Data!D7</f>
        <v>0</v>
      </c>
      <c r="E223" s="52" t="n">
        <f aca="false">$D$220+$F$220*B223+$H$220*C223</f>
        <v>-1.43864380164547</v>
      </c>
      <c r="F223" s="52" t="n">
        <f aca="false">1/(1+EXP(-E223))</f>
        <v>0.191755451504234</v>
      </c>
      <c r="G223" s="53" t="n">
        <f aca="false">F223-D223</f>
        <v>0.191755451504234</v>
      </c>
      <c r="H223" s="53" t="n">
        <f aca="false">G223</f>
        <v>0.191755451504234</v>
      </c>
      <c r="I223" s="53" t="n">
        <f aca="false">G223*B223</f>
        <v>-0.268457632105928</v>
      </c>
      <c r="J223" s="53" t="n">
        <f aca="false">G223*C223</f>
        <v>-0.191755451504234</v>
      </c>
      <c r="K223" s="52" t="n">
        <f aca="false">-(D223*LN(MIN(MAX(F223,0.000001),0.999999))+(1-D223)*LN(MIN(MAX(1-F223,0.000001),0.999999)))</f>
        <v>0.212890607223634</v>
      </c>
    </row>
    <row r="224" customFormat="false" ht="15" hidden="false" customHeight="false" outlineLevel="0" collapsed="false">
      <c r="A224" s="50" t="str">
        <f aca="false">01_Data!A8</f>
        <v>S03</v>
      </c>
      <c r="B224" s="51" t="n">
        <f aca="false">01_Data!F8</f>
        <v>-1.2</v>
      </c>
      <c r="C224" s="51" t="n">
        <f aca="false">01_Data!G8</f>
        <v>-1.13333333333333</v>
      </c>
      <c r="D224" s="51" t="n">
        <f aca="false">01_Data!D8</f>
        <v>0</v>
      </c>
      <c r="E224" s="52" t="n">
        <f aca="false">$D$220+$F$220*B224+$H$220*C224</f>
        <v>-1.38104886954675</v>
      </c>
      <c r="F224" s="52" t="n">
        <f aca="false">1/(1+EXP(-E224))</f>
        <v>0.200840599531595</v>
      </c>
      <c r="G224" s="53" t="n">
        <f aca="false">F224-D224</f>
        <v>0.200840599531595</v>
      </c>
      <c r="H224" s="53" t="n">
        <f aca="false">G224</f>
        <v>0.200840599531595</v>
      </c>
      <c r="I224" s="53" t="n">
        <f aca="false">G224*B224</f>
        <v>-0.241008719437913</v>
      </c>
      <c r="J224" s="53" t="n">
        <f aca="false">G224*C224</f>
        <v>-0.227619346135807</v>
      </c>
      <c r="K224" s="52" t="n">
        <f aca="false">-(D224*LN(MIN(MAX(F224,0.000001),0.999999))+(1-D224)*LN(MIN(MAX(1-F224,0.000001),0.999999)))</f>
        <v>0.224194853152876</v>
      </c>
    </row>
    <row r="225" customFormat="false" ht="15" hidden="false" customHeight="false" outlineLevel="0" collapsed="false">
      <c r="A225" s="50" t="str">
        <f aca="false">01_Data!A9</f>
        <v>S04</v>
      </c>
      <c r="B225" s="51" t="n">
        <f aca="false">01_Data!F9</f>
        <v>-1</v>
      </c>
      <c r="C225" s="51" t="n">
        <f aca="false">01_Data!G9</f>
        <v>-0.666666666666667</v>
      </c>
      <c r="D225" s="51" t="n">
        <f aca="false">01_Data!D9</f>
        <v>0</v>
      </c>
      <c r="E225" s="52" t="n">
        <f aca="false">$D$220+$F$220*B225+$H$220*C225</f>
        <v>-0.925522000986633</v>
      </c>
      <c r="F225" s="52" t="n">
        <f aca="false">1/(1+EXP(-E225))</f>
        <v>0.283834085872323</v>
      </c>
      <c r="G225" s="53" t="n">
        <f aca="false">F225-D225</f>
        <v>0.283834085872323</v>
      </c>
      <c r="H225" s="53" t="n">
        <f aca="false">G225</f>
        <v>0.283834085872323</v>
      </c>
      <c r="I225" s="53" t="n">
        <f aca="false">G225*B225</f>
        <v>-0.283834085872323</v>
      </c>
      <c r="J225" s="53" t="n">
        <f aca="false">G225*C225</f>
        <v>-0.189222723914882</v>
      </c>
      <c r="K225" s="52" t="n">
        <f aca="false">-(D225*LN(MIN(MAX(F225,0.000001),0.999999))+(1-D225)*LN(MIN(MAX(1-F225,0.000001),0.999999)))</f>
        <v>0.33384341522326</v>
      </c>
    </row>
    <row r="226" customFormat="false" ht="15" hidden="false" customHeight="false" outlineLevel="0" collapsed="false">
      <c r="A226" s="50" t="str">
        <f aca="false">01_Data!A10</f>
        <v>S05</v>
      </c>
      <c r="B226" s="51" t="n">
        <f aca="false">01_Data!F10</f>
        <v>-0.8</v>
      </c>
      <c r="C226" s="51" t="n">
        <f aca="false">01_Data!G10</f>
        <v>-0.866666666666667</v>
      </c>
      <c r="D226" s="51" t="n">
        <f aca="false">01_Data!D10</f>
        <v>0</v>
      </c>
      <c r="E226" s="52" t="n">
        <f aca="false">$D$220+$F$220*B226+$H$220*C226</f>
        <v>-0.91214172849473</v>
      </c>
      <c r="F226" s="52" t="n">
        <f aca="false">1/(1+EXP(-E226))</f>
        <v>0.28656177335977</v>
      </c>
      <c r="G226" s="53" t="n">
        <f aca="false">F226-D226</f>
        <v>0.28656177335977</v>
      </c>
      <c r="H226" s="53" t="n">
        <f aca="false">G226</f>
        <v>0.28656177335977</v>
      </c>
      <c r="I226" s="53" t="n">
        <f aca="false">G226*B226</f>
        <v>-0.229249418687816</v>
      </c>
      <c r="J226" s="53" t="n">
        <f aca="false">G226*C226</f>
        <v>-0.248353536911801</v>
      </c>
      <c r="K226" s="52" t="n">
        <f aca="false">-(D226*LN(MIN(MAX(F226,0.000001),0.999999))+(1-D226)*LN(MIN(MAX(1-F226,0.000001),0.999999)))</f>
        <v>0.337659423752744</v>
      </c>
    </row>
    <row r="227" customFormat="false" ht="15" hidden="false" customHeight="false" outlineLevel="0" collapsed="false">
      <c r="A227" s="50" t="str">
        <f aca="false">01_Data!A11</f>
        <v>S06</v>
      </c>
      <c r="B227" s="51" t="n">
        <f aca="false">01_Data!F11</f>
        <v>-0.6</v>
      </c>
      <c r="C227" s="51" t="n">
        <f aca="false">01_Data!G11</f>
        <v>-0.333333333333333</v>
      </c>
      <c r="D227" s="51" t="n">
        <f aca="false">01_Data!D11</f>
        <v>0</v>
      </c>
      <c r="E227" s="52" t="n">
        <f aca="false">$D$220+$F$220*B227+$H$220*C227</f>
        <v>-0.412400200327797</v>
      </c>
      <c r="F227" s="52" t="n">
        <f aca="false">1/(1+EXP(-E227))</f>
        <v>0.398336738021089</v>
      </c>
      <c r="G227" s="53" t="n">
        <f aca="false">F227-D227</f>
        <v>0.398336738021089</v>
      </c>
      <c r="H227" s="53" t="n">
        <f aca="false">G227</f>
        <v>0.398336738021089</v>
      </c>
      <c r="I227" s="53" t="n">
        <f aca="false">G227*B227</f>
        <v>-0.239002042812653</v>
      </c>
      <c r="J227" s="53" t="n">
        <f aca="false">G227*C227</f>
        <v>-0.132778912673696</v>
      </c>
      <c r="K227" s="52" t="n">
        <f aca="false">-(D227*LN(MIN(MAX(F227,0.000001),0.999999))+(1-D227)*LN(MIN(MAX(1-F227,0.000001),0.999999)))</f>
        <v>0.508057355660089</v>
      </c>
    </row>
    <row r="228" customFormat="false" ht="15" hidden="false" customHeight="false" outlineLevel="0" collapsed="false">
      <c r="A228" s="50" t="str">
        <f aca="false">01_Data!A12</f>
        <v>S07</v>
      </c>
      <c r="B228" s="51" t="n">
        <f aca="false">01_Data!F12</f>
        <v>-0.4</v>
      </c>
      <c r="C228" s="51" t="n">
        <f aca="false">01_Data!G12</f>
        <v>-0.466666666666667</v>
      </c>
      <c r="D228" s="51" t="n">
        <f aca="false">01_Data!D12</f>
        <v>0</v>
      </c>
      <c r="E228" s="52" t="n">
        <f aca="false">$D$220+$F$220*B228+$H$220*C228</f>
        <v>-0.354805268229073</v>
      </c>
      <c r="F228" s="52" t="n">
        <f aca="false">1/(1+EXP(-E228))</f>
        <v>0.412217643100727</v>
      </c>
      <c r="G228" s="53" t="n">
        <f aca="false">F228-D228</f>
        <v>0.412217643100727</v>
      </c>
      <c r="H228" s="53" t="n">
        <f aca="false">G228</f>
        <v>0.412217643100727</v>
      </c>
      <c r="I228" s="53" t="n">
        <f aca="false">G228*B228</f>
        <v>-0.164887057240291</v>
      </c>
      <c r="J228" s="53" t="n">
        <f aca="false">G228*C228</f>
        <v>-0.192368233447006</v>
      </c>
      <c r="K228" s="52" t="n">
        <f aca="false">-(D228*LN(MIN(MAX(F228,0.000001),0.999999))+(1-D228)*LN(MIN(MAX(1-F228,0.000001),0.999999)))</f>
        <v>0.531398540930487</v>
      </c>
    </row>
    <row r="229" customFormat="false" ht="15" hidden="false" customHeight="false" outlineLevel="0" collapsed="false">
      <c r="A229" s="50" t="str">
        <f aca="false">01_Data!A13</f>
        <v>S08</v>
      </c>
      <c r="B229" s="51" t="n">
        <f aca="false">01_Data!F13</f>
        <v>-0.2</v>
      </c>
      <c r="C229" s="51" t="n">
        <f aca="false">01_Data!G13</f>
        <v>-0.2</v>
      </c>
      <c r="D229" s="51" t="n">
        <f aca="false">01_Data!D13</f>
        <v>1</v>
      </c>
      <c r="E229" s="52" t="n">
        <f aca="false">$D$220+$F$220*B229+$H$220*C229</f>
        <v>-0.031922378489424</v>
      </c>
      <c r="F229" s="52" t="n">
        <f aca="false">1/(1+EXP(-E229))</f>
        <v>0.49202008301952</v>
      </c>
      <c r="G229" s="53" t="n">
        <f aca="false">F229-D229</f>
        <v>-0.50797991698048</v>
      </c>
      <c r="H229" s="53" t="n">
        <f aca="false">G229</f>
        <v>-0.50797991698048</v>
      </c>
      <c r="I229" s="53" t="n">
        <f aca="false">G229*B229</f>
        <v>0.101595983396096</v>
      </c>
      <c r="J229" s="53" t="n">
        <f aca="false">G229*C229</f>
        <v>0.101595983396096</v>
      </c>
      <c r="K229" s="52" t="n">
        <f aca="false">-(D229*LN(MIN(MAX(F229,0.000001),0.999999))+(1-D229)*LN(MIN(MAX(1-F229,0.000001),0.999999)))</f>
        <v>0.709235744177541</v>
      </c>
    </row>
    <row r="230" customFormat="false" ht="15" hidden="false" customHeight="false" outlineLevel="0" collapsed="false">
      <c r="A230" s="50" t="str">
        <f aca="false">01_Data!A14</f>
        <v>S09</v>
      </c>
      <c r="B230" s="51" t="n">
        <f aca="false">01_Data!F14</f>
        <v>0</v>
      </c>
      <c r="C230" s="51" t="n">
        <f aca="false">01_Data!G14</f>
        <v>0</v>
      </c>
      <c r="D230" s="51" t="n">
        <f aca="false">01_Data!D14</f>
        <v>1</v>
      </c>
      <c r="E230" s="52" t="n">
        <f aca="false">$D$220+$F$220*B230+$H$220*C230</f>
        <v>0.246745851643405</v>
      </c>
      <c r="F230" s="52" t="n">
        <f aca="false">1/(1+EXP(-E230))</f>
        <v>0.561375382680413</v>
      </c>
      <c r="G230" s="53" t="n">
        <f aca="false">F230-D230</f>
        <v>-0.438624617319587</v>
      </c>
      <c r="H230" s="53" t="n">
        <f aca="false">G230</f>
        <v>-0.438624617319587</v>
      </c>
      <c r="I230" s="53" t="n">
        <f aca="false">G230*B230</f>
        <v>-0</v>
      </c>
      <c r="J230" s="53" t="n">
        <f aca="false">G230*C230</f>
        <v>-0</v>
      </c>
      <c r="K230" s="52" t="n">
        <f aca="false">-(D230*LN(MIN(MAX(F230,0.000001),0.999999))+(1-D230)*LN(MIN(MAX(1-F230,0.000001),0.999999)))</f>
        <v>0.577365465890365</v>
      </c>
    </row>
    <row r="231" customFormat="false" ht="15" hidden="false" customHeight="false" outlineLevel="0" collapsed="false">
      <c r="A231" s="50" t="str">
        <f aca="false">01_Data!A15</f>
        <v>S10</v>
      </c>
      <c r="B231" s="51" t="n">
        <f aca="false">01_Data!F15</f>
        <v>0.2</v>
      </c>
      <c r="C231" s="51" t="n">
        <f aca="false">01_Data!G15</f>
        <v>0.2</v>
      </c>
      <c r="D231" s="51" t="n">
        <f aca="false">01_Data!D15</f>
        <v>1</v>
      </c>
      <c r="E231" s="52" t="n">
        <f aca="false">$D$220+$F$220*B231+$H$220*C231</f>
        <v>0.525414081776233</v>
      </c>
      <c r="F231" s="52" t="n">
        <f aca="false">1/(1+EXP(-E231))</f>
        <v>0.628412885725441</v>
      </c>
      <c r="G231" s="53" t="n">
        <f aca="false">F231-D231</f>
        <v>-0.371587114274559</v>
      </c>
      <c r="H231" s="53" t="n">
        <f aca="false">G231</f>
        <v>-0.371587114274559</v>
      </c>
      <c r="I231" s="53" t="n">
        <f aca="false">G231*B231</f>
        <v>-0.0743174228549118</v>
      </c>
      <c r="J231" s="53" t="n">
        <f aca="false">G231*C231</f>
        <v>-0.0743174228549118</v>
      </c>
      <c r="K231" s="52" t="n">
        <f aca="false">-(D231*LN(MIN(MAX(F231,0.000001),0.999999))+(1-D231)*LN(MIN(MAX(1-F231,0.000001),0.999999)))</f>
        <v>0.464557867200722</v>
      </c>
    </row>
    <row r="232" customFormat="false" ht="15" hidden="false" customHeight="false" outlineLevel="0" collapsed="false">
      <c r="A232" s="50" t="str">
        <f aca="false">01_Data!A16</f>
        <v>S11</v>
      </c>
      <c r="B232" s="51" t="n">
        <f aca="false">01_Data!F16</f>
        <v>0.4</v>
      </c>
      <c r="C232" s="51" t="n">
        <f aca="false">01_Data!G16</f>
        <v>0.333333333333333</v>
      </c>
      <c r="D232" s="51" t="n">
        <f aca="false">01_Data!D16</f>
        <v>1</v>
      </c>
      <c r="E232" s="52" t="n">
        <f aca="false">$D$220+$F$220*B232+$H$220*C232</f>
        <v>0.759867652302241</v>
      </c>
      <c r="F232" s="52" t="n">
        <f aca="false">1/(1+EXP(-E232))</f>
        <v>0.681324998981767</v>
      </c>
      <c r="G232" s="53" t="n">
        <f aca="false">F232-D232</f>
        <v>-0.318675001018233</v>
      </c>
      <c r="H232" s="53" t="n">
        <f aca="false">G232</f>
        <v>-0.318675001018233</v>
      </c>
      <c r="I232" s="53" t="n">
        <f aca="false">G232*B232</f>
        <v>-0.127470000407293</v>
      </c>
      <c r="J232" s="53" t="n">
        <f aca="false">G232*C232</f>
        <v>-0.106225000339411</v>
      </c>
      <c r="K232" s="52" t="n">
        <f aca="false">-(D232*LN(MIN(MAX(F232,0.000001),0.999999))+(1-D232)*LN(MIN(MAX(1-F232,0.000001),0.999999)))</f>
        <v>0.383715848815704</v>
      </c>
    </row>
    <row r="233" customFormat="false" ht="15" hidden="false" customHeight="false" outlineLevel="0" collapsed="false">
      <c r="A233" s="50" t="str">
        <f aca="false">01_Data!A17</f>
        <v>S12</v>
      </c>
      <c r="B233" s="51" t="n">
        <f aca="false">01_Data!F17</f>
        <v>0.6</v>
      </c>
      <c r="C233" s="51" t="n">
        <f aca="false">01_Data!G17</f>
        <v>0.466666666666667</v>
      </c>
      <c r="D233" s="51" t="n">
        <f aca="false">01_Data!D17</f>
        <v>1</v>
      </c>
      <c r="E233" s="52" t="n">
        <f aca="false">$D$220+$F$220*B233+$H$220*C233</f>
        <v>0.994321222828248</v>
      </c>
      <c r="F233" s="52" t="n">
        <f aca="false">1/(1+EXP(-E233))</f>
        <v>0.729940599341882</v>
      </c>
      <c r="G233" s="53" t="n">
        <f aca="false">F233-D233</f>
        <v>-0.270059400658118</v>
      </c>
      <c r="H233" s="53" t="n">
        <f aca="false">G233</f>
        <v>-0.270059400658118</v>
      </c>
      <c r="I233" s="53" t="n">
        <f aca="false">G233*B233</f>
        <v>-0.162035640394871</v>
      </c>
      <c r="J233" s="53" t="n">
        <f aca="false">G233*C233</f>
        <v>-0.126027720307122</v>
      </c>
      <c r="K233" s="52" t="n">
        <f aca="false">-(D233*LN(MIN(MAX(F233,0.000001),0.999999))+(1-D233)*LN(MIN(MAX(1-F233,0.000001),0.999999)))</f>
        <v>0.314792118915026</v>
      </c>
    </row>
    <row r="234" customFormat="false" ht="15" hidden="false" customHeight="false" outlineLevel="0" collapsed="false">
      <c r="A234" s="50" t="str">
        <f aca="false">01_Data!A18</f>
        <v>S13</v>
      </c>
      <c r="B234" s="51" t="n">
        <f aca="false">01_Data!F18</f>
        <v>0.8</v>
      </c>
      <c r="C234" s="51" t="n">
        <f aca="false">01_Data!G18</f>
        <v>0.666666666666667</v>
      </c>
      <c r="D234" s="51" t="n">
        <f aca="false">01_Data!D18</f>
        <v>1</v>
      </c>
      <c r="E234" s="52" t="n">
        <f aca="false">$D$220+$F$220*B234+$H$220*C234</f>
        <v>1.27298945296108</v>
      </c>
      <c r="F234" s="52" t="n">
        <f aca="false">1/(1+EXP(-E234))</f>
        <v>0.7812540634503</v>
      </c>
      <c r="G234" s="53" t="n">
        <f aca="false">F234-D234</f>
        <v>-0.2187459365497</v>
      </c>
      <c r="H234" s="53" t="n">
        <f aca="false">G234</f>
        <v>-0.2187459365497</v>
      </c>
      <c r="I234" s="53" t="n">
        <f aca="false">G234*B234</f>
        <v>-0.17499674923976</v>
      </c>
      <c r="J234" s="53" t="n">
        <f aca="false">G234*C234</f>
        <v>-0.145830624366467</v>
      </c>
      <c r="K234" s="52" t="n">
        <f aca="false">-(D234*LN(MIN(MAX(F234,0.000001),0.999999))+(1-D234)*LN(MIN(MAX(1-F234,0.000001),0.999999)))</f>
        <v>0.246854876728668</v>
      </c>
    </row>
    <row r="235" customFormat="false" ht="15" hidden="false" customHeight="false" outlineLevel="0" collapsed="false">
      <c r="A235" s="50" t="str">
        <f aca="false">01_Data!A19</f>
        <v>S14</v>
      </c>
      <c r="B235" s="51" t="n">
        <f aca="false">01_Data!F19</f>
        <v>1</v>
      </c>
      <c r="C235" s="51" t="n">
        <f aca="false">01_Data!G19</f>
        <v>0.866666666666667</v>
      </c>
      <c r="D235" s="51" t="n">
        <f aca="false">01_Data!D19</f>
        <v>1</v>
      </c>
      <c r="E235" s="52" t="n">
        <f aca="false">$D$220+$F$220*B235+$H$220*C235</f>
        <v>1.55165768309391</v>
      </c>
      <c r="F235" s="52" t="n">
        <f aca="false">1/(1+EXP(-E235))</f>
        <v>0.825153023835312</v>
      </c>
      <c r="G235" s="53" t="n">
        <f aca="false">F235-D235</f>
        <v>-0.174846976164688</v>
      </c>
      <c r="H235" s="53" t="n">
        <f aca="false">G235</f>
        <v>-0.174846976164688</v>
      </c>
      <c r="I235" s="53" t="n">
        <f aca="false">G235*B235</f>
        <v>-0.174846976164688</v>
      </c>
      <c r="J235" s="53" t="n">
        <f aca="false">G235*C235</f>
        <v>-0.151534046009397</v>
      </c>
      <c r="K235" s="52" t="n">
        <f aca="false">-(D235*LN(MIN(MAX(F235,0.000001),0.999999))+(1-D235)*LN(MIN(MAX(1-F235,0.000001),0.999999)))</f>
        <v>0.19218642641064</v>
      </c>
    </row>
    <row r="236" customFormat="false" ht="15" hidden="false" customHeight="false" outlineLevel="0" collapsed="false">
      <c r="A236" s="50" t="str">
        <f aca="false">01_Data!A20</f>
        <v>S15</v>
      </c>
      <c r="B236" s="51" t="n">
        <f aca="false">01_Data!F20</f>
        <v>1.2</v>
      </c>
      <c r="C236" s="51" t="n">
        <f aca="false">01_Data!G20</f>
        <v>1</v>
      </c>
      <c r="D236" s="51" t="n">
        <f aca="false">01_Data!D20</f>
        <v>1</v>
      </c>
      <c r="E236" s="52" t="n">
        <f aca="false">$D$220+$F$220*B236+$H$220*C236</f>
        <v>1.78611125361991</v>
      </c>
      <c r="F236" s="52" t="n">
        <f aca="false">1/(1+EXP(-E236))</f>
        <v>0.856449842785197</v>
      </c>
      <c r="G236" s="53" t="n">
        <f aca="false">F236-D236</f>
        <v>-0.143550157214803</v>
      </c>
      <c r="H236" s="53" t="n">
        <f aca="false">G236</f>
        <v>-0.143550157214803</v>
      </c>
      <c r="I236" s="53" t="n">
        <f aca="false">G236*B236</f>
        <v>-0.172260188657763</v>
      </c>
      <c r="J236" s="53" t="n">
        <f aca="false">G236*C236</f>
        <v>-0.143550157214803</v>
      </c>
      <c r="K236" s="52" t="n">
        <f aca="false">-(D236*LN(MIN(MAX(F236,0.000001),0.999999))+(1-D236)*LN(MIN(MAX(1-F236,0.000001),0.999999)))</f>
        <v>0.154959523603812</v>
      </c>
    </row>
    <row r="237" customFormat="false" ht="15" hidden="false" customHeight="false" outlineLevel="0" collapsed="false">
      <c r="A237" s="50" t="str">
        <f aca="false">01_Data!A21</f>
        <v>S16</v>
      </c>
      <c r="B237" s="51" t="n">
        <f aca="false">01_Data!F21</f>
        <v>1.4</v>
      </c>
      <c r="C237" s="51" t="n">
        <f aca="false">01_Data!G21</f>
        <v>1.13333333333333</v>
      </c>
      <c r="D237" s="51" t="n">
        <f aca="false">01_Data!D21</f>
        <v>1</v>
      </c>
      <c r="E237" s="52" t="n">
        <f aca="false">$D$220+$F$220*B237+$H$220*C237</f>
        <v>2.02056482414592</v>
      </c>
      <c r="F237" s="52" t="n">
        <f aca="false">1/(1+EXP(-E237))</f>
        <v>0.882939400516294</v>
      </c>
      <c r="G237" s="53" t="n">
        <f aca="false">F237-D237</f>
        <v>-0.117060599483707</v>
      </c>
      <c r="H237" s="53" t="n">
        <f aca="false">G237</f>
        <v>-0.117060599483707</v>
      </c>
      <c r="I237" s="53" t="n">
        <f aca="false">G237*B237</f>
        <v>-0.163884839277189</v>
      </c>
      <c r="J237" s="53" t="n">
        <f aca="false">G237*C237</f>
        <v>-0.132668679414867</v>
      </c>
      <c r="K237" s="52" t="n">
        <f aca="false">-(D237*LN(MIN(MAX(F237,0.000001),0.999999))+(1-D237)*LN(MIN(MAX(1-F237,0.000001),0.999999)))</f>
        <v>0.124498709820131</v>
      </c>
    </row>
    <row r="238" customFormat="false" ht="15" hidden="false" customHeight="false" outlineLevel="0" collapsed="false">
      <c r="A238" s="50" t="str">
        <f aca="false">01_Data!A22</f>
        <v>S17</v>
      </c>
      <c r="B238" s="51" t="n">
        <f aca="false">01_Data!F22</f>
        <v>1.6</v>
      </c>
      <c r="C238" s="51" t="n">
        <f aca="false">01_Data!G22</f>
        <v>1.33333333333333</v>
      </c>
      <c r="D238" s="51" t="n">
        <f aca="false">01_Data!D22</f>
        <v>1</v>
      </c>
      <c r="E238" s="52" t="n">
        <f aca="false">$D$220+$F$220*B238+$H$220*C238</f>
        <v>2.29923305427875</v>
      </c>
      <c r="F238" s="52" t="n">
        <f aca="false">1/(1+EXP(-E238))</f>
        <v>0.908813500951049</v>
      </c>
      <c r="G238" s="53" t="n">
        <f aca="false">F238-D238</f>
        <v>-0.0911864990489506</v>
      </c>
      <c r="H238" s="53" t="n">
        <f aca="false">G238</f>
        <v>-0.0911864990489506</v>
      </c>
      <c r="I238" s="53" t="n">
        <f aca="false">G238*B238</f>
        <v>-0.145898398478321</v>
      </c>
      <c r="J238" s="53" t="n">
        <f aca="false">G238*C238</f>
        <v>-0.121581998731934</v>
      </c>
      <c r="K238" s="52" t="n">
        <f aca="false">-(D238*LN(MIN(MAX(F238,0.000001),0.999999))+(1-D238)*LN(MIN(MAX(1-F238,0.000001),0.999999)))</f>
        <v>0.0956153753255861</v>
      </c>
    </row>
    <row r="239" customFormat="false" ht="15" hidden="false" customHeight="false" outlineLevel="0" collapsed="false">
      <c r="A239" s="50" t="str">
        <f aca="false">01_Data!A23</f>
        <v>S18</v>
      </c>
      <c r="B239" s="51" t="n">
        <f aca="false">01_Data!F23</f>
        <v>0</v>
      </c>
      <c r="C239" s="51" t="n">
        <f aca="false">01_Data!G23</f>
        <v>-0.666666666666667</v>
      </c>
      <c r="D239" s="51" t="n">
        <f aca="false">01_Data!D23</f>
        <v>0</v>
      </c>
      <c r="E239" s="52" t="n">
        <f aca="false">$D$220+$F$220*B239+$H$220*C239</f>
        <v>-0.195400744424805</v>
      </c>
      <c r="F239" s="52" t="n">
        <f aca="false">1/(1+EXP(-E239))</f>
        <v>0.451304653635338</v>
      </c>
      <c r="G239" s="53" t="n">
        <f aca="false">F239-D239</f>
        <v>0.451304653635338</v>
      </c>
      <c r="H239" s="53" t="n">
        <f aca="false">G239</f>
        <v>0.451304653635338</v>
      </c>
      <c r="I239" s="53" t="n">
        <f aca="false">G239*B239</f>
        <v>0</v>
      </c>
      <c r="J239" s="53" t="n">
        <f aca="false">G239*C239</f>
        <v>-0.300869769090226</v>
      </c>
      <c r="K239" s="52" t="n">
        <f aca="false">-(D239*LN(MIN(MAX(F239,0.000001),0.999999))+(1-D239)*LN(MIN(MAX(1-F239,0.000001),0.999999)))</f>
        <v>0.60021191615481</v>
      </c>
    </row>
    <row r="240" customFormat="false" ht="15" hidden="false" customHeight="false" outlineLevel="0" collapsed="false">
      <c r="A240" s="50" t="str">
        <f aca="false">01_Data!A24</f>
        <v>S19</v>
      </c>
      <c r="B240" s="51" t="n">
        <f aca="false">01_Data!F24</f>
        <v>-0.8</v>
      </c>
      <c r="C240" s="51" t="n">
        <f aca="false">01_Data!G24</f>
        <v>0.666666666666667</v>
      </c>
      <c r="D240" s="51" t="n">
        <f aca="false">01_Data!D24</f>
        <v>1</v>
      </c>
      <c r="E240" s="52" t="n">
        <f aca="false">$D$220+$F$220*B240+$H$220*C240</f>
        <v>0.104795442462151</v>
      </c>
      <c r="F240" s="52" t="n">
        <f aca="false">1/(1+EXP(-E240))</f>
        <v>0.526174910408521</v>
      </c>
      <c r="G240" s="53" t="n">
        <f aca="false">F240-D240</f>
        <v>-0.473825089591479</v>
      </c>
      <c r="H240" s="53" t="n">
        <f aca="false">G240</f>
        <v>-0.473825089591479</v>
      </c>
      <c r="I240" s="53" t="n">
        <f aca="false">G240*B240</f>
        <v>0.379060071673183</v>
      </c>
      <c r="J240" s="53" t="n">
        <f aca="false">G240*C240</f>
        <v>-0.315883393060986</v>
      </c>
      <c r="K240" s="52" t="n">
        <f aca="false">-(D240*LN(MIN(MAX(F240,0.000001),0.999999))+(1-D240)*LN(MIN(MAX(1-F240,0.000001),0.999999)))</f>
        <v>0.642121592226273</v>
      </c>
    </row>
    <row r="241" customFormat="false" ht="15" hidden="false" customHeight="false" outlineLevel="0" collapsed="false">
      <c r="A241" s="50" t="str">
        <f aca="false">01_Data!A25</f>
        <v>S20</v>
      </c>
      <c r="B241" s="51" t="n">
        <f aca="false">01_Data!F25</f>
        <v>0.8</v>
      </c>
      <c r="C241" s="51" t="n">
        <f aca="false">01_Data!G25</f>
        <v>-0.666666666666667</v>
      </c>
      <c r="D241" s="51" t="n">
        <f aca="false">01_Data!D25</f>
        <v>1</v>
      </c>
      <c r="E241" s="52" t="n">
        <f aca="false">$D$220+$F$220*B241+$H$220*C241</f>
        <v>0.388696260824658</v>
      </c>
      <c r="F241" s="52" t="n">
        <f aca="false">1/(1+EXP(-E241))</f>
        <v>0.59596881127496</v>
      </c>
      <c r="G241" s="53" t="n">
        <f aca="false">F241-D241</f>
        <v>-0.40403118872504</v>
      </c>
      <c r="H241" s="53" t="n">
        <f aca="false">G241</f>
        <v>-0.40403118872504</v>
      </c>
      <c r="I241" s="53" t="n">
        <f aca="false">G241*B241</f>
        <v>-0.323224950980032</v>
      </c>
      <c r="J241" s="53" t="n">
        <f aca="false">G241*C241</f>
        <v>0.269354125816694</v>
      </c>
      <c r="K241" s="52" t="n">
        <f aca="false">-(D241*LN(MIN(MAX(F241,0.000001),0.999999))+(1-D241)*LN(MIN(MAX(1-F241,0.000001),0.999999)))</f>
        <v>0.517566943361625</v>
      </c>
    </row>
    <row r="242" customFormat="false" ht="15" hidden="false" customHeight="false" outlineLevel="0" collapsed="false">
      <c r="A242" s="54" t="s">
        <v>138</v>
      </c>
      <c r="B242" s="54"/>
      <c r="C242" s="54"/>
      <c r="D242" s="54"/>
      <c r="E242" s="54"/>
      <c r="F242" s="54"/>
      <c r="G242" s="54" t="s">
        <v>139</v>
      </c>
      <c r="H242" s="55" t="n">
        <f aca="false">AVERAGE(H222:H241)</f>
        <v>-0.0582083970954494</v>
      </c>
      <c r="I242" s="55" t="n">
        <f aca="false">AVERAGE(I222:I241)</f>
        <v>-0.134528192184746</v>
      </c>
      <c r="J242" s="55" t="n">
        <f aca="false">AVERAGE(J222:J241)</f>
        <v>-0.130892086011257</v>
      </c>
      <c r="K242" s="55" t="n">
        <f aca="false">AVERAGE(K222:K241)</f>
        <v>0.366194590094399</v>
      </c>
    </row>
    <row r="243" customFormat="false" ht="22.35" hidden="false" customHeight="true" outlineLevel="0" collapsed="false">
      <c r="A243" s="47" t="s">
        <v>140</v>
      </c>
      <c r="B243" s="47"/>
      <c r="C243" s="47" t="s">
        <v>141</v>
      </c>
      <c r="D243" s="56" t="n">
        <f aca="false">D220-$B$4*H242</f>
        <v>0.270029210481584</v>
      </c>
      <c r="E243" s="47" t="s">
        <v>142</v>
      </c>
      <c r="F243" s="56" t="n">
        <f aca="false">F220-$B$4*I242</f>
        <v>0.783932533435727</v>
      </c>
      <c r="G243" s="47" t="s">
        <v>143</v>
      </c>
      <c r="H243" s="56" t="n">
        <f aca="false">H220-$B$4*J242</f>
        <v>0.715576728506817</v>
      </c>
      <c r="I243" s="48" t="s">
        <v>144</v>
      </c>
      <c r="J243" s="48"/>
      <c r="K243" s="48"/>
    </row>
    <row r="245" customFormat="false" ht="22.5" hidden="false" customHeight="true" outlineLevel="0" collapsed="false">
      <c r="A245" s="57" t="s">
        <v>156</v>
      </c>
      <c r="B245" s="57"/>
      <c r="C245" s="57"/>
      <c r="D245" s="57"/>
      <c r="E245" s="57"/>
      <c r="F245" s="57"/>
      <c r="G245" s="57"/>
      <c r="H245" s="57"/>
      <c r="I245" s="57"/>
      <c r="J245" s="57"/>
      <c r="K245" s="57"/>
    </row>
    <row r="246" customFormat="false" ht="15" hidden="false" customHeight="true" outlineLevel="0" collapsed="false">
      <c r="A246" s="47" t="s">
        <v>122</v>
      </c>
      <c r="B246" s="48" t="n">
        <v>10</v>
      </c>
      <c r="C246" s="47" t="s">
        <v>123</v>
      </c>
      <c r="D246" s="58" t="n">
        <f aca="false">D243</f>
        <v>0.270029210481584</v>
      </c>
      <c r="E246" s="47" t="s">
        <v>124</v>
      </c>
      <c r="F246" s="58" t="n">
        <f aca="false">F243</f>
        <v>0.783932533435727</v>
      </c>
      <c r="G246" s="47" t="s">
        <v>125</v>
      </c>
      <c r="H246" s="58" t="n">
        <f aca="false">H243</f>
        <v>0.715576728506817</v>
      </c>
      <c r="I246" s="48" t="s">
        <v>126</v>
      </c>
      <c r="J246" s="48"/>
      <c r="K246" s="48"/>
    </row>
    <row r="247" customFormat="false" ht="33.75" hidden="false" customHeight="true" outlineLevel="0" collapsed="false">
      <c r="A247" s="18" t="s">
        <v>127</v>
      </c>
      <c r="B247" s="18" t="s">
        <v>128</v>
      </c>
      <c r="C247" s="18" t="s">
        <v>129</v>
      </c>
      <c r="D247" s="18" t="s">
        <v>130</v>
      </c>
      <c r="E247" s="18" t="s">
        <v>131</v>
      </c>
      <c r="F247" s="18" t="s">
        <v>132</v>
      </c>
      <c r="G247" s="18" t="s">
        <v>133</v>
      </c>
      <c r="H247" s="18" t="s">
        <v>146</v>
      </c>
      <c r="I247" s="18" t="s">
        <v>147</v>
      </c>
      <c r="J247" s="18" t="s">
        <v>148</v>
      </c>
      <c r="K247" s="18" t="s">
        <v>33</v>
      </c>
    </row>
    <row r="248" customFormat="false" ht="15" hidden="false" customHeight="false" outlineLevel="0" collapsed="false">
      <c r="A248" s="50" t="str">
        <f aca="false">01_Data!A6</f>
        <v>S01</v>
      </c>
      <c r="B248" s="51" t="n">
        <f aca="false">01_Data!F6</f>
        <v>-1.6</v>
      </c>
      <c r="C248" s="51" t="n">
        <f aca="false">01_Data!G6</f>
        <v>-1.33333333333333</v>
      </c>
      <c r="D248" s="51" t="n">
        <f aca="false">01_Data!D6</f>
        <v>0</v>
      </c>
      <c r="E248" s="52" t="n">
        <f aca="false">$D$246+$F$246*B248+$H$246*C248</f>
        <v>-1.93836514769133</v>
      </c>
      <c r="F248" s="52" t="n">
        <f aca="false">1/(1+EXP(-E248))</f>
        <v>0.125827572110516</v>
      </c>
      <c r="G248" s="53" t="n">
        <f aca="false">F248-D248</f>
        <v>0.125827572110516</v>
      </c>
      <c r="H248" s="53" t="n">
        <f aca="false">G248</f>
        <v>0.125827572110516</v>
      </c>
      <c r="I248" s="53" t="n">
        <f aca="false">G248*B248</f>
        <v>-0.201324115376826</v>
      </c>
      <c r="J248" s="53" t="n">
        <f aca="false">G248*C248</f>
        <v>-0.167770096147355</v>
      </c>
      <c r="K248" s="52" t="n">
        <f aca="false">-(D248*LN(MIN(MAX(F248,0.000001),0.999999))+(1-D248)*LN(MIN(MAX(1-F248,0.000001),0.999999)))</f>
        <v>0.134477636870167</v>
      </c>
    </row>
    <row r="249" customFormat="false" ht="15" hidden="false" customHeight="false" outlineLevel="0" collapsed="false">
      <c r="A249" s="50" t="str">
        <f aca="false">01_Data!A7</f>
        <v>S02</v>
      </c>
      <c r="B249" s="51" t="n">
        <f aca="false">01_Data!F7</f>
        <v>-1.4</v>
      </c>
      <c r="C249" s="51" t="n">
        <f aca="false">01_Data!G7</f>
        <v>-1</v>
      </c>
      <c r="D249" s="51" t="n">
        <f aca="false">01_Data!D7</f>
        <v>0</v>
      </c>
      <c r="E249" s="52" t="n">
        <f aca="false">$D$246+$F$246*B249+$H$246*C249</f>
        <v>-1.54305306483525</v>
      </c>
      <c r="F249" s="52" t="n">
        <f aca="false">1/(1+EXP(-E249))</f>
        <v>0.176091887214765</v>
      </c>
      <c r="G249" s="53" t="n">
        <f aca="false">F249-D249</f>
        <v>0.176091887214765</v>
      </c>
      <c r="H249" s="53" t="n">
        <f aca="false">G249</f>
        <v>0.176091887214765</v>
      </c>
      <c r="I249" s="53" t="n">
        <f aca="false">G249*B249</f>
        <v>-0.24652864210067</v>
      </c>
      <c r="J249" s="53" t="n">
        <f aca="false">G249*C249</f>
        <v>-0.176091887214765</v>
      </c>
      <c r="K249" s="52" t="n">
        <f aca="false">-(D249*LN(MIN(MAX(F249,0.000001),0.999999))+(1-D249)*LN(MIN(MAX(1-F249,0.000001),0.999999)))</f>
        <v>0.193696268900921</v>
      </c>
    </row>
    <row r="250" customFormat="false" ht="15" hidden="false" customHeight="false" outlineLevel="0" collapsed="false">
      <c r="A250" s="50" t="str">
        <f aca="false">01_Data!A8</f>
        <v>S03</v>
      </c>
      <c r="B250" s="51" t="n">
        <f aca="false">01_Data!F8</f>
        <v>-1.2</v>
      </c>
      <c r="C250" s="51" t="n">
        <f aca="false">01_Data!G8</f>
        <v>-1.13333333333333</v>
      </c>
      <c r="D250" s="51" t="n">
        <f aca="false">01_Data!D8</f>
        <v>0</v>
      </c>
      <c r="E250" s="52" t="n">
        <f aca="false">$D$246+$F$246*B250+$H$246*C250</f>
        <v>-1.48167678861568</v>
      </c>
      <c r="F250" s="52" t="n">
        <f aca="false">1/(1+EXP(-E250))</f>
        <v>0.185174283861036</v>
      </c>
      <c r="G250" s="53" t="n">
        <f aca="false">F250-D250</f>
        <v>0.185174283861036</v>
      </c>
      <c r="H250" s="53" t="n">
        <f aca="false">G250</f>
        <v>0.185174283861036</v>
      </c>
      <c r="I250" s="53" t="n">
        <f aca="false">G250*B250</f>
        <v>-0.222209140633244</v>
      </c>
      <c r="J250" s="53" t="n">
        <f aca="false">G250*C250</f>
        <v>-0.209864188375841</v>
      </c>
      <c r="K250" s="52" t="n">
        <f aca="false">-(D250*LN(MIN(MAX(F250,0.000001),0.999999))+(1-D250)*LN(MIN(MAX(1-F250,0.000001),0.999999)))</f>
        <v>0.204781033837691</v>
      </c>
    </row>
    <row r="251" customFormat="false" ht="15" hidden="false" customHeight="false" outlineLevel="0" collapsed="false">
      <c r="A251" s="50" t="str">
        <f aca="false">01_Data!A9</f>
        <v>S04</v>
      </c>
      <c r="B251" s="51" t="n">
        <f aca="false">01_Data!F9</f>
        <v>-1</v>
      </c>
      <c r="C251" s="51" t="n">
        <f aca="false">01_Data!G9</f>
        <v>-0.666666666666667</v>
      </c>
      <c r="D251" s="51" t="n">
        <f aca="false">01_Data!D9</f>
        <v>0</v>
      </c>
      <c r="E251" s="52" t="n">
        <f aca="false">$D$246+$F$246*B251+$H$246*C251</f>
        <v>-0.99095447529202</v>
      </c>
      <c r="F251" s="52" t="n">
        <f aca="false">1/(1+EXP(-E251))</f>
        <v>0.270723592137401</v>
      </c>
      <c r="G251" s="53" t="n">
        <f aca="false">F251-D251</f>
        <v>0.270723592137401</v>
      </c>
      <c r="H251" s="53" t="n">
        <f aca="false">G251</f>
        <v>0.270723592137401</v>
      </c>
      <c r="I251" s="53" t="n">
        <f aca="false">G251*B251</f>
        <v>-0.270723592137401</v>
      </c>
      <c r="J251" s="53" t="n">
        <f aca="false">G251*C251</f>
        <v>-0.180482394758268</v>
      </c>
      <c r="K251" s="52" t="n">
        <f aca="false">-(D251*LN(MIN(MAX(F251,0.000001),0.999999))+(1-D251)*LN(MIN(MAX(1-F251,0.000001),0.999999)))</f>
        <v>0.315702458531235</v>
      </c>
    </row>
    <row r="252" customFormat="false" ht="15" hidden="false" customHeight="false" outlineLevel="0" collapsed="false">
      <c r="A252" s="50" t="str">
        <f aca="false">01_Data!A10</f>
        <v>S05</v>
      </c>
      <c r="B252" s="51" t="n">
        <f aca="false">01_Data!F10</f>
        <v>-0.8</v>
      </c>
      <c r="C252" s="51" t="n">
        <f aca="false">01_Data!G10</f>
        <v>-0.866666666666667</v>
      </c>
      <c r="D252" s="51" t="n">
        <f aca="false">01_Data!D10</f>
        <v>0</v>
      </c>
      <c r="E252" s="52" t="n">
        <f aca="false">$D$246+$F$246*B252+$H$246*C252</f>
        <v>-0.977283314306238</v>
      </c>
      <c r="F252" s="52" t="n">
        <f aca="false">1/(1+EXP(-E252))</f>
        <v>0.273431165939248</v>
      </c>
      <c r="G252" s="53" t="n">
        <f aca="false">F252-D252</f>
        <v>0.273431165939248</v>
      </c>
      <c r="H252" s="53" t="n">
        <f aca="false">G252</f>
        <v>0.273431165939248</v>
      </c>
      <c r="I252" s="53" t="n">
        <f aca="false">G252*B252</f>
        <v>-0.218744932751398</v>
      </c>
      <c r="J252" s="53" t="n">
        <f aca="false">G252*C252</f>
        <v>-0.236973677147348</v>
      </c>
      <c r="K252" s="52" t="n">
        <f aca="false">-(D252*LN(MIN(MAX(F252,0.000001),0.999999))+(1-D252)*LN(MIN(MAX(1-F252,0.000001),0.999999)))</f>
        <v>0.319422052957305</v>
      </c>
    </row>
    <row r="253" customFormat="false" ht="15" hidden="false" customHeight="false" outlineLevel="0" collapsed="false">
      <c r="A253" s="50" t="str">
        <f aca="false">01_Data!A11</f>
        <v>S06</v>
      </c>
      <c r="B253" s="51" t="n">
        <f aca="false">01_Data!F11</f>
        <v>-0.6</v>
      </c>
      <c r="C253" s="51" t="n">
        <f aca="false">01_Data!G11</f>
        <v>-0.333333333333333</v>
      </c>
      <c r="D253" s="51" t="n">
        <f aca="false">01_Data!D11</f>
        <v>0</v>
      </c>
      <c r="E253" s="52" t="n">
        <f aca="false">$D$246+$F$246*B253+$H$246*C253</f>
        <v>-0.438855885748791</v>
      </c>
      <c r="F253" s="52" t="n">
        <f aca="false">1/(1+EXP(-E253))</f>
        <v>0.392013622518252</v>
      </c>
      <c r="G253" s="53" t="n">
        <f aca="false">F253-D253</f>
        <v>0.392013622518252</v>
      </c>
      <c r="H253" s="53" t="n">
        <f aca="false">G253</f>
        <v>0.392013622518252</v>
      </c>
      <c r="I253" s="53" t="n">
        <f aca="false">G253*B253</f>
        <v>-0.235208173510951</v>
      </c>
      <c r="J253" s="53" t="n">
        <f aca="false">G253*C253</f>
        <v>-0.130671207506084</v>
      </c>
      <c r="K253" s="52" t="n">
        <f aca="false">-(D253*LN(MIN(MAX(F253,0.000001),0.999999))+(1-D253)*LN(MIN(MAX(1-F253,0.000001),0.999999)))</f>
        <v>0.497602802724627</v>
      </c>
    </row>
    <row r="254" customFormat="false" ht="15" hidden="false" customHeight="false" outlineLevel="0" collapsed="false">
      <c r="A254" s="50" t="str">
        <f aca="false">01_Data!A12</f>
        <v>S07</v>
      </c>
      <c r="B254" s="51" t="n">
        <f aca="false">01_Data!F12</f>
        <v>-0.4</v>
      </c>
      <c r="C254" s="51" t="n">
        <f aca="false">01_Data!G12</f>
        <v>-0.466666666666667</v>
      </c>
      <c r="D254" s="51" t="n">
        <f aca="false">01_Data!D12</f>
        <v>0</v>
      </c>
      <c r="E254" s="52" t="n">
        <f aca="false">$D$246+$F$246*B254+$H$246*C254</f>
        <v>-0.377479609529221</v>
      </c>
      <c r="F254" s="52" t="n">
        <f aca="false">1/(1+EXP(-E254))</f>
        <v>0.406734928137217</v>
      </c>
      <c r="G254" s="53" t="n">
        <f aca="false">F254-D254</f>
        <v>0.406734928137217</v>
      </c>
      <c r="H254" s="53" t="n">
        <f aca="false">G254</f>
        <v>0.406734928137217</v>
      </c>
      <c r="I254" s="53" t="n">
        <f aca="false">G254*B254</f>
        <v>-0.162693971254887</v>
      </c>
      <c r="J254" s="53" t="n">
        <f aca="false">G254*C254</f>
        <v>-0.189809633130701</v>
      </c>
      <c r="K254" s="52" t="n">
        <f aca="false">-(D254*LN(MIN(MAX(F254,0.000001),0.999999))+(1-D254)*LN(MIN(MAX(1-F254,0.000001),0.999999)))</f>
        <v>0.522113978404855</v>
      </c>
    </row>
    <row r="255" customFormat="false" ht="15" hidden="false" customHeight="false" outlineLevel="0" collapsed="false">
      <c r="A255" s="50" t="str">
        <f aca="false">01_Data!A13</f>
        <v>S08</v>
      </c>
      <c r="B255" s="51" t="n">
        <f aca="false">01_Data!F13</f>
        <v>-0.2</v>
      </c>
      <c r="C255" s="51" t="n">
        <f aca="false">01_Data!G13</f>
        <v>-0.2</v>
      </c>
      <c r="D255" s="51" t="n">
        <f aca="false">01_Data!D13</f>
        <v>1</v>
      </c>
      <c r="E255" s="52" t="n">
        <f aca="false">$D$246+$F$246*B255+$H$246*C255</f>
        <v>-0.0298726419069244</v>
      </c>
      <c r="F255" s="52" t="n">
        <f aca="false">1/(1+EXP(-E255))</f>
        <v>0.492532394840191</v>
      </c>
      <c r="G255" s="53" t="n">
        <f aca="false">F255-D255</f>
        <v>-0.507467605159809</v>
      </c>
      <c r="H255" s="53" t="n">
        <f aca="false">G255</f>
        <v>-0.507467605159809</v>
      </c>
      <c r="I255" s="53" t="n">
        <f aca="false">G255*B255</f>
        <v>0.101493521031962</v>
      </c>
      <c r="J255" s="53" t="n">
        <f aca="false">G255*C255</f>
        <v>0.101493521031962</v>
      </c>
      <c r="K255" s="52" t="n">
        <f aca="false">-(D255*LN(MIN(MAX(F255,0.000001),0.999999))+(1-D255)*LN(MIN(MAX(1-F255,0.000001),0.999999)))</f>
        <v>0.708195044207901</v>
      </c>
    </row>
    <row r="256" customFormat="false" ht="15" hidden="false" customHeight="false" outlineLevel="0" collapsed="false">
      <c r="A256" s="50" t="str">
        <f aca="false">01_Data!A14</f>
        <v>S09</v>
      </c>
      <c r="B256" s="51" t="n">
        <f aca="false">01_Data!F14</f>
        <v>0</v>
      </c>
      <c r="C256" s="51" t="n">
        <f aca="false">01_Data!G14</f>
        <v>0</v>
      </c>
      <c r="D256" s="51" t="n">
        <f aca="false">01_Data!D14</f>
        <v>1</v>
      </c>
      <c r="E256" s="52" t="n">
        <f aca="false">$D$246+$F$246*B256+$H$246*C256</f>
        <v>0.270029210481584</v>
      </c>
      <c r="F256" s="52" t="n">
        <f aca="false">1/(1+EXP(-E256))</f>
        <v>0.567100076082043</v>
      </c>
      <c r="G256" s="53" t="n">
        <f aca="false">F256-D256</f>
        <v>-0.432899923917957</v>
      </c>
      <c r="H256" s="53" t="n">
        <f aca="false">G256</f>
        <v>-0.432899923917957</v>
      </c>
      <c r="I256" s="53" t="n">
        <f aca="false">G256*B256</f>
        <v>-0</v>
      </c>
      <c r="J256" s="53" t="n">
        <f aca="false">G256*C256</f>
        <v>-0</v>
      </c>
      <c r="K256" s="52" t="n">
        <f aca="false">-(D256*LN(MIN(MAX(F256,0.000001),0.999999))+(1-D256)*LN(MIN(MAX(1-F256,0.000001),0.999999)))</f>
        <v>0.567219489802328</v>
      </c>
    </row>
    <row r="257" customFormat="false" ht="15" hidden="false" customHeight="false" outlineLevel="0" collapsed="false">
      <c r="A257" s="50" t="str">
        <f aca="false">01_Data!A15</f>
        <v>S10</v>
      </c>
      <c r="B257" s="51" t="n">
        <f aca="false">01_Data!F15</f>
        <v>0.2</v>
      </c>
      <c r="C257" s="51" t="n">
        <f aca="false">01_Data!G15</f>
        <v>0.2</v>
      </c>
      <c r="D257" s="51" t="n">
        <f aca="false">01_Data!D15</f>
        <v>1</v>
      </c>
      <c r="E257" s="52" t="n">
        <f aca="false">$D$246+$F$246*B257+$H$246*C257</f>
        <v>0.569931062870093</v>
      </c>
      <c r="F257" s="52" t="n">
        <f aca="false">1/(1+EXP(-E257))</f>
        <v>0.638747268113724</v>
      </c>
      <c r="G257" s="53" t="n">
        <f aca="false">F257-D257</f>
        <v>-0.361252731886276</v>
      </c>
      <c r="H257" s="53" t="n">
        <f aca="false">G257</f>
        <v>-0.361252731886276</v>
      </c>
      <c r="I257" s="53" t="n">
        <f aca="false">G257*B257</f>
        <v>-0.0722505463772552</v>
      </c>
      <c r="J257" s="53" t="n">
        <f aca="false">G257*C257</f>
        <v>-0.0722505463772552</v>
      </c>
      <c r="K257" s="52" t="n">
        <f aca="false">-(D257*LN(MIN(MAX(F257,0.000001),0.999999))+(1-D257)*LN(MIN(MAX(1-F257,0.000001),0.999999)))</f>
        <v>0.448246414399046</v>
      </c>
    </row>
    <row r="258" customFormat="false" ht="15" hidden="false" customHeight="false" outlineLevel="0" collapsed="false">
      <c r="A258" s="50" t="str">
        <f aca="false">01_Data!A16</f>
        <v>S11</v>
      </c>
      <c r="B258" s="51" t="n">
        <f aca="false">01_Data!F16</f>
        <v>0.4</v>
      </c>
      <c r="C258" s="51" t="n">
        <f aca="false">01_Data!G16</f>
        <v>0.333333333333333</v>
      </c>
      <c r="D258" s="51" t="n">
        <f aca="false">01_Data!D16</f>
        <v>1</v>
      </c>
      <c r="E258" s="52" t="n">
        <f aca="false">$D$246+$F$246*B258+$H$246*C258</f>
        <v>0.822127800024814</v>
      </c>
      <c r="F258" s="52" t="n">
        <f aca="false">1/(1+EXP(-E258))</f>
        <v>0.694687826226677</v>
      </c>
      <c r="G258" s="53" t="n">
        <f aca="false">F258-D258</f>
        <v>-0.305312173773323</v>
      </c>
      <c r="H258" s="53" t="n">
        <f aca="false">G258</f>
        <v>-0.305312173773323</v>
      </c>
      <c r="I258" s="53" t="n">
        <f aca="false">G258*B258</f>
        <v>-0.122124869509329</v>
      </c>
      <c r="J258" s="53" t="n">
        <f aca="false">G258*C258</f>
        <v>-0.101770724591108</v>
      </c>
      <c r="K258" s="52" t="n">
        <f aca="false">-(D258*LN(MIN(MAX(F258,0.000001),0.999999))+(1-D258)*LN(MIN(MAX(1-F258,0.000001),0.999999)))</f>
        <v>0.364292705221678</v>
      </c>
    </row>
    <row r="259" customFormat="false" ht="15" hidden="false" customHeight="false" outlineLevel="0" collapsed="false">
      <c r="A259" s="50" t="str">
        <f aca="false">01_Data!A17</f>
        <v>S12</v>
      </c>
      <c r="B259" s="51" t="n">
        <f aca="false">01_Data!F17</f>
        <v>0.6</v>
      </c>
      <c r="C259" s="51" t="n">
        <f aca="false">01_Data!G17</f>
        <v>0.466666666666667</v>
      </c>
      <c r="D259" s="51" t="n">
        <f aca="false">01_Data!D17</f>
        <v>1</v>
      </c>
      <c r="E259" s="52" t="n">
        <f aca="false">$D$246+$F$246*B259+$H$246*C259</f>
        <v>1.07432453717954</v>
      </c>
      <c r="F259" s="52" t="n">
        <f aca="false">1/(1+EXP(-E259))</f>
        <v>0.745418452943854</v>
      </c>
      <c r="G259" s="53" t="n">
        <f aca="false">F259-D259</f>
        <v>-0.254581547056146</v>
      </c>
      <c r="H259" s="53" t="n">
        <f aca="false">G259</f>
        <v>-0.254581547056146</v>
      </c>
      <c r="I259" s="53" t="n">
        <f aca="false">G259*B259</f>
        <v>-0.152748928233687</v>
      </c>
      <c r="J259" s="53" t="n">
        <f aca="false">G259*C259</f>
        <v>-0.118804721959535</v>
      </c>
      <c r="K259" s="52" t="n">
        <f aca="false">-(D259*LN(MIN(MAX(F259,0.000001),0.999999))+(1-D259)*LN(MIN(MAX(1-F259,0.000001),0.999999)))</f>
        <v>0.293809536482928</v>
      </c>
    </row>
    <row r="260" customFormat="false" ht="15" hidden="false" customHeight="false" outlineLevel="0" collapsed="false">
      <c r="A260" s="50" t="str">
        <f aca="false">01_Data!A18</f>
        <v>S13</v>
      </c>
      <c r="B260" s="51" t="n">
        <f aca="false">01_Data!F18</f>
        <v>0.8</v>
      </c>
      <c r="C260" s="51" t="n">
        <f aca="false">01_Data!G18</f>
        <v>0.666666666666667</v>
      </c>
      <c r="D260" s="51" t="n">
        <f aca="false">01_Data!D18</f>
        <v>1</v>
      </c>
      <c r="E260" s="52" t="n">
        <f aca="false">$D$246+$F$246*B260+$H$246*C260</f>
        <v>1.37422638956804</v>
      </c>
      <c r="F260" s="52" t="n">
        <f aca="false">1/(1+EXP(-E260))</f>
        <v>0.798062132230312</v>
      </c>
      <c r="G260" s="53" t="n">
        <f aca="false">F260-D260</f>
        <v>-0.201937867769688</v>
      </c>
      <c r="H260" s="53" t="n">
        <f aca="false">G260</f>
        <v>-0.201937867769688</v>
      </c>
      <c r="I260" s="53" t="n">
        <f aca="false">G260*B260</f>
        <v>-0.161550294215751</v>
      </c>
      <c r="J260" s="53" t="n">
        <f aca="false">G260*C260</f>
        <v>-0.134625245179792</v>
      </c>
      <c r="K260" s="52" t="n">
        <f aca="false">-(D260*LN(MIN(MAX(F260,0.000001),0.999999))+(1-D260)*LN(MIN(MAX(1-F260,0.000001),0.999999)))</f>
        <v>0.225568824625522</v>
      </c>
    </row>
    <row r="261" customFormat="false" ht="15" hidden="false" customHeight="false" outlineLevel="0" collapsed="false">
      <c r="A261" s="50" t="str">
        <f aca="false">01_Data!A19</f>
        <v>S14</v>
      </c>
      <c r="B261" s="51" t="n">
        <f aca="false">01_Data!F19</f>
        <v>1</v>
      </c>
      <c r="C261" s="51" t="n">
        <f aca="false">01_Data!G19</f>
        <v>0.866666666666667</v>
      </c>
      <c r="D261" s="51" t="n">
        <f aca="false">01_Data!D19</f>
        <v>1</v>
      </c>
      <c r="E261" s="52" t="n">
        <f aca="false">$D$246+$F$246*B261+$H$246*C261</f>
        <v>1.67412824195655</v>
      </c>
      <c r="F261" s="52" t="n">
        <f aca="false">1/(1+EXP(-E261))</f>
        <v>0.842125447158016</v>
      </c>
      <c r="G261" s="53" t="n">
        <f aca="false">F261-D261</f>
        <v>-0.157874552841984</v>
      </c>
      <c r="H261" s="53" t="n">
        <f aca="false">G261</f>
        <v>-0.157874552841984</v>
      </c>
      <c r="I261" s="53" t="n">
        <f aca="false">G261*B261</f>
        <v>-0.157874552841984</v>
      </c>
      <c r="J261" s="53" t="n">
        <f aca="false">G261*C261</f>
        <v>-0.136824612463053</v>
      </c>
      <c r="K261" s="52" t="n">
        <f aca="false">-(D261*LN(MIN(MAX(F261,0.000001),0.999999))+(1-D261)*LN(MIN(MAX(1-F261,0.000001),0.999999)))</f>
        <v>0.171826288713755</v>
      </c>
    </row>
    <row r="262" customFormat="false" ht="15" hidden="false" customHeight="false" outlineLevel="0" collapsed="false">
      <c r="A262" s="50" t="str">
        <f aca="false">01_Data!A20</f>
        <v>S15</v>
      </c>
      <c r="B262" s="51" t="n">
        <f aca="false">01_Data!F20</f>
        <v>1.2</v>
      </c>
      <c r="C262" s="51" t="n">
        <f aca="false">01_Data!G20</f>
        <v>1</v>
      </c>
      <c r="D262" s="51" t="n">
        <f aca="false">01_Data!D20</f>
        <v>1</v>
      </c>
      <c r="E262" s="52" t="n">
        <f aca="false">$D$246+$F$246*B262+$H$246*C262</f>
        <v>1.92632497911127</v>
      </c>
      <c r="F262" s="52" t="n">
        <f aca="false">1/(1+EXP(-E262))</f>
        <v>0.87284209239405</v>
      </c>
      <c r="G262" s="53" t="n">
        <f aca="false">F262-D262</f>
        <v>-0.12715790760595</v>
      </c>
      <c r="H262" s="53" t="n">
        <f aca="false">G262</f>
        <v>-0.12715790760595</v>
      </c>
      <c r="I262" s="53" t="n">
        <f aca="false">G262*B262</f>
        <v>-0.15258948912714</v>
      </c>
      <c r="J262" s="53" t="n">
        <f aca="false">G262*C262</f>
        <v>-0.12715790760595</v>
      </c>
      <c r="K262" s="52" t="n">
        <f aca="false">-(D262*LN(MIN(MAX(F262,0.000001),0.999999))+(1-D262)*LN(MIN(MAX(1-F262,0.000001),0.999999)))</f>
        <v>0.136000618776874</v>
      </c>
    </row>
    <row r="263" customFormat="false" ht="15" hidden="false" customHeight="false" outlineLevel="0" collapsed="false">
      <c r="A263" s="50" t="str">
        <f aca="false">01_Data!A21</f>
        <v>S16</v>
      </c>
      <c r="B263" s="51" t="n">
        <f aca="false">01_Data!F21</f>
        <v>1.4</v>
      </c>
      <c r="C263" s="51" t="n">
        <f aca="false">01_Data!G21</f>
        <v>1.13333333333333</v>
      </c>
      <c r="D263" s="51" t="n">
        <f aca="false">01_Data!D21</f>
        <v>1</v>
      </c>
      <c r="E263" s="52" t="n">
        <f aca="false">$D$246+$F$246*B263+$H$246*C263</f>
        <v>2.17852171626599</v>
      </c>
      <c r="F263" s="52" t="n">
        <f aca="false">1/(1+EXP(-E263))</f>
        <v>0.898304104700648</v>
      </c>
      <c r="G263" s="53" t="n">
        <f aca="false">F263-D263</f>
        <v>-0.101695895299352</v>
      </c>
      <c r="H263" s="53" t="n">
        <f aca="false">G263</f>
        <v>-0.101695895299352</v>
      </c>
      <c r="I263" s="53" t="n">
        <f aca="false">G263*B263</f>
        <v>-0.142374253419093</v>
      </c>
      <c r="J263" s="53" t="n">
        <f aca="false">G263*C263</f>
        <v>-0.115255348005932</v>
      </c>
      <c r="K263" s="52" t="n">
        <f aca="false">-(D263*LN(MIN(MAX(F263,0.000001),0.999999))+(1-D263)*LN(MIN(MAX(1-F263,0.000001),0.999999)))</f>
        <v>0.107246621347811</v>
      </c>
    </row>
    <row r="264" customFormat="false" ht="15" hidden="false" customHeight="false" outlineLevel="0" collapsed="false">
      <c r="A264" s="50" t="str">
        <f aca="false">01_Data!A22</f>
        <v>S17</v>
      </c>
      <c r="B264" s="51" t="n">
        <f aca="false">01_Data!F22</f>
        <v>1.6</v>
      </c>
      <c r="C264" s="51" t="n">
        <f aca="false">01_Data!G22</f>
        <v>1.33333333333333</v>
      </c>
      <c r="D264" s="51" t="n">
        <f aca="false">01_Data!D22</f>
        <v>1</v>
      </c>
      <c r="E264" s="52" t="n">
        <f aca="false">$D$246+$F$246*B264+$H$246*C264</f>
        <v>2.4784235686545</v>
      </c>
      <c r="F264" s="52" t="n">
        <f aca="false">1/(1+EXP(-E264))</f>
        <v>0.922615321471511</v>
      </c>
      <c r="G264" s="53" t="n">
        <f aca="false">F264-D264</f>
        <v>-0.0773846785284893</v>
      </c>
      <c r="H264" s="53" t="n">
        <f aca="false">G264</f>
        <v>-0.0773846785284893</v>
      </c>
      <c r="I264" s="53" t="n">
        <f aca="false">G264*B264</f>
        <v>-0.123815485645583</v>
      </c>
      <c r="J264" s="53" t="n">
        <f aca="false">G264*C264</f>
        <v>-0.103179571371319</v>
      </c>
      <c r="K264" s="52" t="n">
        <f aca="false">-(D264*LN(MIN(MAX(F264,0.000001),0.999999))+(1-D264)*LN(MIN(MAX(1-F264,0.000001),0.999999)))</f>
        <v>0.0805429011553045</v>
      </c>
    </row>
    <row r="265" customFormat="false" ht="15" hidden="false" customHeight="false" outlineLevel="0" collapsed="false">
      <c r="A265" s="50" t="str">
        <f aca="false">01_Data!A23</f>
        <v>S18</v>
      </c>
      <c r="B265" s="51" t="n">
        <f aca="false">01_Data!F23</f>
        <v>0</v>
      </c>
      <c r="C265" s="51" t="n">
        <f aca="false">01_Data!G23</f>
        <v>-0.666666666666667</v>
      </c>
      <c r="D265" s="51" t="n">
        <f aca="false">01_Data!D23</f>
        <v>0</v>
      </c>
      <c r="E265" s="52" t="n">
        <f aca="false">$D$246+$F$246*B265+$H$246*C265</f>
        <v>-0.207021941856293</v>
      </c>
      <c r="F265" s="52" t="n">
        <f aca="false">1/(1+EXP(-E265))</f>
        <v>0.448428570826542</v>
      </c>
      <c r="G265" s="53" t="n">
        <f aca="false">F265-D265</f>
        <v>0.448428570826542</v>
      </c>
      <c r="H265" s="53" t="n">
        <f aca="false">G265</f>
        <v>0.448428570826542</v>
      </c>
      <c r="I265" s="53" t="n">
        <f aca="false">G265*B265</f>
        <v>0</v>
      </c>
      <c r="J265" s="53" t="n">
        <f aca="false">G265*C265</f>
        <v>-0.298952380551028</v>
      </c>
      <c r="K265" s="52" t="n">
        <f aca="false">-(D265*LN(MIN(MAX(F265,0.000001),0.999999))+(1-D265)*LN(MIN(MAX(1-F265,0.000001),0.999999)))</f>
        <v>0.594983930681734</v>
      </c>
    </row>
    <row r="266" customFormat="false" ht="15" hidden="false" customHeight="false" outlineLevel="0" collapsed="false">
      <c r="A266" s="50" t="str">
        <f aca="false">01_Data!A24</f>
        <v>S19</v>
      </c>
      <c r="B266" s="51" t="n">
        <f aca="false">01_Data!F24</f>
        <v>-0.8</v>
      </c>
      <c r="C266" s="51" t="n">
        <f aca="false">01_Data!G24</f>
        <v>0.666666666666667</v>
      </c>
      <c r="D266" s="51" t="n">
        <f aca="false">01_Data!D24</f>
        <v>1</v>
      </c>
      <c r="E266" s="52" t="n">
        <f aca="false">$D$246+$F$246*B266+$H$246*C266</f>
        <v>0.119934336070881</v>
      </c>
      <c r="F266" s="52" t="n">
        <f aca="false">1/(1+EXP(-E266))</f>
        <v>0.529947694706105</v>
      </c>
      <c r="G266" s="53" t="n">
        <f aca="false">F266-D266</f>
        <v>-0.470052305293895</v>
      </c>
      <c r="H266" s="53" t="n">
        <f aca="false">G266</f>
        <v>-0.470052305293895</v>
      </c>
      <c r="I266" s="53" t="n">
        <f aca="false">G266*B266</f>
        <v>0.376041844235116</v>
      </c>
      <c r="J266" s="53" t="n">
        <f aca="false">G266*C266</f>
        <v>-0.313368203529263</v>
      </c>
      <c r="K266" s="52" t="n">
        <f aca="false">-(D266*LN(MIN(MAX(F266,0.000001),0.999999))+(1-D266)*LN(MIN(MAX(1-F266,0.000001),0.999999)))</f>
        <v>0.634976966539836</v>
      </c>
    </row>
    <row r="267" customFormat="false" ht="15" hidden="false" customHeight="false" outlineLevel="0" collapsed="false">
      <c r="A267" s="50" t="str">
        <f aca="false">01_Data!A25</f>
        <v>S20</v>
      </c>
      <c r="B267" s="51" t="n">
        <f aca="false">01_Data!F25</f>
        <v>0.8</v>
      </c>
      <c r="C267" s="51" t="n">
        <f aca="false">01_Data!G25</f>
        <v>-0.666666666666667</v>
      </c>
      <c r="D267" s="51" t="n">
        <f aca="false">01_Data!D25</f>
        <v>1</v>
      </c>
      <c r="E267" s="52" t="n">
        <f aca="false">$D$246+$F$246*B267+$H$246*C267</f>
        <v>0.420124084892288</v>
      </c>
      <c r="F267" s="52" t="n">
        <f aca="false">1/(1+EXP(-E267))</f>
        <v>0.603512941908308</v>
      </c>
      <c r="G267" s="53" t="n">
        <f aca="false">F267-D267</f>
        <v>-0.396487058091692</v>
      </c>
      <c r="H267" s="53" t="n">
        <f aca="false">G267</f>
        <v>-0.396487058091692</v>
      </c>
      <c r="I267" s="53" t="n">
        <f aca="false">G267*B267</f>
        <v>-0.317189646473354</v>
      </c>
      <c r="J267" s="53" t="n">
        <f aca="false">G267*C267</f>
        <v>0.264324705394461</v>
      </c>
      <c r="K267" s="52" t="n">
        <f aca="false">-(D267*LN(MIN(MAX(F267,0.000001),0.999999))+(1-D267)*LN(MIN(MAX(1-F267,0.000001),0.999999)))</f>
        <v>0.504987793921698</v>
      </c>
    </row>
    <row r="268" customFormat="false" ht="15" hidden="false" customHeight="false" outlineLevel="0" collapsed="false">
      <c r="A268" s="54" t="s">
        <v>138</v>
      </c>
      <c r="B268" s="54"/>
      <c r="C268" s="54"/>
      <c r="D268" s="54"/>
      <c r="E268" s="54"/>
      <c r="F268" s="54"/>
      <c r="G268" s="54" t="s">
        <v>139</v>
      </c>
      <c r="H268" s="55" t="n">
        <f aca="false">AVERAGE(H248:H267)</f>
        <v>-0.0557839312239792</v>
      </c>
      <c r="I268" s="55" t="n">
        <f aca="false">AVERAGE(I248:I267)</f>
        <v>-0.124120763417074</v>
      </c>
      <c r="J268" s="55" t="n">
        <f aca="false">AVERAGE(J248:J267)</f>
        <v>-0.122401705974409</v>
      </c>
      <c r="K268" s="55" t="n">
        <f aca="false">AVERAGE(K248:K267)</f>
        <v>0.351284668405161</v>
      </c>
    </row>
    <row r="269" customFormat="false" ht="22.35" hidden="false" customHeight="true" outlineLevel="0" collapsed="false">
      <c r="A269" s="47" t="s">
        <v>140</v>
      </c>
      <c r="B269" s="47"/>
      <c r="C269" s="47" t="s">
        <v>141</v>
      </c>
      <c r="D269" s="56" t="n">
        <f aca="false">D246-$B$4*H268</f>
        <v>0.292342782971176</v>
      </c>
      <c r="E269" s="47" t="s">
        <v>142</v>
      </c>
      <c r="F269" s="56" t="n">
        <f aca="false">F246-$B$4*I268</f>
        <v>0.833580838802556</v>
      </c>
      <c r="G269" s="47" t="s">
        <v>143</v>
      </c>
      <c r="H269" s="56" t="n">
        <f aca="false">H246-$B$4*J268</f>
        <v>0.76453741089658</v>
      </c>
      <c r="I269" s="48" t="s">
        <v>144</v>
      </c>
      <c r="J269" s="48"/>
      <c r="K269" s="48"/>
    </row>
    <row r="271" customFormat="false" ht="22.5" hidden="false" customHeight="true" outlineLevel="0" collapsed="false">
      <c r="A271" s="4" t="s">
        <v>157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customFormat="false" ht="15" hidden="false" customHeight="true" outlineLevel="0" collapsed="false">
      <c r="A272" s="47" t="s">
        <v>122</v>
      </c>
      <c r="B272" s="48" t="n">
        <v>11</v>
      </c>
      <c r="C272" s="47" t="s">
        <v>123</v>
      </c>
      <c r="D272" s="58" t="n">
        <f aca="false">D269</f>
        <v>0.292342782971176</v>
      </c>
      <c r="E272" s="47" t="s">
        <v>124</v>
      </c>
      <c r="F272" s="58" t="n">
        <f aca="false">F269</f>
        <v>0.833580838802556</v>
      </c>
      <c r="G272" s="47" t="s">
        <v>125</v>
      </c>
      <c r="H272" s="58" t="n">
        <f aca="false">H269</f>
        <v>0.76453741089658</v>
      </c>
      <c r="I272" s="48" t="s">
        <v>126</v>
      </c>
      <c r="J272" s="48"/>
      <c r="K272" s="48"/>
    </row>
    <row r="273" customFormat="false" ht="33.75" hidden="false" customHeight="true" outlineLevel="0" collapsed="false">
      <c r="A273" s="18" t="s">
        <v>127</v>
      </c>
      <c r="B273" s="18" t="s">
        <v>128</v>
      </c>
      <c r="C273" s="18" t="s">
        <v>129</v>
      </c>
      <c r="D273" s="18" t="s">
        <v>130</v>
      </c>
      <c r="E273" s="18" t="s">
        <v>131</v>
      </c>
      <c r="F273" s="18" t="s">
        <v>132</v>
      </c>
      <c r="G273" s="18" t="s">
        <v>133</v>
      </c>
      <c r="H273" s="18" t="s">
        <v>146</v>
      </c>
      <c r="I273" s="18" t="s">
        <v>147</v>
      </c>
      <c r="J273" s="18" t="s">
        <v>148</v>
      </c>
      <c r="K273" s="18" t="s">
        <v>33</v>
      </c>
    </row>
    <row r="274" customFormat="false" ht="15" hidden="false" customHeight="false" outlineLevel="0" collapsed="false">
      <c r="A274" s="50" t="str">
        <f aca="false">01_Data!A6</f>
        <v>S01</v>
      </c>
      <c r="B274" s="51" t="n">
        <f aca="false">01_Data!F6</f>
        <v>-1.6</v>
      </c>
      <c r="C274" s="51" t="n">
        <f aca="false">01_Data!G6</f>
        <v>-1.33333333333333</v>
      </c>
      <c r="D274" s="51" t="n">
        <f aca="false">01_Data!D6</f>
        <v>0</v>
      </c>
      <c r="E274" s="52" t="n">
        <f aca="false">$D$272+$F$272*B274+$H$272*C274</f>
        <v>-2.06076977364169</v>
      </c>
      <c r="F274" s="52" t="n">
        <f aca="false">1/(1+EXP(-E274))</f>
        <v>0.112968670573127</v>
      </c>
      <c r="G274" s="53" t="n">
        <f aca="false">F274-D274</f>
        <v>0.112968670573127</v>
      </c>
      <c r="H274" s="53" t="n">
        <f aca="false">G274</f>
        <v>0.112968670573127</v>
      </c>
      <c r="I274" s="53" t="n">
        <f aca="false">G274*B274</f>
        <v>-0.180749872917003</v>
      </c>
      <c r="J274" s="53" t="n">
        <f aca="false">G274*C274</f>
        <v>-0.150624894097502</v>
      </c>
      <c r="K274" s="52" t="n">
        <f aca="false">-(D274*LN(MIN(MAX(F274,0.000001),0.999999))+(1-D274)*LN(MIN(MAX(1-F274,0.000001),0.999999)))</f>
        <v>0.119874976634679</v>
      </c>
    </row>
    <row r="275" customFormat="false" ht="15" hidden="false" customHeight="false" outlineLevel="0" collapsed="false">
      <c r="A275" s="50" t="str">
        <f aca="false">01_Data!A7</f>
        <v>S02</v>
      </c>
      <c r="B275" s="51" t="n">
        <f aca="false">01_Data!F7</f>
        <v>-1.4</v>
      </c>
      <c r="C275" s="51" t="n">
        <f aca="false">01_Data!G7</f>
        <v>-1</v>
      </c>
      <c r="D275" s="51" t="n">
        <f aca="false">01_Data!D7</f>
        <v>0</v>
      </c>
      <c r="E275" s="52" t="n">
        <f aca="false">$D$272+$F$272*B275+$H$272*C275</f>
        <v>-1.63920780224898</v>
      </c>
      <c r="F275" s="52" t="n">
        <f aca="false">1/(1+EXP(-E275))</f>
        <v>0.16257288588591</v>
      </c>
      <c r="G275" s="53" t="n">
        <f aca="false">F275-D275</f>
        <v>0.16257288588591</v>
      </c>
      <c r="H275" s="53" t="n">
        <f aca="false">G275</f>
        <v>0.16257288588591</v>
      </c>
      <c r="I275" s="53" t="n">
        <f aca="false">G275*B275</f>
        <v>-0.227602040240274</v>
      </c>
      <c r="J275" s="53" t="n">
        <f aca="false">G275*C275</f>
        <v>-0.16257288588591</v>
      </c>
      <c r="K275" s="52" t="n">
        <f aca="false">-(D275*LN(MIN(MAX(F275,0.000001),0.999999))+(1-D275)*LN(MIN(MAX(1-F275,0.000001),0.999999)))</f>
        <v>0.177421046993539</v>
      </c>
    </row>
    <row r="276" customFormat="false" ht="15" hidden="false" customHeight="false" outlineLevel="0" collapsed="false">
      <c r="A276" s="50" t="str">
        <f aca="false">01_Data!A8</f>
        <v>S03</v>
      </c>
      <c r="B276" s="51" t="n">
        <f aca="false">01_Data!F8</f>
        <v>-1.2</v>
      </c>
      <c r="C276" s="51" t="n">
        <f aca="false">01_Data!G8</f>
        <v>-1.13333333333333</v>
      </c>
      <c r="D276" s="51" t="n">
        <f aca="false">01_Data!D8</f>
        <v>0</v>
      </c>
      <c r="E276" s="52" t="n">
        <f aca="false">$D$272+$F$272*B276+$H$272*C276</f>
        <v>-1.57442995594135</v>
      </c>
      <c r="F276" s="52" t="n">
        <f aca="false">1/(1+EXP(-E276))</f>
        <v>0.17158578320761</v>
      </c>
      <c r="G276" s="53" t="n">
        <f aca="false">F276-D276</f>
        <v>0.17158578320761</v>
      </c>
      <c r="H276" s="53" t="n">
        <f aca="false">G276</f>
        <v>0.17158578320761</v>
      </c>
      <c r="I276" s="53" t="n">
        <f aca="false">G276*B276</f>
        <v>-0.205902939849132</v>
      </c>
      <c r="J276" s="53" t="n">
        <f aca="false">G276*C276</f>
        <v>-0.194463887635291</v>
      </c>
      <c r="K276" s="52" t="n">
        <f aca="false">-(D276*LN(MIN(MAX(F276,0.000001),0.999999))+(1-D276)*LN(MIN(MAX(1-F276,0.000001),0.999999)))</f>
        <v>0.18824198785955</v>
      </c>
    </row>
    <row r="277" customFormat="false" ht="15" hidden="false" customHeight="false" outlineLevel="0" collapsed="false">
      <c r="A277" s="50" t="str">
        <f aca="false">01_Data!A9</f>
        <v>S04</v>
      </c>
      <c r="B277" s="51" t="n">
        <f aca="false">01_Data!F9</f>
        <v>-1</v>
      </c>
      <c r="C277" s="51" t="n">
        <f aca="false">01_Data!G9</f>
        <v>-0.666666666666667</v>
      </c>
      <c r="D277" s="51" t="n">
        <f aca="false">01_Data!D9</f>
        <v>0</v>
      </c>
      <c r="E277" s="52" t="n">
        <f aca="false">$D$272+$F$272*B277+$H$272*C277</f>
        <v>-1.05092966309577</v>
      </c>
      <c r="F277" s="52" t="n">
        <f aca="false">1/(1+EXP(-E277))</f>
        <v>0.259046619950067</v>
      </c>
      <c r="G277" s="53" t="n">
        <f aca="false">F277-D277</f>
        <v>0.259046619950067</v>
      </c>
      <c r="H277" s="53" t="n">
        <f aca="false">G277</f>
        <v>0.259046619950067</v>
      </c>
      <c r="I277" s="53" t="n">
        <f aca="false">G277*B277</f>
        <v>-0.259046619950067</v>
      </c>
      <c r="J277" s="53" t="n">
        <f aca="false">G277*C277</f>
        <v>-0.172697746633378</v>
      </c>
      <c r="K277" s="52" t="n">
        <f aca="false">-(D277*LN(MIN(MAX(F277,0.000001),0.999999))+(1-D277)*LN(MIN(MAX(1-F277,0.000001),0.999999)))</f>
        <v>0.299817570577647</v>
      </c>
    </row>
    <row r="278" customFormat="false" ht="15" hidden="false" customHeight="false" outlineLevel="0" collapsed="false">
      <c r="A278" s="50" t="str">
        <f aca="false">01_Data!A10</f>
        <v>S05</v>
      </c>
      <c r="B278" s="51" t="n">
        <f aca="false">01_Data!F10</f>
        <v>-0.8</v>
      </c>
      <c r="C278" s="51" t="n">
        <f aca="false">01_Data!G10</f>
        <v>-0.866666666666667</v>
      </c>
      <c r="D278" s="51" t="n">
        <f aca="false">01_Data!D10</f>
        <v>0</v>
      </c>
      <c r="E278" s="52" t="n">
        <f aca="false">$D$272+$F$272*B278+$H$272*C278</f>
        <v>-1.03712097751457</v>
      </c>
      <c r="F278" s="52" t="n">
        <f aca="false">1/(1+EXP(-E278))</f>
        <v>0.261705885123625</v>
      </c>
      <c r="G278" s="53" t="n">
        <f aca="false">F278-D278</f>
        <v>0.261705885123625</v>
      </c>
      <c r="H278" s="53" t="n">
        <f aca="false">G278</f>
        <v>0.261705885123625</v>
      </c>
      <c r="I278" s="53" t="n">
        <f aca="false">G278*B278</f>
        <v>-0.2093647080989</v>
      </c>
      <c r="J278" s="53" t="n">
        <f aca="false">G278*C278</f>
        <v>-0.226811767107142</v>
      </c>
      <c r="K278" s="52" t="n">
        <f aca="false">-(D278*LN(MIN(MAX(F278,0.000001),0.999999))+(1-D278)*LN(MIN(MAX(1-F278,0.000001),0.999999)))</f>
        <v>0.303413004130725</v>
      </c>
    </row>
    <row r="279" customFormat="false" ht="15" hidden="false" customHeight="false" outlineLevel="0" collapsed="false">
      <c r="A279" s="50" t="str">
        <f aca="false">01_Data!A11</f>
        <v>S06</v>
      </c>
      <c r="B279" s="51" t="n">
        <f aca="false">01_Data!F11</f>
        <v>-0.6</v>
      </c>
      <c r="C279" s="51" t="n">
        <f aca="false">01_Data!G11</f>
        <v>-0.333333333333333</v>
      </c>
      <c r="D279" s="51" t="n">
        <f aca="false">01_Data!D11</f>
        <v>0</v>
      </c>
      <c r="E279" s="52" t="n">
        <f aca="false">$D$272+$F$272*B279+$H$272*C279</f>
        <v>-0.462651523942551</v>
      </c>
      <c r="F279" s="52" t="n">
        <f aca="false">1/(1+EXP(-E279))</f>
        <v>0.386356997482155</v>
      </c>
      <c r="G279" s="53" t="n">
        <f aca="false">F279-D279</f>
        <v>0.386356997482155</v>
      </c>
      <c r="H279" s="53" t="n">
        <f aca="false">G279</f>
        <v>0.386356997482155</v>
      </c>
      <c r="I279" s="53" t="n">
        <f aca="false">G279*B279</f>
        <v>-0.231814198489293</v>
      </c>
      <c r="J279" s="53" t="n">
        <f aca="false">G279*C279</f>
        <v>-0.128785665827385</v>
      </c>
      <c r="K279" s="52" t="n">
        <f aca="false">-(D279*LN(MIN(MAX(F279,0.000001),0.999999))+(1-D279)*LN(MIN(MAX(1-F279,0.000001),0.999999)))</f>
        <v>0.488341949054487</v>
      </c>
    </row>
    <row r="280" customFormat="false" ht="15" hidden="false" customHeight="false" outlineLevel="0" collapsed="false">
      <c r="A280" s="50" t="str">
        <f aca="false">01_Data!A12</f>
        <v>S07</v>
      </c>
      <c r="B280" s="51" t="n">
        <f aca="false">01_Data!F12</f>
        <v>-0.4</v>
      </c>
      <c r="C280" s="51" t="n">
        <f aca="false">01_Data!G12</f>
        <v>-0.466666666666667</v>
      </c>
      <c r="D280" s="51" t="n">
        <f aca="false">01_Data!D12</f>
        <v>0</v>
      </c>
      <c r="E280" s="52" t="n">
        <f aca="false">$D$272+$F$272*B280+$H$272*C280</f>
        <v>-0.397873677634917</v>
      </c>
      <c r="F280" s="52" t="n">
        <f aca="false">1/(1+EXP(-E280))</f>
        <v>0.401823318716854</v>
      </c>
      <c r="G280" s="53" t="n">
        <f aca="false">F280-D280</f>
        <v>0.401823318716854</v>
      </c>
      <c r="H280" s="53" t="n">
        <f aca="false">G280</f>
        <v>0.401823318716854</v>
      </c>
      <c r="I280" s="53" t="n">
        <f aca="false">G280*B280</f>
        <v>-0.160729327486742</v>
      </c>
      <c r="J280" s="53" t="n">
        <f aca="false">G280*C280</f>
        <v>-0.187517548734532</v>
      </c>
      <c r="K280" s="52" t="n">
        <f aca="false">-(D280*LN(MIN(MAX(F280,0.000001),0.999999))+(1-D280)*LN(MIN(MAX(1-F280,0.000001),0.999999)))</f>
        <v>0.513869115018595</v>
      </c>
    </row>
    <row r="281" customFormat="false" ht="15" hidden="false" customHeight="false" outlineLevel="0" collapsed="false">
      <c r="A281" s="50" t="str">
        <f aca="false">01_Data!A13</f>
        <v>S08</v>
      </c>
      <c r="B281" s="51" t="n">
        <f aca="false">01_Data!F13</f>
        <v>-0.2</v>
      </c>
      <c r="C281" s="51" t="n">
        <f aca="false">01_Data!G13</f>
        <v>-0.2</v>
      </c>
      <c r="D281" s="51" t="n">
        <f aca="false">01_Data!D13</f>
        <v>1</v>
      </c>
      <c r="E281" s="52" t="n">
        <f aca="false">$D$272+$F$272*B281+$H$272*C281</f>
        <v>-0.0272808669686513</v>
      </c>
      <c r="F281" s="52" t="n">
        <f aca="false">1/(1+EXP(-E281))</f>
        <v>0.493180206219442</v>
      </c>
      <c r="G281" s="53" t="n">
        <f aca="false">F281-D281</f>
        <v>-0.506819793780558</v>
      </c>
      <c r="H281" s="53" t="n">
        <f aca="false">G281</f>
        <v>-0.506819793780558</v>
      </c>
      <c r="I281" s="53" t="n">
        <f aca="false">G281*B281</f>
        <v>0.101363958756112</v>
      </c>
      <c r="J281" s="53" t="n">
        <f aca="false">G281*C281</f>
        <v>0.101363958756112</v>
      </c>
      <c r="K281" s="52" t="n">
        <f aca="false">-(D281*LN(MIN(MAX(F281,0.000001),0.999999))+(1-D281)*LN(MIN(MAX(1-F281,0.000001),0.999999)))</f>
        <v>0.70688064187233</v>
      </c>
    </row>
    <row r="282" customFormat="false" ht="15" hidden="false" customHeight="false" outlineLevel="0" collapsed="false">
      <c r="A282" s="50" t="str">
        <f aca="false">01_Data!A14</f>
        <v>S09</v>
      </c>
      <c r="B282" s="51" t="n">
        <f aca="false">01_Data!F14</f>
        <v>0</v>
      </c>
      <c r="C282" s="51" t="n">
        <f aca="false">01_Data!G14</f>
        <v>0</v>
      </c>
      <c r="D282" s="51" t="n">
        <f aca="false">01_Data!D14</f>
        <v>1</v>
      </c>
      <c r="E282" s="52" t="n">
        <f aca="false">$D$272+$F$272*B282+$H$272*C282</f>
        <v>0.292342782971176</v>
      </c>
      <c r="F282" s="52" t="n">
        <f aca="false">1/(1+EXP(-E282))</f>
        <v>0.572569588004241</v>
      </c>
      <c r="G282" s="53" t="n">
        <f aca="false">F282-D282</f>
        <v>-0.427430411995759</v>
      </c>
      <c r="H282" s="53" t="n">
        <f aca="false">G282</f>
        <v>-0.427430411995759</v>
      </c>
      <c r="I282" s="53" t="n">
        <f aca="false">G282*B282</f>
        <v>-0</v>
      </c>
      <c r="J282" s="53" t="n">
        <f aca="false">G282*C282</f>
        <v>-0</v>
      </c>
      <c r="K282" s="52" t="n">
        <f aca="false">-(D282*LN(MIN(MAX(F282,0.000001),0.999999))+(1-D282)*LN(MIN(MAX(1-F282,0.000001),0.999999)))</f>
        <v>0.557620999841368</v>
      </c>
    </row>
    <row r="283" customFormat="false" ht="15" hidden="false" customHeight="false" outlineLevel="0" collapsed="false">
      <c r="A283" s="50" t="str">
        <f aca="false">01_Data!A15</f>
        <v>S10</v>
      </c>
      <c r="B283" s="51" t="n">
        <f aca="false">01_Data!F15</f>
        <v>0.2</v>
      </c>
      <c r="C283" s="51" t="n">
        <f aca="false">01_Data!G15</f>
        <v>0.2</v>
      </c>
      <c r="D283" s="51" t="n">
        <f aca="false">01_Data!D15</f>
        <v>1</v>
      </c>
      <c r="E283" s="52" t="n">
        <f aca="false">$D$272+$F$272*B283+$H$272*C283</f>
        <v>0.611966432911003</v>
      </c>
      <c r="F283" s="52" t="n">
        <f aca="false">1/(1+EXP(-E283))</f>
        <v>0.648389241409485</v>
      </c>
      <c r="G283" s="53" t="n">
        <f aca="false">F283-D283</f>
        <v>-0.351610758590515</v>
      </c>
      <c r="H283" s="53" t="n">
        <f aca="false">G283</f>
        <v>-0.351610758590515</v>
      </c>
      <c r="I283" s="53" t="n">
        <f aca="false">G283*B283</f>
        <v>-0.070322151718103</v>
      </c>
      <c r="J283" s="53" t="n">
        <f aca="false">G283*C283</f>
        <v>-0.070322151718103</v>
      </c>
      <c r="K283" s="52" t="n">
        <f aca="false">-(D283*LN(MIN(MAX(F283,0.000001),0.999999))+(1-D283)*LN(MIN(MAX(1-F283,0.000001),0.999999)))</f>
        <v>0.433264081779117</v>
      </c>
    </row>
    <row r="284" customFormat="false" ht="15" hidden="false" customHeight="false" outlineLevel="0" collapsed="false">
      <c r="A284" s="50" t="str">
        <f aca="false">01_Data!A16</f>
        <v>S11</v>
      </c>
      <c r="B284" s="51" t="n">
        <f aca="false">01_Data!F16</f>
        <v>0.4</v>
      </c>
      <c r="C284" s="51" t="n">
        <f aca="false">01_Data!G16</f>
        <v>0.333333333333333</v>
      </c>
      <c r="D284" s="51" t="n">
        <f aca="false">01_Data!D16</f>
        <v>1</v>
      </c>
      <c r="E284" s="52" t="n">
        <f aca="false">$D$272+$F$272*B284+$H$272*C284</f>
        <v>0.880620922124392</v>
      </c>
      <c r="F284" s="52" t="n">
        <f aca="false">1/(1+EXP(-E284))</f>
        <v>0.706950874887175</v>
      </c>
      <c r="G284" s="53" t="n">
        <f aca="false">F284-D284</f>
        <v>-0.293049125112825</v>
      </c>
      <c r="H284" s="53" t="n">
        <f aca="false">G284</f>
        <v>-0.293049125112825</v>
      </c>
      <c r="I284" s="53" t="n">
        <f aca="false">G284*B284</f>
        <v>-0.11721965004513</v>
      </c>
      <c r="J284" s="53" t="n">
        <f aca="false">G284*C284</f>
        <v>-0.0976830417042751</v>
      </c>
      <c r="K284" s="52" t="n">
        <f aca="false">-(D284*LN(MIN(MAX(F284,0.000001),0.999999))+(1-D284)*LN(MIN(MAX(1-F284,0.000001),0.999999)))</f>
        <v>0.346794099393353</v>
      </c>
    </row>
    <row r="285" customFormat="false" ht="15" hidden="false" customHeight="false" outlineLevel="0" collapsed="false">
      <c r="A285" s="50" t="str">
        <f aca="false">01_Data!A17</f>
        <v>S12</v>
      </c>
      <c r="B285" s="51" t="n">
        <f aca="false">01_Data!F17</f>
        <v>0.6</v>
      </c>
      <c r="C285" s="51" t="n">
        <f aca="false">01_Data!G17</f>
        <v>0.466666666666667</v>
      </c>
      <c r="D285" s="51" t="n">
        <f aca="false">01_Data!D17</f>
        <v>1</v>
      </c>
      <c r="E285" s="52" t="n">
        <f aca="false">$D$272+$F$272*B285+$H$272*C285</f>
        <v>1.14927541133778</v>
      </c>
      <c r="F285" s="52" t="n">
        <f aca="false">1/(1+EXP(-E285))</f>
        <v>0.759378542985116</v>
      </c>
      <c r="G285" s="53" t="n">
        <f aca="false">F285-D285</f>
        <v>-0.240621457014884</v>
      </c>
      <c r="H285" s="53" t="n">
        <f aca="false">G285</f>
        <v>-0.240621457014884</v>
      </c>
      <c r="I285" s="53" t="n">
        <f aca="false">G285*B285</f>
        <v>-0.144372874208931</v>
      </c>
      <c r="J285" s="53" t="n">
        <f aca="false">G285*C285</f>
        <v>-0.112290013273613</v>
      </c>
      <c r="K285" s="52" t="n">
        <f aca="false">-(D285*LN(MIN(MAX(F285,0.000001),0.999999))+(1-D285)*LN(MIN(MAX(1-F285,0.000001),0.999999)))</f>
        <v>0.275254886804696</v>
      </c>
    </row>
    <row r="286" customFormat="false" ht="15" hidden="false" customHeight="false" outlineLevel="0" collapsed="false">
      <c r="A286" s="50" t="str">
        <f aca="false">01_Data!A18</f>
        <v>S13</v>
      </c>
      <c r="B286" s="51" t="n">
        <f aca="false">01_Data!F18</f>
        <v>0.8</v>
      </c>
      <c r="C286" s="51" t="n">
        <f aca="false">01_Data!G18</f>
        <v>0.666666666666667</v>
      </c>
      <c r="D286" s="51" t="n">
        <f aca="false">01_Data!D18</f>
        <v>1</v>
      </c>
      <c r="E286" s="52" t="n">
        <f aca="false">$D$272+$F$272*B286+$H$272*C286</f>
        <v>1.46889906127761</v>
      </c>
      <c r="F286" s="52" t="n">
        <f aca="false">1/(1+EXP(-E286))</f>
        <v>0.81288999109349</v>
      </c>
      <c r="G286" s="53" t="n">
        <f aca="false">F286-D286</f>
        <v>-0.18711000890651</v>
      </c>
      <c r="H286" s="53" t="n">
        <f aca="false">G286</f>
        <v>-0.18711000890651</v>
      </c>
      <c r="I286" s="53" t="n">
        <f aca="false">G286*B286</f>
        <v>-0.149688007125208</v>
      </c>
      <c r="J286" s="53" t="n">
        <f aca="false">G286*C286</f>
        <v>-0.124740005937673</v>
      </c>
      <c r="K286" s="52" t="n">
        <f aca="false">-(D286*LN(MIN(MAX(F286,0.000001),0.999999))+(1-D286)*LN(MIN(MAX(1-F286,0.000001),0.999999)))</f>
        <v>0.207159490897993</v>
      </c>
    </row>
    <row r="287" customFormat="false" ht="15" hidden="false" customHeight="false" outlineLevel="0" collapsed="false">
      <c r="A287" s="50" t="str">
        <f aca="false">01_Data!A19</f>
        <v>S14</v>
      </c>
      <c r="B287" s="51" t="n">
        <f aca="false">01_Data!F19</f>
        <v>1</v>
      </c>
      <c r="C287" s="51" t="n">
        <f aca="false">01_Data!G19</f>
        <v>0.866666666666667</v>
      </c>
      <c r="D287" s="51" t="n">
        <f aca="false">01_Data!D19</f>
        <v>1</v>
      </c>
      <c r="E287" s="52" t="n">
        <f aca="false">$D$272+$F$272*B287+$H$272*C287</f>
        <v>1.78852271121744</v>
      </c>
      <c r="F287" s="52" t="n">
        <f aca="false">1/(1+EXP(-E287))</f>
        <v>0.8567460610834</v>
      </c>
      <c r="G287" s="53" t="n">
        <f aca="false">F287-D287</f>
        <v>-0.1432539389166</v>
      </c>
      <c r="H287" s="53" t="n">
        <f aca="false">G287</f>
        <v>-0.1432539389166</v>
      </c>
      <c r="I287" s="53" t="n">
        <f aca="false">G287*B287</f>
        <v>-0.1432539389166</v>
      </c>
      <c r="J287" s="53" t="n">
        <f aca="false">G287*C287</f>
        <v>-0.12415341372772</v>
      </c>
      <c r="K287" s="52" t="n">
        <f aca="false">-(D287*LN(MIN(MAX(F287,0.000001),0.999999))+(1-D287)*LN(MIN(MAX(1-F287,0.000001),0.999999)))</f>
        <v>0.15461371574788</v>
      </c>
    </row>
    <row r="288" customFormat="false" ht="15" hidden="false" customHeight="false" outlineLevel="0" collapsed="false">
      <c r="A288" s="50" t="str">
        <f aca="false">01_Data!A20</f>
        <v>S15</v>
      </c>
      <c r="B288" s="51" t="n">
        <f aca="false">01_Data!F20</f>
        <v>1.2</v>
      </c>
      <c r="C288" s="51" t="n">
        <f aca="false">01_Data!G20</f>
        <v>1</v>
      </c>
      <c r="D288" s="51" t="n">
        <f aca="false">01_Data!D20</f>
        <v>1</v>
      </c>
      <c r="E288" s="52" t="n">
        <f aca="false">$D$272+$F$272*B288+$H$272*C288</f>
        <v>2.05717720043082</v>
      </c>
      <c r="F288" s="52" t="n">
        <f aca="false">1/(1+EXP(-E288))</f>
        <v>0.886670828474498</v>
      </c>
      <c r="G288" s="53" t="n">
        <f aca="false">F288-D288</f>
        <v>-0.113329171525502</v>
      </c>
      <c r="H288" s="53" t="n">
        <f aca="false">G288</f>
        <v>-0.113329171525502</v>
      </c>
      <c r="I288" s="53" t="n">
        <f aca="false">G288*B288</f>
        <v>-0.135995005830602</v>
      </c>
      <c r="J288" s="53" t="n">
        <f aca="false">G288*C288</f>
        <v>-0.113329171525502</v>
      </c>
      <c r="K288" s="52" t="n">
        <f aca="false">-(D288*LN(MIN(MAX(F288,0.000001),0.999999))+(1-D288)*LN(MIN(MAX(1-F288,0.000001),0.999999)))</f>
        <v>0.120281472117287</v>
      </c>
    </row>
    <row r="289" customFormat="false" ht="15" hidden="false" customHeight="false" outlineLevel="0" collapsed="false">
      <c r="A289" s="50" t="str">
        <f aca="false">01_Data!A21</f>
        <v>S16</v>
      </c>
      <c r="B289" s="51" t="n">
        <f aca="false">01_Data!F21</f>
        <v>1.4</v>
      </c>
      <c r="C289" s="51" t="n">
        <f aca="false">01_Data!G21</f>
        <v>1.13333333333333</v>
      </c>
      <c r="D289" s="51" t="n">
        <f aca="false">01_Data!D21</f>
        <v>1</v>
      </c>
      <c r="E289" s="52" t="n">
        <f aca="false">$D$272+$F$272*B289+$H$272*C289</f>
        <v>2.32583168964421</v>
      </c>
      <c r="F289" s="52" t="n">
        <f aca="false">1/(1+EXP(-E289))</f>
        <v>0.910993932032597</v>
      </c>
      <c r="G289" s="53" t="n">
        <f aca="false">F289-D289</f>
        <v>-0.089006067967403</v>
      </c>
      <c r="H289" s="53" t="n">
        <f aca="false">G289</f>
        <v>-0.089006067967403</v>
      </c>
      <c r="I289" s="53" t="n">
        <f aca="false">G289*B289</f>
        <v>-0.124608495154364</v>
      </c>
      <c r="J289" s="53" t="n">
        <f aca="false">G289*C289</f>
        <v>-0.10087354369639</v>
      </c>
      <c r="K289" s="52" t="n">
        <f aca="false">-(D289*LN(MIN(MAX(F289,0.000001),0.999999))+(1-D289)*LN(MIN(MAX(1-F289,0.000001),0.999999)))</f>
        <v>0.0932190425208744</v>
      </c>
    </row>
    <row r="290" customFormat="false" ht="15" hidden="false" customHeight="false" outlineLevel="0" collapsed="false">
      <c r="A290" s="50" t="str">
        <f aca="false">01_Data!A22</f>
        <v>S17</v>
      </c>
      <c r="B290" s="51" t="n">
        <f aca="false">01_Data!F22</f>
        <v>1.6</v>
      </c>
      <c r="C290" s="51" t="n">
        <f aca="false">01_Data!G22</f>
        <v>1.33333333333333</v>
      </c>
      <c r="D290" s="51" t="n">
        <f aca="false">01_Data!D22</f>
        <v>1</v>
      </c>
      <c r="E290" s="52" t="n">
        <f aca="false">$D$272+$F$272*B290+$H$272*C290</f>
        <v>2.64545533958404</v>
      </c>
      <c r="F290" s="52" t="n">
        <f aca="false">1/(1+EXP(-E290))</f>
        <v>0.9337303297162</v>
      </c>
      <c r="G290" s="53" t="n">
        <f aca="false">F290-D290</f>
        <v>-0.0662696702837999</v>
      </c>
      <c r="H290" s="53" t="n">
        <f aca="false">G290</f>
        <v>-0.0662696702837999</v>
      </c>
      <c r="I290" s="53" t="n">
        <f aca="false">G290*B290</f>
        <v>-0.10603147245408</v>
      </c>
      <c r="J290" s="53" t="n">
        <f aca="false">G290*C290</f>
        <v>-0.0883595603783999</v>
      </c>
      <c r="K290" s="52" t="n">
        <f aca="false">-(D290*LN(MIN(MAX(F290,0.000001),0.999999))+(1-D290)*LN(MIN(MAX(1-F290,0.000001),0.999999)))</f>
        <v>0.068567608656651</v>
      </c>
    </row>
    <row r="291" customFormat="false" ht="15" hidden="false" customHeight="false" outlineLevel="0" collapsed="false">
      <c r="A291" s="50" t="str">
        <f aca="false">01_Data!A23</f>
        <v>S18</v>
      </c>
      <c r="B291" s="51" t="n">
        <f aca="false">01_Data!F23</f>
        <v>0</v>
      </c>
      <c r="C291" s="51" t="n">
        <f aca="false">01_Data!G23</f>
        <v>-0.666666666666667</v>
      </c>
      <c r="D291" s="51" t="n">
        <f aca="false">01_Data!D23</f>
        <v>0</v>
      </c>
      <c r="E291" s="52" t="n">
        <f aca="false">$D$272+$F$272*B291+$H$272*C291</f>
        <v>-0.217348824293211</v>
      </c>
      <c r="F291" s="52" t="n">
        <f aca="false">1/(1+EXP(-E291))</f>
        <v>0.445875697997191</v>
      </c>
      <c r="G291" s="53" t="n">
        <f aca="false">F291-D291</f>
        <v>0.445875697997191</v>
      </c>
      <c r="H291" s="53" t="n">
        <f aca="false">G291</f>
        <v>0.445875697997191</v>
      </c>
      <c r="I291" s="53" t="n">
        <f aca="false">G291*B291</f>
        <v>0</v>
      </c>
      <c r="J291" s="53" t="n">
        <f aca="false">G291*C291</f>
        <v>-0.29725046533146</v>
      </c>
      <c r="K291" s="52" t="n">
        <f aca="false">-(D291*LN(MIN(MAX(F291,0.000001),0.999999))+(1-D291)*LN(MIN(MAX(1-F291,0.000001),0.999999)))</f>
        <v>0.590366245556225</v>
      </c>
    </row>
    <row r="292" customFormat="false" ht="15" hidden="false" customHeight="false" outlineLevel="0" collapsed="false">
      <c r="A292" s="50" t="str">
        <f aca="false">01_Data!A24</f>
        <v>S19</v>
      </c>
      <c r="B292" s="51" t="n">
        <f aca="false">01_Data!F24</f>
        <v>-0.8</v>
      </c>
      <c r="C292" s="51" t="n">
        <f aca="false">01_Data!G24</f>
        <v>0.666666666666667</v>
      </c>
      <c r="D292" s="51" t="n">
        <f aca="false">01_Data!D24</f>
        <v>1</v>
      </c>
      <c r="E292" s="52" t="n">
        <f aca="false">$D$272+$F$272*B292+$H$272*C292</f>
        <v>0.135169719193518</v>
      </c>
      <c r="F292" s="52" t="n">
        <f aca="false">1/(1+EXP(-E292))</f>
        <v>0.533741072254543</v>
      </c>
      <c r="G292" s="53" t="n">
        <f aca="false">F292-D292</f>
        <v>-0.466258927745457</v>
      </c>
      <c r="H292" s="53" t="n">
        <f aca="false">G292</f>
        <v>-0.466258927745457</v>
      </c>
      <c r="I292" s="53" t="n">
        <f aca="false">G292*B292</f>
        <v>0.373007142196366</v>
      </c>
      <c r="J292" s="53" t="n">
        <f aca="false">G292*C292</f>
        <v>-0.310839285163638</v>
      </c>
      <c r="K292" s="52" t="n">
        <f aca="false">-(D292*LN(MIN(MAX(F292,0.000001),0.999999))+(1-D292)*LN(MIN(MAX(1-F292,0.000001),0.999999)))</f>
        <v>0.627844441034381</v>
      </c>
    </row>
    <row r="293" customFormat="false" ht="15" hidden="false" customHeight="false" outlineLevel="0" collapsed="false">
      <c r="A293" s="50" t="str">
        <f aca="false">01_Data!A25</f>
        <v>S20</v>
      </c>
      <c r="B293" s="51" t="n">
        <f aca="false">01_Data!F25</f>
        <v>0.8</v>
      </c>
      <c r="C293" s="51" t="n">
        <f aca="false">01_Data!G25</f>
        <v>-0.666666666666667</v>
      </c>
      <c r="D293" s="51" t="n">
        <f aca="false">01_Data!D25</f>
        <v>1</v>
      </c>
      <c r="E293" s="52" t="n">
        <f aca="false">$D$272+$F$272*B293+$H$272*C293</f>
        <v>0.449515846748835</v>
      </c>
      <c r="F293" s="52" t="n">
        <f aca="false">1/(1+EXP(-E293))</f>
        <v>0.610524116011589</v>
      </c>
      <c r="G293" s="53" t="n">
        <f aca="false">F293-D293</f>
        <v>-0.389475883988411</v>
      </c>
      <c r="H293" s="53" t="n">
        <f aca="false">G293</f>
        <v>-0.389475883988411</v>
      </c>
      <c r="I293" s="53" t="n">
        <f aca="false">G293*B293</f>
        <v>-0.311580707190729</v>
      </c>
      <c r="J293" s="53" t="n">
        <f aca="false">G293*C293</f>
        <v>0.259650589325607</v>
      </c>
      <c r="K293" s="52" t="n">
        <f aca="false">-(D293*LN(MIN(MAX(F293,0.000001),0.999999))+(1-D293)*LN(MIN(MAX(1-F293,0.000001),0.999999)))</f>
        <v>0.493437484145079</v>
      </c>
    </row>
    <row r="294" customFormat="false" ht="15" hidden="false" customHeight="false" outlineLevel="0" collapsed="false">
      <c r="A294" s="54" t="s">
        <v>138</v>
      </c>
      <c r="B294" s="54"/>
      <c r="C294" s="54"/>
      <c r="D294" s="54"/>
      <c r="E294" s="54"/>
      <c r="F294" s="54"/>
      <c r="G294" s="54" t="s">
        <v>139</v>
      </c>
      <c r="H294" s="55" t="n">
        <f aca="false">AVERAGE(H274:H293)</f>
        <v>-0.0536149678445844</v>
      </c>
      <c r="I294" s="55" t="n">
        <f aca="false">AVERAGE(I274:I293)</f>
        <v>-0.115195545436134</v>
      </c>
      <c r="J294" s="55" t="n">
        <f aca="false">AVERAGE(J274:J293)</f>
        <v>-0.11511502501481</v>
      </c>
      <c r="K294" s="55" t="n">
        <f aca="false">AVERAGE(K274:K293)</f>
        <v>0.338314193031823</v>
      </c>
    </row>
    <row r="295" customFormat="false" ht="22.35" hidden="false" customHeight="true" outlineLevel="0" collapsed="false">
      <c r="A295" s="47" t="s">
        <v>140</v>
      </c>
      <c r="B295" s="47"/>
      <c r="C295" s="47" t="s">
        <v>141</v>
      </c>
      <c r="D295" s="56" t="n">
        <f aca="false">D272-$B$4*H294</f>
        <v>0.31378877010901</v>
      </c>
      <c r="E295" s="47" t="s">
        <v>142</v>
      </c>
      <c r="F295" s="56" t="n">
        <f aca="false">F272-$B$4*I294</f>
        <v>0.87965905697701</v>
      </c>
      <c r="G295" s="47" t="s">
        <v>143</v>
      </c>
      <c r="H295" s="56" t="n">
        <f aca="false">H272-$B$4*J294</f>
        <v>0.810583420902504</v>
      </c>
      <c r="I295" s="48" t="s">
        <v>144</v>
      </c>
      <c r="J295" s="48"/>
      <c r="K295" s="48"/>
    </row>
    <row r="297" customFormat="false" ht="22.5" hidden="false" customHeight="true" outlineLevel="0" collapsed="false">
      <c r="A297" s="57" t="s">
        <v>158</v>
      </c>
      <c r="B297" s="57"/>
      <c r="C297" s="57"/>
      <c r="D297" s="57"/>
      <c r="E297" s="57"/>
      <c r="F297" s="57"/>
      <c r="G297" s="57"/>
      <c r="H297" s="57"/>
      <c r="I297" s="57"/>
      <c r="J297" s="57"/>
      <c r="K297" s="57"/>
    </row>
    <row r="298" customFormat="false" ht="15" hidden="false" customHeight="true" outlineLevel="0" collapsed="false">
      <c r="A298" s="47" t="s">
        <v>122</v>
      </c>
      <c r="B298" s="48" t="n">
        <v>12</v>
      </c>
      <c r="C298" s="47" t="s">
        <v>123</v>
      </c>
      <c r="D298" s="58" t="n">
        <f aca="false">D295</f>
        <v>0.31378877010901</v>
      </c>
      <c r="E298" s="47" t="s">
        <v>124</v>
      </c>
      <c r="F298" s="58" t="n">
        <f aca="false">F295</f>
        <v>0.87965905697701</v>
      </c>
      <c r="G298" s="47" t="s">
        <v>125</v>
      </c>
      <c r="H298" s="58" t="n">
        <f aca="false">H295</f>
        <v>0.810583420902504</v>
      </c>
      <c r="I298" s="48" t="s">
        <v>126</v>
      </c>
      <c r="J298" s="48"/>
      <c r="K298" s="48"/>
    </row>
    <row r="299" customFormat="false" ht="33.75" hidden="false" customHeight="true" outlineLevel="0" collapsed="false">
      <c r="A299" s="18" t="s">
        <v>127</v>
      </c>
      <c r="B299" s="18" t="s">
        <v>128</v>
      </c>
      <c r="C299" s="18" t="s">
        <v>129</v>
      </c>
      <c r="D299" s="18" t="s">
        <v>130</v>
      </c>
      <c r="E299" s="18" t="s">
        <v>131</v>
      </c>
      <c r="F299" s="18" t="s">
        <v>132</v>
      </c>
      <c r="G299" s="18" t="s">
        <v>133</v>
      </c>
      <c r="H299" s="18" t="s">
        <v>146</v>
      </c>
      <c r="I299" s="18" t="s">
        <v>147</v>
      </c>
      <c r="J299" s="18" t="s">
        <v>148</v>
      </c>
      <c r="K299" s="18" t="s">
        <v>33</v>
      </c>
    </row>
    <row r="300" customFormat="false" ht="15" hidden="false" customHeight="false" outlineLevel="0" collapsed="false">
      <c r="A300" s="50" t="str">
        <f aca="false">01_Data!A6</f>
        <v>S01</v>
      </c>
      <c r="B300" s="51" t="n">
        <f aca="false">01_Data!F6</f>
        <v>-1.6</v>
      </c>
      <c r="C300" s="51" t="n">
        <f aca="false">01_Data!G6</f>
        <v>-1.33333333333333</v>
      </c>
      <c r="D300" s="51" t="n">
        <f aca="false">01_Data!D6</f>
        <v>0</v>
      </c>
      <c r="E300" s="52" t="n">
        <f aca="false">$D$298+$F$298*B300+$H$298*C300</f>
        <v>-2.17444361559088</v>
      </c>
      <c r="F300" s="52" t="n">
        <f aca="false">1/(1+EXP(-E300))</f>
        <v>0.102069051065455</v>
      </c>
      <c r="G300" s="53" t="n">
        <f aca="false">F300-D300</f>
        <v>0.102069051065455</v>
      </c>
      <c r="H300" s="53" t="n">
        <f aca="false">G300</f>
        <v>0.102069051065455</v>
      </c>
      <c r="I300" s="53" t="n">
        <f aca="false">G300*B300</f>
        <v>-0.163310481704728</v>
      </c>
      <c r="J300" s="53" t="n">
        <f aca="false">G300*C300</f>
        <v>-0.136092068087273</v>
      </c>
      <c r="K300" s="52" t="n">
        <f aca="false">-(D300*LN(MIN(MAX(F300,0.000001),0.999999))+(1-D300)*LN(MIN(MAX(1-F300,0.000001),0.999999)))</f>
        <v>0.107662107918698</v>
      </c>
    </row>
    <row r="301" customFormat="false" ht="15" hidden="false" customHeight="false" outlineLevel="0" collapsed="false">
      <c r="A301" s="50" t="str">
        <f aca="false">01_Data!A7</f>
        <v>S02</v>
      </c>
      <c r="B301" s="51" t="n">
        <f aca="false">01_Data!F7</f>
        <v>-1.4</v>
      </c>
      <c r="C301" s="51" t="n">
        <f aca="false">01_Data!G7</f>
        <v>-1</v>
      </c>
      <c r="D301" s="51" t="n">
        <f aca="false">01_Data!D7</f>
        <v>0</v>
      </c>
      <c r="E301" s="52" t="n">
        <f aca="false">$D$298+$F$298*B301+$H$298*C301</f>
        <v>-1.72831733056131</v>
      </c>
      <c r="F301" s="52" t="n">
        <f aca="false">1/(1+EXP(-E301))</f>
        <v>0.150802938178302</v>
      </c>
      <c r="G301" s="53" t="n">
        <f aca="false">F301-D301</f>
        <v>0.150802938178302</v>
      </c>
      <c r="H301" s="53" t="n">
        <f aca="false">G301</f>
        <v>0.150802938178302</v>
      </c>
      <c r="I301" s="53" t="n">
        <f aca="false">G301*B301</f>
        <v>-0.211124113449623</v>
      </c>
      <c r="J301" s="53" t="n">
        <f aca="false">G301*C301</f>
        <v>-0.150802938178302</v>
      </c>
      <c r="K301" s="52" t="n">
        <f aca="false">-(D301*LN(MIN(MAX(F301,0.000001),0.999999))+(1-D301)*LN(MIN(MAX(1-F301,0.000001),0.999999)))</f>
        <v>0.163464009095788</v>
      </c>
    </row>
    <row r="302" customFormat="false" ht="15" hidden="false" customHeight="false" outlineLevel="0" collapsed="false">
      <c r="A302" s="50" t="str">
        <f aca="false">01_Data!A8</f>
        <v>S03</v>
      </c>
      <c r="B302" s="51" t="n">
        <f aca="false">01_Data!F8</f>
        <v>-1.2</v>
      </c>
      <c r="C302" s="51" t="n">
        <f aca="false">01_Data!G8</f>
        <v>-1.13333333333333</v>
      </c>
      <c r="D302" s="51" t="n">
        <f aca="false">01_Data!D8</f>
        <v>0</v>
      </c>
      <c r="E302" s="52" t="n">
        <f aca="false">$D$298+$F$298*B302+$H$298*C302</f>
        <v>-1.66046330861957</v>
      </c>
      <c r="F302" s="52" t="n">
        <f aca="false">1/(1+EXP(-E302))</f>
        <v>0.159699813077751</v>
      </c>
      <c r="G302" s="53" t="n">
        <f aca="false">F302-D302</f>
        <v>0.159699813077751</v>
      </c>
      <c r="H302" s="53" t="n">
        <f aca="false">G302</f>
        <v>0.159699813077751</v>
      </c>
      <c r="I302" s="53" t="n">
        <f aca="false">G302*B302</f>
        <v>-0.191639775693301</v>
      </c>
      <c r="J302" s="53" t="n">
        <f aca="false">G302*C302</f>
        <v>-0.180993121488118</v>
      </c>
      <c r="K302" s="52" t="n">
        <f aca="false">-(D302*LN(MIN(MAX(F302,0.000001),0.999999))+(1-D302)*LN(MIN(MAX(1-F302,0.000001),0.999999)))</f>
        <v>0.173996085600948</v>
      </c>
    </row>
    <row r="303" customFormat="false" ht="15" hidden="false" customHeight="false" outlineLevel="0" collapsed="false">
      <c r="A303" s="50" t="str">
        <f aca="false">01_Data!A9</f>
        <v>S04</v>
      </c>
      <c r="B303" s="51" t="n">
        <f aca="false">01_Data!F9</f>
        <v>-1</v>
      </c>
      <c r="C303" s="51" t="n">
        <f aca="false">01_Data!G9</f>
        <v>-0.666666666666667</v>
      </c>
      <c r="D303" s="51" t="n">
        <f aca="false">01_Data!D9</f>
        <v>0</v>
      </c>
      <c r="E303" s="52" t="n">
        <f aca="false">$D$298+$F$298*B303+$H$298*C303</f>
        <v>-1.10625923413634</v>
      </c>
      <c r="F303" s="52" t="n">
        <f aca="false">1/(1+EXP(-E303))</f>
        <v>0.248568940506704</v>
      </c>
      <c r="G303" s="53" t="n">
        <f aca="false">F303-D303</f>
        <v>0.248568940506704</v>
      </c>
      <c r="H303" s="53" t="n">
        <f aca="false">G303</f>
        <v>0.248568940506704</v>
      </c>
      <c r="I303" s="53" t="n">
        <f aca="false">G303*B303</f>
        <v>-0.248568940506704</v>
      </c>
      <c r="J303" s="53" t="n">
        <f aca="false">G303*C303</f>
        <v>-0.165712627004469</v>
      </c>
      <c r="K303" s="52" t="n">
        <f aca="false">-(D303*LN(MIN(MAX(F303,0.000001),0.999999))+(1-D303)*LN(MIN(MAX(1-F303,0.000001),0.999999)))</f>
        <v>0.285775811198425</v>
      </c>
    </row>
    <row r="304" customFormat="false" ht="15" hidden="false" customHeight="false" outlineLevel="0" collapsed="false">
      <c r="A304" s="50" t="str">
        <f aca="false">01_Data!A10</f>
        <v>S05</v>
      </c>
      <c r="B304" s="51" t="n">
        <f aca="false">01_Data!F10</f>
        <v>-0.8</v>
      </c>
      <c r="C304" s="51" t="n">
        <f aca="false">01_Data!G10</f>
        <v>-0.866666666666667</v>
      </c>
      <c r="D304" s="51" t="n">
        <f aca="false">01_Data!D10</f>
        <v>0</v>
      </c>
      <c r="E304" s="52" t="n">
        <f aca="false">$D$298+$F$298*B304+$H$298*C304</f>
        <v>-1.09244410692144</v>
      </c>
      <c r="F304" s="52" t="n">
        <f aca="false">1/(1+EXP(-E304))</f>
        <v>0.251158316581815</v>
      </c>
      <c r="G304" s="53" t="n">
        <f aca="false">F304-D304</f>
        <v>0.251158316581815</v>
      </c>
      <c r="H304" s="53" t="n">
        <f aca="false">G304</f>
        <v>0.251158316581815</v>
      </c>
      <c r="I304" s="53" t="n">
        <f aca="false">G304*B304</f>
        <v>-0.200926653265452</v>
      </c>
      <c r="J304" s="53" t="n">
        <f aca="false">G304*C304</f>
        <v>-0.217670541037573</v>
      </c>
      <c r="K304" s="52" t="n">
        <f aca="false">-(D304*LN(MIN(MAX(F304,0.000001),0.999999))+(1-D304)*LN(MIN(MAX(1-F304,0.000001),0.999999)))</f>
        <v>0.289227688410057</v>
      </c>
    </row>
    <row r="305" customFormat="false" ht="15" hidden="false" customHeight="false" outlineLevel="0" collapsed="false">
      <c r="A305" s="50" t="str">
        <f aca="false">01_Data!A11</f>
        <v>S06</v>
      </c>
      <c r="B305" s="51" t="n">
        <f aca="false">01_Data!F11</f>
        <v>-0.6</v>
      </c>
      <c r="C305" s="51" t="n">
        <f aca="false">01_Data!G11</f>
        <v>-0.333333333333333</v>
      </c>
      <c r="D305" s="51" t="n">
        <f aca="false">01_Data!D11</f>
        <v>0</v>
      </c>
      <c r="E305" s="52" t="n">
        <f aca="false">$D$298+$F$298*B305+$H$298*C305</f>
        <v>-0.484201137711364</v>
      </c>
      <c r="F305" s="52" t="n">
        <f aca="false">1/(1+EXP(-E305))</f>
        <v>0.381260579688422</v>
      </c>
      <c r="G305" s="53" t="n">
        <f aca="false">F305-D305</f>
        <v>0.381260579688422</v>
      </c>
      <c r="H305" s="53" t="n">
        <f aca="false">G305</f>
        <v>0.381260579688422</v>
      </c>
      <c r="I305" s="53" t="n">
        <f aca="false">G305*B305</f>
        <v>-0.228756347813053</v>
      </c>
      <c r="J305" s="53" t="n">
        <f aca="false">G305*C305</f>
        <v>-0.127086859896141</v>
      </c>
      <c r="K305" s="52" t="n">
        <f aca="false">-(D305*LN(MIN(MAX(F305,0.000001),0.999999))+(1-D305)*LN(MIN(MAX(1-F305,0.000001),0.999999)))</f>
        <v>0.480071063731757</v>
      </c>
    </row>
    <row r="306" customFormat="false" ht="15" hidden="false" customHeight="false" outlineLevel="0" collapsed="false">
      <c r="A306" s="50" t="str">
        <f aca="false">01_Data!A12</f>
        <v>S07</v>
      </c>
      <c r="B306" s="51" t="n">
        <f aca="false">01_Data!F12</f>
        <v>-0.4</v>
      </c>
      <c r="C306" s="51" t="n">
        <f aca="false">01_Data!G12</f>
        <v>-0.466666666666667</v>
      </c>
      <c r="D306" s="51" t="n">
        <f aca="false">01_Data!D12</f>
        <v>0</v>
      </c>
      <c r="E306" s="52" t="n">
        <f aca="false">$D$298+$F$298*B306+$H$298*C306</f>
        <v>-0.416347115769629</v>
      </c>
      <c r="F306" s="52" t="n">
        <f aca="false">1/(1+EXP(-E306))</f>
        <v>0.397391182822312</v>
      </c>
      <c r="G306" s="53" t="n">
        <f aca="false">F306-D306</f>
        <v>0.397391182822312</v>
      </c>
      <c r="H306" s="53" t="n">
        <f aca="false">G306</f>
        <v>0.397391182822312</v>
      </c>
      <c r="I306" s="53" t="n">
        <f aca="false">G306*B306</f>
        <v>-0.158956473128925</v>
      </c>
      <c r="J306" s="53" t="n">
        <f aca="false">G306*C306</f>
        <v>-0.185449218650412</v>
      </c>
      <c r="K306" s="52" t="n">
        <f aca="false">-(D306*LN(MIN(MAX(F306,0.000001),0.999999))+(1-D306)*LN(MIN(MAX(1-F306,0.000001),0.999999)))</f>
        <v>0.506487020501696</v>
      </c>
    </row>
    <row r="307" customFormat="false" ht="15" hidden="false" customHeight="false" outlineLevel="0" collapsed="false">
      <c r="A307" s="50" t="str">
        <f aca="false">01_Data!A13</f>
        <v>S08</v>
      </c>
      <c r="B307" s="51" t="n">
        <f aca="false">01_Data!F13</f>
        <v>-0.2</v>
      </c>
      <c r="C307" s="51" t="n">
        <f aca="false">01_Data!G13</f>
        <v>-0.2</v>
      </c>
      <c r="D307" s="51" t="n">
        <f aca="false">01_Data!D13</f>
        <v>1</v>
      </c>
      <c r="E307" s="52" t="n">
        <f aca="false">$D$298+$F$298*B307+$H$298*C307</f>
        <v>-0.024259725466893</v>
      </c>
      <c r="F307" s="52" t="n">
        <f aca="false">1/(1+EXP(-E307))</f>
        <v>0.49393536606744</v>
      </c>
      <c r="G307" s="53" t="n">
        <f aca="false">F307-D307</f>
        <v>-0.506064633932561</v>
      </c>
      <c r="H307" s="53" t="n">
        <f aca="false">G307</f>
        <v>-0.506064633932561</v>
      </c>
      <c r="I307" s="53" t="n">
        <f aca="false">G307*B307</f>
        <v>0.101212926786512</v>
      </c>
      <c r="J307" s="53" t="n">
        <f aca="false">G307*C307</f>
        <v>0.101212926786512</v>
      </c>
      <c r="K307" s="52" t="n">
        <f aca="false">-(D307*LN(MIN(MAX(F307,0.000001),0.999999))+(1-D307)*LN(MIN(MAX(1-F307,0.000001),0.999999)))</f>
        <v>0.705350608274405</v>
      </c>
    </row>
    <row r="308" customFormat="false" ht="15" hidden="false" customHeight="false" outlineLevel="0" collapsed="false">
      <c r="A308" s="50" t="str">
        <f aca="false">01_Data!A14</f>
        <v>S09</v>
      </c>
      <c r="B308" s="51" t="n">
        <f aca="false">01_Data!F14</f>
        <v>0</v>
      </c>
      <c r="C308" s="51" t="n">
        <f aca="false">01_Data!G14</f>
        <v>0</v>
      </c>
      <c r="D308" s="51" t="n">
        <f aca="false">01_Data!D14</f>
        <v>1</v>
      </c>
      <c r="E308" s="52" t="n">
        <f aca="false">$D$298+$F$298*B308+$H$298*C308</f>
        <v>0.31378877010901</v>
      </c>
      <c r="F308" s="52" t="n">
        <f aca="false">1/(1+EXP(-E308))</f>
        <v>0.577809786517473</v>
      </c>
      <c r="G308" s="53" t="n">
        <f aca="false">F308-D308</f>
        <v>-0.422190213482527</v>
      </c>
      <c r="H308" s="53" t="n">
        <f aca="false">G308</f>
        <v>-0.422190213482527</v>
      </c>
      <c r="I308" s="53" t="n">
        <f aca="false">G308*B308</f>
        <v>-0</v>
      </c>
      <c r="J308" s="53" t="n">
        <f aca="false">G308*C308</f>
        <v>-0</v>
      </c>
      <c r="K308" s="52" t="n">
        <f aca="false">-(D308*LN(MIN(MAX(F308,0.000001),0.999999))+(1-D308)*LN(MIN(MAX(1-F308,0.000001),0.999999)))</f>
        <v>0.548510553541567</v>
      </c>
    </row>
    <row r="309" customFormat="false" ht="15" hidden="false" customHeight="false" outlineLevel="0" collapsed="false">
      <c r="A309" s="50" t="str">
        <f aca="false">01_Data!A15</f>
        <v>S10</v>
      </c>
      <c r="B309" s="51" t="n">
        <f aca="false">01_Data!F15</f>
        <v>0.2</v>
      </c>
      <c r="C309" s="51" t="n">
        <f aca="false">01_Data!G15</f>
        <v>0.2</v>
      </c>
      <c r="D309" s="51" t="n">
        <f aca="false">01_Data!D15</f>
        <v>1</v>
      </c>
      <c r="E309" s="52" t="n">
        <f aca="false">$D$298+$F$298*B309+$H$298*C309</f>
        <v>0.651837265684913</v>
      </c>
      <c r="F309" s="52" t="n">
        <f aca="false">1/(1+EXP(-E309))</f>
        <v>0.657424366781407</v>
      </c>
      <c r="G309" s="53" t="n">
        <f aca="false">F309-D309</f>
        <v>-0.342575633218593</v>
      </c>
      <c r="H309" s="53" t="n">
        <f aca="false">G309</f>
        <v>-0.342575633218593</v>
      </c>
      <c r="I309" s="53" t="n">
        <f aca="false">G309*B309</f>
        <v>-0.0685151266437187</v>
      </c>
      <c r="J309" s="53" t="n">
        <f aca="false">G309*C309</f>
        <v>-0.0685151266437187</v>
      </c>
      <c r="K309" s="52" t="n">
        <f aca="false">-(D309*LN(MIN(MAX(F309,0.000001),0.999999))+(1-D309)*LN(MIN(MAX(1-F309,0.000001),0.999999)))</f>
        <v>0.419425553058018</v>
      </c>
    </row>
    <row r="310" customFormat="false" ht="15" hidden="false" customHeight="false" outlineLevel="0" collapsed="false">
      <c r="A310" s="50" t="str">
        <f aca="false">01_Data!A16</f>
        <v>S11</v>
      </c>
      <c r="B310" s="51" t="n">
        <f aca="false">01_Data!F16</f>
        <v>0.4</v>
      </c>
      <c r="C310" s="51" t="n">
        <f aca="false">01_Data!G16</f>
        <v>0.333333333333333</v>
      </c>
      <c r="D310" s="51" t="n">
        <f aca="false">01_Data!D16</f>
        <v>1</v>
      </c>
      <c r="E310" s="52" t="n">
        <f aca="false">$D$298+$F$298*B310+$H$298*C310</f>
        <v>0.935846866533982</v>
      </c>
      <c r="F310" s="52" t="n">
        <f aca="false">1/(1+EXP(-E310))</f>
        <v>0.718259980952584</v>
      </c>
      <c r="G310" s="53" t="n">
        <f aca="false">F310-D310</f>
        <v>-0.281740019047416</v>
      </c>
      <c r="H310" s="53" t="n">
        <f aca="false">G310</f>
        <v>-0.281740019047416</v>
      </c>
      <c r="I310" s="53" t="n">
        <f aca="false">G310*B310</f>
        <v>-0.112696007618966</v>
      </c>
      <c r="J310" s="53" t="n">
        <f aca="false">G310*C310</f>
        <v>-0.0939133396824721</v>
      </c>
      <c r="K310" s="52" t="n">
        <f aca="false">-(D310*LN(MIN(MAX(F310,0.000001),0.999999))+(1-D310)*LN(MIN(MAX(1-F310,0.000001),0.999999)))</f>
        <v>0.330923685009636</v>
      </c>
    </row>
    <row r="311" customFormat="false" ht="15" hidden="false" customHeight="false" outlineLevel="0" collapsed="false">
      <c r="A311" s="50" t="str">
        <f aca="false">01_Data!A17</f>
        <v>S12</v>
      </c>
      <c r="B311" s="51" t="n">
        <f aca="false">01_Data!F17</f>
        <v>0.6</v>
      </c>
      <c r="C311" s="51" t="n">
        <f aca="false">01_Data!G17</f>
        <v>0.466666666666667</v>
      </c>
      <c r="D311" s="51" t="n">
        <f aca="false">01_Data!D17</f>
        <v>1</v>
      </c>
      <c r="E311" s="52" t="n">
        <f aca="false">$D$298+$F$298*B311+$H$298*C311</f>
        <v>1.21985646738305</v>
      </c>
      <c r="F311" s="52" t="n">
        <f aca="false">1/(1+EXP(-E311))</f>
        <v>0.772038289365947</v>
      </c>
      <c r="G311" s="53" t="n">
        <f aca="false">F311-D311</f>
        <v>-0.227961710634053</v>
      </c>
      <c r="H311" s="53" t="n">
        <f aca="false">G311</f>
        <v>-0.227961710634053</v>
      </c>
      <c r="I311" s="53" t="n">
        <f aca="false">G311*B311</f>
        <v>-0.136777026380432</v>
      </c>
      <c r="J311" s="53" t="n">
        <f aca="false">G311*C311</f>
        <v>-0.106382131629225</v>
      </c>
      <c r="K311" s="52" t="n">
        <f aca="false">-(D311*LN(MIN(MAX(F311,0.000001),0.999999))+(1-D311)*LN(MIN(MAX(1-F311,0.000001),0.999999)))</f>
        <v>0.258721132562999</v>
      </c>
    </row>
    <row r="312" customFormat="false" ht="15" hidden="false" customHeight="false" outlineLevel="0" collapsed="false">
      <c r="A312" s="50" t="str">
        <f aca="false">01_Data!A18</f>
        <v>S13</v>
      </c>
      <c r="B312" s="51" t="n">
        <f aca="false">01_Data!F18</f>
        <v>0.8</v>
      </c>
      <c r="C312" s="51" t="n">
        <f aca="false">01_Data!G18</f>
        <v>0.666666666666667</v>
      </c>
      <c r="D312" s="51" t="n">
        <f aca="false">01_Data!D18</f>
        <v>1</v>
      </c>
      <c r="E312" s="52" t="n">
        <f aca="false">$D$298+$F$298*B312+$H$298*C312</f>
        <v>1.55790496295895</v>
      </c>
      <c r="F312" s="52" t="n">
        <f aca="false">1/(1+EXP(-E312))</f>
        <v>0.826052523232401</v>
      </c>
      <c r="G312" s="53" t="n">
        <f aca="false">F312-D312</f>
        <v>-0.173947476767599</v>
      </c>
      <c r="H312" s="53" t="n">
        <f aca="false">G312</f>
        <v>-0.173947476767599</v>
      </c>
      <c r="I312" s="53" t="n">
        <f aca="false">G312*B312</f>
        <v>-0.139157981414079</v>
      </c>
      <c r="J312" s="53" t="n">
        <f aca="false">G312*C312</f>
        <v>-0.115964984511732</v>
      </c>
      <c r="K312" s="52" t="n">
        <f aca="false">-(D312*LN(MIN(MAX(F312,0.000001),0.999999))+(1-D312)*LN(MIN(MAX(1-F312,0.000001),0.999999)))</f>
        <v>0.191096920034327</v>
      </c>
    </row>
    <row r="313" customFormat="false" ht="15" hidden="false" customHeight="false" outlineLevel="0" collapsed="false">
      <c r="A313" s="50" t="str">
        <f aca="false">01_Data!A19</f>
        <v>S14</v>
      </c>
      <c r="B313" s="51" t="n">
        <f aca="false">01_Data!F19</f>
        <v>1</v>
      </c>
      <c r="C313" s="51" t="n">
        <f aca="false">01_Data!G19</f>
        <v>0.866666666666667</v>
      </c>
      <c r="D313" s="51" t="n">
        <f aca="false">01_Data!D19</f>
        <v>1</v>
      </c>
      <c r="E313" s="52" t="n">
        <f aca="false">$D$298+$F$298*B313+$H$298*C313</f>
        <v>1.89595345853486</v>
      </c>
      <c r="F313" s="52" t="n">
        <f aca="false">1/(1+EXP(-E313))</f>
        <v>0.869432851115252</v>
      </c>
      <c r="G313" s="53" t="n">
        <f aca="false">F313-D313</f>
        <v>-0.130567148884748</v>
      </c>
      <c r="H313" s="53" t="n">
        <f aca="false">G313</f>
        <v>-0.130567148884748</v>
      </c>
      <c r="I313" s="53" t="n">
        <f aca="false">G313*B313</f>
        <v>-0.130567148884748</v>
      </c>
      <c r="J313" s="53" t="n">
        <f aca="false">G313*C313</f>
        <v>-0.113158195700115</v>
      </c>
      <c r="K313" s="52" t="n">
        <f aca="false">-(D313*LN(MIN(MAX(F313,0.000001),0.999999))+(1-D313)*LN(MIN(MAX(1-F313,0.000001),0.999999)))</f>
        <v>0.139914175179444</v>
      </c>
    </row>
    <row r="314" customFormat="false" ht="15" hidden="false" customHeight="false" outlineLevel="0" collapsed="false">
      <c r="A314" s="50" t="str">
        <f aca="false">01_Data!A20</f>
        <v>S15</v>
      </c>
      <c r="B314" s="51" t="n">
        <f aca="false">01_Data!F20</f>
        <v>1.2</v>
      </c>
      <c r="C314" s="51" t="n">
        <f aca="false">01_Data!G20</f>
        <v>1</v>
      </c>
      <c r="D314" s="51" t="n">
        <f aca="false">01_Data!D20</f>
        <v>1</v>
      </c>
      <c r="E314" s="52" t="n">
        <f aca="false">$D$298+$F$298*B314+$H$298*C314</f>
        <v>2.17996305938393</v>
      </c>
      <c r="F314" s="52" t="n">
        <f aca="false">1/(1+EXP(-E314))</f>
        <v>0.898435701358</v>
      </c>
      <c r="G314" s="53" t="n">
        <f aca="false">F314-D314</f>
        <v>-0.101564298642</v>
      </c>
      <c r="H314" s="53" t="n">
        <f aca="false">G314</f>
        <v>-0.101564298642</v>
      </c>
      <c r="I314" s="53" t="n">
        <f aca="false">G314*B314</f>
        <v>-0.1218771583704</v>
      </c>
      <c r="J314" s="53" t="n">
        <f aca="false">G314*C314</f>
        <v>-0.101564298642</v>
      </c>
      <c r="K314" s="52" t="n">
        <f aca="false">-(D314*LN(MIN(MAX(F314,0.000001),0.999999))+(1-D314)*LN(MIN(MAX(1-F314,0.000001),0.999999)))</f>
        <v>0.107100137525119</v>
      </c>
    </row>
    <row r="315" customFormat="false" ht="15" hidden="false" customHeight="false" outlineLevel="0" collapsed="false">
      <c r="A315" s="50" t="str">
        <f aca="false">01_Data!A21</f>
        <v>S16</v>
      </c>
      <c r="B315" s="51" t="n">
        <f aca="false">01_Data!F21</f>
        <v>1.4</v>
      </c>
      <c r="C315" s="51" t="n">
        <f aca="false">01_Data!G21</f>
        <v>1.13333333333333</v>
      </c>
      <c r="D315" s="51" t="n">
        <f aca="false">01_Data!D21</f>
        <v>1</v>
      </c>
      <c r="E315" s="52" t="n">
        <f aca="false">$D$298+$F$298*B315+$H$298*C315</f>
        <v>2.463972660233</v>
      </c>
      <c r="F315" s="52" t="n">
        <f aca="false">1/(1+EXP(-E315))</f>
        <v>0.921577258655372</v>
      </c>
      <c r="G315" s="53" t="n">
        <f aca="false">F315-D315</f>
        <v>-0.0784227413446277</v>
      </c>
      <c r="H315" s="53" t="n">
        <f aca="false">G315</f>
        <v>-0.0784227413446277</v>
      </c>
      <c r="I315" s="53" t="n">
        <f aca="false">G315*B315</f>
        <v>-0.109791837882479</v>
      </c>
      <c r="J315" s="53" t="n">
        <f aca="false">G315*C315</f>
        <v>-0.0888791068572447</v>
      </c>
      <c r="K315" s="52" t="n">
        <f aca="false">-(D315*LN(MIN(MAX(F315,0.000001),0.999999))+(1-D315)*LN(MIN(MAX(1-F315,0.000001),0.999999)))</f>
        <v>0.0816686652831473</v>
      </c>
    </row>
    <row r="316" customFormat="false" ht="15" hidden="false" customHeight="false" outlineLevel="0" collapsed="false">
      <c r="A316" s="50" t="str">
        <f aca="false">01_Data!A22</f>
        <v>S17</v>
      </c>
      <c r="B316" s="51" t="n">
        <f aca="false">01_Data!F22</f>
        <v>1.6</v>
      </c>
      <c r="C316" s="51" t="n">
        <f aca="false">01_Data!G22</f>
        <v>1.33333333333333</v>
      </c>
      <c r="D316" s="51" t="n">
        <f aca="false">01_Data!D22</f>
        <v>1</v>
      </c>
      <c r="E316" s="52" t="n">
        <f aca="false">$D$298+$F$298*B316+$H$298*C316</f>
        <v>2.8020211558089</v>
      </c>
      <c r="F316" s="52" t="n">
        <f aca="false">1/(1+EXP(-E316))</f>
        <v>0.942784945880435</v>
      </c>
      <c r="G316" s="53" t="n">
        <f aca="false">F316-D316</f>
        <v>-0.0572150541195651</v>
      </c>
      <c r="H316" s="53" t="n">
        <f aca="false">G316</f>
        <v>-0.0572150541195651</v>
      </c>
      <c r="I316" s="53" t="n">
        <f aca="false">G316*B316</f>
        <v>-0.0915440865913041</v>
      </c>
      <c r="J316" s="53" t="n">
        <f aca="false">G316*C316</f>
        <v>-0.0762867388260868</v>
      </c>
      <c r="K316" s="52" t="n">
        <f aca="false">-(D316*LN(MIN(MAX(F316,0.000001),0.999999))+(1-D316)*LN(MIN(MAX(1-F316,0.000001),0.999999)))</f>
        <v>0.0589170755058148</v>
      </c>
    </row>
    <row r="317" customFormat="false" ht="15" hidden="false" customHeight="false" outlineLevel="0" collapsed="false">
      <c r="A317" s="50" t="str">
        <f aca="false">01_Data!A23</f>
        <v>S18</v>
      </c>
      <c r="B317" s="51" t="n">
        <f aca="false">01_Data!F23</f>
        <v>0</v>
      </c>
      <c r="C317" s="51" t="n">
        <f aca="false">01_Data!G23</f>
        <v>-0.666666666666667</v>
      </c>
      <c r="D317" s="51" t="n">
        <f aca="false">01_Data!D23</f>
        <v>0</v>
      </c>
      <c r="E317" s="52" t="n">
        <f aca="false">$D$298+$F$298*B317+$H$298*C317</f>
        <v>-0.226600177159326</v>
      </c>
      <c r="F317" s="52" t="n">
        <f aca="false">1/(1+EXP(-E317))</f>
        <v>0.44359112129881</v>
      </c>
      <c r="G317" s="53" t="n">
        <f aca="false">F317-D317</f>
        <v>0.44359112129881</v>
      </c>
      <c r="H317" s="53" t="n">
        <f aca="false">G317</f>
        <v>0.44359112129881</v>
      </c>
      <c r="I317" s="53" t="n">
        <f aca="false">G317*B317</f>
        <v>0</v>
      </c>
      <c r="J317" s="53" t="n">
        <f aca="false">G317*C317</f>
        <v>-0.295727414199207</v>
      </c>
      <c r="K317" s="52" t="n">
        <f aca="false">-(D317*LN(MIN(MAX(F317,0.000001),0.999999))+(1-D317)*LN(MIN(MAX(1-F317,0.000001),0.999999)))</f>
        <v>0.586251861653284</v>
      </c>
    </row>
    <row r="318" customFormat="false" ht="15" hidden="false" customHeight="false" outlineLevel="0" collapsed="false">
      <c r="A318" s="50" t="str">
        <f aca="false">01_Data!A24</f>
        <v>S19</v>
      </c>
      <c r="B318" s="51" t="n">
        <f aca="false">01_Data!F24</f>
        <v>-0.8</v>
      </c>
      <c r="C318" s="51" t="n">
        <f aca="false">01_Data!G24</f>
        <v>0.666666666666667</v>
      </c>
      <c r="D318" s="51" t="n">
        <f aca="false">01_Data!D24</f>
        <v>1</v>
      </c>
      <c r="E318" s="52" t="n">
        <f aca="false">$D$298+$F$298*B318+$H$298*C318</f>
        <v>0.150450471795738</v>
      </c>
      <c r="F318" s="52" t="n">
        <f aca="false">1/(1+EXP(-E318))</f>
        <v>0.537541830294624</v>
      </c>
      <c r="G318" s="53" t="n">
        <f aca="false">F318-D318</f>
        <v>-0.462458169705376</v>
      </c>
      <c r="H318" s="53" t="n">
        <f aca="false">G318</f>
        <v>-0.462458169705376</v>
      </c>
      <c r="I318" s="53" t="n">
        <f aca="false">G318*B318</f>
        <v>0.369966535764301</v>
      </c>
      <c r="J318" s="53" t="n">
        <f aca="false">G318*C318</f>
        <v>-0.308305446470251</v>
      </c>
      <c r="K318" s="52" t="n">
        <f aca="false">-(D318*LN(MIN(MAX(F318,0.000001),0.999999))+(1-D318)*LN(MIN(MAX(1-F318,0.000001),0.999999)))</f>
        <v>0.620748698204482</v>
      </c>
    </row>
    <row r="319" customFormat="false" ht="15" hidden="false" customHeight="false" outlineLevel="0" collapsed="false">
      <c r="A319" s="50" t="str">
        <f aca="false">01_Data!A25</f>
        <v>S20</v>
      </c>
      <c r="B319" s="51" t="n">
        <f aca="false">01_Data!F25</f>
        <v>0.8</v>
      </c>
      <c r="C319" s="51" t="n">
        <f aca="false">01_Data!G25</f>
        <v>-0.666666666666667</v>
      </c>
      <c r="D319" s="51" t="n">
        <f aca="false">01_Data!D25</f>
        <v>1</v>
      </c>
      <c r="E319" s="52" t="n">
        <f aca="false">$D$298+$F$298*B319+$H$298*C319</f>
        <v>0.477127068422282</v>
      </c>
      <c r="F319" s="52" t="n">
        <f aca="false">1/(1+EXP(-E319))</f>
        <v>0.617069244711553</v>
      </c>
      <c r="G319" s="53" t="n">
        <f aca="false">F319-D319</f>
        <v>-0.382930755288447</v>
      </c>
      <c r="H319" s="53" t="n">
        <f aca="false">G319</f>
        <v>-0.382930755288447</v>
      </c>
      <c r="I319" s="53" t="n">
        <f aca="false">G319*B319</f>
        <v>-0.306344604230758</v>
      </c>
      <c r="J319" s="53" t="n">
        <f aca="false">G319*C319</f>
        <v>0.255287170192298</v>
      </c>
      <c r="K319" s="52" t="n">
        <f aca="false">-(D319*LN(MIN(MAX(F319,0.000001),0.999999))+(1-D319)*LN(MIN(MAX(1-F319,0.000001),0.999999)))</f>
        <v>0.482774033316224</v>
      </c>
    </row>
    <row r="320" customFormat="false" ht="15" hidden="false" customHeight="false" outlineLevel="0" collapsed="false">
      <c r="A320" s="54" t="s">
        <v>138</v>
      </c>
      <c r="B320" s="54"/>
      <c r="C320" s="54"/>
      <c r="D320" s="54"/>
      <c r="E320" s="54"/>
      <c r="F320" s="54"/>
      <c r="G320" s="54" t="s">
        <v>139</v>
      </c>
      <c r="H320" s="55" t="n">
        <f aca="false">AVERAGE(H300:H319)</f>
        <v>-0.0516547955923971</v>
      </c>
      <c r="I320" s="55" t="n">
        <f aca="false">AVERAGE(I300:I319)</f>
        <v>-0.107468715051393</v>
      </c>
      <c r="J320" s="55" t="n">
        <f aca="false">AVERAGE(J300:J319)</f>
        <v>-0.108800203026276</v>
      </c>
      <c r="K320" s="55" t="n">
        <f aca="false">AVERAGE(K300:K319)</f>
        <v>0.326904344280292</v>
      </c>
    </row>
    <row r="321" customFormat="false" ht="22.35" hidden="false" customHeight="true" outlineLevel="0" collapsed="false">
      <c r="A321" s="47" t="s">
        <v>140</v>
      </c>
      <c r="B321" s="47"/>
      <c r="C321" s="47" t="s">
        <v>141</v>
      </c>
      <c r="D321" s="56" t="n">
        <f aca="false">D298-$B$4*H320</f>
        <v>0.334450688345969</v>
      </c>
      <c r="E321" s="47" t="s">
        <v>142</v>
      </c>
      <c r="F321" s="56" t="n">
        <f aca="false">F298-$B$4*I320</f>
        <v>0.922646542997567</v>
      </c>
      <c r="G321" s="47" t="s">
        <v>143</v>
      </c>
      <c r="H321" s="56" t="n">
        <f aca="false">H298-$B$4*J320</f>
        <v>0.854103502113015</v>
      </c>
      <c r="I321" s="48" t="s">
        <v>144</v>
      </c>
      <c r="J321" s="48"/>
      <c r="K321" s="48"/>
    </row>
    <row r="323" customFormat="false" ht="22.5" hidden="false" customHeight="true" outlineLevel="0" collapsed="false">
      <c r="A323" s="4" t="s">
        <v>159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customFormat="false" ht="15" hidden="false" customHeight="true" outlineLevel="0" collapsed="false">
      <c r="A324" s="47" t="s">
        <v>122</v>
      </c>
      <c r="B324" s="48" t="n">
        <v>13</v>
      </c>
      <c r="C324" s="47" t="s">
        <v>123</v>
      </c>
      <c r="D324" s="58" t="n">
        <f aca="false">D321</f>
        <v>0.334450688345969</v>
      </c>
      <c r="E324" s="47" t="s">
        <v>124</v>
      </c>
      <c r="F324" s="58" t="n">
        <f aca="false">F321</f>
        <v>0.922646542997567</v>
      </c>
      <c r="G324" s="47" t="s">
        <v>125</v>
      </c>
      <c r="H324" s="58" t="n">
        <f aca="false">H321</f>
        <v>0.854103502113015</v>
      </c>
      <c r="I324" s="48" t="s">
        <v>126</v>
      </c>
      <c r="J324" s="48"/>
      <c r="K324" s="48"/>
    </row>
    <row r="325" customFormat="false" ht="33.75" hidden="false" customHeight="true" outlineLevel="0" collapsed="false">
      <c r="A325" s="18" t="s">
        <v>127</v>
      </c>
      <c r="B325" s="18" t="s">
        <v>128</v>
      </c>
      <c r="C325" s="18" t="s">
        <v>129</v>
      </c>
      <c r="D325" s="18" t="s">
        <v>130</v>
      </c>
      <c r="E325" s="18" t="s">
        <v>131</v>
      </c>
      <c r="F325" s="18" t="s">
        <v>132</v>
      </c>
      <c r="G325" s="18" t="s">
        <v>133</v>
      </c>
      <c r="H325" s="18" t="s">
        <v>146</v>
      </c>
      <c r="I325" s="18" t="s">
        <v>147</v>
      </c>
      <c r="J325" s="18" t="s">
        <v>148</v>
      </c>
      <c r="K325" s="18" t="s">
        <v>33</v>
      </c>
    </row>
    <row r="326" customFormat="false" ht="15" hidden="false" customHeight="false" outlineLevel="0" collapsed="false">
      <c r="A326" s="50" t="str">
        <f aca="false">01_Data!A6</f>
        <v>S01</v>
      </c>
      <c r="B326" s="51" t="n">
        <f aca="false">01_Data!F6</f>
        <v>-1.6</v>
      </c>
      <c r="C326" s="51" t="n">
        <f aca="false">01_Data!G6</f>
        <v>-1.33333333333333</v>
      </c>
      <c r="D326" s="51" t="n">
        <f aca="false">01_Data!D6</f>
        <v>0</v>
      </c>
      <c r="E326" s="52" t="n">
        <f aca="false">$D$324+$F$324*B326+$H$324*C326</f>
        <v>-2.28058844993416</v>
      </c>
      <c r="F326" s="52" t="n">
        <f aca="false">1/(1+EXP(-E326))</f>
        <v>0.0927434278458027</v>
      </c>
      <c r="G326" s="53" t="n">
        <f aca="false">F326-D326</f>
        <v>0.0927434278458027</v>
      </c>
      <c r="H326" s="53" t="n">
        <f aca="false">G326</f>
        <v>0.0927434278458027</v>
      </c>
      <c r="I326" s="53" t="n">
        <f aca="false">G326*B326</f>
        <v>-0.148389484553284</v>
      </c>
      <c r="J326" s="53" t="n">
        <f aca="false">G326*C326</f>
        <v>-0.123657903794404</v>
      </c>
      <c r="K326" s="52" t="n">
        <f aca="false">-(D326*LN(MIN(MAX(F326,0.000001),0.999999))+(1-D326)*LN(MIN(MAX(1-F326,0.000001),0.999999)))</f>
        <v>0.0973299888763997</v>
      </c>
    </row>
    <row r="327" customFormat="false" ht="15" hidden="false" customHeight="false" outlineLevel="0" collapsed="false">
      <c r="A327" s="50" t="str">
        <f aca="false">01_Data!A7</f>
        <v>S02</v>
      </c>
      <c r="B327" s="51" t="n">
        <f aca="false">01_Data!F7</f>
        <v>-1.4</v>
      </c>
      <c r="C327" s="51" t="n">
        <f aca="false">01_Data!G7</f>
        <v>-1</v>
      </c>
      <c r="D327" s="51" t="n">
        <f aca="false">01_Data!D7</f>
        <v>0</v>
      </c>
      <c r="E327" s="52" t="n">
        <f aca="false">$D$324+$F$324*B327+$H$324*C327</f>
        <v>-1.81135797396364</v>
      </c>
      <c r="F327" s="52" t="n">
        <f aca="false">1/(1+EXP(-E327))</f>
        <v>0.140474082379064</v>
      </c>
      <c r="G327" s="53" t="n">
        <f aca="false">F327-D327</f>
        <v>0.140474082379064</v>
      </c>
      <c r="H327" s="53" t="n">
        <f aca="false">G327</f>
        <v>0.140474082379064</v>
      </c>
      <c r="I327" s="53" t="n">
        <f aca="false">G327*B327</f>
        <v>-0.196663715330689</v>
      </c>
      <c r="J327" s="53" t="n">
        <f aca="false">G327*C327</f>
        <v>-0.140474082379064</v>
      </c>
      <c r="K327" s="52" t="n">
        <f aca="false">-(D327*LN(MIN(MAX(F327,0.000001),0.999999))+(1-D327)*LN(MIN(MAX(1-F327,0.000001),0.999999)))</f>
        <v>0.151374300313764</v>
      </c>
    </row>
    <row r="328" customFormat="false" ht="15" hidden="false" customHeight="false" outlineLevel="0" collapsed="false">
      <c r="A328" s="50" t="str">
        <f aca="false">01_Data!A8</f>
        <v>S03</v>
      </c>
      <c r="B328" s="51" t="n">
        <f aca="false">01_Data!F8</f>
        <v>-1.2</v>
      </c>
      <c r="C328" s="51" t="n">
        <f aca="false">01_Data!G8</f>
        <v>-1.13333333333333</v>
      </c>
      <c r="D328" s="51" t="n">
        <f aca="false">01_Data!D8</f>
        <v>0</v>
      </c>
      <c r="E328" s="52" t="n">
        <f aca="false">$D$324+$F$324*B328+$H$324*C328</f>
        <v>-1.74070913231253</v>
      </c>
      <c r="F328" s="52" t="n">
        <f aca="false">1/(1+EXP(-E328))</f>
        <v>0.149222883947847</v>
      </c>
      <c r="G328" s="53" t="n">
        <f aca="false">F328-D328</f>
        <v>0.149222883947847</v>
      </c>
      <c r="H328" s="53" t="n">
        <f aca="false">G328</f>
        <v>0.149222883947847</v>
      </c>
      <c r="I328" s="53" t="n">
        <f aca="false">G328*B328</f>
        <v>-0.179067460737416</v>
      </c>
      <c r="J328" s="53" t="n">
        <f aca="false">G328*C328</f>
        <v>-0.169119268474226</v>
      </c>
      <c r="K328" s="52" t="n">
        <f aca="false">-(D328*LN(MIN(MAX(F328,0.000001),0.999999))+(1-D328)*LN(MIN(MAX(1-F328,0.000001),0.999999)))</f>
        <v>0.161605092994568</v>
      </c>
    </row>
    <row r="329" customFormat="false" ht="15" hidden="false" customHeight="false" outlineLevel="0" collapsed="false">
      <c r="A329" s="50" t="str">
        <f aca="false">01_Data!A9</f>
        <v>S04</v>
      </c>
      <c r="B329" s="51" t="n">
        <f aca="false">01_Data!F9</f>
        <v>-1</v>
      </c>
      <c r="C329" s="51" t="n">
        <f aca="false">01_Data!G9</f>
        <v>-0.666666666666667</v>
      </c>
      <c r="D329" s="51" t="n">
        <f aca="false">01_Data!D9</f>
        <v>0</v>
      </c>
      <c r="E329" s="52" t="n">
        <f aca="false">$D$324+$F$324*B329+$H$324*C329</f>
        <v>-1.15759818939361</v>
      </c>
      <c r="F329" s="52" t="n">
        <f aca="false">1/(1+EXP(-E329))</f>
        <v>0.239103980554281</v>
      </c>
      <c r="G329" s="53" t="n">
        <f aca="false">F329-D329</f>
        <v>0.239103980554281</v>
      </c>
      <c r="H329" s="53" t="n">
        <f aca="false">G329</f>
        <v>0.239103980554281</v>
      </c>
      <c r="I329" s="53" t="n">
        <f aca="false">G329*B329</f>
        <v>-0.239103980554281</v>
      </c>
      <c r="J329" s="53" t="n">
        <f aca="false">G329*C329</f>
        <v>-0.159402653702854</v>
      </c>
      <c r="K329" s="52" t="n">
        <f aca="false">-(D329*LN(MIN(MAX(F329,0.000001),0.999999))+(1-D329)*LN(MIN(MAX(1-F329,0.000001),0.999999)))</f>
        <v>0.273258567189715</v>
      </c>
    </row>
    <row r="330" customFormat="false" ht="15" hidden="false" customHeight="false" outlineLevel="0" collapsed="false">
      <c r="A330" s="50" t="str">
        <f aca="false">01_Data!A10</f>
        <v>S05</v>
      </c>
      <c r="B330" s="51" t="n">
        <f aca="false">01_Data!F10</f>
        <v>-0.8</v>
      </c>
      <c r="C330" s="51" t="n">
        <f aca="false">01_Data!G10</f>
        <v>-0.866666666666667</v>
      </c>
      <c r="D330" s="51" t="n">
        <f aca="false">01_Data!D10</f>
        <v>0</v>
      </c>
      <c r="E330" s="52" t="n">
        <f aca="false">$D$324+$F$324*B330+$H$324*C330</f>
        <v>-1.1438895812167</v>
      </c>
      <c r="F330" s="52" t="n">
        <f aca="false">1/(1+EXP(-E330))</f>
        <v>0.241606945135051</v>
      </c>
      <c r="G330" s="53" t="n">
        <f aca="false">F330-D330</f>
        <v>0.241606945135051</v>
      </c>
      <c r="H330" s="53" t="n">
        <f aca="false">G330</f>
        <v>0.241606945135051</v>
      </c>
      <c r="I330" s="53" t="n">
        <f aca="false">G330*B330</f>
        <v>-0.193285556108041</v>
      </c>
      <c r="J330" s="53" t="n">
        <f aca="false">G330*C330</f>
        <v>-0.209392685783711</v>
      </c>
      <c r="K330" s="52" t="n">
        <f aca="false">-(D330*LN(MIN(MAX(F330,0.000001),0.999999))+(1-D330)*LN(MIN(MAX(1-F330,0.000001),0.999999)))</f>
        <v>0.276553485698038</v>
      </c>
    </row>
    <row r="331" customFormat="false" ht="15" hidden="false" customHeight="false" outlineLevel="0" collapsed="false">
      <c r="A331" s="50" t="str">
        <f aca="false">01_Data!A11</f>
        <v>S06</v>
      </c>
      <c r="B331" s="51" t="n">
        <f aca="false">01_Data!F11</f>
        <v>-0.6</v>
      </c>
      <c r="C331" s="51" t="n">
        <f aca="false">01_Data!G11</f>
        <v>-0.333333333333333</v>
      </c>
      <c r="D331" s="51" t="n">
        <f aca="false">01_Data!D11</f>
        <v>0</v>
      </c>
      <c r="E331" s="52" t="n">
        <f aca="false">$D$324+$F$324*B331+$H$324*C331</f>
        <v>-0.503838404823576</v>
      </c>
      <c r="F331" s="52" t="n">
        <f aca="false">1/(1+EXP(-E331))</f>
        <v>0.376639054325175</v>
      </c>
      <c r="G331" s="53" t="n">
        <f aca="false">F331-D331</f>
        <v>0.376639054325175</v>
      </c>
      <c r="H331" s="53" t="n">
        <f aca="false">G331</f>
        <v>0.376639054325175</v>
      </c>
      <c r="I331" s="53" t="n">
        <f aca="false">G331*B331</f>
        <v>-0.225983432595105</v>
      </c>
      <c r="J331" s="53" t="n">
        <f aca="false">G331*C331</f>
        <v>-0.125546351441725</v>
      </c>
      <c r="K331" s="52" t="n">
        <f aca="false">-(D331*LN(MIN(MAX(F331,0.000001),0.999999))+(1-D331)*LN(MIN(MAX(1-F331,0.000001),0.999999)))</f>
        <v>0.472629560908686</v>
      </c>
    </row>
    <row r="332" customFormat="false" ht="15" hidden="false" customHeight="false" outlineLevel="0" collapsed="false">
      <c r="A332" s="50" t="str">
        <f aca="false">01_Data!A12</f>
        <v>S07</v>
      </c>
      <c r="B332" s="51" t="n">
        <f aca="false">01_Data!F12</f>
        <v>-0.4</v>
      </c>
      <c r="C332" s="51" t="n">
        <f aca="false">01_Data!G12</f>
        <v>-0.466666666666667</v>
      </c>
      <c r="D332" s="51" t="n">
        <f aca="false">01_Data!D12</f>
        <v>0</v>
      </c>
      <c r="E332" s="52" t="n">
        <f aca="false">$D$324+$F$324*B332+$H$324*C332</f>
        <v>-0.433189563172465</v>
      </c>
      <c r="F332" s="52" t="n">
        <f aca="false">1/(1+EXP(-E332))</f>
        <v>0.393364951090647</v>
      </c>
      <c r="G332" s="53" t="n">
        <f aca="false">F332-D332</f>
        <v>0.393364951090647</v>
      </c>
      <c r="H332" s="53" t="n">
        <f aca="false">G332</f>
        <v>0.393364951090647</v>
      </c>
      <c r="I332" s="53" t="n">
        <f aca="false">G332*B332</f>
        <v>-0.157345980436259</v>
      </c>
      <c r="J332" s="53" t="n">
        <f aca="false">G332*C332</f>
        <v>-0.183570310508969</v>
      </c>
      <c r="K332" s="52" t="n">
        <f aca="false">-(D332*LN(MIN(MAX(F332,0.000001),0.999999))+(1-D332)*LN(MIN(MAX(1-F332,0.000001),0.999999)))</f>
        <v>0.499827906119939</v>
      </c>
    </row>
    <row r="333" customFormat="false" ht="15" hidden="false" customHeight="false" outlineLevel="0" collapsed="false">
      <c r="A333" s="50" t="str">
        <f aca="false">01_Data!A13</f>
        <v>S08</v>
      </c>
      <c r="B333" s="51" t="n">
        <f aca="false">01_Data!F13</f>
        <v>-0.2</v>
      </c>
      <c r="C333" s="51" t="n">
        <f aca="false">01_Data!G13</f>
        <v>-0.2</v>
      </c>
      <c r="D333" s="51" t="n">
        <f aca="false">01_Data!D13</f>
        <v>1</v>
      </c>
      <c r="E333" s="52" t="n">
        <f aca="false">$D$324+$F$324*B333+$H$324*C333</f>
        <v>-0.0208993206761477</v>
      </c>
      <c r="F333" s="52" t="n">
        <f aca="false">1/(1+EXP(-E333))</f>
        <v>0.494775359998466</v>
      </c>
      <c r="G333" s="53" t="n">
        <f aca="false">F333-D333</f>
        <v>-0.505224640001534</v>
      </c>
      <c r="H333" s="53" t="n">
        <f aca="false">G333</f>
        <v>-0.505224640001534</v>
      </c>
      <c r="I333" s="53" t="n">
        <f aca="false">G333*B333</f>
        <v>0.101044928000307</v>
      </c>
      <c r="J333" s="53" t="n">
        <f aca="false">G333*C333</f>
        <v>0.101044928000307</v>
      </c>
      <c r="K333" s="52" t="n">
        <f aca="false">-(D333*LN(MIN(MAX(F333,0.000001),0.999999))+(1-D333)*LN(MIN(MAX(1-F333,0.000001),0.999999)))</f>
        <v>0.703651437605002</v>
      </c>
    </row>
    <row r="334" customFormat="false" ht="15" hidden="false" customHeight="false" outlineLevel="0" collapsed="false">
      <c r="A334" s="50" t="str">
        <f aca="false">01_Data!A14</f>
        <v>S09</v>
      </c>
      <c r="B334" s="51" t="n">
        <f aca="false">01_Data!F14</f>
        <v>0</v>
      </c>
      <c r="C334" s="51" t="n">
        <f aca="false">01_Data!G14</f>
        <v>0</v>
      </c>
      <c r="D334" s="51" t="n">
        <f aca="false">01_Data!D14</f>
        <v>1</v>
      </c>
      <c r="E334" s="52" t="n">
        <f aca="false">$D$324+$F$324*B334+$H$324*C334</f>
        <v>0.334450688345969</v>
      </c>
      <c r="F334" s="52" t="n">
        <f aca="false">1/(1+EXP(-E334))</f>
        <v>0.58284190217392</v>
      </c>
      <c r="G334" s="53" t="n">
        <f aca="false">F334-D334</f>
        <v>-0.41715809782608</v>
      </c>
      <c r="H334" s="53" t="n">
        <f aca="false">G334</f>
        <v>-0.41715809782608</v>
      </c>
      <c r="I334" s="53" t="n">
        <f aca="false">G334*B334</f>
        <v>-0</v>
      </c>
      <c r="J334" s="53" t="n">
        <f aca="false">G334*C334</f>
        <v>-0</v>
      </c>
      <c r="K334" s="52" t="n">
        <f aca="false">-(D334*LN(MIN(MAX(F334,0.000001),0.999999))+(1-D334)*LN(MIN(MAX(1-F334,0.000001),0.999999)))</f>
        <v>0.539839309212134</v>
      </c>
    </row>
    <row r="335" customFormat="false" ht="15" hidden="false" customHeight="false" outlineLevel="0" collapsed="false">
      <c r="A335" s="50" t="str">
        <f aca="false">01_Data!A15</f>
        <v>S10</v>
      </c>
      <c r="B335" s="51" t="n">
        <f aca="false">01_Data!F15</f>
        <v>0.2</v>
      </c>
      <c r="C335" s="51" t="n">
        <f aca="false">01_Data!G15</f>
        <v>0.2</v>
      </c>
      <c r="D335" s="51" t="n">
        <f aca="false">01_Data!D15</f>
        <v>1</v>
      </c>
      <c r="E335" s="52" t="n">
        <f aca="false">$D$324+$F$324*B335+$H$324*C335</f>
        <v>0.689800697368085</v>
      </c>
      <c r="F335" s="52" t="n">
        <f aca="false">1/(1+EXP(-E335))</f>
        <v>0.665922589422551</v>
      </c>
      <c r="G335" s="53" t="n">
        <f aca="false">F335-D335</f>
        <v>-0.334077410577449</v>
      </c>
      <c r="H335" s="53" t="n">
        <f aca="false">G335</f>
        <v>-0.334077410577449</v>
      </c>
      <c r="I335" s="53" t="n">
        <f aca="false">G335*B335</f>
        <v>-0.0668154821154899</v>
      </c>
      <c r="J335" s="53" t="n">
        <f aca="false">G335*C335</f>
        <v>-0.0668154821154899</v>
      </c>
      <c r="K335" s="52" t="n">
        <f aca="false">-(D335*LN(MIN(MAX(F335,0.000001),0.999999))+(1-D335)*LN(MIN(MAX(1-F335,0.000001),0.999999)))</f>
        <v>0.406581847295494</v>
      </c>
    </row>
    <row r="336" customFormat="false" ht="15" hidden="false" customHeight="false" outlineLevel="0" collapsed="false">
      <c r="A336" s="50" t="str">
        <f aca="false">01_Data!A16</f>
        <v>S11</v>
      </c>
      <c r="B336" s="51" t="n">
        <f aca="false">01_Data!F16</f>
        <v>0.4</v>
      </c>
      <c r="C336" s="51" t="n">
        <f aca="false">01_Data!G16</f>
        <v>0.333333333333333</v>
      </c>
      <c r="D336" s="51" t="n">
        <f aca="false">01_Data!D16</f>
        <v>1</v>
      </c>
      <c r="E336" s="52" t="n">
        <f aca="false">$D$324+$F$324*B336+$H$324*C336</f>
        <v>0.988210472916</v>
      </c>
      <c r="F336" s="52" t="n">
        <f aca="false">1/(1+EXP(-E336))</f>
        <v>0.728734312372169</v>
      </c>
      <c r="G336" s="53" t="n">
        <f aca="false">F336-D336</f>
        <v>-0.271265687627831</v>
      </c>
      <c r="H336" s="53" t="n">
        <f aca="false">G336</f>
        <v>-0.271265687627831</v>
      </c>
      <c r="I336" s="53" t="n">
        <f aca="false">G336*B336</f>
        <v>-0.108506275051133</v>
      </c>
      <c r="J336" s="53" t="n">
        <f aca="false">G336*C336</f>
        <v>-0.0904218958759438</v>
      </c>
      <c r="K336" s="52" t="n">
        <f aca="false">-(D336*LN(MIN(MAX(F336,0.000001),0.999999))+(1-D336)*LN(MIN(MAX(1-F336,0.000001),0.999999)))</f>
        <v>0.316446068311172</v>
      </c>
    </row>
    <row r="337" customFormat="false" ht="15" hidden="false" customHeight="false" outlineLevel="0" collapsed="false">
      <c r="A337" s="50" t="str">
        <f aca="false">01_Data!A17</f>
        <v>S12</v>
      </c>
      <c r="B337" s="51" t="n">
        <f aca="false">01_Data!F17</f>
        <v>0.6</v>
      </c>
      <c r="C337" s="51" t="n">
        <f aca="false">01_Data!G17</f>
        <v>0.466666666666667</v>
      </c>
      <c r="D337" s="51" t="n">
        <f aca="false">01_Data!D17</f>
        <v>1</v>
      </c>
      <c r="E337" s="52" t="n">
        <f aca="false">$D$324+$F$324*B337+$H$324*C337</f>
        <v>1.28662024846392</v>
      </c>
      <c r="F337" s="52" t="n">
        <f aca="false">1/(1+EXP(-E337))</f>
        <v>0.783574581808828</v>
      </c>
      <c r="G337" s="53" t="n">
        <f aca="false">F337-D337</f>
        <v>-0.216425418191172</v>
      </c>
      <c r="H337" s="53" t="n">
        <f aca="false">G337</f>
        <v>-0.216425418191172</v>
      </c>
      <c r="I337" s="53" t="n">
        <f aca="false">G337*B337</f>
        <v>-0.129855250914703</v>
      </c>
      <c r="J337" s="53" t="n">
        <f aca="false">G337*C337</f>
        <v>-0.100998528489214</v>
      </c>
      <c r="K337" s="52" t="n">
        <f aca="false">-(D337*LN(MIN(MAX(F337,0.000001),0.999999))+(1-D337)*LN(MIN(MAX(1-F337,0.000001),0.999999)))</f>
        <v>0.243889031149927</v>
      </c>
    </row>
    <row r="338" customFormat="false" ht="15" hidden="false" customHeight="false" outlineLevel="0" collapsed="false">
      <c r="A338" s="50" t="str">
        <f aca="false">01_Data!A18</f>
        <v>S13</v>
      </c>
      <c r="B338" s="51" t="n">
        <f aca="false">01_Data!F18</f>
        <v>0.8</v>
      </c>
      <c r="C338" s="51" t="n">
        <f aca="false">01_Data!G18</f>
        <v>0.666666666666667</v>
      </c>
      <c r="D338" s="51" t="n">
        <f aca="false">01_Data!D18</f>
        <v>1</v>
      </c>
      <c r="E338" s="52" t="n">
        <f aca="false">$D$324+$F$324*B338+$H$324*C338</f>
        <v>1.64197025748603</v>
      </c>
      <c r="F338" s="52" t="n">
        <f aca="false">1/(1+EXP(-E338))</f>
        <v>0.837802852424151</v>
      </c>
      <c r="G338" s="53" t="n">
        <f aca="false">F338-D338</f>
        <v>-0.162197147575849</v>
      </c>
      <c r="H338" s="53" t="n">
        <f aca="false">G338</f>
        <v>-0.162197147575849</v>
      </c>
      <c r="I338" s="53" t="n">
        <f aca="false">G338*B338</f>
        <v>-0.129757718060679</v>
      </c>
      <c r="J338" s="53" t="n">
        <f aca="false">G338*C338</f>
        <v>-0.108131431717232</v>
      </c>
      <c r="K338" s="52" t="n">
        <f aca="false">-(D338*LN(MIN(MAX(F338,0.000001),0.999999))+(1-D338)*LN(MIN(MAX(1-F338,0.000001),0.999999)))</f>
        <v>0.176972465814994</v>
      </c>
    </row>
    <row r="339" customFormat="false" ht="15" hidden="false" customHeight="false" outlineLevel="0" collapsed="false">
      <c r="A339" s="50" t="str">
        <f aca="false">01_Data!A19</f>
        <v>S14</v>
      </c>
      <c r="B339" s="51" t="n">
        <f aca="false">01_Data!F19</f>
        <v>1</v>
      </c>
      <c r="C339" s="51" t="n">
        <f aca="false">01_Data!G19</f>
        <v>0.866666666666667</v>
      </c>
      <c r="D339" s="51" t="n">
        <f aca="false">01_Data!D19</f>
        <v>1</v>
      </c>
      <c r="E339" s="52" t="n">
        <f aca="false">$D$324+$F$324*B339+$H$324*C339</f>
        <v>1.99732026650815</v>
      </c>
      <c r="F339" s="52" t="n">
        <f aca="false">1/(1+EXP(-E339))</f>
        <v>0.880515435921863</v>
      </c>
      <c r="G339" s="53" t="n">
        <f aca="false">F339-D339</f>
        <v>-0.119484564078137</v>
      </c>
      <c r="H339" s="53" t="n">
        <f aca="false">G339</f>
        <v>-0.119484564078137</v>
      </c>
      <c r="I339" s="53" t="n">
        <f aca="false">G339*B339</f>
        <v>-0.119484564078137</v>
      </c>
      <c r="J339" s="53" t="n">
        <f aca="false">G339*C339</f>
        <v>-0.103553288867718</v>
      </c>
      <c r="K339" s="52" t="n">
        <f aca="false">-(D339*LN(MIN(MAX(F339,0.000001),0.999999))+(1-D339)*LN(MIN(MAX(1-F339,0.000001),0.999999)))</f>
        <v>0.127247820339956</v>
      </c>
    </row>
    <row r="340" customFormat="false" ht="15" hidden="false" customHeight="false" outlineLevel="0" collapsed="false">
      <c r="A340" s="50" t="str">
        <f aca="false">01_Data!A20</f>
        <v>S15</v>
      </c>
      <c r="B340" s="51" t="n">
        <f aca="false">01_Data!F20</f>
        <v>1.2</v>
      </c>
      <c r="C340" s="51" t="n">
        <f aca="false">01_Data!G20</f>
        <v>1</v>
      </c>
      <c r="D340" s="51" t="n">
        <f aca="false">01_Data!D20</f>
        <v>1</v>
      </c>
      <c r="E340" s="52" t="n">
        <f aca="false">$D$324+$F$324*B340+$H$324*C340</f>
        <v>2.29573004205606</v>
      </c>
      <c r="F340" s="52" t="n">
        <f aca="false">1/(1+EXP(-E340))</f>
        <v>0.908522784967651</v>
      </c>
      <c r="G340" s="53" t="n">
        <f aca="false">F340-D340</f>
        <v>-0.0914772150323492</v>
      </c>
      <c r="H340" s="53" t="n">
        <f aca="false">G340</f>
        <v>-0.0914772150323492</v>
      </c>
      <c r="I340" s="53" t="n">
        <f aca="false">G340*B340</f>
        <v>-0.109772658038819</v>
      </c>
      <c r="J340" s="53" t="n">
        <f aca="false">G340*C340</f>
        <v>-0.0914772150323492</v>
      </c>
      <c r="K340" s="52" t="n">
        <f aca="false">-(D340*LN(MIN(MAX(F340,0.000001),0.999999))+(1-D340)*LN(MIN(MAX(1-F340,0.000001),0.999999)))</f>
        <v>0.0959353116941393</v>
      </c>
    </row>
    <row r="341" customFormat="false" ht="15" hidden="false" customHeight="false" outlineLevel="0" collapsed="false">
      <c r="A341" s="50" t="str">
        <f aca="false">01_Data!A21</f>
        <v>S16</v>
      </c>
      <c r="B341" s="51" t="n">
        <f aca="false">01_Data!F21</f>
        <v>1.4</v>
      </c>
      <c r="C341" s="51" t="n">
        <f aca="false">01_Data!G21</f>
        <v>1.13333333333333</v>
      </c>
      <c r="D341" s="51" t="n">
        <f aca="false">01_Data!D21</f>
        <v>1</v>
      </c>
      <c r="E341" s="52" t="n">
        <f aca="false">$D$324+$F$324*B341+$H$324*C341</f>
        <v>2.59413981760398</v>
      </c>
      <c r="F341" s="52" t="n">
        <f aca="false">1/(1+EXP(-E341))</f>
        <v>0.930483474679216</v>
      </c>
      <c r="G341" s="53" t="n">
        <f aca="false">F341-D341</f>
        <v>-0.0695165253207842</v>
      </c>
      <c r="H341" s="53" t="n">
        <f aca="false">G341</f>
        <v>-0.0695165253207842</v>
      </c>
      <c r="I341" s="53" t="n">
        <f aca="false">G341*B341</f>
        <v>-0.0973231354490979</v>
      </c>
      <c r="J341" s="53" t="n">
        <f aca="false">G341*C341</f>
        <v>-0.0787853953635555</v>
      </c>
      <c r="K341" s="52" t="n">
        <f aca="false">-(D341*LN(MIN(MAX(F341,0.000001),0.999999))+(1-D341)*LN(MIN(MAX(1-F341,0.000001),0.999999)))</f>
        <v>0.0720509626714894</v>
      </c>
    </row>
    <row r="342" customFormat="false" ht="15" hidden="false" customHeight="false" outlineLevel="0" collapsed="false">
      <c r="A342" s="50" t="str">
        <f aca="false">01_Data!A22</f>
        <v>S17</v>
      </c>
      <c r="B342" s="51" t="n">
        <f aca="false">01_Data!F22</f>
        <v>1.6</v>
      </c>
      <c r="C342" s="51" t="n">
        <f aca="false">01_Data!G22</f>
        <v>1.33333333333333</v>
      </c>
      <c r="D342" s="51" t="n">
        <f aca="false">01_Data!D22</f>
        <v>1</v>
      </c>
      <c r="E342" s="52" t="n">
        <f aca="false">$D$324+$F$324*B342+$H$324*C342</f>
        <v>2.9494898266261</v>
      </c>
      <c r="F342" s="52" t="n">
        <f aca="false">1/(1+EXP(-E342))</f>
        <v>0.950239370684285</v>
      </c>
      <c r="G342" s="53" t="n">
        <f aca="false">F342-D342</f>
        <v>-0.0497606293157152</v>
      </c>
      <c r="H342" s="53" t="n">
        <f aca="false">G342</f>
        <v>-0.0497606293157152</v>
      </c>
      <c r="I342" s="53" t="n">
        <f aca="false">G342*B342</f>
        <v>-0.0796170069051444</v>
      </c>
      <c r="J342" s="53" t="n">
        <f aca="false">G342*C342</f>
        <v>-0.066347505754287</v>
      </c>
      <c r="K342" s="52" t="n">
        <f aca="false">-(D342*LN(MIN(MAX(F342,0.000001),0.999999))+(1-D342)*LN(MIN(MAX(1-F342,0.000001),0.999999)))</f>
        <v>0.0510413569850909</v>
      </c>
    </row>
    <row r="343" customFormat="false" ht="15" hidden="false" customHeight="false" outlineLevel="0" collapsed="false">
      <c r="A343" s="50" t="str">
        <f aca="false">01_Data!A23</f>
        <v>S18</v>
      </c>
      <c r="B343" s="51" t="n">
        <f aca="false">01_Data!F23</f>
        <v>0</v>
      </c>
      <c r="C343" s="51" t="n">
        <f aca="false">01_Data!G23</f>
        <v>-0.666666666666667</v>
      </c>
      <c r="D343" s="51" t="n">
        <f aca="false">01_Data!D23</f>
        <v>0</v>
      </c>
      <c r="E343" s="52" t="n">
        <f aca="false">$D$324+$F$324*B343+$H$324*C343</f>
        <v>-0.234951646396041</v>
      </c>
      <c r="F343" s="52" t="n">
        <f aca="false">1/(1+EXP(-E343))</f>
        <v>0.441530810625257</v>
      </c>
      <c r="G343" s="53" t="n">
        <f aca="false">F343-D343</f>
        <v>0.441530810625257</v>
      </c>
      <c r="H343" s="53" t="n">
        <f aca="false">G343</f>
        <v>0.441530810625257</v>
      </c>
      <c r="I343" s="53" t="n">
        <f aca="false">G343*B343</f>
        <v>0</v>
      </c>
      <c r="J343" s="53" t="n">
        <f aca="false">G343*C343</f>
        <v>-0.294353873750172</v>
      </c>
      <c r="K343" s="52" t="n">
        <f aca="false">-(D343*LN(MIN(MAX(F343,0.000001),0.999999))+(1-D343)*LN(MIN(MAX(1-F343,0.000001),0.999999)))</f>
        <v>0.582555828736354</v>
      </c>
    </row>
    <row r="344" customFormat="false" ht="15" hidden="false" customHeight="false" outlineLevel="0" collapsed="false">
      <c r="A344" s="50" t="str">
        <f aca="false">01_Data!A24</f>
        <v>S19</v>
      </c>
      <c r="B344" s="51" t="n">
        <f aca="false">01_Data!F24</f>
        <v>-0.8</v>
      </c>
      <c r="C344" s="51" t="n">
        <f aca="false">01_Data!G24</f>
        <v>0.666666666666667</v>
      </c>
      <c r="D344" s="51" t="n">
        <f aca="false">01_Data!D24</f>
        <v>1</v>
      </c>
      <c r="E344" s="52" t="n">
        <f aca="false">$D$324+$F$324*B344+$H$324*C344</f>
        <v>0.165735788689925</v>
      </c>
      <c r="F344" s="52" t="n">
        <f aca="false">1/(1+EXP(-E344))</f>
        <v>0.541339363450607</v>
      </c>
      <c r="G344" s="53" t="n">
        <f aca="false">F344-D344</f>
        <v>-0.458660636549393</v>
      </c>
      <c r="H344" s="53" t="n">
        <f aca="false">G344</f>
        <v>-0.458660636549393</v>
      </c>
      <c r="I344" s="53" t="n">
        <f aca="false">G344*B344</f>
        <v>0.366928509239515</v>
      </c>
      <c r="J344" s="53" t="n">
        <f aca="false">G344*C344</f>
        <v>-0.305773757699595</v>
      </c>
      <c r="K344" s="52" t="n">
        <f aca="false">-(D344*LN(MIN(MAX(F344,0.000001),0.999999))+(1-D344)*LN(MIN(MAX(1-F344,0.000001),0.999999)))</f>
        <v>0.613708907611466</v>
      </c>
    </row>
    <row r="345" customFormat="false" ht="15" hidden="false" customHeight="false" outlineLevel="0" collapsed="false">
      <c r="A345" s="50" t="str">
        <f aca="false">01_Data!A25</f>
        <v>S20</v>
      </c>
      <c r="B345" s="51" t="n">
        <f aca="false">01_Data!F25</f>
        <v>0.8</v>
      </c>
      <c r="C345" s="51" t="n">
        <f aca="false">01_Data!G25</f>
        <v>-0.666666666666667</v>
      </c>
      <c r="D345" s="51" t="n">
        <f aca="false">01_Data!D25</f>
        <v>1</v>
      </c>
      <c r="E345" s="52" t="n">
        <f aca="false">$D$324+$F$324*B345+$H$324*C345</f>
        <v>0.503165588002013</v>
      </c>
      <c r="F345" s="52" t="n">
        <f aca="false">1/(1+EXP(-E345))</f>
        <v>0.623202967237819</v>
      </c>
      <c r="G345" s="53" t="n">
        <f aca="false">F345-D345</f>
        <v>-0.376797032762181</v>
      </c>
      <c r="H345" s="53" t="n">
        <f aca="false">G345</f>
        <v>-0.376797032762181</v>
      </c>
      <c r="I345" s="53" t="n">
        <f aca="false">G345*B345</f>
        <v>-0.301437626209745</v>
      </c>
      <c r="J345" s="53" t="n">
        <f aca="false">G345*C345</f>
        <v>0.251198021841454</v>
      </c>
      <c r="K345" s="52" t="n">
        <f aca="false">-(D345*LN(MIN(MAX(F345,0.000001),0.999999))+(1-D345)*LN(MIN(MAX(1-F345,0.000001),0.999999)))</f>
        <v>0.472883023143899</v>
      </c>
    </row>
    <row r="346" customFormat="false" ht="15" hidden="false" customHeight="false" outlineLevel="0" collapsed="false">
      <c r="A346" s="54" t="s">
        <v>138</v>
      </c>
      <c r="B346" s="54"/>
      <c r="C346" s="54"/>
      <c r="D346" s="54"/>
      <c r="E346" s="54"/>
      <c r="F346" s="54"/>
      <c r="G346" s="54" t="s">
        <v>139</v>
      </c>
      <c r="H346" s="55" t="n">
        <f aca="false">AVERAGE(H326:H345)</f>
        <v>-0.0498679434477675</v>
      </c>
      <c r="I346" s="55" t="n">
        <f aca="false">AVERAGE(I326:I345)</f>
        <v>-0.10072179449491</v>
      </c>
      <c r="J346" s="55" t="n">
        <f aca="false">AVERAGE(J326:J345)</f>
        <v>-0.103278934045437</v>
      </c>
      <c r="K346" s="55" t="n">
        <f aca="false">AVERAGE(K326:K345)</f>
        <v>0.316769113633611</v>
      </c>
    </row>
    <row r="347" customFormat="false" ht="22.35" hidden="false" customHeight="true" outlineLevel="0" collapsed="false">
      <c r="A347" s="47" t="s">
        <v>140</v>
      </c>
      <c r="B347" s="47"/>
      <c r="C347" s="47" t="s">
        <v>141</v>
      </c>
      <c r="D347" s="56" t="n">
        <f aca="false">D324-$B$4*H346</f>
        <v>0.354397865725076</v>
      </c>
      <c r="E347" s="47" t="s">
        <v>142</v>
      </c>
      <c r="F347" s="56" t="n">
        <f aca="false">F324-$B$4*I346</f>
        <v>0.962935260795531</v>
      </c>
      <c r="G347" s="47" t="s">
        <v>143</v>
      </c>
      <c r="H347" s="56" t="n">
        <f aca="false">H324-$B$4*J346</f>
        <v>0.89541507573119</v>
      </c>
      <c r="I347" s="48" t="s">
        <v>144</v>
      </c>
      <c r="J347" s="48"/>
      <c r="K347" s="48"/>
    </row>
    <row r="349" customFormat="false" ht="22.5" hidden="false" customHeight="true" outlineLevel="0" collapsed="false">
      <c r="A349" s="57" t="s">
        <v>160</v>
      </c>
      <c r="B349" s="57"/>
      <c r="C349" s="57"/>
      <c r="D349" s="57"/>
      <c r="E349" s="57"/>
      <c r="F349" s="57"/>
      <c r="G349" s="57"/>
      <c r="H349" s="57"/>
      <c r="I349" s="57"/>
      <c r="J349" s="57"/>
      <c r="K349" s="57"/>
    </row>
    <row r="350" customFormat="false" ht="15" hidden="false" customHeight="true" outlineLevel="0" collapsed="false">
      <c r="A350" s="47" t="s">
        <v>122</v>
      </c>
      <c r="B350" s="48" t="n">
        <v>14</v>
      </c>
      <c r="C350" s="47" t="s">
        <v>123</v>
      </c>
      <c r="D350" s="58" t="n">
        <f aca="false">D347</f>
        <v>0.354397865725076</v>
      </c>
      <c r="E350" s="47" t="s">
        <v>124</v>
      </c>
      <c r="F350" s="58" t="n">
        <f aca="false">F347</f>
        <v>0.962935260795531</v>
      </c>
      <c r="G350" s="47" t="s">
        <v>125</v>
      </c>
      <c r="H350" s="58" t="n">
        <f aca="false">H347</f>
        <v>0.89541507573119</v>
      </c>
      <c r="I350" s="48" t="s">
        <v>126</v>
      </c>
      <c r="J350" s="48"/>
      <c r="K350" s="48"/>
    </row>
    <row r="351" customFormat="false" ht="33.75" hidden="false" customHeight="true" outlineLevel="0" collapsed="false">
      <c r="A351" s="18" t="s">
        <v>127</v>
      </c>
      <c r="B351" s="18" t="s">
        <v>128</v>
      </c>
      <c r="C351" s="18" t="s">
        <v>129</v>
      </c>
      <c r="D351" s="18" t="s">
        <v>130</v>
      </c>
      <c r="E351" s="18" t="s">
        <v>131</v>
      </c>
      <c r="F351" s="18" t="s">
        <v>132</v>
      </c>
      <c r="G351" s="18" t="s">
        <v>133</v>
      </c>
      <c r="H351" s="18" t="s">
        <v>146</v>
      </c>
      <c r="I351" s="18" t="s">
        <v>147</v>
      </c>
      <c r="J351" s="18" t="s">
        <v>148</v>
      </c>
      <c r="K351" s="18" t="s">
        <v>33</v>
      </c>
    </row>
    <row r="352" customFormat="false" ht="15" hidden="false" customHeight="false" outlineLevel="0" collapsed="false">
      <c r="A352" s="50" t="str">
        <f aca="false">01_Data!A6</f>
        <v>S01</v>
      </c>
      <c r="B352" s="51" t="n">
        <f aca="false">01_Data!F6</f>
        <v>-1.6</v>
      </c>
      <c r="C352" s="51" t="n">
        <f aca="false">01_Data!G6</f>
        <v>-1.33333333333333</v>
      </c>
      <c r="D352" s="51" t="n">
        <f aca="false">01_Data!D6</f>
        <v>0</v>
      </c>
      <c r="E352" s="52" t="n">
        <f aca="false">$D$350+$F$350*B352+$H$350*C352</f>
        <v>-2.38018531918936</v>
      </c>
      <c r="F352" s="52" t="n">
        <f aca="false">1/(1+EXP(-E352))</f>
        <v>0.0846961981714032</v>
      </c>
      <c r="G352" s="53" t="n">
        <f aca="false">F352-D352</f>
        <v>0.0846961981714032</v>
      </c>
      <c r="H352" s="53" t="n">
        <f aca="false">G352</f>
        <v>0.0846961981714032</v>
      </c>
      <c r="I352" s="53" t="n">
        <f aca="false">G352*B352</f>
        <v>-0.135513917074245</v>
      </c>
      <c r="J352" s="53" t="n">
        <f aca="false">G352*C352</f>
        <v>-0.112928264228538</v>
      </c>
      <c r="K352" s="52" t="n">
        <f aca="false">-(D352*LN(MIN(MAX(F352,0.000001),0.999999))+(1-D352)*LN(MIN(MAX(1-F352,0.000001),0.999999)))</f>
        <v>0.0884992449579488</v>
      </c>
    </row>
    <row r="353" customFormat="false" ht="15" hidden="false" customHeight="false" outlineLevel="0" collapsed="false">
      <c r="A353" s="50" t="str">
        <f aca="false">01_Data!A7</f>
        <v>S02</v>
      </c>
      <c r="B353" s="51" t="n">
        <f aca="false">01_Data!F7</f>
        <v>-1.4</v>
      </c>
      <c r="C353" s="51" t="n">
        <f aca="false">01_Data!G7</f>
        <v>-1</v>
      </c>
      <c r="D353" s="51" t="n">
        <f aca="false">01_Data!D7</f>
        <v>0</v>
      </c>
      <c r="E353" s="52" t="n">
        <f aca="false">$D$350+$F$350*B353+$H$350*C353</f>
        <v>-1.88912657511986</v>
      </c>
      <c r="F353" s="52" t="n">
        <f aca="false">1/(1+EXP(-E353))</f>
        <v>0.131344088862329</v>
      </c>
      <c r="G353" s="53" t="n">
        <f aca="false">F353-D353</f>
        <v>0.131344088862329</v>
      </c>
      <c r="H353" s="53" t="n">
        <f aca="false">G353</f>
        <v>0.131344088862329</v>
      </c>
      <c r="I353" s="53" t="n">
        <f aca="false">G353*B353</f>
        <v>-0.183881724407261</v>
      </c>
      <c r="J353" s="53" t="n">
        <f aca="false">G353*C353</f>
        <v>-0.131344088862329</v>
      </c>
      <c r="K353" s="52" t="n">
        <f aca="false">-(D353*LN(MIN(MAX(F353,0.000001),0.999999))+(1-D353)*LN(MIN(MAX(1-F353,0.000001),0.999999)))</f>
        <v>0.140808191694829</v>
      </c>
    </row>
    <row r="354" customFormat="false" ht="15" hidden="false" customHeight="false" outlineLevel="0" collapsed="false">
      <c r="A354" s="50" t="str">
        <f aca="false">01_Data!A8</f>
        <v>S03</v>
      </c>
      <c r="B354" s="51" t="n">
        <f aca="false">01_Data!F8</f>
        <v>-1.2</v>
      </c>
      <c r="C354" s="51" t="n">
        <f aca="false">01_Data!G8</f>
        <v>-1.13333333333333</v>
      </c>
      <c r="D354" s="51" t="n">
        <f aca="false">01_Data!D8</f>
        <v>0</v>
      </c>
      <c r="E354" s="52" t="n">
        <f aca="false">$D$350+$F$350*B354+$H$350*C354</f>
        <v>-1.81592819972491</v>
      </c>
      <c r="F354" s="52" t="n">
        <f aca="false">1/(1+EXP(-E354))</f>
        <v>0.139923174390726</v>
      </c>
      <c r="G354" s="53" t="n">
        <f aca="false">F354-D354</f>
        <v>0.139923174390726</v>
      </c>
      <c r="H354" s="53" t="n">
        <f aca="false">G354</f>
        <v>0.139923174390726</v>
      </c>
      <c r="I354" s="53" t="n">
        <f aca="false">G354*B354</f>
        <v>-0.167907809268872</v>
      </c>
      <c r="J354" s="53" t="n">
        <f aca="false">G354*C354</f>
        <v>-0.158579597642823</v>
      </c>
      <c r="K354" s="52" t="n">
        <f aca="false">-(D354*LN(MIN(MAX(F354,0.000001),0.999999))+(1-D354)*LN(MIN(MAX(1-F354,0.000001),0.999999)))</f>
        <v>0.150733561620652</v>
      </c>
    </row>
    <row r="355" customFormat="false" ht="15" hidden="false" customHeight="false" outlineLevel="0" collapsed="false">
      <c r="A355" s="50" t="str">
        <f aca="false">01_Data!A9</f>
        <v>S04</v>
      </c>
      <c r="B355" s="51" t="n">
        <f aca="false">01_Data!F9</f>
        <v>-1</v>
      </c>
      <c r="C355" s="51" t="n">
        <f aca="false">01_Data!G9</f>
        <v>-0.666666666666667</v>
      </c>
      <c r="D355" s="51" t="n">
        <f aca="false">01_Data!D9</f>
        <v>0</v>
      </c>
      <c r="E355" s="52" t="n">
        <f aca="false">$D$350+$F$350*B355+$H$350*C355</f>
        <v>-1.20548077889125</v>
      </c>
      <c r="F355" s="52" t="n">
        <f aca="false">1/(1+EXP(-E355))</f>
        <v>0.230501651662563</v>
      </c>
      <c r="G355" s="53" t="n">
        <f aca="false">F355-D355</f>
        <v>0.230501651662563</v>
      </c>
      <c r="H355" s="53" t="n">
        <f aca="false">G355</f>
        <v>0.230501651662563</v>
      </c>
      <c r="I355" s="53" t="n">
        <f aca="false">G355*B355</f>
        <v>-0.230501651662563</v>
      </c>
      <c r="J355" s="53" t="n">
        <f aca="false">G355*C355</f>
        <v>-0.153667767775042</v>
      </c>
      <c r="K355" s="52" t="n">
        <f aca="false">-(D355*LN(MIN(MAX(F355,0.000001),0.999999))+(1-D355)*LN(MIN(MAX(1-F355,0.000001),0.999999)))</f>
        <v>0.262016472115595</v>
      </c>
    </row>
    <row r="356" customFormat="false" ht="15" hidden="false" customHeight="false" outlineLevel="0" collapsed="false">
      <c r="A356" s="50" t="str">
        <f aca="false">01_Data!A10</f>
        <v>S05</v>
      </c>
      <c r="B356" s="51" t="n">
        <f aca="false">01_Data!F10</f>
        <v>-0.8</v>
      </c>
      <c r="C356" s="51" t="n">
        <f aca="false">01_Data!G10</f>
        <v>-0.866666666666667</v>
      </c>
      <c r="D356" s="51" t="n">
        <f aca="false">01_Data!D10</f>
        <v>0</v>
      </c>
      <c r="E356" s="52" t="n">
        <f aca="false">$D$350+$F$350*B356+$H$350*C356</f>
        <v>-1.19197674187838</v>
      </c>
      <c r="F356" s="52" t="n">
        <f aca="false">1/(1+EXP(-E356))</f>
        <v>0.23290558348873</v>
      </c>
      <c r="G356" s="53" t="n">
        <f aca="false">F356-D356</f>
        <v>0.23290558348873</v>
      </c>
      <c r="H356" s="53" t="n">
        <f aca="false">G356</f>
        <v>0.23290558348873</v>
      </c>
      <c r="I356" s="53" t="n">
        <f aca="false">G356*B356</f>
        <v>-0.186324466790984</v>
      </c>
      <c r="J356" s="53" t="n">
        <f aca="false">G356*C356</f>
        <v>-0.201851505690233</v>
      </c>
      <c r="K356" s="52" t="n">
        <f aca="false">-(D356*LN(MIN(MAX(F356,0.000001),0.999999))+(1-D356)*LN(MIN(MAX(1-F356,0.000001),0.999999)))</f>
        <v>0.265145386740717</v>
      </c>
    </row>
    <row r="357" customFormat="false" ht="15" hidden="false" customHeight="false" outlineLevel="0" collapsed="false">
      <c r="A357" s="50" t="str">
        <f aca="false">01_Data!A11</f>
        <v>S06</v>
      </c>
      <c r="B357" s="51" t="n">
        <f aca="false">01_Data!F11</f>
        <v>-0.6</v>
      </c>
      <c r="C357" s="51" t="n">
        <f aca="false">01_Data!G11</f>
        <v>-0.333333333333333</v>
      </c>
      <c r="D357" s="51" t="n">
        <f aca="false">01_Data!D11</f>
        <v>0</v>
      </c>
      <c r="E357" s="52" t="n">
        <f aca="false">$D$350+$F$350*B357+$H$350*C357</f>
        <v>-0.521834982662639</v>
      </c>
      <c r="F357" s="52" t="n">
        <f aca="false">1/(1+EXP(-E357))</f>
        <v>0.37242325357574</v>
      </c>
      <c r="G357" s="53" t="n">
        <f aca="false">F357-D357</f>
        <v>0.37242325357574</v>
      </c>
      <c r="H357" s="53" t="n">
        <f aca="false">G357</f>
        <v>0.37242325357574</v>
      </c>
      <c r="I357" s="53" t="n">
        <f aca="false">G357*B357</f>
        <v>-0.223453952145444</v>
      </c>
      <c r="J357" s="53" t="n">
        <f aca="false">G357*C357</f>
        <v>-0.124141084525247</v>
      </c>
      <c r="K357" s="52" t="n">
        <f aca="false">-(D357*LN(MIN(MAX(F357,0.000001),0.999999))+(1-D357)*LN(MIN(MAX(1-F357,0.000001),0.999999)))</f>
        <v>0.465889310396271</v>
      </c>
    </row>
    <row r="358" customFormat="false" ht="15" hidden="false" customHeight="false" outlineLevel="0" collapsed="false">
      <c r="A358" s="50" t="str">
        <f aca="false">01_Data!A12</f>
        <v>S07</v>
      </c>
      <c r="B358" s="51" t="n">
        <f aca="false">01_Data!F12</f>
        <v>-0.4</v>
      </c>
      <c r="C358" s="51" t="n">
        <f aca="false">01_Data!G12</f>
        <v>-0.466666666666667</v>
      </c>
      <c r="D358" s="51" t="n">
        <f aca="false">01_Data!D12</f>
        <v>0</v>
      </c>
      <c r="E358" s="52" t="n">
        <f aca="false">$D$350+$F$350*B358+$H$350*C358</f>
        <v>-0.448636607267692</v>
      </c>
      <c r="F358" s="52" t="n">
        <f aca="false">1/(1+EXP(-E358))</f>
        <v>0.389684973743562</v>
      </c>
      <c r="G358" s="53" t="n">
        <f aca="false">F358-D358</f>
        <v>0.389684973743562</v>
      </c>
      <c r="H358" s="53" t="n">
        <f aca="false">G358</f>
        <v>0.389684973743562</v>
      </c>
      <c r="I358" s="53" t="n">
        <f aca="false">G358*B358</f>
        <v>-0.155873989497425</v>
      </c>
      <c r="J358" s="53" t="n">
        <f aca="false">G358*C358</f>
        <v>-0.181852987746996</v>
      </c>
      <c r="K358" s="52" t="n">
        <f aca="false">-(D358*LN(MIN(MAX(F358,0.000001),0.999999))+(1-D358)*LN(MIN(MAX(1-F358,0.000001),0.999999)))</f>
        <v>0.493780018636244</v>
      </c>
    </row>
    <row r="359" customFormat="false" ht="15" hidden="false" customHeight="false" outlineLevel="0" collapsed="false">
      <c r="A359" s="50" t="str">
        <f aca="false">01_Data!A13</f>
        <v>S08</v>
      </c>
      <c r="B359" s="51" t="n">
        <f aca="false">01_Data!F13</f>
        <v>-0.2</v>
      </c>
      <c r="C359" s="51" t="n">
        <f aca="false">01_Data!G13</f>
        <v>-0.2</v>
      </c>
      <c r="D359" s="51" t="n">
        <f aca="false">01_Data!D13</f>
        <v>1</v>
      </c>
      <c r="E359" s="52" t="n">
        <f aca="false">$D$350+$F$350*B359+$H$350*C359</f>
        <v>-0.0172722015802685</v>
      </c>
      <c r="F359" s="52" t="n">
        <f aca="false">1/(1+EXP(-E359))</f>
        <v>0.495682056951683</v>
      </c>
      <c r="G359" s="53" t="n">
        <f aca="false">F359-D359</f>
        <v>-0.504317943048317</v>
      </c>
      <c r="H359" s="53" t="n">
        <f aca="false">G359</f>
        <v>-0.504317943048317</v>
      </c>
      <c r="I359" s="53" t="n">
        <f aca="false">G359*B359</f>
        <v>0.100863588609663</v>
      </c>
      <c r="J359" s="53" t="n">
        <f aca="false">G359*C359</f>
        <v>0.100863588609663</v>
      </c>
      <c r="K359" s="52" t="n">
        <f aca="false">-(D359*LN(MIN(MAX(F359,0.000001),0.999999))+(1-D359)*LN(MIN(MAX(1-F359,0.000001),0.999999)))</f>
        <v>0.701820572004975</v>
      </c>
    </row>
    <row r="360" customFormat="false" ht="15" hidden="false" customHeight="false" outlineLevel="0" collapsed="false">
      <c r="A360" s="50" t="str">
        <f aca="false">01_Data!A14</f>
        <v>S09</v>
      </c>
      <c r="B360" s="51" t="n">
        <f aca="false">01_Data!F14</f>
        <v>0</v>
      </c>
      <c r="C360" s="51" t="n">
        <f aca="false">01_Data!G14</f>
        <v>0</v>
      </c>
      <c r="D360" s="51" t="n">
        <f aca="false">01_Data!D14</f>
        <v>1</v>
      </c>
      <c r="E360" s="52" t="n">
        <f aca="false">$D$350+$F$350*B360+$H$350*C360</f>
        <v>0.354397865725076</v>
      </c>
      <c r="F360" s="52" t="n">
        <f aca="false">1/(1+EXP(-E360))</f>
        <v>0.587683642082986</v>
      </c>
      <c r="G360" s="53" t="n">
        <f aca="false">F360-D360</f>
        <v>-0.412316357917014</v>
      </c>
      <c r="H360" s="53" t="n">
        <f aca="false">G360</f>
        <v>-0.412316357917014</v>
      </c>
      <c r="I360" s="53" t="n">
        <f aca="false">G360*B360</f>
        <v>-0</v>
      </c>
      <c r="J360" s="53" t="n">
        <f aca="false">G360*C360</f>
        <v>-0</v>
      </c>
      <c r="K360" s="52" t="n">
        <f aca="false">-(D360*LN(MIN(MAX(F360,0.000001),0.999999))+(1-D360)*LN(MIN(MAX(1-F360,0.000001),0.999999)))</f>
        <v>0.53156649953857</v>
      </c>
    </row>
    <row r="361" customFormat="false" ht="15" hidden="false" customHeight="false" outlineLevel="0" collapsed="false">
      <c r="A361" s="50" t="str">
        <f aca="false">01_Data!A15</f>
        <v>S10</v>
      </c>
      <c r="B361" s="51" t="n">
        <f aca="false">01_Data!F15</f>
        <v>0.2</v>
      </c>
      <c r="C361" s="51" t="n">
        <f aca="false">01_Data!G15</f>
        <v>0.2</v>
      </c>
      <c r="D361" s="51" t="n">
        <f aca="false">01_Data!D15</f>
        <v>1</v>
      </c>
      <c r="E361" s="52" t="n">
        <f aca="false">$D$350+$F$350*B361+$H$350*C361</f>
        <v>0.72606793303042</v>
      </c>
      <c r="F361" s="52" t="n">
        <f aca="false">1/(1+EXP(-E361))</f>
        <v>0.673941815169996</v>
      </c>
      <c r="G361" s="53" t="n">
        <f aca="false">F361-D361</f>
        <v>-0.326058184830004</v>
      </c>
      <c r="H361" s="53" t="n">
        <f aca="false">G361</f>
        <v>-0.326058184830004</v>
      </c>
      <c r="I361" s="53" t="n">
        <f aca="false">G361*B361</f>
        <v>-0.0652116369660007</v>
      </c>
      <c r="J361" s="53" t="n">
        <f aca="false">G361*C361</f>
        <v>-0.0652116369660007</v>
      </c>
      <c r="K361" s="52" t="n">
        <f aca="false">-(D361*LN(MIN(MAX(F361,0.000001),0.999999))+(1-D361)*LN(MIN(MAX(1-F361,0.000001),0.999999)))</f>
        <v>0.39461149943723</v>
      </c>
    </row>
    <row r="362" customFormat="false" ht="15" hidden="false" customHeight="false" outlineLevel="0" collapsed="false">
      <c r="A362" s="50" t="str">
        <f aca="false">01_Data!A16</f>
        <v>S11</v>
      </c>
      <c r="B362" s="51" t="n">
        <f aca="false">01_Data!F16</f>
        <v>0.4</v>
      </c>
      <c r="C362" s="51" t="n">
        <f aca="false">01_Data!G16</f>
        <v>0.333333333333333</v>
      </c>
      <c r="D362" s="51" t="n">
        <f aca="false">01_Data!D16</f>
        <v>1</v>
      </c>
      <c r="E362" s="52" t="n">
        <f aca="false">$D$350+$F$350*B362+$H$350*C362</f>
        <v>1.03804366195368</v>
      </c>
      <c r="F362" s="52" t="n">
        <f aca="false">1/(1+EXP(-E362))</f>
        <v>0.738472352992456</v>
      </c>
      <c r="G362" s="53" t="n">
        <f aca="false">F362-D362</f>
        <v>-0.261527647007544</v>
      </c>
      <c r="H362" s="53" t="n">
        <f aca="false">G362</f>
        <v>-0.261527647007544</v>
      </c>
      <c r="I362" s="53" t="n">
        <f aca="false">G362*B362</f>
        <v>-0.104611058803018</v>
      </c>
      <c r="J362" s="53" t="n">
        <f aca="false">G362*C362</f>
        <v>-0.0871758823358481</v>
      </c>
      <c r="K362" s="52" t="n">
        <f aca="false">-(D362*LN(MIN(MAX(F362,0.000001),0.999999))+(1-D362)*LN(MIN(MAX(1-F362,0.000001),0.999999)))</f>
        <v>0.303171614417695</v>
      </c>
    </row>
    <row r="363" customFormat="false" ht="15" hidden="false" customHeight="false" outlineLevel="0" collapsed="false">
      <c r="A363" s="50" t="str">
        <f aca="false">01_Data!A17</f>
        <v>S12</v>
      </c>
      <c r="B363" s="51" t="n">
        <f aca="false">01_Data!F17</f>
        <v>0.6</v>
      </c>
      <c r="C363" s="51" t="n">
        <f aca="false">01_Data!G17</f>
        <v>0.466666666666667</v>
      </c>
      <c r="D363" s="51" t="n">
        <f aca="false">01_Data!D17</f>
        <v>1</v>
      </c>
      <c r="E363" s="52" t="n">
        <f aca="false">$D$350+$F$350*B363+$H$350*C363</f>
        <v>1.35001939087695</v>
      </c>
      <c r="F363" s="52" t="n">
        <f aca="false">1/(1+EXP(-E363))</f>
        <v>0.794132798352044</v>
      </c>
      <c r="G363" s="53" t="n">
        <f aca="false">F363-D363</f>
        <v>-0.205867201647956</v>
      </c>
      <c r="H363" s="53" t="n">
        <f aca="false">G363</f>
        <v>-0.205867201647956</v>
      </c>
      <c r="I363" s="53" t="n">
        <f aca="false">G363*B363</f>
        <v>-0.123520320988774</v>
      </c>
      <c r="J363" s="53" t="n">
        <f aca="false">G363*C363</f>
        <v>-0.0960713607690461</v>
      </c>
      <c r="K363" s="52" t="n">
        <f aca="false">-(D363*LN(MIN(MAX(F363,0.000001),0.999999))+(1-D363)*LN(MIN(MAX(1-F363,0.000001),0.999999)))</f>
        <v>0.230504579387564</v>
      </c>
    </row>
    <row r="364" customFormat="false" ht="15" hidden="false" customHeight="false" outlineLevel="0" collapsed="false">
      <c r="A364" s="50" t="str">
        <f aca="false">01_Data!A18</f>
        <v>S13</v>
      </c>
      <c r="B364" s="51" t="n">
        <f aca="false">01_Data!F18</f>
        <v>0.8</v>
      </c>
      <c r="C364" s="51" t="n">
        <f aca="false">01_Data!G18</f>
        <v>0.666666666666667</v>
      </c>
      <c r="D364" s="51" t="n">
        <f aca="false">01_Data!D18</f>
        <v>1</v>
      </c>
      <c r="E364" s="52" t="n">
        <f aca="false">$D$350+$F$350*B364+$H$350*C364</f>
        <v>1.72168945818229</v>
      </c>
      <c r="F364" s="52" t="n">
        <f aca="false">1/(1+EXP(-E364))</f>
        <v>0.848346321257998</v>
      </c>
      <c r="G364" s="53" t="n">
        <f aca="false">F364-D364</f>
        <v>-0.151653678742002</v>
      </c>
      <c r="H364" s="53" t="n">
        <f aca="false">G364</f>
        <v>-0.151653678742002</v>
      </c>
      <c r="I364" s="53" t="n">
        <f aca="false">G364*B364</f>
        <v>-0.121322942993602</v>
      </c>
      <c r="J364" s="53" t="n">
        <f aca="false">G364*C364</f>
        <v>-0.101102452494668</v>
      </c>
      <c r="K364" s="52" t="n">
        <f aca="false">-(D364*LN(MIN(MAX(F364,0.000001),0.999999))+(1-D364)*LN(MIN(MAX(1-F364,0.000001),0.999999)))</f>
        <v>0.164466328851977</v>
      </c>
    </row>
    <row r="365" customFormat="false" ht="15" hidden="false" customHeight="false" outlineLevel="0" collapsed="false">
      <c r="A365" s="50" t="str">
        <f aca="false">01_Data!A19</f>
        <v>S14</v>
      </c>
      <c r="B365" s="51" t="n">
        <f aca="false">01_Data!F19</f>
        <v>1</v>
      </c>
      <c r="C365" s="51" t="n">
        <f aca="false">01_Data!G19</f>
        <v>0.866666666666667</v>
      </c>
      <c r="D365" s="51" t="n">
        <f aca="false">01_Data!D19</f>
        <v>1</v>
      </c>
      <c r="E365" s="52" t="n">
        <f aca="false">$D$350+$F$350*B365+$H$350*C365</f>
        <v>2.09335952548764</v>
      </c>
      <c r="F365" s="52" t="n">
        <f aca="false">1/(1+EXP(-E365))</f>
        <v>0.890256082500956</v>
      </c>
      <c r="G365" s="53" t="n">
        <f aca="false">F365-D365</f>
        <v>-0.109743917499044</v>
      </c>
      <c r="H365" s="53" t="n">
        <f aca="false">G365</f>
        <v>-0.109743917499044</v>
      </c>
      <c r="I365" s="53" t="n">
        <f aca="false">G365*B365</f>
        <v>-0.109743917499044</v>
      </c>
      <c r="J365" s="53" t="n">
        <f aca="false">G365*C365</f>
        <v>-0.0951113951658382</v>
      </c>
      <c r="K365" s="52" t="n">
        <f aca="false">-(D365*LN(MIN(MAX(F365,0.000001),0.999999))+(1-D365)*LN(MIN(MAX(1-F365,0.000001),0.999999)))</f>
        <v>0.116246124496053</v>
      </c>
    </row>
    <row r="366" customFormat="false" ht="15" hidden="false" customHeight="false" outlineLevel="0" collapsed="false">
      <c r="A366" s="50" t="str">
        <f aca="false">01_Data!A20</f>
        <v>S15</v>
      </c>
      <c r="B366" s="51" t="n">
        <f aca="false">01_Data!F20</f>
        <v>1.2</v>
      </c>
      <c r="C366" s="51" t="n">
        <f aca="false">01_Data!G20</f>
        <v>1</v>
      </c>
      <c r="D366" s="51" t="n">
        <f aca="false">01_Data!D20</f>
        <v>1</v>
      </c>
      <c r="E366" s="52" t="n">
        <f aca="false">$D$350+$F$350*B366+$H$350*C366</f>
        <v>2.4053352544109</v>
      </c>
      <c r="F366" s="52" t="n">
        <f aca="false">1/(1+EXP(-E366))</f>
        <v>0.917233239610145</v>
      </c>
      <c r="G366" s="53" t="n">
        <f aca="false">F366-D366</f>
        <v>-0.0827667603898548</v>
      </c>
      <c r="H366" s="53" t="n">
        <f aca="false">G366</f>
        <v>-0.0827667603898548</v>
      </c>
      <c r="I366" s="53" t="n">
        <f aca="false">G366*B366</f>
        <v>-0.0993201124678257</v>
      </c>
      <c r="J366" s="53" t="n">
        <f aca="false">G366*C366</f>
        <v>-0.0827667603898548</v>
      </c>
      <c r="K366" s="52" t="n">
        <f aca="false">-(D366*LN(MIN(MAX(F366,0.000001),0.999999))+(1-D366)*LN(MIN(MAX(1-F366,0.000001),0.999999)))</f>
        <v>0.0863934883474359</v>
      </c>
    </row>
    <row r="367" customFormat="false" ht="15" hidden="false" customHeight="false" outlineLevel="0" collapsed="false">
      <c r="A367" s="50" t="str">
        <f aca="false">01_Data!A21</f>
        <v>S16</v>
      </c>
      <c r="B367" s="51" t="n">
        <f aca="false">01_Data!F21</f>
        <v>1.4</v>
      </c>
      <c r="C367" s="51" t="n">
        <f aca="false">01_Data!G21</f>
        <v>1.13333333333333</v>
      </c>
      <c r="D367" s="51" t="n">
        <f aca="false">01_Data!D21</f>
        <v>1</v>
      </c>
      <c r="E367" s="52" t="n">
        <f aca="false">$D$350+$F$350*B367+$H$350*C367</f>
        <v>2.71731098333417</v>
      </c>
      <c r="F367" s="52" t="n">
        <f aca="false">1/(1+EXP(-E367))</f>
        <v>0.938040430492556</v>
      </c>
      <c r="G367" s="53" t="n">
        <f aca="false">F367-D367</f>
        <v>-0.061959569507444</v>
      </c>
      <c r="H367" s="53" t="n">
        <f aca="false">G367</f>
        <v>-0.061959569507444</v>
      </c>
      <c r="I367" s="53" t="n">
        <f aca="false">G367*B367</f>
        <v>-0.0867433973104216</v>
      </c>
      <c r="J367" s="53" t="n">
        <f aca="false">G367*C367</f>
        <v>-0.0702208454417698</v>
      </c>
      <c r="K367" s="52" t="n">
        <f aca="false">-(D367*LN(MIN(MAX(F367,0.000001),0.999999))+(1-D367)*LN(MIN(MAX(1-F367,0.000001),0.999999)))</f>
        <v>0.0639622280342856</v>
      </c>
    </row>
    <row r="368" customFormat="false" ht="15" hidden="false" customHeight="false" outlineLevel="0" collapsed="false">
      <c r="A368" s="50" t="str">
        <f aca="false">01_Data!A22</f>
        <v>S17</v>
      </c>
      <c r="B368" s="51" t="n">
        <f aca="false">01_Data!F22</f>
        <v>1.6</v>
      </c>
      <c r="C368" s="51" t="n">
        <f aca="false">01_Data!G22</f>
        <v>1.33333333333333</v>
      </c>
      <c r="D368" s="51" t="n">
        <f aca="false">01_Data!D22</f>
        <v>1</v>
      </c>
      <c r="E368" s="52" t="n">
        <f aca="false">$D$350+$F$350*B368+$H$350*C368</f>
        <v>3.08898105063951</v>
      </c>
      <c r="F368" s="52" t="n">
        <f aca="false">1/(1+EXP(-E368))</f>
        <v>0.956435928993397</v>
      </c>
      <c r="G368" s="53" t="n">
        <f aca="false">F368-D368</f>
        <v>-0.0435640710066029</v>
      </c>
      <c r="H368" s="53" t="n">
        <f aca="false">G368</f>
        <v>-0.0435640710066029</v>
      </c>
      <c r="I368" s="53" t="n">
        <f aca="false">G368*B368</f>
        <v>-0.0697025136105646</v>
      </c>
      <c r="J368" s="53" t="n">
        <f aca="false">G368*C368</f>
        <v>-0.0580854280088038</v>
      </c>
      <c r="K368" s="52" t="n">
        <f aca="false">-(D368*LN(MIN(MAX(F368,0.000001),0.999999))+(1-D368)*LN(MIN(MAX(1-F368,0.000001),0.999999)))</f>
        <v>0.0445414771928823</v>
      </c>
    </row>
    <row r="369" customFormat="false" ht="15" hidden="false" customHeight="false" outlineLevel="0" collapsed="false">
      <c r="A369" s="50" t="str">
        <f aca="false">01_Data!A23</f>
        <v>S18</v>
      </c>
      <c r="B369" s="51" t="n">
        <f aca="false">01_Data!F23</f>
        <v>0</v>
      </c>
      <c r="C369" s="51" t="n">
        <f aca="false">01_Data!G23</f>
        <v>-0.666666666666667</v>
      </c>
      <c r="D369" s="51" t="n">
        <f aca="false">01_Data!D23</f>
        <v>0</v>
      </c>
      <c r="E369" s="52" t="n">
        <f aca="false">$D$350+$F$350*B369+$H$350*C369</f>
        <v>-0.242545518095717</v>
      </c>
      <c r="F369" s="52" t="n">
        <f aca="false">1/(1+EXP(-E369))</f>
        <v>0.439659143488969</v>
      </c>
      <c r="G369" s="53" t="n">
        <f aca="false">F369-D369</f>
        <v>0.439659143488969</v>
      </c>
      <c r="H369" s="53" t="n">
        <f aca="false">G369</f>
        <v>0.439659143488969</v>
      </c>
      <c r="I369" s="53" t="n">
        <f aca="false">G369*B369</f>
        <v>0</v>
      </c>
      <c r="J369" s="53" t="n">
        <f aca="false">G369*C369</f>
        <v>-0.293106095659313</v>
      </c>
      <c r="K369" s="52" t="n">
        <f aca="false">-(D369*LN(MIN(MAX(F369,0.000001),0.999999))+(1-D369)*LN(MIN(MAX(1-F369,0.000001),0.999999)))</f>
        <v>0.579210008077692</v>
      </c>
    </row>
    <row r="370" customFormat="false" ht="15" hidden="false" customHeight="false" outlineLevel="0" collapsed="false">
      <c r="A370" s="50" t="str">
        <f aca="false">01_Data!A24</f>
        <v>S19</v>
      </c>
      <c r="B370" s="51" t="n">
        <f aca="false">01_Data!F24</f>
        <v>-0.8</v>
      </c>
      <c r="C370" s="51" t="n">
        <f aca="false">01_Data!G24</f>
        <v>0.666666666666667</v>
      </c>
      <c r="D370" s="51" t="n">
        <f aca="false">01_Data!D24</f>
        <v>1</v>
      </c>
      <c r="E370" s="52" t="n">
        <f aca="false">$D$350+$F$350*B370+$H$350*C370</f>
        <v>0.180993040909444</v>
      </c>
      <c r="F370" s="52" t="n">
        <f aca="false">1/(1+EXP(-E370))</f>
        <v>0.545125141507652</v>
      </c>
      <c r="G370" s="53" t="n">
        <f aca="false">F370-D370</f>
        <v>-0.454874858492348</v>
      </c>
      <c r="H370" s="53" t="n">
        <f aca="false">G370</f>
        <v>-0.454874858492348</v>
      </c>
      <c r="I370" s="53" t="n">
        <f aca="false">G370*B370</f>
        <v>0.363899886793879</v>
      </c>
      <c r="J370" s="53" t="n">
        <f aca="false">G370*C370</f>
        <v>-0.303249905661565</v>
      </c>
      <c r="K370" s="52" t="n">
        <f aca="false">-(D370*LN(MIN(MAX(F370,0.000001),0.999999))+(1-D370)*LN(MIN(MAX(1-F370,0.000001),0.999999)))</f>
        <v>0.606739893231711</v>
      </c>
    </row>
    <row r="371" customFormat="false" ht="15" hidden="false" customHeight="false" outlineLevel="0" collapsed="false">
      <c r="A371" s="50" t="str">
        <f aca="false">01_Data!A25</f>
        <v>S20</v>
      </c>
      <c r="B371" s="51" t="n">
        <f aca="false">01_Data!F25</f>
        <v>0.8</v>
      </c>
      <c r="C371" s="51" t="n">
        <f aca="false">01_Data!G25</f>
        <v>-0.666666666666667</v>
      </c>
      <c r="D371" s="51" t="n">
        <f aca="false">01_Data!D25</f>
        <v>1</v>
      </c>
      <c r="E371" s="52" t="n">
        <f aca="false">$D$350+$F$350*B371+$H$350*C371</f>
        <v>0.527802690540708</v>
      </c>
      <c r="F371" s="52" t="n">
        <f aca="false">1/(1+EXP(-E371))</f>
        <v>0.628970478775823</v>
      </c>
      <c r="G371" s="53" t="n">
        <f aca="false">F371-D371</f>
        <v>-0.371029521224177</v>
      </c>
      <c r="H371" s="53" t="n">
        <f aca="false">G371</f>
        <v>-0.371029521224177</v>
      </c>
      <c r="I371" s="53" t="n">
        <f aca="false">G371*B371</f>
        <v>-0.296823616979342</v>
      </c>
      <c r="J371" s="53" t="n">
        <f aca="false">G371*C371</f>
        <v>0.247353014149451</v>
      </c>
      <c r="K371" s="52" t="n">
        <f aca="false">-(D371*LN(MIN(MAX(F371,0.000001),0.999999))+(1-D371)*LN(MIN(MAX(1-F371,0.000001),0.999999)))</f>
        <v>0.463670956966859</v>
      </c>
    </row>
    <row r="372" customFormat="false" ht="15" hidden="false" customHeight="false" outlineLevel="0" collapsed="false">
      <c r="A372" s="54" t="s">
        <v>138</v>
      </c>
      <c r="B372" s="54"/>
      <c r="C372" s="54"/>
      <c r="D372" s="54"/>
      <c r="E372" s="54"/>
      <c r="F372" s="54"/>
      <c r="G372" s="54" t="s">
        <v>139</v>
      </c>
      <c r="H372" s="55" t="n">
        <f aca="false">AVERAGE(H352:H371)</f>
        <v>-0.0482270821964143</v>
      </c>
      <c r="I372" s="55" t="n">
        <f aca="false">AVERAGE(I352:I371)</f>
        <v>-0.0947846776530921</v>
      </c>
      <c r="J372" s="55" t="n">
        <f aca="false">AVERAGE(J352:J371)</f>
        <v>-0.09841252283024</v>
      </c>
      <c r="K372" s="55" t="n">
        <f aca="false">AVERAGE(K352:K371)</f>
        <v>0.307688872807359</v>
      </c>
    </row>
    <row r="373" customFormat="false" ht="22.35" hidden="false" customHeight="true" outlineLevel="0" collapsed="false">
      <c r="A373" s="47" t="s">
        <v>140</v>
      </c>
      <c r="B373" s="47"/>
      <c r="C373" s="47" t="s">
        <v>141</v>
      </c>
      <c r="D373" s="56" t="n">
        <f aca="false">D350-$B$4*H372</f>
        <v>0.373688698603641</v>
      </c>
      <c r="E373" s="47" t="s">
        <v>142</v>
      </c>
      <c r="F373" s="56" t="n">
        <f aca="false">F350-$B$4*I372</f>
        <v>1.00084913185677</v>
      </c>
      <c r="G373" s="47" t="s">
        <v>143</v>
      </c>
      <c r="H373" s="56" t="n">
        <f aca="false">H350-$B$4*J372</f>
        <v>0.934780084863286</v>
      </c>
      <c r="I373" s="48" t="s">
        <v>144</v>
      </c>
      <c r="J373" s="48"/>
      <c r="K373" s="48"/>
    </row>
    <row r="375" customFormat="false" ht="22.5" hidden="false" customHeight="true" outlineLevel="0" collapsed="false">
      <c r="A375" s="4" t="s">
        <v>161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customFormat="false" ht="15" hidden="false" customHeight="true" outlineLevel="0" collapsed="false">
      <c r="A376" s="47" t="s">
        <v>122</v>
      </c>
      <c r="B376" s="48" t="n">
        <v>15</v>
      </c>
      <c r="C376" s="47" t="s">
        <v>123</v>
      </c>
      <c r="D376" s="58" t="n">
        <f aca="false">D373</f>
        <v>0.373688698603641</v>
      </c>
      <c r="E376" s="47" t="s">
        <v>124</v>
      </c>
      <c r="F376" s="58" t="n">
        <f aca="false">F373</f>
        <v>1.00084913185677</v>
      </c>
      <c r="G376" s="47" t="s">
        <v>125</v>
      </c>
      <c r="H376" s="58" t="n">
        <f aca="false">H373</f>
        <v>0.934780084863286</v>
      </c>
      <c r="I376" s="48" t="s">
        <v>126</v>
      </c>
      <c r="J376" s="48"/>
      <c r="K376" s="48"/>
    </row>
    <row r="377" customFormat="false" ht="33.75" hidden="false" customHeight="true" outlineLevel="0" collapsed="false">
      <c r="A377" s="18" t="s">
        <v>127</v>
      </c>
      <c r="B377" s="18" t="s">
        <v>128</v>
      </c>
      <c r="C377" s="18" t="s">
        <v>129</v>
      </c>
      <c r="D377" s="18" t="s">
        <v>130</v>
      </c>
      <c r="E377" s="18" t="s">
        <v>131</v>
      </c>
      <c r="F377" s="18" t="s">
        <v>132</v>
      </c>
      <c r="G377" s="18" t="s">
        <v>133</v>
      </c>
      <c r="H377" s="18" t="s">
        <v>146</v>
      </c>
      <c r="I377" s="18" t="s">
        <v>147</v>
      </c>
      <c r="J377" s="18" t="s">
        <v>148</v>
      </c>
      <c r="K377" s="18" t="s">
        <v>33</v>
      </c>
    </row>
    <row r="378" customFormat="false" ht="15" hidden="false" customHeight="false" outlineLevel="0" collapsed="false">
      <c r="A378" s="50" t="str">
        <f aca="false">01_Data!A6</f>
        <v>S01</v>
      </c>
      <c r="B378" s="51" t="n">
        <f aca="false">01_Data!F6</f>
        <v>-1.6</v>
      </c>
      <c r="C378" s="51" t="n">
        <f aca="false">01_Data!G6</f>
        <v>-1.33333333333333</v>
      </c>
      <c r="D378" s="51" t="n">
        <f aca="false">01_Data!D6</f>
        <v>0</v>
      </c>
      <c r="E378" s="52" t="n">
        <f aca="false">$D$376+$F$376*B378+$H$376*C378</f>
        <v>-2.47404335885157</v>
      </c>
      <c r="F378" s="52" t="n">
        <f aca="false">1/(1+EXP(-E378))</f>
        <v>0.0776979887394019</v>
      </c>
      <c r="G378" s="53" t="n">
        <f aca="false">F378-D378</f>
        <v>0.0776979887394019</v>
      </c>
      <c r="H378" s="53" t="n">
        <f aca="false">G378</f>
        <v>0.0776979887394019</v>
      </c>
      <c r="I378" s="53" t="n">
        <f aca="false">G378*B378</f>
        <v>-0.124316781983043</v>
      </c>
      <c r="J378" s="53" t="n">
        <f aca="false">G378*C378</f>
        <v>-0.103597318319203</v>
      </c>
      <c r="K378" s="52" t="n">
        <f aca="false">-(D378*LN(MIN(MAX(F378,0.000001),0.999999))+(1-D378)*LN(MIN(MAX(1-F378,0.000001),0.999999)))</f>
        <v>0.0808825480417703</v>
      </c>
    </row>
    <row r="379" customFormat="false" ht="15" hidden="false" customHeight="false" outlineLevel="0" collapsed="false">
      <c r="A379" s="50" t="str">
        <f aca="false">01_Data!A7</f>
        <v>S02</v>
      </c>
      <c r="B379" s="51" t="n">
        <f aca="false">01_Data!F7</f>
        <v>-1.4</v>
      </c>
      <c r="C379" s="51" t="n">
        <f aca="false">01_Data!G7</f>
        <v>-1</v>
      </c>
      <c r="D379" s="51" t="n">
        <f aca="false">01_Data!D7</f>
        <v>0</v>
      </c>
      <c r="E379" s="52" t="n">
        <f aca="false">$D$376+$F$376*B379+$H$376*C379</f>
        <v>-1.96228017085912</v>
      </c>
      <c r="F379" s="52" t="n">
        <f aca="false">1/(1+EXP(-E379))</f>
        <v>0.123220492569831</v>
      </c>
      <c r="G379" s="53" t="n">
        <f aca="false">F379-D379</f>
        <v>0.123220492569831</v>
      </c>
      <c r="H379" s="53" t="n">
        <f aca="false">G379</f>
        <v>0.123220492569831</v>
      </c>
      <c r="I379" s="53" t="n">
        <f aca="false">G379*B379</f>
        <v>-0.172508689597764</v>
      </c>
      <c r="J379" s="53" t="n">
        <f aca="false">G379*C379</f>
        <v>-0.123220492569831</v>
      </c>
      <c r="K379" s="52" t="n">
        <f aca="false">-(D379*LN(MIN(MAX(F379,0.000001),0.999999))+(1-D379)*LN(MIN(MAX(1-F379,0.000001),0.999999)))</f>
        <v>0.131499735061779</v>
      </c>
    </row>
    <row r="380" customFormat="false" ht="15" hidden="false" customHeight="false" outlineLevel="0" collapsed="false">
      <c r="A380" s="50" t="str">
        <f aca="false">01_Data!A8</f>
        <v>S03</v>
      </c>
      <c r="B380" s="51" t="n">
        <f aca="false">01_Data!F8</f>
        <v>-1.2</v>
      </c>
      <c r="C380" s="51" t="n">
        <f aca="false">01_Data!G8</f>
        <v>-1.13333333333333</v>
      </c>
      <c r="D380" s="51" t="n">
        <f aca="false">01_Data!D8</f>
        <v>0</v>
      </c>
      <c r="E380" s="52" t="n">
        <f aca="false">$D$376+$F$376*B380+$H$376*C380</f>
        <v>-1.8867476891362</v>
      </c>
      <c r="F380" s="52" t="n">
        <f aca="false">1/(1+EXP(-E380))</f>
        <v>0.131615740778728</v>
      </c>
      <c r="G380" s="53" t="n">
        <f aca="false">F380-D380</f>
        <v>0.131615740778728</v>
      </c>
      <c r="H380" s="53" t="n">
        <f aca="false">G380</f>
        <v>0.131615740778728</v>
      </c>
      <c r="I380" s="53" t="n">
        <f aca="false">G380*B380</f>
        <v>-0.157938888934474</v>
      </c>
      <c r="J380" s="53" t="n">
        <f aca="false">G380*C380</f>
        <v>-0.149164506215892</v>
      </c>
      <c r="K380" s="52" t="n">
        <f aca="false">-(D380*LN(MIN(MAX(F380,0.000001),0.999999))+(1-D380)*LN(MIN(MAX(1-F380,0.000001),0.999999)))</f>
        <v>0.141120967326906</v>
      </c>
    </row>
    <row r="381" customFormat="false" ht="15" hidden="false" customHeight="false" outlineLevel="0" collapsed="false">
      <c r="A381" s="50" t="str">
        <f aca="false">01_Data!A9</f>
        <v>S04</v>
      </c>
      <c r="B381" s="51" t="n">
        <f aca="false">01_Data!F9</f>
        <v>-1</v>
      </c>
      <c r="C381" s="51" t="n">
        <f aca="false">01_Data!G9</f>
        <v>-0.666666666666667</v>
      </c>
      <c r="D381" s="51" t="n">
        <f aca="false">01_Data!D9</f>
        <v>0</v>
      </c>
      <c r="E381" s="52" t="n">
        <f aca="false">$D$376+$F$376*B381+$H$376*C381</f>
        <v>-1.25034715649532</v>
      </c>
      <c r="F381" s="52" t="n">
        <f aca="false">1/(1+EXP(-E381))</f>
        <v>0.22264005015926</v>
      </c>
      <c r="G381" s="53" t="n">
        <f aca="false">F381-D381</f>
        <v>0.22264005015926</v>
      </c>
      <c r="H381" s="53" t="n">
        <f aca="false">G381</f>
        <v>0.22264005015926</v>
      </c>
      <c r="I381" s="53" t="n">
        <f aca="false">G381*B381</f>
        <v>-0.22264005015926</v>
      </c>
      <c r="J381" s="53" t="n">
        <f aca="false">G381*C381</f>
        <v>-0.148426700106173</v>
      </c>
      <c r="K381" s="52" t="n">
        <f aca="false">-(D381*LN(MIN(MAX(F381,0.000001),0.999999))+(1-D381)*LN(MIN(MAX(1-F381,0.000001),0.999999)))</f>
        <v>0.251851779976092</v>
      </c>
    </row>
    <row r="382" customFormat="false" ht="15" hidden="false" customHeight="false" outlineLevel="0" collapsed="false">
      <c r="A382" s="50" t="str">
        <f aca="false">01_Data!A10</f>
        <v>S05</v>
      </c>
      <c r="B382" s="51" t="n">
        <f aca="false">01_Data!F10</f>
        <v>-0.8</v>
      </c>
      <c r="C382" s="51" t="n">
        <f aca="false">01_Data!G10</f>
        <v>-0.866666666666667</v>
      </c>
      <c r="D382" s="51" t="n">
        <f aca="false">01_Data!D10</f>
        <v>0</v>
      </c>
      <c r="E382" s="52" t="n">
        <f aca="false">$D$376+$F$376*B382+$H$376*C382</f>
        <v>-1.23713334709662</v>
      </c>
      <c r="F382" s="52" t="n">
        <f aca="false">1/(1+EXP(-E382))</f>
        <v>0.224935362299545</v>
      </c>
      <c r="G382" s="53" t="n">
        <f aca="false">F382-D382</f>
        <v>0.224935362299545</v>
      </c>
      <c r="H382" s="53" t="n">
        <f aca="false">G382</f>
        <v>0.224935362299545</v>
      </c>
      <c r="I382" s="53" t="n">
        <f aca="false">G382*B382</f>
        <v>-0.179948289839636</v>
      </c>
      <c r="J382" s="53" t="n">
        <f aca="false">G382*C382</f>
        <v>-0.194943980659605</v>
      </c>
      <c r="K382" s="52" t="n">
        <f aca="false">-(D382*LN(MIN(MAX(F382,0.000001),0.999999))+(1-D382)*LN(MIN(MAX(1-F382,0.000001),0.999999)))</f>
        <v>0.254808849622209</v>
      </c>
    </row>
    <row r="383" customFormat="false" ht="15" hidden="false" customHeight="false" outlineLevel="0" collapsed="false">
      <c r="A383" s="50" t="str">
        <f aca="false">01_Data!A11</f>
        <v>S06</v>
      </c>
      <c r="B383" s="51" t="n">
        <f aca="false">01_Data!F11</f>
        <v>-0.6</v>
      </c>
      <c r="C383" s="51" t="n">
        <f aca="false">01_Data!G11</f>
        <v>-0.333333333333333</v>
      </c>
      <c r="D383" s="51" t="n">
        <f aca="false">01_Data!D11</f>
        <v>0</v>
      </c>
      <c r="E383" s="52" t="n">
        <f aca="false">$D$376+$F$376*B383+$H$376*C383</f>
        <v>-0.538414142131515</v>
      </c>
      <c r="F383" s="52" t="n">
        <f aca="false">1/(1+EXP(-E383))</f>
        <v>0.368556570276481</v>
      </c>
      <c r="G383" s="53" t="n">
        <f aca="false">F383-D383</f>
        <v>0.368556570276481</v>
      </c>
      <c r="H383" s="53" t="n">
        <f aca="false">G383</f>
        <v>0.368556570276481</v>
      </c>
      <c r="I383" s="53" t="n">
        <f aca="false">G383*B383</f>
        <v>-0.221133942165888</v>
      </c>
      <c r="J383" s="53" t="n">
        <f aca="false">G383*C383</f>
        <v>-0.12285219009216</v>
      </c>
      <c r="K383" s="52" t="n">
        <f aca="false">-(D383*LN(MIN(MAX(F383,0.000001),0.999999))+(1-D383)*LN(MIN(MAX(1-F383,0.000001),0.999999)))</f>
        <v>0.459746922006219</v>
      </c>
    </row>
    <row r="384" customFormat="false" ht="15" hidden="false" customHeight="false" outlineLevel="0" collapsed="false">
      <c r="A384" s="50" t="str">
        <f aca="false">01_Data!A12</f>
        <v>S07</v>
      </c>
      <c r="B384" s="51" t="n">
        <f aca="false">01_Data!F12</f>
        <v>-0.4</v>
      </c>
      <c r="C384" s="51" t="n">
        <f aca="false">01_Data!G12</f>
        <v>-0.466666666666667</v>
      </c>
      <c r="D384" s="51" t="n">
        <f aca="false">01_Data!D12</f>
        <v>0</v>
      </c>
      <c r="E384" s="52" t="n">
        <f aca="false">$D$376+$F$376*B384+$H$376*C384</f>
        <v>-0.462881660408599</v>
      </c>
      <c r="F384" s="52" t="n">
        <f aca="false">1/(1+EXP(-E384))</f>
        <v>0.386302436943615</v>
      </c>
      <c r="G384" s="53" t="n">
        <f aca="false">F384-D384</f>
        <v>0.386302436943615</v>
      </c>
      <c r="H384" s="53" t="n">
        <f aca="false">G384</f>
        <v>0.386302436943615</v>
      </c>
      <c r="I384" s="53" t="n">
        <f aca="false">G384*B384</f>
        <v>-0.154520974777446</v>
      </c>
      <c r="J384" s="53" t="n">
        <f aca="false">G384*C384</f>
        <v>-0.180274470573687</v>
      </c>
      <c r="K384" s="52" t="n">
        <f aca="false">-(D384*LN(MIN(MAX(F384,0.000001),0.999999))+(1-D384)*LN(MIN(MAX(1-F384,0.000001),0.999999)))</f>
        <v>0.488253040498693</v>
      </c>
    </row>
    <row r="385" customFormat="false" ht="15" hidden="false" customHeight="false" outlineLevel="0" collapsed="false">
      <c r="A385" s="50" t="str">
        <f aca="false">01_Data!A13</f>
        <v>S08</v>
      </c>
      <c r="B385" s="51" t="n">
        <f aca="false">01_Data!F13</f>
        <v>-0.2</v>
      </c>
      <c r="C385" s="51" t="n">
        <f aca="false">01_Data!G13</f>
        <v>-0.2</v>
      </c>
      <c r="D385" s="51" t="n">
        <f aca="false">01_Data!D13</f>
        <v>1</v>
      </c>
      <c r="E385" s="52" t="n">
        <f aca="false">$D$376+$F$376*B385+$H$376*C385</f>
        <v>-0.0134371447403694</v>
      </c>
      <c r="F385" s="52" t="n">
        <f aca="false">1/(1+EXP(-E385))</f>
        <v>0.496640764359175</v>
      </c>
      <c r="G385" s="53" t="n">
        <f aca="false">F385-D385</f>
        <v>-0.503359235640825</v>
      </c>
      <c r="H385" s="53" t="n">
        <f aca="false">G385</f>
        <v>-0.503359235640825</v>
      </c>
      <c r="I385" s="53" t="n">
        <f aca="false">G385*B385</f>
        <v>0.100671847128165</v>
      </c>
      <c r="J385" s="53" t="n">
        <f aca="false">G385*C385</f>
        <v>0.100671847128165</v>
      </c>
      <c r="K385" s="52" t="n">
        <f aca="false">-(D385*LN(MIN(MAX(F385,0.000001),0.999999))+(1-D385)*LN(MIN(MAX(1-F385,0.000001),0.999999)))</f>
        <v>0.699888322367683</v>
      </c>
    </row>
    <row r="386" customFormat="false" ht="15" hidden="false" customHeight="false" outlineLevel="0" collapsed="false">
      <c r="A386" s="50" t="str">
        <f aca="false">01_Data!A14</f>
        <v>S09</v>
      </c>
      <c r="B386" s="51" t="n">
        <f aca="false">01_Data!F14</f>
        <v>0</v>
      </c>
      <c r="C386" s="51" t="n">
        <f aca="false">01_Data!G14</f>
        <v>0</v>
      </c>
      <c r="D386" s="51" t="n">
        <f aca="false">01_Data!D14</f>
        <v>1</v>
      </c>
      <c r="E386" s="52" t="n">
        <f aca="false">$D$376+$F$376*B386+$H$376*C386</f>
        <v>0.373688698603641</v>
      </c>
      <c r="F386" s="52" t="n">
        <f aca="false">1/(1+EXP(-E386))</f>
        <v>0.592349996453217</v>
      </c>
      <c r="G386" s="53" t="n">
        <f aca="false">F386-D386</f>
        <v>-0.407650003546783</v>
      </c>
      <c r="H386" s="53" t="n">
        <f aca="false">G386</f>
        <v>-0.407650003546783</v>
      </c>
      <c r="I386" s="53" t="n">
        <f aca="false">G386*B386</f>
        <v>-0</v>
      </c>
      <c r="J386" s="53" t="n">
        <f aca="false">G386*C386</f>
        <v>-0</v>
      </c>
      <c r="K386" s="52" t="n">
        <f aca="false">-(D386*LN(MIN(MAX(F386,0.000001),0.999999))+(1-D386)*LN(MIN(MAX(1-F386,0.000001),0.999999)))</f>
        <v>0.523657608569017</v>
      </c>
    </row>
    <row r="387" customFormat="false" ht="15" hidden="false" customHeight="false" outlineLevel="0" collapsed="false">
      <c r="A387" s="50" t="str">
        <f aca="false">01_Data!A15</f>
        <v>S10</v>
      </c>
      <c r="B387" s="51" t="n">
        <f aca="false">01_Data!F15</f>
        <v>0.2</v>
      </c>
      <c r="C387" s="51" t="n">
        <f aca="false">01_Data!G15</f>
        <v>0.2</v>
      </c>
      <c r="D387" s="51" t="n">
        <f aca="false">01_Data!D15</f>
        <v>1</v>
      </c>
      <c r="E387" s="52" t="n">
        <f aca="false">$D$376+$F$376*B387+$H$376*C387</f>
        <v>0.760814541947652</v>
      </c>
      <c r="F387" s="52" t="n">
        <f aca="false">1/(1+EXP(-E387))</f>
        <v>0.681530553532216</v>
      </c>
      <c r="G387" s="53" t="n">
        <f aca="false">F387-D387</f>
        <v>-0.318469446467784</v>
      </c>
      <c r="H387" s="53" t="n">
        <f aca="false">G387</f>
        <v>-0.318469446467784</v>
      </c>
      <c r="I387" s="53" t="n">
        <f aca="false">G387*B387</f>
        <v>-0.0636938892935568</v>
      </c>
      <c r="J387" s="53" t="n">
        <f aca="false">G387*C387</f>
        <v>-0.0636938892935568</v>
      </c>
      <c r="K387" s="52" t="n">
        <f aca="false">-(D387*LN(MIN(MAX(F387,0.000001),0.999999))+(1-D387)*LN(MIN(MAX(1-F387,0.000001),0.999999)))</f>
        <v>0.383414196081299</v>
      </c>
    </row>
    <row r="388" customFormat="false" ht="15" hidden="false" customHeight="false" outlineLevel="0" collapsed="false">
      <c r="A388" s="50" t="str">
        <f aca="false">01_Data!A16</f>
        <v>S11</v>
      </c>
      <c r="B388" s="51" t="n">
        <f aca="false">01_Data!F16</f>
        <v>0.4</v>
      </c>
      <c r="C388" s="51" t="n">
        <f aca="false">01_Data!G16</f>
        <v>0.333333333333333</v>
      </c>
      <c r="D388" s="51" t="n">
        <f aca="false">01_Data!D16</f>
        <v>1</v>
      </c>
      <c r="E388" s="52" t="n">
        <f aca="false">$D$376+$F$376*B388+$H$376*C388</f>
        <v>1.08562171296744</v>
      </c>
      <c r="F388" s="52" t="n">
        <f aca="false">1/(1+EXP(-E388))</f>
        <v>0.747556365365494</v>
      </c>
      <c r="G388" s="53" t="n">
        <f aca="false">F388-D388</f>
        <v>-0.252443634634506</v>
      </c>
      <c r="H388" s="53" t="n">
        <f aca="false">G388</f>
        <v>-0.252443634634506</v>
      </c>
      <c r="I388" s="53" t="n">
        <f aca="false">G388*B388</f>
        <v>-0.100977453853802</v>
      </c>
      <c r="J388" s="53" t="n">
        <f aca="false">G388*C388</f>
        <v>-0.0841478782115019</v>
      </c>
      <c r="K388" s="52" t="n">
        <f aca="false">-(D388*LN(MIN(MAX(F388,0.000001),0.999999))+(1-D388)*LN(MIN(MAX(1-F388,0.000001),0.999999)))</f>
        <v>0.290945571388893</v>
      </c>
    </row>
    <row r="389" customFormat="false" ht="15" hidden="false" customHeight="false" outlineLevel="0" collapsed="false">
      <c r="A389" s="50" t="str">
        <f aca="false">01_Data!A17</f>
        <v>S12</v>
      </c>
      <c r="B389" s="51" t="n">
        <f aca="false">01_Data!F17</f>
        <v>0.6</v>
      </c>
      <c r="C389" s="51" t="n">
        <f aca="false">01_Data!G17</f>
        <v>0.466666666666667</v>
      </c>
      <c r="D389" s="51" t="n">
        <f aca="false">01_Data!D17</f>
        <v>1</v>
      </c>
      <c r="E389" s="52" t="n">
        <f aca="false">$D$376+$F$376*B389+$H$376*C389</f>
        <v>1.41042888398724</v>
      </c>
      <c r="F389" s="52" t="n">
        <f aca="false">1/(1+EXP(-E389))</f>
        <v>0.803833581084983</v>
      </c>
      <c r="G389" s="53" t="n">
        <f aca="false">F389-D389</f>
        <v>-0.196166418915017</v>
      </c>
      <c r="H389" s="53" t="n">
        <f aca="false">G389</f>
        <v>-0.196166418915017</v>
      </c>
      <c r="I389" s="53" t="n">
        <f aca="false">G389*B389</f>
        <v>-0.11769985134901</v>
      </c>
      <c r="J389" s="53" t="n">
        <f aca="false">G389*C389</f>
        <v>-0.0915443288270078</v>
      </c>
      <c r="K389" s="52" t="n">
        <f aca="false">-(D389*LN(MIN(MAX(F389,0.000001),0.999999))+(1-D389)*LN(MIN(MAX(1-F389,0.000001),0.999999)))</f>
        <v>0.218363019928558</v>
      </c>
    </row>
    <row r="390" customFormat="false" ht="15" hidden="false" customHeight="false" outlineLevel="0" collapsed="false">
      <c r="A390" s="50" t="str">
        <f aca="false">01_Data!A18</f>
        <v>S13</v>
      </c>
      <c r="B390" s="51" t="n">
        <f aca="false">01_Data!F18</f>
        <v>0.8</v>
      </c>
      <c r="C390" s="51" t="n">
        <f aca="false">01_Data!G18</f>
        <v>0.666666666666667</v>
      </c>
      <c r="D390" s="51" t="n">
        <f aca="false">01_Data!D18</f>
        <v>1</v>
      </c>
      <c r="E390" s="52" t="n">
        <f aca="false">$D$376+$F$376*B390+$H$376*C390</f>
        <v>1.79755472733125</v>
      </c>
      <c r="F390" s="52" t="n">
        <f aca="false">1/(1+EXP(-E390))</f>
        <v>0.857851012907316</v>
      </c>
      <c r="G390" s="53" t="n">
        <f aca="false">F390-D390</f>
        <v>-0.142148987092684</v>
      </c>
      <c r="H390" s="53" t="n">
        <f aca="false">G390</f>
        <v>-0.142148987092684</v>
      </c>
      <c r="I390" s="53" t="n">
        <f aca="false">G390*B390</f>
        <v>-0.113719189674147</v>
      </c>
      <c r="J390" s="53" t="n">
        <f aca="false">G390*C390</f>
        <v>-0.0947659913951226</v>
      </c>
      <c r="K390" s="52" t="n">
        <f aca="false">-(D390*LN(MIN(MAX(F390,0.000001),0.999999))+(1-D390)*LN(MIN(MAX(1-F390,0.000001),0.999999)))</f>
        <v>0.153324839202317</v>
      </c>
    </row>
    <row r="391" customFormat="false" ht="15" hidden="false" customHeight="false" outlineLevel="0" collapsed="false">
      <c r="A391" s="50" t="str">
        <f aca="false">01_Data!A19</f>
        <v>S14</v>
      </c>
      <c r="B391" s="51" t="n">
        <f aca="false">01_Data!F19</f>
        <v>1</v>
      </c>
      <c r="C391" s="51" t="n">
        <f aca="false">01_Data!G19</f>
        <v>0.866666666666667</v>
      </c>
      <c r="D391" s="51" t="n">
        <f aca="false">01_Data!D19</f>
        <v>1</v>
      </c>
      <c r="E391" s="52" t="n">
        <f aca="false">$D$376+$F$376*B391+$H$376*C391</f>
        <v>2.18468057067526</v>
      </c>
      <c r="F391" s="52" t="n">
        <f aca="false">1/(1+EXP(-E391))</f>
        <v>0.898865361111516</v>
      </c>
      <c r="G391" s="53" t="n">
        <f aca="false">F391-D391</f>
        <v>-0.101134638888484</v>
      </c>
      <c r="H391" s="53" t="n">
        <f aca="false">G391</f>
        <v>-0.101134638888484</v>
      </c>
      <c r="I391" s="53" t="n">
        <f aca="false">G391*B391</f>
        <v>-0.101134638888484</v>
      </c>
      <c r="J391" s="53" t="n">
        <f aca="false">G391*C391</f>
        <v>-0.0876500203700198</v>
      </c>
      <c r="K391" s="52" t="n">
        <f aca="false">-(D391*LN(MIN(MAX(F391,0.000001),0.999999))+(1-D391)*LN(MIN(MAX(1-F391,0.000001),0.999999)))</f>
        <v>0.106622020897168</v>
      </c>
    </row>
    <row r="392" customFormat="false" ht="15" hidden="false" customHeight="false" outlineLevel="0" collapsed="false">
      <c r="A392" s="50" t="str">
        <f aca="false">01_Data!A20</f>
        <v>S15</v>
      </c>
      <c r="B392" s="51" t="n">
        <f aca="false">01_Data!F20</f>
        <v>1.2</v>
      </c>
      <c r="C392" s="51" t="n">
        <f aca="false">01_Data!G20</f>
        <v>1</v>
      </c>
      <c r="D392" s="51" t="n">
        <f aca="false">01_Data!D20</f>
        <v>1</v>
      </c>
      <c r="E392" s="52" t="n">
        <f aca="false">$D$376+$F$376*B392+$H$376*C392</f>
        <v>2.50948774169505</v>
      </c>
      <c r="F392" s="52" t="n">
        <f aca="false">1/(1+EXP(-E392))</f>
        <v>0.924804275146184</v>
      </c>
      <c r="G392" s="53" t="n">
        <f aca="false">F392-D392</f>
        <v>-0.0751957248538158</v>
      </c>
      <c r="H392" s="53" t="n">
        <f aca="false">G392</f>
        <v>-0.0751957248538158</v>
      </c>
      <c r="I392" s="53" t="n">
        <f aca="false">G392*B392</f>
        <v>-0.0902348698245789</v>
      </c>
      <c r="J392" s="53" t="n">
        <f aca="false">G392*C392</f>
        <v>-0.0751957248538158</v>
      </c>
      <c r="K392" s="52" t="n">
        <f aca="false">-(D392*LN(MIN(MAX(F392,0.000001),0.999999))+(1-D392)*LN(MIN(MAX(1-F392,0.000001),0.999999)))</f>
        <v>0.0781731582955306</v>
      </c>
    </row>
    <row r="393" customFormat="false" ht="15" hidden="false" customHeight="false" outlineLevel="0" collapsed="false">
      <c r="A393" s="50" t="str">
        <f aca="false">01_Data!A21</f>
        <v>S16</v>
      </c>
      <c r="B393" s="51" t="n">
        <f aca="false">01_Data!F21</f>
        <v>1.4</v>
      </c>
      <c r="C393" s="51" t="n">
        <f aca="false">01_Data!G21</f>
        <v>1.13333333333333</v>
      </c>
      <c r="D393" s="51" t="n">
        <f aca="false">01_Data!D21</f>
        <v>1</v>
      </c>
      <c r="E393" s="52" t="n">
        <f aca="false">$D$376+$F$376*B393+$H$376*C393</f>
        <v>2.83429491271484</v>
      </c>
      <c r="F393" s="52" t="n">
        <f aca="false">1/(1+EXP(-E393))</f>
        <v>0.944501166145782</v>
      </c>
      <c r="G393" s="53" t="n">
        <f aca="false">F393-D393</f>
        <v>-0.0554988338542178</v>
      </c>
      <c r="H393" s="53" t="n">
        <f aca="false">G393</f>
        <v>-0.0554988338542178</v>
      </c>
      <c r="I393" s="53" t="n">
        <f aca="false">G393*B393</f>
        <v>-0.077698367395905</v>
      </c>
      <c r="J393" s="53" t="n">
        <f aca="false">G393*C393</f>
        <v>-0.0628986783681135</v>
      </c>
      <c r="K393" s="52" t="n">
        <f aca="false">-(D393*LN(MIN(MAX(F393,0.000001),0.999999))+(1-D393)*LN(MIN(MAX(1-F393,0.000001),0.999999)))</f>
        <v>0.0570983573713698</v>
      </c>
    </row>
    <row r="394" customFormat="false" ht="15" hidden="false" customHeight="false" outlineLevel="0" collapsed="false">
      <c r="A394" s="50" t="str">
        <f aca="false">01_Data!A22</f>
        <v>S17</v>
      </c>
      <c r="B394" s="51" t="n">
        <f aca="false">01_Data!F22</f>
        <v>1.6</v>
      </c>
      <c r="C394" s="51" t="n">
        <f aca="false">01_Data!G22</f>
        <v>1.33333333333333</v>
      </c>
      <c r="D394" s="51" t="n">
        <f aca="false">01_Data!D22</f>
        <v>1</v>
      </c>
      <c r="E394" s="52" t="n">
        <f aca="false">$D$376+$F$376*B394+$H$376*C394</f>
        <v>3.22142075605885</v>
      </c>
      <c r="F394" s="52" t="n">
        <f aca="false">1/(1+EXP(-E394))</f>
        <v>0.961632468346627</v>
      </c>
      <c r="G394" s="53" t="n">
        <f aca="false">F394-D394</f>
        <v>-0.038367531653373</v>
      </c>
      <c r="H394" s="53" t="n">
        <f aca="false">G394</f>
        <v>-0.038367531653373</v>
      </c>
      <c r="I394" s="53" t="n">
        <f aca="false">G394*B394</f>
        <v>-0.0613880506453969</v>
      </c>
      <c r="J394" s="53" t="n">
        <f aca="false">G394*C394</f>
        <v>-0.051156708871164</v>
      </c>
      <c r="K394" s="52" t="n">
        <f aca="false">-(D394*LN(MIN(MAX(F394,0.000001),0.999999))+(1-D394)*LN(MIN(MAX(1-F394,0.000001),0.999999)))</f>
        <v>0.0391229508516788</v>
      </c>
    </row>
    <row r="395" customFormat="false" ht="15" hidden="false" customHeight="false" outlineLevel="0" collapsed="false">
      <c r="A395" s="50" t="str">
        <f aca="false">01_Data!A23</f>
        <v>S18</v>
      </c>
      <c r="B395" s="51" t="n">
        <f aca="false">01_Data!F23</f>
        <v>0</v>
      </c>
      <c r="C395" s="51" t="n">
        <f aca="false">01_Data!G23</f>
        <v>-0.666666666666667</v>
      </c>
      <c r="D395" s="51" t="n">
        <f aca="false">01_Data!D23</f>
        <v>0</v>
      </c>
      <c r="E395" s="52" t="n">
        <f aca="false">$D$376+$F$376*B395+$H$376*C395</f>
        <v>-0.249498024638549</v>
      </c>
      <c r="F395" s="52" t="n">
        <f aca="false">1/(1+EXP(-E395))</f>
        <v>0.437947056213105</v>
      </c>
      <c r="G395" s="53" t="n">
        <f aca="false">F395-D395</f>
        <v>0.437947056213105</v>
      </c>
      <c r="H395" s="53" t="n">
        <f aca="false">G395</f>
        <v>0.437947056213105</v>
      </c>
      <c r="I395" s="53" t="n">
        <f aca="false">G395*B395</f>
        <v>0</v>
      </c>
      <c r="J395" s="53" t="n">
        <f aca="false">G395*C395</f>
        <v>-0.29196470414207</v>
      </c>
      <c r="K395" s="52" t="n">
        <f aca="false">-(D395*LN(MIN(MAX(F395,0.000001),0.999999))+(1-D395)*LN(MIN(MAX(1-F395,0.000001),0.999999)))</f>
        <v>0.576159227499051</v>
      </c>
    </row>
    <row r="396" customFormat="false" ht="15" hidden="false" customHeight="false" outlineLevel="0" collapsed="false">
      <c r="A396" s="50" t="str">
        <f aca="false">01_Data!A24</f>
        <v>S19</v>
      </c>
      <c r="B396" s="51" t="n">
        <f aca="false">01_Data!F24</f>
        <v>-0.8</v>
      </c>
      <c r="C396" s="51" t="n">
        <f aca="false">01_Data!G24</f>
        <v>0.666666666666667</v>
      </c>
      <c r="D396" s="51" t="n">
        <f aca="false">01_Data!D24</f>
        <v>1</v>
      </c>
      <c r="E396" s="52" t="n">
        <f aca="false">$D$376+$F$376*B396+$H$376*C396</f>
        <v>0.196196116360417</v>
      </c>
      <c r="F396" s="52" t="n">
        <f aca="false">1/(1+EXP(-E396))</f>
        <v>0.548892295694985</v>
      </c>
      <c r="G396" s="53" t="n">
        <f aca="false">F396-D396</f>
        <v>-0.451107704305015</v>
      </c>
      <c r="H396" s="53" t="n">
        <f aca="false">G396</f>
        <v>-0.451107704305015</v>
      </c>
      <c r="I396" s="53" t="n">
        <f aca="false">G396*B396</f>
        <v>0.360886163444012</v>
      </c>
      <c r="J396" s="53" t="n">
        <f aca="false">G396*C396</f>
        <v>-0.300738469536677</v>
      </c>
      <c r="K396" s="52" t="n">
        <f aca="false">-(D396*LN(MIN(MAX(F396,0.000001),0.999999))+(1-D396)*LN(MIN(MAX(1-F396,0.000001),0.999999)))</f>
        <v>0.599853039423896</v>
      </c>
    </row>
    <row r="397" customFormat="false" ht="15" hidden="false" customHeight="false" outlineLevel="0" collapsed="false">
      <c r="A397" s="50" t="str">
        <f aca="false">01_Data!A25</f>
        <v>S20</v>
      </c>
      <c r="B397" s="51" t="n">
        <f aca="false">01_Data!F25</f>
        <v>0.8</v>
      </c>
      <c r="C397" s="51" t="n">
        <f aca="false">01_Data!G25</f>
        <v>-0.666666666666667</v>
      </c>
      <c r="D397" s="51" t="n">
        <f aca="false">01_Data!D25</f>
        <v>1</v>
      </c>
      <c r="E397" s="52" t="n">
        <f aca="false">$D$376+$F$376*B397+$H$376*C397</f>
        <v>0.551181280846866</v>
      </c>
      <c r="F397" s="52" t="n">
        <f aca="false">1/(1+EXP(-E397))</f>
        <v>0.634409613744806</v>
      </c>
      <c r="G397" s="53" t="n">
        <f aca="false">F397-D397</f>
        <v>-0.365590386255194</v>
      </c>
      <c r="H397" s="53" t="n">
        <f aca="false">G397</f>
        <v>-0.365590386255194</v>
      </c>
      <c r="I397" s="53" t="n">
        <f aca="false">G397*B397</f>
        <v>-0.292472309004155</v>
      </c>
      <c r="J397" s="53" t="n">
        <f aca="false">G397*C397</f>
        <v>0.243726924170129</v>
      </c>
      <c r="K397" s="52" t="n">
        <f aca="false">-(D397*LN(MIN(MAX(F397,0.000001),0.999999))+(1-D397)*LN(MIN(MAX(1-F397,0.000001),0.999999)))</f>
        <v>0.45506045470191</v>
      </c>
    </row>
    <row r="398" customFormat="false" ht="15" hidden="false" customHeight="false" outlineLevel="0" collapsed="false">
      <c r="A398" s="54" t="s">
        <v>138</v>
      </c>
      <c r="B398" s="54"/>
      <c r="C398" s="54"/>
      <c r="D398" s="54"/>
      <c r="E398" s="54"/>
      <c r="F398" s="54"/>
      <c r="G398" s="54" t="s">
        <v>139</v>
      </c>
      <c r="H398" s="55" t="n">
        <f aca="false">AVERAGE(H378:H397)</f>
        <v>-0.0467108424063866</v>
      </c>
      <c r="I398" s="55" t="n">
        <f aca="false">AVERAGE(I378:I397)</f>
        <v>-0.0895234113407185</v>
      </c>
      <c r="J398" s="55" t="n">
        <f aca="false">AVERAGE(J378:J397)</f>
        <v>-0.0940918640553653</v>
      </c>
      <c r="K398" s="55" t="n">
        <f aca="false">AVERAGE(K378:K397)</f>
        <v>0.299492330455602</v>
      </c>
    </row>
    <row r="399" customFormat="false" ht="22.35" hidden="false" customHeight="true" outlineLevel="0" collapsed="false">
      <c r="A399" s="47" t="s">
        <v>140</v>
      </c>
      <c r="B399" s="47"/>
      <c r="C399" s="47" t="s">
        <v>141</v>
      </c>
      <c r="D399" s="56" t="n">
        <f aca="false">D376-$B$4*H398</f>
        <v>0.392373035566196</v>
      </c>
      <c r="E399" s="47" t="s">
        <v>142</v>
      </c>
      <c r="F399" s="56" t="n">
        <f aca="false">F376-$B$4*I398</f>
        <v>1.03665849639306</v>
      </c>
      <c r="G399" s="47" t="s">
        <v>143</v>
      </c>
      <c r="H399" s="56" t="n">
        <f aca="false">H376-$B$4*J398</f>
        <v>0.972416830485432</v>
      </c>
      <c r="I399" s="48" t="s">
        <v>144</v>
      </c>
      <c r="J399" s="48"/>
      <c r="K399" s="48"/>
    </row>
  </sheetData>
  <mergeCells count="78">
    <mergeCell ref="A1:K1"/>
    <mergeCell ref="A2:K2"/>
    <mergeCell ref="A3:F3"/>
    <mergeCell ref="A11:K11"/>
    <mergeCell ref="I12:K12"/>
    <mergeCell ref="A34:F34"/>
    <mergeCell ref="A35:B35"/>
    <mergeCell ref="I35:K35"/>
    <mergeCell ref="A37:K37"/>
    <mergeCell ref="I38:K38"/>
    <mergeCell ref="A60:F60"/>
    <mergeCell ref="A61:B61"/>
    <mergeCell ref="I61:K61"/>
    <mergeCell ref="A63:K63"/>
    <mergeCell ref="I64:K64"/>
    <mergeCell ref="A86:F86"/>
    <mergeCell ref="A87:B87"/>
    <mergeCell ref="I87:K87"/>
    <mergeCell ref="A89:K89"/>
    <mergeCell ref="I90:K90"/>
    <mergeCell ref="A112:F112"/>
    <mergeCell ref="A113:B113"/>
    <mergeCell ref="I113:K113"/>
    <mergeCell ref="A115:K115"/>
    <mergeCell ref="I116:K116"/>
    <mergeCell ref="A138:F138"/>
    <mergeCell ref="A139:B139"/>
    <mergeCell ref="I139:K139"/>
    <mergeCell ref="A141:K141"/>
    <mergeCell ref="I142:K142"/>
    <mergeCell ref="A164:F164"/>
    <mergeCell ref="A165:B165"/>
    <mergeCell ref="I165:K165"/>
    <mergeCell ref="A167:K167"/>
    <mergeCell ref="I168:K168"/>
    <mergeCell ref="A190:F190"/>
    <mergeCell ref="A191:B191"/>
    <mergeCell ref="I191:K191"/>
    <mergeCell ref="A193:K193"/>
    <mergeCell ref="I194:K194"/>
    <mergeCell ref="A216:F216"/>
    <mergeCell ref="A217:B217"/>
    <mergeCell ref="I217:K217"/>
    <mergeCell ref="A219:K219"/>
    <mergeCell ref="I220:K220"/>
    <mergeCell ref="A242:F242"/>
    <mergeCell ref="A243:B243"/>
    <mergeCell ref="I243:K243"/>
    <mergeCell ref="A245:K245"/>
    <mergeCell ref="I246:K246"/>
    <mergeCell ref="A268:F268"/>
    <mergeCell ref="A269:B269"/>
    <mergeCell ref="I269:K269"/>
    <mergeCell ref="A271:K271"/>
    <mergeCell ref="I272:K272"/>
    <mergeCell ref="A294:F294"/>
    <mergeCell ref="A295:B295"/>
    <mergeCell ref="I295:K295"/>
    <mergeCell ref="A297:K297"/>
    <mergeCell ref="I298:K298"/>
    <mergeCell ref="A320:F320"/>
    <mergeCell ref="A321:B321"/>
    <mergeCell ref="I321:K321"/>
    <mergeCell ref="A323:K323"/>
    <mergeCell ref="I324:K324"/>
    <mergeCell ref="A346:F346"/>
    <mergeCell ref="A347:B347"/>
    <mergeCell ref="I347:K347"/>
    <mergeCell ref="A349:K349"/>
    <mergeCell ref="I350:K350"/>
    <mergeCell ref="A372:F372"/>
    <mergeCell ref="A373:B373"/>
    <mergeCell ref="I373:K373"/>
    <mergeCell ref="A375:K375"/>
    <mergeCell ref="I376:K376"/>
    <mergeCell ref="A398:F398"/>
    <mergeCell ref="A399:B399"/>
    <mergeCell ref="I399:K399"/>
  </mergeCells>
  <dataValidations count="1">
    <dataValidation allowBlank="false" error="Learning rate ต้องอยู่ระหว่าง 0.01 ถึง 1.00" errorStyle="stop" errorTitle="ค่าที่กรอกไม่ถูกต้อง" operator="between" prompt="กรอกค่าระหว่าง 0.01 ถึง 1.00" promptTitle="Learning rate" showDropDown="false" showErrorMessage="true" showInputMessage="false" sqref="B4" type="decimal">
      <formula1>0.01</formula1>
      <formula2>1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6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5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1" min="1" style="1" width="13"/>
  </cols>
  <sheetData>
    <row r="1" customFormat="false" ht="33.75" hidden="false" customHeight="true" outlineLevel="0" collapsed="false">
      <c r="A1" s="2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24.75" hidden="false" customHeight="true" outlineLevel="0" collapsed="false">
      <c r="A2" s="3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5" customFormat="false" ht="33.75" hidden="false" customHeight="true" outlineLevel="0" collapsed="false">
      <c r="A5" s="18" t="s">
        <v>122</v>
      </c>
      <c r="B5" s="18" t="s">
        <v>164</v>
      </c>
      <c r="C5" s="18" t="s">
        <v>165</v>
      </c>
      <c r="D5" s="18" t="s">
        <v>166</v>
      </c>
      <c r="E5" s="18" t="s">
        <v>167</v>
      </c>
      <c r="F5" s="18" t="s">
        <v>168</v>
      </c>
      <c r="G5" s="18" t="s">
        <v>169</v>
      </c>
      <c r="H5" s="18" t="s">
        <v>170</v>
      </c>
      <c r="I5" s="18" t="s">
        <v>171</v>
      </c>
      <c r="J5" s="18" t="s">
        <v>172</v>
      </c>
      <c r="K5" s="18" t="s">
        <v>173</v>
      </c>
    </row>
    <row r="6" customFormat="false" ht="22.5" hidden="false" customHeight="true" outlineLevel="0" collapsed="false">
      <c r="A6" s="59" t="n">
        <v>1</v>
      </c>
      <c r="B6" s="51" t="n">
        <f aca="false">02_Training_Detail!D12</f>
        <v>0</v>
      </c>
      <c r="C6" s="51" t="n">
        <f aca="false">02_Training_Detail!F12</f>
        <v>0</v>
      </c>
      <c r="D6" s="51" t="n">
        <f aca="false">02_Training_Detail!H12</f>
        <v>0</v>
      </c>
      <c r="E6" s="51" t="n">
        <f aca="false">02_Training_Detail!K34</f>
        <v>0.693147180559945</v>
      </c>
      <c r="F6" s="51" t="n">
        <f aca="false">02_Training_Detail!H34</f>
        <v>-0.1</v>
      </c>
      <c r="G6" s="51" t="n">
        <f aca="false">02_Training_Detail!I34</f>
        <v>-0.35</v>
      </c>
      <c r="H6" s="51" t="n">
        <f aca="false">02_Training_Detail!J34</f>
        <v>-0.306666666666667</v>
      </c>
      <c r="I6" s="51" t="n">
        <f aca="false">02_Training_Detail!D35</f>
        <v>0.04</v>
      </c>
      <c r="J6" s="51" t="n">
        <f aca="false">02_Training_Detail!F35</f>
        <v>0.14</v>
      </c>
      <c r="K6" s="51" t="n">
        <f aca="false">02_Training_Detail!H35</f>
        <v>0.122666666666667</v>
      </c>
    </row>
    <row r="7" customFormat="false" ht="22.5" hidden="false" customHeight="true" outlineLevel="0" collapsed="false">
      <c r="A7" s="60" t="n">
        <v>2</v>
      </c>
      <c r="B7" s="61" t="n">
        <f aca="false">02_Training_Detail!D38</f>
        <v>0.04</v>
      </c>
      <c r="C7" s="61" t="n">
        <f aca="false">02_Training_Detail!F38</f>
        <v>0.14</v>
      </c>
      <c r="D7" s="61" t="n">
        <f aca="false">02_Training_Detail!H38</f>
        <v>0.122666666666667</v>
      </c>
      <c r="E7" s="61" t="n">
        <f aca="false">02_Training_Detail!K60</f>
        <v>0.608660301537872</v>
      </c>
      <c r="F7" s="61" t="n">
        <f aca="false">02_Training_Detail!H60</f>
        <v>-0.091142680394661</v>
      </c>
      <c r="G7" s="61" t="n">
        <f aca="false">02_Training_Detail!I60</f>
        <v>-0.300631234545194</v>
      </c>
      <c r="H7" s="61" t="n">
        <f aca="false">02_Training_Detail!J60</f>
        <v>-0.266374593053701</v>
      </c>
      <c r="I7" s="61" t="n">
        <f aca="false">02_Training_Detail!D61</f>
        <v>0.0764570721578644</v>
      </c>
      <c r="J7" s="61" t="n">
        <f aca="false">02_Training_Detail!F61</f>
        <v>0.260252493818078</v>
      </c>
      <c r="K7" s="61" t="n">
        <f aca="false">02_Training_Detail!H61</f>
        <v>0.229216503888147</v>
      </c>
    </row>
    <row r="8" customFormat="false" ht="22.5" hidden="false" customHeight="true" outlineLevel="0" collapsed="false">
      <c r="A8" s="59" t="n">
        <v>3</v>
      </c>
      <c r="B8" s="51" t="n">
        <f aca="false">02_Training_Detail!D64</f>
        <v>0.0764570721578644</v>
      </c>
      <c r="C8" s="51" t="n">
        <f aca="false">02_Training_Detail!F64</f>
        <v>0.260252493818078</v>
      </c>
      <c r="D8" s="51" t="n">
        <f aca="false">02_Training_Detail!H64</f>
        <v>0.229216503888147</v>
      </c>
      <c r="E8" s="51" t="n">
        <f aca="false">02_Training_Detail!K86</f>
        <v>0.545205683836669</v>
      </c>
      <c r="F8" s="51" t="n">
        <f aca="false">02_Training_Detail!H86</f>
        <v>-0.0835633277868328</v>
      </c>
      <c r="G8" s="51" t="n">
        <f aca="false">02_Training_Detail!I86</f>
        <v>-0.25991983112946</v>
      </c>
      <c r="H8" s="51" t="n">
        <f aca="false">02_Training_Detail!J86</f>
        <v>-0.233149566352316</v>
      </c>
      <c r="I8" s="51" t="n">
        <f aca="false">02_Training_Detail!D87</f>
        <v>0.109882403272598</v>
      </c>
      <c r="J8" s="51" t="n">
        <f aca="false">02_Training_Detail!F87</f>
        <v>0.364220426269862</v>
      </c>
      <c r="K8" s="51" t="n">
        <f aca="false">02_Training_Detail!H87</f>
        <v>0.322476330429073</v>
      </c>
    </row>
    <row r="9" customFormat="false" ht="22.5" hidden="false" customHeight="true" outlineLevel="0" collapsed="false">
      <c r="A9" s="60" t="n">
        <v>4</v>
      </c>
      <c r="B9" s="61" t="n">
        <f aca="false">02_Training_Detail!D90</f>
        <v>0.109882403272598</v>
      </c>
      <c r="C9" s="61" t="n">
        <f aca="false">02_Training_Detail!F90</f>
        <v>0.364220426269862</v>
      </c>
      <c r="D9" s="61" t="n">
        <f aca="false">02_Training_Detail!H90</f>
        <v>0.322476330429073</v>
      </c>
      <c r="E9" s="61" t="n">
        <f aca="false">02_Training_Detail!K112</f>
        <v>0.49675458613102</v>
      </c>
      <c r="F9" s="61" t="n">
        <f aca="false">02_Training_Detail!H112</f>
        <v>-0.0772756781357984</v>
      </c>
      <c r="G9" s="61" t="n">
        <f aca="false">02_Training_Detail!I112</f>
        <v>-0.227023663897329</v>
      </c>
      <c r="H9" s="61" t="n">
        <f aca="false">02_Training_Detail!J112</f>
        <v>-0.206310360577439</v>
      </c>
      <c r="I9" s="61" t="n">
        <f aca="false">02_Training_Detail!D113</f>
        <v>0.140792674526917</v>
      </c>
      <c r="J9" s="61" t="n">
        <f aca="false">02_Training_Detail!F113</f>
        <v>0.455029891828793</v>
      </c>
      <c r="K9" s="61" t="n">
        <f aca="false">02_Training_Detail!H113</f>
        <v>0.405000474660049</v>
      </c>
    </row>
    <row r="10" customFormat="false" ht="22.5" hidden="false" customHeight="true" outlineLevel="0" collapsed="false">
      <c r="A10" s="59" t="n">
        <v>5</v>
      </c>
      <c r="B10" s="51" t="n">
        <f aca="false">02_Training_Detail!D116</f>
        <v>0.140792674526917</v>
      </c>
      <c r="C10" s="51" t="n">
        <f aca="false">02_Training_Detail!F116</f>
        <v>0.455029891828793</v>
      </c>
      <c r="D10" s="51" t="n">
        <f aca="false">02_Training_Detail!H116</f>
        <v>0.405000474660049</v>
      </c>
      <c r="E10" s="51" t="n">
        <f aca="false">02_Training_Detail!K138</f>
        <v>0.458933229519195</v>
      </c>
      <c r="F10" s="51" t="n">
        <f aca="false">02_Training_Detail!H138</f>
        <v>-0.0720826481552016</v>
      </c>
      <c r="G10" s="51" t="n">
        <f aca="false">02_Training_Detail!I138</f>
        <v>-0.20051642368554</v>
      </c>
      <c r="H10" s="51" t="n">
        <f aca="false">02_Training_Detail!J138</f>
        <v>-0.184691388367679</v>
      </c>
      <c r="I10" s="51" t="n">
        <f aca="false">02_Training_Detail!D139</f>
        <v>0.169625733788998</v>
      </c>
      <c r="J10" s="51" t="n">
        <f aca="false">02_Training_Detail!F139</f>
        <v>0.535236461303009</v>
      </c>
      <c r="K10" s="51" t="n">
        <f aca="false">02_Training_Detail!H139</f>
        <v>0.47887703000712</v>
      </c>
    </row>
    <row r="11" customFormat="false" ht="22.5" hidden="false" customHeight="true" outlineLevel="0" collapsed="false">
      <c r="A11" s="60" t="n">
        <v>6</v>
      </c>
      <c r="B11" s="61" t="n">
        <f aca="false">02_Training_Detail!D142</f>
        <v>0.169625733788998</v>
      </c>
      <c r="C11" s="61" t="n">
        <f aca="false">02_Training_Detail!F142</f>
        <v>0.535236461303009</v>
      </c>
      <c r="D11" s="61" t="n">
        <f aca="false">02_Training_Detail!H142</f>
        <v>0.47887703000712</v>
      </c>
      <c r="E11" s="61" t="n">
        <f aca="false">02_Training_Detail!K164</f>
        <v>0.428723927591644</v>
      </c>
      <c r="F11" s="61" t="n">
        <f aca="false">02_Training_Detail!H164</f>
        <v>-0.0677547043397974</v>
      </c>
      <c r="G11" s="61" t="n">
        <f aca="false">02_Training_Detail!I164</f>
        <v>-0.179019627428632</v>
      </c>
      <c r="H11" s="61" t="n">
        <f aca="false">02_Training_Detail!J164</f>
        <v>-0.167164176821587</v>
      </c>
      <c r="I11" s="61" t="n">
        <f aca="false">02_Training_Detail!D165</f>
        <v>0.196727615524917</v>
      </c>
      <c r="J11" s="61" t="n">
        <f aca="false">02_Training_Detail!F165</f>
        <v>0.606844312274462</v>
      </c>
      <c r="K11" s="61" t="n">
        <f aca="false">02_Training_Detail!H165</f>
        <v>0.545742700735755</v>
      </c>
    </row>
    <row r="12" customFormat="false" ht="22.5" hidden="false" customHeight="true" outlineLevel="0" collapsed="false">
      <c r="A12" s="59" t="n">
        <v>7</v>
      </c>
      <c r="B12" s="51" t="n">
        <f aca="false">02_Training_Detail!D168</f>
        <v>0.196727615524917</v>
      </c>
      <c r="C12" s="51" t="n">
        <f aca="false">02_Training_Detail!F168</f>
        <v>0.606844312274462</v>
      </c>
      <c r="D12" s="51" t="n">
        <f aca="false">02_Training_Detail!H168</f>
        <v>0.545742700735755</v>
      </c>
      <c r="E12" s="51" t="n">
        <f aca="false">02_Training_Detail!K190</f>
        <v>0.404069062262606</v>
      </c>
      <c r="F12" s="51" t="n">
        <f aca="false">02_Training_Detail!H190</f>
        <v>-0.0640948887862919</v>
      </c>
      <c r="G12" s="51" t="n">
        <f aca="false">02_Training_Detail!I190</f>
        <v>-0.161401799061449</v>
      </c>
      <c r="H12" s="51" t="n">
        <f aca="false">02_Training_Detail!J190</f>
        <v>-0.152802114356392</v>
      </c>
      <c r="I12" s="51" t="n">
        <f aca="false">02_Training_Detail!D191</f>
        <v>0.222365571039433</v>
      </c>
      <c r="J12" s="51" t="n">
        <f aca="false">02_Training_Detail!F191</f>
        <v>0.671405031899042</v>
      </c>
      <c r="K12" s="51" t="n">
        <f aca="false">02_Training_Detail!H191</f>
        <v>0.606863546478312</v>
      </c>
    </row>
    <row r="13" customFormat="false" ht="22.5" hidden="false" customHeight="true" outlineLevel="0" collapsed="false">
      <c r="A13" s="60" t="n">
        <v>8</v>
      </c>
      <c r="B13" s="61" t="n">
        <f aca="false">02_Training_Detail!D194</f>
        <v>0.222365571039433</v>
      </c>
      <c r="C13" s="61" t="n">
        <f aca="false">02_Training_Detail!F194</f>
        <v>0.671405031899042</v>
      </c>
      <c r="D13" s="61" t="n">
        <f aca="false">02_Training_Detail!H194</f>
        <v>0.606863546478312</v>
      </c>
      <c r="E13" s="61" t="n">
        <f aca="false">02_Training_Detail!K216</f>
        <v>0.383555015423213</v>
      </c>
      <c r="F13" s="61" t="n">
        <f aca="false">02_Training_Detail!H216</f>
        <v>-0.0609507015099283</v>
      </c>
      <c r="G13" s="61" t="n">
        <f aca="false">02_Training_Detail!I216</f>
        <v>-0.146790561656967</v>
      </c>
      <c r="H13" s="61" t="n">
        <f aca="false">02_Training_Detail!J216</f>
        <v>-0.140890869060005</v>
      </c>
      <c r="I13" s="61" t="n">
        <f aca="false">02_Training_Detail!D217</f>
        <v>0.246745851643405</v>
      </c>
      <c r="J13" s="61" t="n">
        <f aca="false">02_Training_Detail!F217</f>
        <v>0.730121256561829</v>
      </c>
      <c r="K13" s="61" t="n">
        <f aca="false">02_Training_Detail!H217</f>
        <v>0.663219894102314</v>
      </c>
    </row>
    <row r="14" customFormat="false" ht="22.5" hidden="false" customHeight="true" outlineLevel="0" collapsed="false">
      <c r="A14" s="59" t="n">
        <v>9</v>
      </c>
      <c r="B14" s="51" t="n">
        <f aca="false">02_Training_Detail!D220</f>
        <v>0.246745851643405</v>
      </c>
      <c r="C14" s="51" t="n">
        <f aca="false">02_Training_Detail!F220</f>
        <v>0.730121256561829</v>
      </c>
      <c r="D14" s="51" t="n">
        <f aca="false">02_Training_Detail!H220</f>
        <v>0.663219894102314</v>
      </c>
      <c r="E14" s="51" t="n">
        <f aca="false">02_Training_Detail!K242</f>
        <v>0.366194590094399</v>
      </c>
      <c r="F14" s="51" t="n">
        <f aca="false">02_Training_Detail!H242</f>
        <v>-0.0582083970954494</v>
      </c>
      <c r="G14" s="51" t="n">
        <f aca="false">02_Training_Detail!I242</f>
        <v>-0.134528192184746</v>
      </c>
      <c r="H14" s="51" t="n">
        <f aca="false">02_Training_Detail!J242</f>
        <v>-0.130892086011257</v>
      </c>
      <c r="I14" s="51" t="n">
        <f aca="false">02_Training_Detail!D243</f>
        <v>0.270029210481584</v>
      </c>
      <c r="J14" s="51" t="n">
        <f aca="false">02_Training_Detail!F243</f>
        <v>0.783932533435727</v>
      </c>
      <c r="K14" s="51" t="n">
        <f aca="false">02_Training_Detail!H243</f>
        <v>0.715576728506817</v>
      </c>
    </row>
    <row r="15" customFormat="false" ht="22.5" hidden="false" customHeight="true" outlineLevel="0" collapsed="false">
      <c r="A15" s="60" t="n">
        <v>10</v>
      </c>
      <c r="B15" s="61" t="n">
        <f aca="false">02_Training_Detail!D246</f>
        <v>0.270029210481584</v>
      </c>
      <c r="C15" s="61" t="n">
        <f aca="false">02_Training_Detail!F246</f>
        <v>0.783932533435727</v>
      </c>
      <c r="D15" s="61" t="n">
        <f aca="false">02_Training_Detail!H246</f>
        <v>0.715576728506817</v>
      </c>
      <c r="E15" s="61" t="n">
        <f aca="false">02_Training_Detail!K268</f>
        <v>0.351284668405161</v>
      </c>
      <c r="F15" s="61" t="n">
        <f aca="false">02_Training_Detail!H268</f>
        <v>-0.0557839312239792</v>
      </c>
      <c r="G15" s="61" t="n">
        <f aca="false">02_Training_Detail!I268</f>
        <v>-0.124120763417074</v>
      </c>
      <c r="H15" s="61" t="n">
        <f aca="false">02_Training_Detail!J268</f>
        <v>-0.122401705974409</v>
      </c>
      <c r="I15" s="61" t="n">
        <f aca="false">02_Training_Detail!D269</f>
        <v>0.292342782971176</v>
      </c>
      <c r="J15" s="61" t="n">
        <f aca="false">02_Training_Detail!F269</f>
        <v>0.833580838802556</v>
      </c>
      <c r="K15" s="61" t="n">
        <f aca="false">02_Training_Detail!H269</f>
        <v>0.76453741089658</v>
      </c>
    </row>
    <row r="16" customFormat="false" ht="22.5" hidden="false" customHeight="true" outlineLevel="0" collapsed="false">
      <c r="A16" s="59" t="n">
        <v>11</v>
      </c>
      <c r="B16" s="51" t="n">
        <f aca="false">02_Training_Detail!D272</f>
        <v>0.292342782971176</v>
      </c>
      <c r="C16" s="51" t="n">
        <f aca="false">02_Training_Detail!F272</f>
        <v>0.833580838802556</v>
      </c>
      <c r="D16" s="51" t="n">
        <f aca="false">02_Training_Detail!H272</f>
        <v>0.76453741089658</v>
      </c>
      <c r="E16" s="51" t="n">
        <f aca="false">02_Training_Detail!K294</f>
        <v>0.338314193031823</v>
      </c>
      <c r="F16" s="51" t="n">
        <f aca="false">02_Training_Detail!H294</f>
        <v>-0.0536149678445844</v>
      </c>
      <c r="G16" s="51" t="n">
        <f aca="false">02_Training_Detail!I294</f>
        <v>-0.115195545436134</v>
      </c>
      <c r="H16" s="51" t="n">
        <f aca="false">02_Training_Detail!J294</f>
        <v>-0.11511502501481</v>
      </c>
      <c r="I16" s="51" t="n">
        <f aca="false">02_Training_Detail!D295</f>
        <v>0.31378877010901</v>
      </c>
      <c r="J16" s="51" t="n">
        <f aca="false">02_Training_Detail!F295</f>
        <v>0.87965905697701</v>
      </c>
      <c r="K16" s="51" t="n">
        <f aca="false">02_Training_Detail!H295</f>
        <v>0.810583420902504</v>
      </c>
    </row>
    <row r="17" customFormat="false" ht="22.5" hidden="false" customHeight="true" outlineLevel="0" collapsed="false">
      <c r="A17" s="60" t="n">
        <v>12</v>
      </c>
      <c r="B17" s="61" t="n">
        <f aca="false">02_Training_Detail!D298</f>
        <v>0.31378877010901</v>
      </c>
      <c r="C17" s="61" t="n">
        <f aca="false">02_Training_Detail!F298</f>
        <v>0.87965905697701</v>
      </c>
      <c r="D17" s="61" t="n">
        <f aca="false">02_Training_Detail!H298</f>
        <v>0.810583420902504</v>
      </c>
      <c r="E17" s="61" t="n">
        <f aca="false">02_Training_Detail!K320</f>
        <v>0.326904344280292</v>
      </c>
      <c r="F17" s="61" t="n">
        <f aca="false">02_Training_Detail!H320</f>
        <v>-0.0516547955923971</v>
      </c>
      <c r="G17" s="61" t="n">
        <f aca="false">02_Training_Detail!I320</f>
        <v>-0.107468715051393</v>
      </c>
      <c r="H17" s="61" t="n">
        <f aca="false">02_Training_Detail!J320</f>
        <v>-0.108800203026276</v>
      </c>
      <c r="I17" s="61" t="n">
        <f aca="false">02_Training_Detail!D321</f>
        <v>0.334450688345969</v>
      </c>
      <c r="J17" s="61" t="n">
        <f aca="false">02_Training_Detail!F321</f>
        <v>0.922646542997567</v>
      </c>
      <c r="K17" s="61" t="n">
        <f aca="false">02_Training_Detail!H321</f>
        <v>0.854103502113015</v>
      </c>
    </row>
    <row r="18" customFormat="false" ht="22.5" hidden="false" customHeight="true" outlineLevel="0" collapsed="false">
      <c r="A18" s="59" t="n">
        <v>13</v>
      </c>
      <c r="B18" s="51" t="n">
        <f aca="false">02_Training_Detail!D324</f>
        <v>0.334450688345969</v>
      </c>
      <c r="C18" s="51" t="n">
        <f aca="false">02_Training_Detail!F324</f>
        <v>0.922646542997567</v>
      </c>
      <c r="D18" s="51" t="n">
        <f aca="false">02_Training_Detail!H324</f>
        <v>0.854103502113015</v>
      </c>
      <c r="E18" s="51" t="n">
        <f aca="false">02_Training_Detail!K346</f>
        <v>0.316769113633611</v>
      </c>
      <c r="F18" s="51" t="n">
        <f aca="false">02_Training_Detail!H346</f>
        <v>-0.0498679434477675</v>
      </c>
      <c r="G18" s="51" t="n">
        <f aca="false">02_Training_Detail!I346</f>
        <v>-0.10072179449491</v>
      </c>
      <c r="H18" s="51" t="n">
        <f aca="false">02_Training_Detail!J346</f>
        <v>-0.103278934045437</v>
      </c>
      <c r="I18" s="51" t="n">
        <f aca="false">02_Training_Detail!D347</f>
        <v>0.354397865725076</v>
      </c>
      <c r="J18" s="51" t="n">
        <f aca="false">02_Training_Detail!F347</f>
        <v>0.962935260795531</v>
      </c>
      <c r="K18" s="51" t="n">
        <f aca="false">02_Training_Detail!H347</f>
        <v>0.89541507573119</v>
      </c>
    </row>
    <row r="19" customFormat="false" ht="22.5" hidden="false" customHeight="true" outlineLevel="0" collapsed="false">
      <c r="A19" s="60" t="n">
        <v>14</v>
      </c>
      <c r="B19" s="61" t="n">
        <f aca="false">02_Training_Detail!D350</f>
        <v>0.354397865725076</v>
      </c>
      <c r="C19" s="61" t="n">
        <f aca="false">02_Training_Detail!F350</f>
        <v>0.962935260795531</v>
      </c>
      <c r="D19" s="61" t="n">
        <f aca="false">02_Training_Detail!H350</f>
        <v>0.89541507573119</v>
      </c>
      <c r="E19" s="61" t="n">
        <f aca="false">02_Training_Detail!K372</f>
        <v>0.307688872807359</v>
      </c>
      <c r="F19" s="61" t="n">
        <f aca="false">02_Training_Detail!H372</f>
        <v>-0.0482270821964143</v>
      </c>
      <c r="G19" s="61" t="n">
        <f aca="false">02_Training_Detail!I372</f>
        <v>-0.0947846776530921</v>
      </c>
      <c r="H19" s="61" t="n">
        <f aca="false">02_Training_Detail!J372</f>
        <v>-0.09841252283024</v>
      </c>
      <c r="I19" s="61" t="n">
        <f aca="false">02_Training_Detail!D373</f>
        <v>0.373688698603641</v>
      </c>
      <c r="J19" s="61" t="n">
        <f aca="false">02_Training_Detail!F373</f>
        <v>1.00084913185677</v>
      </c>
      <c r="K19" s="61" t="n">
        <f aca="false">02_Training_Detail!H373</f>
        <v>0.934780084863286</v>
      </c>
    </row>
    <row r="20" customFormat="false" ht="22.5" hidden="false" customHeight="true" outlineLevel="0" collapsed="false">
      <c r="A20" s="59" t="n">
        <v>15</v>
      </c>
      <c r="B20" s="51" t="n">
        <f aca="false">02_Training_Detail!D376</f>
        <v>0.373688698603641</v>
      </c>
      <c r="C20" s="51" t="n">
        <f aca="false">02_Training_Detail!F376</f>
        <v>1.00084913185677</v>
      </c>
      <c r="D20" s="51" t="n">
        <f aca="false">02_Training_Detail!H376</f>
        <v>0.934780084863286</v>
      </c>
      <c r="E20" s="51" t="n">
        <f aca="false">02_Training_Detail!K398</f>
        <v>0.299492330455602</v>
      </c>
      <c r="F20" s="51" t="n">
        <f aca="false">02_Training_Detail!H398</f>
        <v>-0.0467108424063866</v>
      </c>
      <c r="G20" s="51" t="n">
        <f aca="false">02_Training_Detail!I398</f>
        <v>-0.0895234113407185</v>
      </c>
      <c r="H20" s="51" t="n">
        <f aca="false">02_Training_Detail!J398</f>
        <v>-0.0940918640553653</v>
      </c>
      <c r="I20" s="51" t="n">
        <f aca="false">02_Training_Detail!D399</f>
        <v>0.392373035566196</v>
      </c>
      <c r="J20" s="51" t="n">
        <f aca="false">02_Training_Detail!F399</f>
        <v>1.03665849639306</v>
      </c>
      <c r="K20" s="51" t="n">
        <f aca="false">02_Training_Detail!H399</f>
        <v>0.972416830485432</v>
      </c>
    </row>
    <row r="23" customFormat="false" ht="22.5" hidden="false" customHeight="true" outlineLevel="0" collapsed="false">
      <c r="A23" s="17" t="s">
        <v>174</v>
      </c>
      <c r="B23" s="17"/>
      <c r="C23" s="17"/>
      <c r="D23" s="17"/>
      <c r="E23" s="17"/>
    </row>
    <row r="24" customFormat="false" ht="14" hidden="false" customHeight="false" outlineLevel="0" collapsed="false">
      <c r="A24" s="9" t="s">
        <v>175</v>
      </c>
      <c r="B24" s="62" t="n">
        <f aca="false">I20</f>
        <v>0.392373035566196</v>
      </c>
      <c r="D24" s="63" t="s">
        <v>176</v>
      </c>
      <c r="E24" s="63"/>
      <c r="F24" s="63"/>
      <c r="G24" s="63"/>
      <c r="H24" s="63"/>
      <c r="I24" s="63"/>
      <c r="J24" s="63"/>
      <c r="K24" s="63"/>
    </row>
    <row r="25" customFormat="false" ht="13.8" hidden="false" customHeight="false" outlineLevel="0" collapsed="false">
      <c r="A25" s="9" t="s">
        <v>177</v>
      </c>
      <c r="B25" s="62" t="n">
        <f aca="false">J20</f>
        <v>1.03665849639306</v>
      </c>
      <c r="D25" s="63" t="s">
        <v>178</v>
      </c>
      <c r="E25" s="63"/>
      <c r="F25" s="63"/>
      <c r="G25" s="63"/>
      <c r="H25" s="63"/>
      <c r="I25" s="63"/>
      <c r="J25" s="63"/>
      <c r="K25" s="63"/>
    </row>
    <row r="26" customFormat="false" ht="13" hidden="false" customHeight="false" outlineLevel="0" collapsed="false">
      <c r="A26" s="9" t="s">
        <v>179</v>
      </c>
      <c r="B26" s="62" t="n">
        <f aca="false">K20</f>
        <v>0.972416830485432</v>
      </c>
      <c r="D26" s="64" t="s">
        <v>180</v>
      </c>
      <c r="E26" s="64"/>
      <c r="F26" s="64"/>
      <c r="G26" s="64"/>
      <c r="H26" s="64"/>
      <c r="I26" s="64"/>
      <c r="J26" s="64"/>
      <c r="K26" s="64"/>
    </row>
  </sheetData>
  <mergeCells count="6">
    <mergeCell ref="A1:T1"/>
    <mergeCell ref="A2:T2"/>
    <mergeCell ref="A23:E23"/>
    <mergeCell ref="D24:K24"/>
    <mergeCell ref="D25:K25"/>
    <mergeCell ref="D26:K26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1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7" topLeftCell="A8" activePane="bottomLeft" state="frozen"/>
      <selection pane="topLeft" activeCell="A1" activeCellId="0" sqref="A1"/>
      <selection pane="bottomLeft" activeCell="L8" activeCellId="0" sqref="L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7" min="3" style="1" width="11"/>
    <col collapsed="false" customWidth="true" hidden="false" outlineLevel="0" max="9" min="8" style="1" width="12"/>
    <col collapsed="false" customWidth="true" hidden="false" outlineLevel="0" max="10" min="10" style="1" width="11"/>
    <col collapsed="false" customWidth="true" hidden="false" outlineLevel="0" max="11" min="11" style="1" width="15"/>
    <col collapsed="false" customWidth="true" hidden="false" outlineLevel="0" max="12" min="12" style="1" width="13"/>
    <col collapsed="false" customWidth="true" hidden="false" outlineLevel="0" max="14" min="13" style="1" width="11"/>
    <col collapsed="false" customWidth="true" hidden="false" outlineLevel="0" max="15" min="15" style="1" width="12"/>
  </cols>
  <sheetData>
    <row r="1" customFormat="false" ht="33.75" hidden="false" customHeight="true" outlineLevel="0" collapsed="false">
      <c r="A1" s="2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24.75" hidden="false" customHeight="true" outlineLevel="0" collapsed="false">
      <c r="A2" s="3" t="s">
        <v>182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customFormat="false" ht="13.8" hidden="false" customHeight="false" outlineLevel="0" collapsed="false">
      <c r="A4" s="9" t="s">
        <v>183</v>
      </c>
      <c r="B4" s="65" t="n">
        <v>0.5</v>
      </c>
      <c r="D4" s="9" t="s">
        <v>175</v>
      </c>
      <c r="E4" s="66" t="n">
        <f aca="false">03_Model_Path!B24</f>
        <v>0.392373035566196</v>
      </c>
      <c r="G4" s="9" t="s">
        <v>177</v>
      </c>
      <c r="H4" s="66" t="n">
        <f aca="false">03_Model_Path!B25</f>
        <v>1.03665849639306</v>
      </c>
      <c r="J4" s="9" t="s">
        <v>179</v>
      </c>
      <c r="K4" s="66" t="n">
        <f aca="false">03_Model_Path!B26</f>
        <v>0.972416830485432</v>
      </c>
    </row>
    <row r="7" customFormat="false" ht="33.75" hidden="false" customHeight="true" outlineLevel="0" collapsed="false">
      <c r="A7" s="18" t="s">
        <v>127</v>
      </c>
      <c r="B7" s="18" t="s">
        <v>184</v>
      </c>
      <c r="C7" s="18" t="s">
        <v>185</v>
      </c>
      <c r="D7" s="18" t="s">
        <v>128</v>
      </c>
      <c r="E7" s="18" t="s">
        <v>129</v>
      </c>
      <c r="F7" s="18" t="s">
        <v>186</v>
      </c>
      <c r="G7" s="18" t="s">
        <v>123</v>
      </c>
      <c r="H7" s="18" t="s">
        <v>187</v>
      </c>
      <c r="I7" s="18" t="s">
        <v>188</v>
      </c>
      <c r="J7" s="18" t="s">
        <v>131</v>
      </c>
      <c r="K7" s="18" t="s">
        <v>189</v>
      </c>
      <c r="L7" s="18" t="s">
        <v>190</v>
      </c>
      <c r="M7" s="18" t="s">
        <v>191</v>
      </c>
      <c r="N7" s="18" t="s">
        <v>192</v>
      </c>
      <c r="O7" s="18" t="s">
        <v>183</v>
      </c>
    </row>
    <row r="8" customFormat="false" ht="25.5" hidden="false" customHeight="true" outlineLevel="0" collapsed="false">
      <c r="A8" s="67" t="str">
        <f aca="false">01_Data!A26</f>
        <v>T01</v>
      </c>
      <c r="B8" s="67" t="n">
        <f aca="false">01_Data!B26</f>
        <v>2</v>
      </c>
      <c r="C8" s="68" t="n">
        <f aca="false">01_Data!C26</f>
        <v>55</v>
      </c>
      <c r="D8" s="69" t="n">
        <f aca="false">01_Data!F26</f>
        <v>-1.2</v>
      </c>
      <c r="E8" s="69" t="n">
        <f aca="false">01_Data!G26</f>
        <v>-1.33333333333333</v>
      </c>
      <c r="F8" s="69" t="n">
        <f aca="false">01_Data!D26</f>
        <v>0</v>
      </c>
      <c r="G8" s="70" t="n">
        <f aca="false">$E$4</f>
        <v>0.392373035566196</v>
      </c>
      <c r="H8" s="70" t="n">
        <f aca="false">$H$4*D8</f>
        <v>-1.24399019567167</v>
      </c>
      <c r="I8" s="70" t="n">
        <f aca="false">$K$4*E8</f>
        <v>-1.29655577398058</v>
      </c>
      <c r="J8" s="70" t="n">
        <f aca="false">SUM(G8:I8)</f>
        <v>-2.14817293408605</v>
      </c>
      <c r="K8" s="70" t="n">
        <f aca="false">1/(1+EXP(-J8))</f>
        <v>0.104502078986915</v>
      </c>
      <c r="L8" s="71" t="n">
        <f aca="false">IF(K8&gt;=$B$4,1,0)</f>
        <v>0</v>
      </c>
      <c r="M8" s="71" t="str">
        <f aca="false">IF(AND(F8=1,L8=1),"TP",IF(AND(F8=0,L8=1),"FP",IF(AND(F8=1,L8=0),"FN","TN")))</f>
        <v>TN</v>
      </c>
      <c r="N8" s="72" t="n">
        <f aca="false">--(F8=L8)</f>
        <v>1</v>
      </c>
      <c r="O8" s="73" t="n">
        <f aca="false">$B$4</f>
        <v>0.5</v>
      </c>
    </row>
    <row r="9" customFormat="false" ht="25.5" hidden="false" customHeight="true" outlineLevel="0" collapsed="false">
      <c r="A9" s="67" t="str">
        <f aca="false">01_Data!A27</f>
        <v>T02</v>
      </c>
      <c r="B9" s="67" t="n">
        <f aca="false">01_Data!B27</f>
        <v>3</v>
      </c>
      <c r="C9" s="68" t="n">
        <f aca="false">01_Data!C27</f>
        <v>75</v>
      </c>
      <c r="D9" s="69" t="n">
        <f aca="false">01_Data!F27</f>
        <v>-0.8</v>
      </c>
      <c r="E9" s="69" t="n">
        <f aca="false">01_Data!G27</f>
        <v>0</v>
      </c>
      <c r="F9" s="69" t="n">
        <f aca="false">01_Data!D27</f>
        <v>0</v>
      </c>
      <c r="G9" s="70" t="n">
        <f aca="false">$E$4</f>
        <v>0.392373035566196</v>
      </c>
      <c r="H9" s="70" t="n">
        <f aca="false">$H$4*D9</f>
        <v>-0.829326797114444</v>
      </c>
      <c r="I9" s="70" t="n">
        <f aca="false">$K$4*E9</f>
        <v>0</v>
      </c>
      <c r="J9" s="70" t="n">
        <f aca="false">SUM(G9:I9)</f>
        <v>-0.436953761548248</v>
      </c>
      <c r="K9" s="70" t="n">
        <f aca="false">1/(1+EXP(-J9))</f>
        <v>0.392467065790411</v>
      </c>
      <c r="L9" s="71" t="n">
        <f aca="false">IF(K9&gt;=$B$4,1,0)</f>
        <v>0</v>
      </c>
      <c r="M9" s="71" t="str">
        <f aca="false">IF(AND(F9=1,L9=1),"TP",IF(AND(F9=0,L9=1),"FP",IF(AND(F9=1,L9=0),"FN","TN")))</f>
        <v>TN</v>
      </c>
      <c r="N9" s="72" t="n">
        <f aca="false">--(F9=L9)</f>
        <v>1</v>
      </c>
      <c r="O9" s="73" t="n">
        <f aca="false">$B$4</f>
        <v>0.5</v>
      </c>
    </row>
    <row r="10" customFormat="false" ht="25.5" hidden="false" customHeight="true" outlineLevel="0" collapsed="false">
      <c r="A10" s="67" t="str">
        <f aca="false">01_Data!A28</f>
        <v>T03</v>
      </c>
      <c r="B10" s="67" t="n">
        <f aca="false">01_Data!B28</f>
        <v>4</v>
      </c>
      <c r="C10" s="68" t="n">
        <f aca="false">01_Data!C28</f>
        <v>82</v>
      </c>
      <c r="D10" s="69" t="n">
        <f aca="false">01_Data!F28</f>
        <v>-0.4</v>
      </c>
      <c r="E10" s="69" t="n">
        <f aca="false">01_Data!G28</f>
        <v>0.466666666666667</v>
      </c>
      <c r="F10" s="69" t="n">
        <f aca="false">01_Data!D28</f>
        <v>1</v>
      </c>
      <c r="G10" s="70" t="n">
        <f aca="false">$E$4</f>
        <v>0.392373035566196</v>
      </c>
      <c r="H10" s="70" t="n">
        <f aca="false">$H$4*D10</f>
        <v>-0.414663398557222</v>
      </c>
      <c r="I10" s="70" t="n">
        <f aca="false">$K$4*E10</f>
        <v>0.453794520893201</v>
      </c>
      <c r="J10" s="70" t="n">
        <f aca="false">SUM(G10:I10)</f>
        <v>0.431504157902175</v>
      </c>
      <c r="K10" s="70" t="n">
        <f aca="false">1/(1+EXP(-J10))</f>
        <v>0.6062327901918</v>
      </c>
      <c r="L10" s="71" t="n">
        <f aca="false">IF(K10&gt;=$B$4,1,0)</f>
        <v>1</v>
      </c>
      <c r="M10" s="71" t="str">
        <f aca="false">IF(AND(F10=1,L10=1),"TP",IF(AND(F10=0,L10=1),"FP",IF(AND(F10=1,L10=0),"FN","TN")))</f>
        <v>TP</v>
      </c>
      <c r="N10" s="72" t="n">
        <f aca="false">--(F10=L10)</f>
        <v>1</v>
      </c>
      <c r="O10" s="73" t="n">
        <f aca="false">$B$4</f>
        <v>0.5</v>
      </c>
    </row>
    <row r="11" customFormat="false" ht="25.5" hidden="false" customHeight="true" outlineLevel="0" collapsed="false">
      <c r="A11" s="67" t="str">
        <f aca="false">01_Data!A29</f>
        <v>T04</v>
      </c>
      <c r="B11" s="67" t="n">
        <f aca="false">01_Data!B29</f>
        <v>5</v>
      </c>
      <c r="C11" s="68" t="n">
        <f aca="false">01_Data!C29</f>
        <v>65</v>
      </c>
      <c r="D11" s="69" t="n">
        <f aca="false">01_Data!F29</f>
        <v>0</v>
      </c>
      <c r="E11" s="69" t="n">
        <f aca="false">01_Data!G29</f>
        <v>-0.666666666666667</v>
      </c>
      <c r="F11" s="69" t="n">
        <f aca="false">01_Data!D29</f>
        <v>0</v>
      </c>
      <c r="G11" s="70" t="n">
        <f aca="false">$E$4</f>
        <v>0.392373035566196</v>
      </c>
      <c r="H11" s="70" t="n">
        <f aca="false">$H$4*D11</f>
        <v>0</v>
      </c>
      <c r="I11" s="70" t="n">
        <f aca="false">$K$4*E11</f>
        <v>-0.648277886990288</v>
      </c>
      <c r="J11" s="70" t="n">
        <f aca="false">SUM(G11:I11)</f>
        <v>-0.255904851424092</v>
      </c>
      <c r="K11" s="70" t="n">
        <f aca="false">1/(1+EXP(-J11))</f>
        <v>0.436370651549444</v>
      </c>
      <c r="L11" s="71" t="n">
        <f aca="false">IF(K11&gt;=$B$4,1,0)</f>
        <v>0</v>
      </c>
      <c r="M11" s="71" t="str">
        <f aca="false">IF(AND(F11=1,L11=1),"TP",IF(AND(F11=0,L11=1),"FP",IF(AND(F11=1,L11=0),"FN","TN")))</f>
        <v>TN</v>
      </c>
      <c r="N11" s="72" t="n">
        <f aca="false">--(F11=L11)</f>
        <v>1</v>
      </c>
      <c r="O11" s="73" t="n">
        <f aca="false">$B$4</f>
        <v>0.5</v>
      </c>
    </row>
    <row r="12" customFormat="false" ht="25.5" hidden="false" customHeight="true" outlineLevel="0" collapsed="false">
      <c r="A12" s="67" t="str">
        <f aca="false">01_Data!A30</f>
        <v>T05</v>
      </c>
      <c r="B12" s="67" t="n">
        <f aca="false">01_Data!B30</f>
        <v>5</v>
      </c>
      <c r="C12" s="68" t="n">
        <f aca="false">01_Data!C30</f>
        <v>90</v>
      </c>
      <c r="D12" s="69" t="n">
        <f aca="false">01_Data!F30</f>
        <v>0</v>
      </c>
      <c r="E12" s="69" t="n">
        <f aca="false">01_Data!G30</f>
        <v>1</v>
      </c>
      <c r="F12" s="69" t="n">
        <f aca="false">01_Data!D30</f>
        <v>1</v>
      </c>
      <c r="G12" s="70" t="n">
        <f aca="false">$E$4</f>
        <v>0.392373035566196</v>
      </c>
      <c r="H12" s="70" t="n">
        <f aca="false">$H$4*D12</f>
        <v>0</v>
      </c>
      <c r="I12" s="70" t="n">
        <f aca="false">$K$4*E12</f>
        <v>0.972416830485432</v>
      </c>
      <c r="J12" s="70" t="n">
        <f aca="false">SUM(G12:I12)</f>
        <v>1.36478986605163</v>
      </c>
      <c r="K12" s="70" t="n">
        <f aca="false">1/(1+EXP(-J12))</f>
        <v>0.796537073694141</v>
      </c>
      <c r="L12" s="71" t="n">
        <f aca="false">IF(K12&gt;=$B$4,1,0)</f>
        <v>1</v>
      </c>
      <c r="M12" s="71" t="str">
        <f aca="false">IF(AND(F12=1,L12=1),"TP",IF(AND(F12=0,L12=1),"FP",IF(AND(F12=1,L12=0),"FN","TN")))</f>
        <v>TP</v>
      </c>
      <c r="N12" s="72" t="n">
        <f aca="false">--(F12=L12)</f>
        <v>1</v>
      </c>
      <c r="O12" s="73" t="n">
        <f aca="false">$B$4</f>
        <v>0.5</v>
      </c>
    </row>
    <row r="13" customFormat="false" ht="25.5" hidden="false" customHeight="true" outlineLevel="0" collapsed="false">
      <c r="A13" s="67" t="str">
        <f aca="false">01_Data!A31</f>
        <v>T06</v>
      </c>
      <c r="B13" s="67" t="n">
        <f aca="false">01_Data!B31</f>
        <v>6</v>
      </c>
      <c r="C13" s="68" t="n">
        <f aca="false">01_Data!C31</f>
        <v>72</v>
      </c>
      <c r="D13" s="69" t="n">
        <f aca="false">01_Data!F31</f>
        <v>0.4</v>
      </c>
      <c r="E13" s="69" t="n">
        <f aca="false">01_Data!G31</f>
        <v>-0.2</v>
      </c>
      <c r="F13" s="69" t="n">
        <f aca="false">01_Data!D31</f>
        <v>1</v>
      </c>
      <c r="G13" s="70" t="n">
        <f aca="false">$E$4</f>
        <v>0.392373035566196</v>
      </c>
      <c r="H13" s="70" t="n">
        <f aca="false">$H$4*D13</f>
        <v>0.414663398557222</v>
      </c>
      <c r="I13" s="70" t="n">
        <f aca="false">$K$4*E13</f>
        <v>-0.194483366097086</v>
      </c>
      <c r="J13" s="70" t="n">
        <f aca="false">SUM(G13:I13)</f>
        <v>0.612553068026332</v>
      </c>
      <c r="K13" s="70" t="n">
        <f aca="false">1/(1+EXP(-J13))</f>
        <v>0.648522971209378</v>
      </c>
      <c r="L13" s="71" t="n">
        <f aca="false">IF(K13&gt;=$B$4,1,0)</f>
        <v>1</v>
      </c>
      <c r="M13" s="71" t="str">
        <f aca="false">IF(AND(F13=1,L13=1),"TP",IF(AND(F13=0,L13=1),"FP",IF(AND(F13=1,L13=0),"FN","TN")))</f>
        <v>TP</v>
      </c>
      <c r="N13" s="72" t="n">
        <f aca="false">--(F13=L13)</f>
        <v>1</v>
      </c>
      <c r="O13" s="73" t="n">
        <f aca="false">$B$4</f>
        <v>0.5</v>
      </c>
    </row>
    <row r="14" customFormat="false" ht="25.5" hidden="false" customHeight="true" outlineLevel="0" collapsed="false">
      <c r="A14" s="67" t="str">
        <f aca="false">01_Data!A32</f>
        <v>T07</v>
      </c>
      <c r="B14" s="67" t="n">
        <f aca="false">01_Data!B32</f>
        <v>7</v>
      </c>
      <c r="C14" s="68" t="n">
        <f aca="false">01_Data!C32</f>
        <v>60</v>
      </c>
      <c r="D14" s="69" t="n">
        <f aca="false">01_Data!F32</f>
        <v>0.8</v>
      </c>
      <c r="E14" s="69" t="n">
        <f aca="false">01_Data!G32</f>
        <v>-1</v>
      </c>
      <c r="F14" s="69" t="n">
        <f aca="false">01_Data!D32</f>
        <v>0</v>
      </c>
      <c r="G14" s="70" t="n">
        <f aca="false">$E$4</f>
        <v>0.392373035566196</v>
      </c>
      <c r="H14" s="70" t="n">
        <f aca="false">$H$4*D14</f>
        <v>0.829326797114444</v>
      </c>
      <c r="I14" s="70" t="n">
        <f aca="false">$K$4*E14</f>
        <v>-0.972416830485432</v>
      </c>
      <c r="J14" s="70" t="n">
        <f aca="false">SUM(G14:I14)</f>
        <v>0.249283002195209</v>
      </c>
      <c r="K14" s="70" t="n">
        <f aca="false">1/(1+EXP(-J14))</f>
        <v>0.562000015428557</v>
      </c>
      <c r="L14" s="71" t="n">
        <f aca="false">IF(K14&gt;=$B$4,1,0)</f>
        <v>1</v>
      </c>
      <c r="M14" s="71" t="str">
        <f aca="false">IF(AND(F14=1,L14=1),"TP",IF(AND(F14=0,L14=1),"FP",IF(AND(F14=1,L14=0),"FN","TN")))</f>
        <v>FP</v>
      </c>
      <c r="N14" s="72" t="n">
        <f aca="false">--(F14=L14)</f>
        <v>0</v>
      </c>
      <c r="O14" s="73" t="n">
        <f aca="false">$B$4</f>
        <v>0.5</v>
      </c>
    </row>
    <row r="15" customFormat="false" ht="25.5" hidden="false" customHeight="true" outlineLevel="0" collapsed="false">
      <c r="A15" s="67" t="str">
        <f aca="false">01_Data!A33</f>
        <v>T08</v>
      </c>
      <c r="B15" s="67" t="n">
        <f aca="false">01_Data!B33</f>
        <v>2.5</v>
      </c>
      <c r="C15" s="68" t="n">
        <f aca="false">01_Data!C33</f>
        <v>95</v>
      </c>
      <c r="D15" s="69" t="n">
        <f aca="false">01_Data!F33</f>
        <v>-1</v>
      </c>
      <c r="E15" s="69" t="n">
        <f aca="false">01_Data!G33</f>
        <v>1.33333333333333</v>
      </c>
      <c r="F15" s="69" t="n">
        <f aca="false">01_Data!D33</f>
        <v>1</v>
      </c>
      <c r="G15" s="70" t="n">
        <f aca="false">$E$4</f>
        <v>0.392373035566196</v>
      </c>
      <c r="H15" s="70" t="n">
        <f aca="false">$H$4*D15</f>
        <v>-1.03665849639306</v>
      </c>
      <c r="I15" s="70" t="n">
        <f aca="false">$K$4*E15</f>
        <v>1.29655577398058</v>
      </c>
      <c r="J15" s="70" t="n">
        <f aca="false">SUM(G15:I15)</f>
        <v>0.652270313153716</v>
      </c>
      <c r="K15" s="70" t="n">
        <f aca="false">1/(1+EXP(-J15))</f>
        <v>0.65752189002958</v>
      </c>
      <c r="L15" s="71" t="n">
        <f aca="false">IF(K15&gt;=$B$4,1,0)</f>
        <v>1</v>
      </c>
      <c r="M15" s="71" t="str">
        <f aca="false">IF(AND(F15=1,L15=1),"TP",IF(AND(F15=0,L15=1),"FP",IF(AND(F15=1,L15=0),"FN","TN")))</f>
        <v>TP</v>
      </c>
      <c r="N15" s="72" t="n">
        <f aca="false">--(F15=L15)</f>
        <v>1</v>
      </c>
      <c r="O15" s="73" t="n">
        <f aca="false">$B$4</f>
        <v>0.5</v>
      </c>
    </row>
    <row r="16" customFormat="false" ht="25.5" hidden="false" customHeight="true" outlineLevel="0" collapsed="false">
      <c r="A16" s="67" t="str">
        <f aca="false">01_Data!A34</f>
        <v>T09</v>
      </c>
      <c r="B16" s="67" t="n">
        <f aca="false">01_Data!B34</f>
        <v>8</v>
      </c>
      <c r="C16" s="68" t="n">
        <f aca="false">01_Data!C34</f>
        <v>80</v>
      </c>
      <c r="D16" s="69" t="n">
        <f aca="false">01_Data!F34</f>
        <v>1.2</v>
      </c>
      <c r="E16" s="69" t="n">
        <f aca="false">01_Data!G34</f>
        <v>0.333333333333333</v>
      </c>
      <c r="F16" s="69" t="n">
        <f aca="false">01_Data!D34</f>
        <v>1</v>
      </c>
      <c r="G16" s="70" t="n">
        <f aca="false">$E$4</f>
        <v>0.392373035566196</v>
      </c>
      <c r="H16" s="70" t="n">
        <f aca="false">$H$4*D16</f>
        <v>1.24399019567167</v>
      </c>
      <c r="I16" s="70" t="n">
        <f aca="false">$K$4*E16</f>
        <v>0.324138943495144</v>
      </c>
      <c r="J16" s="70" t="n">
        <f aca="false">SUM(G16:I16)</f>
        <v>1.96050217473301</v>
      </c>
      <c r="K16" s="70" t="n">
        <f aca="false">1/(1+EXP(-J16))</f>
        <v>0.876587288983245</v>
      </c>
      <c r="L16" s="71" t="n">
        <f aca="false">IF(K16&gt;=$B$4,1,0)</f>
        <v>1</v>
      </c>
      <c r="M16" s="71" t="str">
        <f aca="false">IF(AND(F16=1,L16=1),"TP",IF(AND(F16=0,L16=1),"FP",IF(AND(F16=1,L16=0),"FN","TN")))</f>
        <v>TP</v>
      </c>
      <c r="N16" s="72" t="n">
        <f aca="false">--(F16=L16)</f>
        <v>1</v>
      </c>
      <c r="O16" s="73" t="n">
        <f aca="false">$B$4</f>
        <v>0.5</v>
      </c>
    </row>
    <row r="17" customFormat="false" ht="25.5" hidden="false" customHeight="true" outlineLevel="0" collapsed="false">
      <c r="A17" s="67" t="str">
        <f aca="false">01_Data!A35</f>
        <v>T10</v>
      </c>
      <c r="B17" s="67" t="n">
        <f aca="false">01_Data!B35</f>
        <v>4.5</v>
      </c>
      <c r="C17" s="68" t="n">
        <f aca="false">01_Data!C35</f>
        <v>70</v>
      </c>
      <c r="D17" s="69" t="n">
        <f aca="false">01_Data!F35</f>
        <v>-0.2</v>
      </c>
      <c r="E17" s="69" t="n">
        <f aca="false">01_Data!G35</f>
        <v>-0.333333333333333</v>
      </c>
      <c r="F17" s="69" t="n">
        <f aca="false">01_Data!D35</f>
        <v>1</v>
      </c>
      <c r="G17" s="70" t="n">
        <f aca="false">$E$4</f>
        <v>0.392373035566196</v>
      </c>
      <c r="H17" s="70" t="n">
        <f aca="false">$H$4*D17</f>
        <v>-0.207331699278611</v>
      </c>
      <c r="I17" s="70" t="n">
        <f aca="false">$K$4*E17</f>
        <v>-0.324138943495144</v>
      </c>
      <c r="J17" s="70" t="n">
        <f aca="false">SUM(G17:I17)</f>
        <v>-0.139097607207559</v>
      </c>
      <c r="K17" s="70" t="n">
        <f aca="false">1/(1+EXP(-J17))</f>
        <v>0.465281558273665</v>
      </c>
      <c r="L17" s="71" t="n">
        <f aca="false">IF(K17&gt;=$B$4,1,0)</f>
        <v>0</v>
      </c>
      <c r="M17" s="71" t="str">
        <f aca="false">IF(AND(F17=1,L17=1),"TP",IF(AND(F17=0,L17=1),"FP",IF(AND(F17=1,L17=0),"FN","TN")))</f>
        <v>FN</v>
      </c>
      <c r="N17" s="72" t="n">
        <f aca="false">--(F17=L17)</f>
        <v>0</v>
      </c>
      <c r="O17" s="73" t="n">
        <f aca="false">$B$4</f>
        <v>0.5</v>
      </c>
    </row>
    <row r="20" customFormat="false" ht="24.75" hidden="false" customHeight="true" outlineLevel="0" collapsed="false">
      <c r="A20" s="74" t="s">
        <v>193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</row>
    <row r="21" customFormat="false" ht="24.75" hidden="false" customHeight="true" outlineLevel="0" collapsed="false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</row>
  </sheetData>
  <autoFilter ref="A7:O17"/>
  <mergeCells count="3">
    <mergeCell ref="A1:W1"/>
    <mergeCell ref="A2:W2"/>
    <mergeCell ref="A20:O21"/>
  </mergeCells>
  <conditionalFormatting sqref="M8:M17">
    <cfRule type="expression" priority="2" aboveAverage="0" equalAverage="0" bottom="0" percent="0" rank="0" text="" dxfId="15">
      <formula>$M8="TP"</formula>
    </cfRule>
    <cfRule type="expression" priority="3" aboveAverage="0" equalAverage="0" bottom="0" percent="0" rank="0" text="" dxfId="15">
      <formula>$M8="TN"</formula>
    </cfRule>
    <cfRule type="expression" priority="4" aboveAverage="0" equalAverage="0" bottom="0" percent="0" rank="0" text="" dxfId="16">
      <formula>$M8="FP"</formula>
    </cfRule>
    <cfRule type="expression" priority="5" aboveAverage="0" equalAverage="0" bottom="0" percent="0" rank="0" text="" dxfId="16">
      <formula>$M8="FN"</formula>
    </cfRule>
  </conditionalFormatting>
  <conditionalFormatting sqref="N8:N17">
    <cfRule type="cellIs" priority="6" operator="equal" aboveAverage="0" equalAverage="0" bottom="0" percent="0" rank="0" text="" dxfId="9">
      <formula>1</formula>
    </cfRule>
    <cfRule type="cellIs" priority="7" operator="equal" aboveAverage="0" equalAverage="0" bottom="0" percent="0" rank="0" text="" dxfId="17">
      <formula>0</formula>
    </cfRule>
  </conditionalFormatting>
  <dataValidations count="1">
    <dataValidation allowBlank="false" error="Threshold ต้องอยู่ระหว่าง 0 และ 1" errorStyle="stop" operator="between" prompt="กรอกค่าระหว่าง 0 และ 1" promptTitle="Threshold" showDropDown="false" showErrorMessage="true" showInputMessage="false" sqref="B4" type="decimal">
      <formula1>0</formula1>
      <formula2>1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3" colorId="64" zoomScale="140" zoomScaleNormal="140" zoomScalePageLayoutView="100" workbookViewId="0">
      <selection pane="topLeft" activeCell="D15" activeCellId="0" sqref="D1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6" min="6" style="1" width="4"/>
    <col collapsed="false" customWidth="true" hidden="false" outlineLevel="0" max="7" min="7" style="1" width="20"/>
    <col collapsed="false" customWidth="true" hidden="false" outlineLevel="0" max="9" min="8" style="1" width="25"/>
    <col collapsed="false" customWidth="true" hidden="false" outlineLevel="0" max="10" min="10" style="1" width="4"/>
  </cols>
  <sheetData>
    <row r="1" customFormat="false" ht="33.75" hidden="false" customHeight="true" outlineLevel="0" collapsed="false">
      <c r="A1" s="2" t="s">
        <v>194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.75" hidden="false" customHeight="true" outlineLevel="0" collapsed="false">
      <c r="A2" s="3" t="s">
        <v>195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3.8" hidden="false" customHeight="false" outlineLevel="0" collapsed="false">
      <c r="B4" s="9" t="s">
        <v>196</v>
      </c>
      <c r="C4" s="75" t="n">
        <f aca="false">04_Test_Prediction!B4</f>
        <v>0.5</v>
      </c>
    </row>
    <row r="6" customFormat="false" ht="22.5" hidden="false" customHeight="true" outlineLevel="0" collapsed="false">
      <c r="B6" s="4" t="s">
        <v>197</v>
      </c>
      <c r="C6" s="4"/>
      <c r="D6" s="4"/>
      <c r="E6" s="4"/>
    </row>
    <row r="7" customFormat="false" ht="13" hidden="false" customHeight="false" outlineLevel="0" collapsed="false">
      <c r="B7" s="76" t="s">
        <v>198</v>
      </c>
      <c r="C7" s="76" t="s">
        <v>199</v>
      </c>
      <c r="D7" s="76" t="s">
        <v>200</v>
      </c>
      <c r="E7" s="76" t="s">
        <v>201</v>
      </c>
      <c r="G7" s="77" t="s">
        <v>202</v>
      </c>
      <c r="H7" s="77" t="s">
        <v>203</v>
      </c>
    </row>
    <row r="8" customFormat="false" ht="13" hidden="false" customHeight="false" outlineLevel="0" collapsed="false">
      <c r="B8" s="76" t="s">
        <v>204</v>
      </c>
      <c r="C8" s="78" t="n">
        <f aca="false">COUNTIFS(04_Test_Prediction!$F$8:$F$17,1,04_Test_Prediction!$L$8:$L$17,1)</f>
        <v>5</v>
      </c>
      <c r="D8" s="79" t="n">
        <f aca="false">COUNTIFS(04_Test_Prediction!$F$8:$F$17,1,04_Test_Prediction!$L$8:$L$17,0)</f>
        <v>1</v>
      </c>
      <c r="E8" s="80" t="n">
        <f aca="false">SUM(C8:D8)</f>
        <v>6</v>
      </c>
      <c r="G8" s="81" t="s">
        <v>205</v>
      </c>
      <c r="H8" s="82" t="s">
        <v>206</v>
      </c>
    </row>
    <row r="9" customFormat="false" ht="13" hidden="false" customHeight="false" outlineLevel="0" collapsed="false">
      <c r="B9" s="76" t="s">
        <v>207</v>
      </c>
      <c r="C9" s="79" t="n">
        <f aca="false">COUNTIFS(04_Test_Prediction!$F$8:$F$17,0,04_Test_Prediction!$L$8:$L$17,1)</f>
        <v>1</v>
      </c>
      <c r="D9" s="78" t="n">
        <f aca="false">COUNTIFS(04_Test_Prediction!$F$8:$F$17,0,04_Test_Prediction!$L$8:$L$17,0)</f>
        <v>3</v>
      </c>
      <c r="E9" s="80" t="n">
        <f aca="false">SUM(C9:D9)</f>
        <v>4</v>
      </c>
      <c r="G9" s="81" t="s">
        <v>208</v>
      </c>
      <c r="H9" s="82" t="s">
        <v>209</v>
      </c>
    </row>
    <row r="10" customFormat="false" ht="13" hidden="false" customHeight="false" outlineLevel="0" collapsed="false">
      <c r="B10" s="76" t="s">
        <v>210</v>
      </c>
      <c r="C10" s="80" t="n">
        <f aca="false">SUM(C8:C9)</f>
        <v>6</v>
      </c>
      <c r="D10" s="80" t="n">
        <f aca="false">SUM(D8:D9)</f>
        <v>4</v>
      </c>
      <c r="E10" s="80" t="n">
        <f aca="false">SUM(C8:D9)</f>
        <v>10</v>
      </c>
      <c r="G10" s="81" t="s">
        <v>211</v>
      </c>
      <c r="H10" s="82" t="s">
        <v>212</v>
      </c>
    </row>
    <row r="11" customFormat="false" ht="22" hidden="false" customHeight="false" outlineLevel="0" collapsed="false">
      <c r="G11" s="81" t="s">
        <v>213</v>
      </c>
      <c r="H11" s="82" t="s">
        <v>214</v>
      </c>
    </row>
    <row r="13" customFormat="false" ht="22.5" hidden="false" customHeight="true" outlineLevel="0" collapsed="false">
      <c r="B13" s="17" t="s">
        <v>215</v>
      </c>
      <c r="C13" s="17"/>
      <c r="D13" s="17"/>
      <c r="E13" s="17"/>
      <c r="F13" s="17"/>
      <c r="G13" s="17"/>
      <c r="H13" s="17"/>
      <c r="I13" s="17"/>
    </row>
    <row r="14" customFormat="false" ht="33.75" hidden="false" customHeight="true" outlineLevel="0" collapsed="false">
      <c r="B14" s="18" t="s">
        <v>216</v>
      </c>
      <c r="C14" s="18" t="s">
        <v>217</v>
      </c>
      <c r="D14" s="18" t="s">
        <v>218</v>
      </c>
      <c r="E14" s="18"/>
      <c r="F14" s="18"/>
      <c r="G14" s="18" t="s">
        <v>219</v>
      </c>
      <c r="H14" s="18"/>
      <c r="I14" s="18"/>
    </row>
    <row r="15" customFormat="false" ht="33.75" hidden="false" customHeight="true" outlineLevel="0" collapsed="false">
      <c r="B15" s="83" t="s">
        <v>220</v>
      </c>
      <c r="C15" s="84" t="n">
        <f aca="false">IFERROR((C8+D9)/SUM(C8:D9),0)</f>
        <v>0.8</v>
      </c>
      <c r="D15" s="85" t="s">
        <v>221</v>
      </c>
      <c r="E15" s="85"/>
      <c r="F15" s="85"/>
      <c r="G15" s="85" t="s">
        <v>222</v>
      </c>
      <c r="H15" s="85"/>
      <c r="I15" s="85"/>
    </row>
    <row r="16" customFormat="false" ht="33.75" hidden="false" customHeight="true" outlineLevel="0" collapsed="false">
      <c r="B16" s="86" t="s">
        <v>223</v>
      </c>
      <c r="C16" s="87" t="n">
        <f aca="false">IFERROR(C8/(C8+C9),0)</f>
        <v>0.833333333333333</v>
      </c>
      <c r="D16" s="88" t="s">
        <v>224</v>
      </c>
      <c r="E16" s="88"/>
      <c r="F16" s="88"/>
      <c r="G16" s="88" t="s">
        <v>225</v>
      </c>
      <c r="H16" s="88"/>
      <c r="I16" s="88"/>
    </row>
    <row r="17" customFormat="false" ht="33.75" hidden="false" customHeight="true" outlineLevel="0" collapsed="false">
      <c r="B17" s="83" t="s">
        <v>226</v>
      </c>
      <c r="C17" s="84" t="n">
        <f aca="false">IFERROR(C8/(C8+D8),0)</f>
        <v>0.833333333333333</v>
      </c>
      <c r="D17" s="85" t="s">
        <v>227</v>
      </c>
      <c r="E17" s="85"/>
      <c r="F17" s="85"/>
      <c r="G17" s="85" t="s">
        <v>228</v>
      </c>
      <c r="H17" s="85"/>
      <c r="I17" s="85"/>
    </row>
    <row r="18" customFormat="false" ht="33.75" hidden="false" customHeight="true" outlineLevel="0" collapsed="false">
      <c r="B18" s="86" t="s">
        <v>229</v>
      </c>
      <c r="C18" s="87" t="n">
        <f aca="false">IFERROR(2*C16*C17/(C16+C17),0)</f>
        <v>0.833333333333333</v>
      </c>
      <c r="D18" s="88" t="s">
        <v>230</v>
      </c>
      <c r="E18" s="88"/>
      <c r="F18" s="88"/>
      <c r="G18" s="88" t="s">
        <v>231</v>
      </c>
      <c r="H18" s="88"/>
      <c r="I18" s="88"/>
    </row>
    <row r="19" customFormat="false" ht="33.75" hidden="false" customHeight="true" outlineLevel="0" collapsed="false">
      <c r="B19" s="83" t="s">
        <v>232</v>
      </c>
      <c r="C19" s="84" t="n">
        <f aca="false">1-C15</f>
        <v>0.2</v>
      </c>
      <c r="D19" s="85" t="s">
        <v>233</v>
      </c>
      <c r="E19" s="85"/>
      <c r="F19" s="85"/>
      <c r="G19" s="85" t="s">
        <v>234</v>
      </c>
      <c r="H19" s="85"/>
      <c r="I19" s="85"/>
    </row>
    <row r="21" customFormat="false" ht="24.75" hidden="false" customHeight="true" outlineLevel="0" collapsed="false">
      <c r="B21" s="89" t="str">
        <f aca="false">"ที่ threshold "&amp;TEXT(C4,"0.00")&amp;" → Accuracy "&amp;TEXT(C15,"0.0%")&amp;" | Precision "&amp;TEXT(C16,"0.0%")&amp;" | Recall "&amp;TEXT(C17,"0.0%")&amp;" | F1 "&amp;TEXT(C18,"0.0%")</f>
        <v>ที่ threshold 0.50 → Accuracy 80.0% | Precision 83.3% | Recall 83.3% | F1 83.3%</v>
      </c>
      <c r="C21" s="89"/>
      <c r="D21" s="89"/>
      <c r="E21" s="89"/>
      <c r="F21" s="89"/>
      <c r="G21" s="89"/>
      <c r="H21" s="89"/>
      <c r="I21" s="89"/>
    </row>
    <row r="22" customFormat="false" ht="24.75" hidden="false" customHeight="true" outlineLevel="0" collapsed="false">
      <c r="B22" s="89"/>
      <c r="C22" s="89"/>
      <c r="D22" s="89"/>
      <c r="E22" s="89"/>
      <c r="F22" s="89"/>
      <c r="G22" s="89"/>
      <c r="H22" s="89"/>
      <c r="I22" s="89"/>
    </row>
  </sheetData>
  <mergeCells count="17">
    <mergeCell ref="A1:J1"/>
    <mergeCell ref="A2:J2"/>
    <mergeCell ref="B6:E6"/>
    <mergeCell ref="B13:I13"/>
    <mergeCell ref="D14:F14"/>
    <mergeCell ref="G14:I14"/>
    <mergeCell ref="D15:F15"/>
    <mergeCell ref="G15:I15"/>
    <mergeCell ref="D16:F16"/>
    <mergeCell ref="G16:I16"/>
    <mergeCell ref="D17:F17"/>
    <mergeCell ref="G17:I17"/>
    <mergeCell ref="D18:F18"/>
    <mergeCell ref="G18:I18"/>
    <mergeCell ref="D19:F19"/>
    <mergeCell ref="G19:I19"/>
    <mergeCell ref="B21:I22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7" topLeftCell="A28" activePane="bottomLeft" state="frozen"/>
      <selection pane="topLeft" activeCell="A1" activeCellId="0" sqref="A1"/>
      <selection pane="bottomLeft" activeCell="B26" activeCellId="0" sqref="B2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17"/>
    <col collapsed="false" customWidth="true" hidden="false" outlineLevel="0" max="6" min="4" style="1" width="20"/>
    <col collapsed="false" customWidth="true" hidden="false" outlineLevel="0" max="10" min="7" style="1" width="21"/>
  </cols>
  <sheetData>
    <row r="1" customFormat="false" ht="33.75" hidden="false" customHeight="true" outlineLevel="0" collapsed="false">
      <c r="A1" s="2" t="s">
        <v>235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.75" hidden="false" customHeight="true" outlineLevel="0" collapsed="false">
      <c r="A2" s="3" t="s">
        <v>236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4.75" hidden="false" customHeight="true" outlineLevel="0" collapsed="false">
      <c r="A4" s="74" t="s">
        <v>237</v>
      </c>
      <c r="B4" s="74"/>
      <c r="C4" s="74"/>
      <c r="D4" s="74"/>
      <c r="E4" s="74"/>
      <c r="F4" s="74"/>
      <c r="G4" s="74"/>
      <c r="H4" s="74"/>
      <c r="I4" s="74"/>
      <c r="J4" s="74"/>
    </row>
    <row r="5" customFormat="false" ht="24.75" hidden="false" customHeight="true" outlineLevel="0" collapsed="false">
      <c r="A5" s="74"/>
      <c r="B5" s="74"/>
      <c r="C5" s="74"/>
      <c r="D5" s="74"/>
      <c r="E5" s="74"/>
      <c r="F5" s="74"/>
      <c r="G5" s="74"/>
      <c r="H5" s="74"/>
      <c r="I5" s="74"/>
      <c r="J5" s="74"/>
    </row>
    <row r="7" customFormat="false" ht="22.5" hidden="false" customHeight="true" outlineLevel="0" collapsed="false">
      <c r="A7" s="4" t="s">
        <v>238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33.75" hidden="false" customHeight="true" outlineLevel="0" collapsed="false">
      <c r="A8" s="18" t="s">
        <v>239</v>
      </c>
      <c r="B8" s="18" t="s">
        <v>240</v>
      </c>
      <c r="C8" s="18"/>
      <c r="D8" s="18" t="s">
        <v>203</v>
      </c>
      <c r="E8" s="18"/>
      <c r="F8" s="18"/>
      <c r="G8" s="18" t="s">
        <v>241</v>
      </c>
      <c r="H8" s="18"/>
      <c r="I8" s="18"/>
      <c r="J8" s="18"/>
    </row>
    <row r="9" customFormat="false" ht="51.75" hidden="false" customHeight="true" outlineLevel="0" collapsed="false">
      <c r="A9" s="90" t="s">
        <v>242</v>
      </c>
      <c r="B9" s="91" t="s">
        <v>243</v>
      </c>
      <c r="C9" s="91"/>
      <c r="D9" s="92" t="s">
        <v>244</v>
      </c>
      <c r="E9" s="92"/>
      <c r="F9" s="92"/>
      <c r="G9" s="92" t="s">
        <v>245</v>
      </c>
      <c r="H9" s="92"/>
      <c r="I9" s="92"/>
      <c r="J9" s="92"/>
    </row>
    <row r="10" customFormat="false" ht="51.75" hidden="false" customHeight="true" outlineLevel="0" collapsed="false">
      <c r="A10" s="93" t="s">
        <v>246</v>
      </c>
      <c r="B10" s="94" t="s">
        <v>247</v>
      </c>
      <c r="C10" s="94"/>
      <c r="D10" s="95" t="s">
        <v>248</v>
      </c>
      <c r="E10" s="95"/>
      <c r="F10" s="95"/>
      <c r="G10" s="95" t="s">
        <v>249</v>
      </c>
      <c r="H10" s="95"/>
      <c r="I10" s="95"/>
      <c r="J10" s="95"/>
    </row>
    <row r="11" customFormat="false" ht="51.75" hidden="false" customHeight="true" outlineLevel="0" collapsed="false">
      <c r="A11" s="90" t="s">
        <v>250</v>
      </c>
      <c r="B11" s="91" t="s">
        <v>251</v>
      </c>
      <c r="C11" s="91"/>
      <c r="D11" s="92" t="s">
        <v>252</v>
      </c>
      <c r="E11" s="92"/>
      <c r="F11" s="92"/>
      <c r="G11" s="92" t="s">
        <v>253</v>
      </c>
      <c r="H11" s="92"/>
      <c r="I11" s="92"/>
      <c r="J11" s="92"/>
    </row>
    <row r="12" customFormat="false" ht="51.75" hidden="false" customHeight="true" outlineLevel="0" collapsed="false">
      <c r="A12" s="93" t="s">
        <v>254</v>
      </c>
      <c r="B12" s="94" t="s">
        <v>255</v>
      </c>
      <c r="C12" s="94"/>
      <c r="D12" s="95" t="s">
        <v>256</v>
      </c>
      <c r="E12" s="95"/>
      <c r="F12" s="95"/>
      <c r="G12" s="95" t="s">
        <v>257</v>
      </c>
      <c r="H12" s="95"/>
      <c r="I12" s="95"/>
      <c r="J12" s="95"/>
    </row>
    <row r="13" customFormat="false" ht="51.75" hidden="false" customHeight="true" outlineLevel="0" collapsed="false">
      <c r="A13" s="90" t="s">
        <v>258</v>
      </c>
      <c r="B13" s="91" t="s">
        <v>259</v>
      </c>
      <c r="C13" s="91"/>
      <c r="D13" s="92" t="s">
        <v>260</v>
      </c>
      <c r="E13" s="92"/>
      <c r="F13" s="92"/>
      <c r="G13" s="92" t="s">
        <v>261</v>
      </c>
      <c r="H13" s="92"/>
      <c r="I13" s="92"/>
      <c r="J13" s="92"/>
    </row>
    <row r="14" customFormat="false" ht="51.75" hidden="false" customHeight="true" outlineLevel="0" collapsed="false">
      <c r="A14" s="93" t="s">
        <v>262</v>
      </c>
      <c r="B14" s="94" t="s">
        <v>25</v>
      </c>
      <c r="C14" s="94"/>
      <c r="D14" s="95" t="s">
        <v>263</v>
      </c>
      <c r="E14" s="95"/>
      <c r="F14" s="95"/>
      <c r="G14" s="95" t="s">
        <v>264</v>
      </c>
      <c r="H14" s="95"/>
      <c r="I14" s="95"/>
      <c r="J14" s="95"/>
    </row>
    <row r="15" customFormat="false" ht="51.75" hidden="false" customHeight="true" outlineLevel="0" collapsed="false">
      <c r="A15" s="90" t="s">
        <v>265</v>
      </c>
      <c r="B15" s="91" t="s">
        <v>33</v>
      </c>
      <c r="C15" s="91"/>
      <c r="D15" s="92" t="s">
        <v>266</v>
      </c>
      <c r="E15" s="92"/>
      <c r="F15" s="92"/>
      <c r="G15" s="92" t="s">
        <v>267</v>
      </c>
      <c r="H15" s="92"/>
      <c r="I15" s="92"/>
      <c r="J15" s="92"/>
    </row>
    <row r="16" customFormat="false" ht="51.75" hidden="false" customHeight="true" outlineLevel="0" collapsed="false">
      <c r="A16" s="93" t="s">
        <v>268</v>
      </c>
      <c r="B16" s="94" t="s">
        <v>29</v>
      </c>
      <c r="C16" s="94"/>
      <c r="D16" s="95" t="s">
        <v>269</v>
      </c>
      <c r="E16" s="95"/>
      <c r="F16" s="95"/>
      <c r="G16" s="95" t="s">
        <v>270</v>
      </c>
      <c r="H16" s="95"/>
      <c r="I16" s="95"/>
      <c r="J16" s="95"/>
    </row>
    <row r="17" customFormat="false" ht="51.75" hidden="false" customHeight="true" outlineLevel="0" collapsed="false">
      <c r="A17" s="90" t="s">
        <v>271</v>
      </c>
      <c r="B17" s="91" t="s">
        <v>272</v>
      </c>
      <c r="C17" s="91"/>
      <c r="D17" s="92" t="s">
        <v>273</v>
      </c>
      <c r="E17" s="92"/>
      <c r="F17" s="92"/>
      <c r="G17" s="92" t="s">
        <v>274</v>
      </c>
      <c r="H17" s="92"/>
      <c r="I17" s="92"/>
      <c r="J17" s="92"/>
    </row>
    <row r="18" customFormat="false" ht="51.75" hidden="false" customHeight="true" outlineLevel="0" collapsed="false">
      <c r="A18" s="93" t="s">
        <v>275</v>
      </c>
      <c r="B18" s="94" t="s">
        <v>183</v>
      </c>
      <c r="C18" s="94"/>
      <c r="D18" s="95" t="s">
        <v>276</v>
      </c>
      <c r="E18" s="95"/>
      <c r="F18" s="95"/>
      <c r="G18" s="95" t="s">
        <v>277</v>
      </c>
      <c r="H18" s="95"/>
      <c r="I18" s="95"/>
      <c r="J18" s="95"/>
    </row>
    <row r="19" customFormat="false" ht="51.75" hidden="false" customHeight="true" outlineLevel="0" collapsed="false">
      <c r="A19" s="90" t="s">
        <v>278</v>
      </c>
      <c r="B19" s="91" t="s">
        <v>197</v>
      </c>
      <c r="C19" s="91"/>
      <c r="D19" s="92" t="s">
        <v>279</v>
      </c>
      <c r="E19" s="92"/>
      <c r="F19" s="92"/>
      <c r="G19" s="92" t="s">
        <v>280</v>
      </c>
      <c r="H19" s="92"/>
      <c r="I19" s="92"/>
      <c r="J19" s="92"/>
    </row>
    <row r="20" customFormat="false" ht="51.75" hidden="false" customHeight="true" outlineLevel="0" collapsed="false">
      <c r="A20" s="93" t="s">
        <v>281</v>
      </c>
      <c r="B20" s="94" t="s">
        <v>220</v>
      </c>
      <c r="C20" s="94"/>
      <c r="D20" s="95" t="s">
        <v>282</v>
      </c>
      <c r="E20" s="95"/>
      <c r="F20" s="95"/>
      <c r="G20" s="95" t="s">
        <v>283</v>
      </c>
      <c r="H20" s="95"/>
      <c r="I20" s="95"/>
      <c r="J20" s="95"/>
    </row>
    <row r="21" customFormat="false" ht="51.75" hidden="false" customHeight="true" outlineLevel="0" collapsed="false">
      <c r="A21" s="90" t="s">
        <v>284</v>
      </c>
      <c r="B21" s="91" t="s">
        <v>223</v>
      </c>
      <c r="C21" s="91"/>
      <c r="D21" s="92" t="s">
        <v>285</v>
      </c>
      <c r="E21" s="92"/>
      <c r="F21" s="92"/>
      <c r="G21" s="92" t="s">
        <v>286</v>
      </c>
      <c r="H21" s="92"/>
      <c r="I21" s="92"/>
      <c r="J21" s="92"/>
    </row>
    <row r="22" customFormat="false" ht="51.75" hidden="false" customHeight="true" outlineLevel="0" collapsed="false">
      <c r="A22" s="93" t="s">
        <v>287</v>
      </c>
      <c r="B22" s="94" t="s">
        <v>226</v>
      </c>
      <c r="C22" s="94"/>
      <c r="D22" s="95" t="s">
        <v>288</v>
      </c>
      <c r="E22" s="95"/>
      <c r="F22" s="95"/>
      <c r="G22" s="95" t="s">
        <v>289</v>
      </c>
      <c r="H22" s="95"/>
      <c r="I22" s="95"/>
      <c r="J22" s="95"/>
    </row>
    <row r="23" customFormat="false" ht="51.75" hidden="false" customHeight="true" outlineLevel="0" collapsed="false">
      <c r="A23" s="90" t="s">
        <v>290</v>
      </c>
      <c r="B23" s="91" t="s">
        <v>229</v>
      </c>
      <c r="C23" s="91"/>
      <c r="D23" s="92" t="s">
        <v>291</v>
      </c>
      <c r="E23" s="92"/>
      <c r="F23" s="92"/>
      <c r="G23" s="92" t="s">
        <v>292</v>
      </c>
      <c r="H23" s="92"/>
      <c r="I23" s="92"/>
      <c r="J23" s="92"/>
    </row>
    <row r="24" customFormat="false" ht="22.5" hidden="false" customHeight="true" outlineLevel="0" collapsed="false">
      <c r="A24" s="17" t="s">
        <v>293</v>
      </c>
      <c r="B24" s="17"/>
      <c r="C24" s="17"/>
      <c r="D24" s="17"/>
      <c r="E24" s="17"/>
      <c r="F24" s="17"/>
      <c r="G24" s="17"/>
      <c r="H24" s="17"/>
      <c r="I24" s="17"/>
      <c r="J24" s="17"/>
    </row>
    <row r="25" customFormat="false" ht="33.75" hidden="false" customHeight="true" outlineLevel="0" collapsed="false">
      <c r="A25" s="18" t="s">
        <v>294</v>
      </c>
      <c r="B25" s="18" t="s">
        <v>97</v>
      </c>
      <c r="C25" s="18" t="s">
        <v>295</v>
      </c>
      <c r="D25" s="18"/>
      <c r="E25" s="18"/>
      <c r="F25" s="18" t="s">
        <v>296</v>
      </c>
      <c r="G25" s="18"/>
      <c r="H25" s="18"/>
      <c r="I25" s="18"/>
      <c r="J25" s="18"/>
    </row>
    <row r="26" customFormat="false" ht="37.5" hidden="false" customHeight="true" outlineLevel="0" collapsed="false">
      <c r="A26" s="36" t="s">
        <v>58</v>
      </c>
      <c r="B26" s="37" t="n">
        <f aca="false">01_Data!K6</f>
        <v>5</v>
      </c>
      <c r="C26" s="96" t="str">
        <f aca="false">"ค่าเฉลี่ย Train = "&amp;TEXT(AVERAGE(01_Data!B6:B25),"0.00")</f>
        <v>ค่าเฉลี่ย Train = 5.00</v>
      </c>
      <c r="D26" s="96"/>
      <c r="E26" s="96"/>
      <c r="F26" s="38" t="s">
        <v>297</v>
      </c>
      <c r="G26" s="38"/>
      <c r="H26" s="38"/>
      <c r="I26" s="38"/>
      <c r="J26" s="38"/>
    </row>
    <row r="27" customFormat="false" ht="37.5" hidden="false" customHeight="true" outlineLevel="0" collapsed="false">
      <c r="A27" s="97" t="s">
        <v>60</v>
      </c>
      <c r="B27" s="98" t="n">
        <f aca="false">01_Data!K7</f>
        <v>2.5</v>
      </c>
      <c r="C27" s="99" t="str">
        <f aca="false">"Standard deviation จริง = "&amp;TEXT(STDEVP(01_Data!B6:B25),"0.00")&amp;" แล้วปัดเพื่อคำนวณง่าย"</f>
        <v>Standard deviation จริง = 2.35 แล้วปัดเพื่อคำนวณง่าย</v>
      </c>
      <c r="D27" s="99"/>
      <c r="E27" s="99"/>
      <c r="F27" s="100" t="s">
        <v>298</v>
      </c>
      <c r="G27" s="100"/>
      <c r="H27" s="100"/>
      <c r="I27" s="100"/>
      <c r="J27" s="100"/>
    </row>
    <row r="28" customFormat="false" ht="37.5" hidden="false" customHeight="true" outlineLevel="0" collapsed="false">
      <c r="A28" s="36" t="s">
        <v>62</v>
      </c>
      <c r="B28" s="37" t="n">
        <f aca="false">01_Data!K8</f>
        <v>75</v>
      </c>
      <c r="C28" s="96" t="str">
        <f aca="false">"ค่าเฉลี่ย Train = "&amp;TEXT(AVERAGE(01_Data!C6:C25),"0.00")&amp;" แล้วปัดเป็น 75"</f>
        <v>ค่าเฉลี่ย Train = 74.50 แล้วปัดเป็น 75</v>
      </c>
      <c r="D28" s="96"/>
      <c r="E28" s="96"/>
      <c r="F28" s="38" t="s">
        <v>299</v>
      </c>
      <c r="G28" s="38"/>
      <c r="H28" s="38"/>
      <c r="I28" s="38"/>
      <c r="J28" s="38"/>
    </row>
    <row r="29" customFormat="false" ht="37.5" hidden="false" customHeight="true" outlineLevel="0" collapsed="false">
      <c r="A29" s="97" t="s">
        <v>65</v>
      </c>
      <c r="B29" s="98" t="n">
        <f aca="false">01_Data!K9</f>
        <v>15</v>
      </c>
      <c r="C29" s="99" t="str">
        <f aca="false">"เลือก 15 จุดเปอร์เซ็นต์; standard deviation จริง = "&amp;TEXT(STDEVP(01_Data!C6:C25),"0.00")</f>
        <v>เลือก 15 จุดเปอร์เซ็นต์; standard deviation จริง = 11.89</v>
      </c>
      <c r="D29" s="99"/>
      <c r="E29" s="99"/>
      <c r="F29" s="100" t="s">
        <v>300</v>
      </c>
      <c r="G29" s="100"/>
      <c r="H29" s="100"/>
      <c r="I29" s="100"/>
      <c r="J29" s="100"/>
    </row>
    <row r="31" customFormat="false" ht="24.75" hidden="false" customHeight="true" outlineLevel="0" collapsed="false">
      <c r="A31" s="101" t="s">
        <v>301</v>
      </c>
      <c r="B31" s="101"/>
      <c r="C31" s="101"/>
      <c r="D31" s="101"/>
      <c r="E31" s="101"/>
      <c r="F31" s="101"/>
      <c r="G31" s="101"/>
      <c r="H31" s="101"/>
      <c r="I31" s="101"/>
      <c r="J31" s="101"/>
    </row>
    <row r="32" customFormat="false" ht="24.75" hidden="false" customHeight="true" outlineLevel="0" collapsed="false">
      <c r="A32" s="101"/>
      <c r="B32" s="101"/>
      <c r="C32" s="101"/>
      <c r="D32" s="101"/>
      <c r="E32" s="101"/>
      <c r="F32" s="101"/>
      <c r="G32" s="101"/>
      <c r="H32" s="101"/>
      <c r="I32" s="101"/>
      <c r="J32" s="101"/>
    </row>
  </sheetData>
  <mergeCells count="64">
    <mergeCell ref="A1:J1"/>
    <mergeCell ref="A2:J2"/>
    <mergeCell ref="A4:J5"/>
    <mergeCell ref="A7:J7"/>
    <mergeCell ref="B8:C8"/>
    <mergeCell ref="D8:F8"/>
    <mergeCell ref="G8:J8"/>
    <mergeCell ref="B9:C9"/>
    <mergeCell ref="D9:F9"/>
    <mergeCell ref="G9:J9"/>
    <mergeCell ref="B10:C10"/>
    <mergeCell ref="D10:F10"/>
    <mergeCell ref="G10:J10"/>
    <mergeCell ref="B11:C11"/>
    <mergeCell ref="D11:F11"/>
    <mergeCell ref="G11:J11"/>
    <mergeCell ref="B12:C12"/>
    <mergeCell ref="D12:F12"/>
    <mergeCell ref="G12:J12"/>
    <mergeCell ref="B13:C13"/>
    <mergeCell ref="D13:F13"/>
    <mergeCell ref="G13:J13"/>
    <mergeCell ref="B14:C14"/>
    <mergeCell ref="D14:F14"/>
    <mergeCell ref="G14:J14"/>
    <mergeCell ref="B15:C15"/>
    <mergeCell ref="D15:F15"/>
    <mergeCell ref="G15:J15"/>
    <mergeCell ref="B16:C16"/>
    <mergeCell ref="D16:F16"/>
    <mergeCell ref="G16:J16"/>
    <mergeCell ref="B17:C17"/>
    <mergeCell ref="D17:F17"/>
    <mergeCell ref="G17:J17"/>
    <mergeCell ref="B18:C18"/>
    <mergeCell ref="D18:F18"/>
    <mergeCell ref="G18:J18"/>
    <mergeCell ref="B19:C19"/>
    <mergeCell ref="D19:F19"/>
    <mergeCell ref="G19:J19"/>
    <mergeCell ref="B20:C20"/>
    <mergeCell ref="D20:F20"/>
    <mergeCell ref="G20:J20"/>
    <mergeCell ref="B21:C21"/>
    <mergeCell ref="D21:F21"/>
    <mergeCell ref="G21:J21"/>
    <mergeCell ref="B22:C22"/>
    <mergeCell ref="D22:F22"/>
    <mergeCell ref="G22:J22"/>
    <mergeCell ref="B23:C23"/>
    <mergeCell ref="D23:F23"/>
    <mergeCell ref="G23:J23"/>
    <mergeCell ref="A24:J24"/>
    <mergeCell ref="C25:E25"/>
    <mergeCell ref="F25:J25"/>
    <mergeCell ref="C26:E26"/>
    <mergeCell ref="F26:J26"/>
    <mergeCell ref="C27:E27"/>
    <mergeCell ref="F27:J27"/>
    <mergeCell ref="C28:E28"/>
    <mergeCell ref="F28:J28"/>
    <mergeCell ref="C29:E29"/>
    <mergeCell ref="F29:J29"/>
    <mergeCell ref="A31:J32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fals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2" style="1" width="10"/>
    <col collapsed="false" customWidth="true" hidden="false" outlineLevel="0" max="9" min="6" style="1" width="15"/>
    <col collapsed="false" customWidth="true" hidden="false" outlineLevel="0" max="10" min="10" style="1" width="4"/>
    <col collapsed="false" customWidth="true" hidden="false" outlineLevel="0" max="11" min="11" style="1" width="24"/>
    <col collapsed="false" customWidth="true" hidden="false" outlineLevel="0" max="12" min="12" style="1" width="28"/>
  </cols>
  <sheetData>
    <row r="1" customFormat="false" ht="33.75" hidden="false" customHeight="true" outlineLevel="0" collapsed="false">
      <c r="A1" s="2" t="s">
        <v>302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.75" hidden="false" customHeight="true" outlineLevel="0" collapsed="false">
      <c r="A2" s="3" t="s">
        <v>303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2.5" hidden="false" customHeight="true" outlineLevel="0" collapsed="false">
      <c r="A4" s="4" t="s">
        <v>304</v>
      </c>
      <c r="B4" s="4"/>
      <c r="C4" s="4"/>
      <c r="D4" s="4"/>
      <c r="E4" s="4"/>
      <c r="F4" s="4"/>
      <c r="G4" s="4"/>
      <c r="H4" s="4"/>
      <c r="I4" s="4"/>
    </row>
    <row r="5" customFormat="false" ht="33.75" hidden="false" customHeight="true" outlineLevel="0" collapsed="false">
      <c r="A5" s="18" t="s">
        <v>183</v>
      </c>
      <c r="B5" s="18" t="s">
        <v>205</v>
      </c>
      <c r="C5" s="18" t="s">
        <v>208</v>
      </c>
      <c r="D5" s="18" t="s">
        <v>211</v>
      </c>
      <c r="E5" s="18" t="s">
        <v>213</v>
      </c>
      <c r="F5" s="18" t="s">
        <v>220</v>
      </c>
      <c r="G5" s="18" t="s">
        <v>223</v>
      </c>
      <c r="H5" s="18" t="s">
        <v>226</v>
      </c>
      <c r="I5" s="18" t="s">
        <v>229</v>
      </c>
    </row>
    <row r="6" customFormat="false" ht="24.75" hidden="false" customHeight="true" outlineLevel="0" collapsed="false">
      <c r="A6" s="102" t="n">
        <v>0.3</v>
      </c>
      <c r="B6" s="103" t="n">
        <f aca="false">COUNTIFS(04_Test_Prediction!$F$8:$F$17,1,04_Test_Prediction!$K$8:$K$17,"&gt;="&amp;A6)</f>
        <v>6</v>
      </c>
      <c r="C6" s="103" t="n">
        <f aca="false">COUNTIFS(04_Test_Prediction!$F$8:$F$17,0,04_Test_Prediction!$K$8:$K$17,"&gt;="&amp;A6)</f>
        <v>3</v>
      </c>
      <c r="D6" s="103" t="n">
        <f aca="false">COUNTIFS(04_Test_Prediction!$F$8:$F$17,1,04_Test_Prediction!$K$8:$K$17,"&lt;"&amp;A6)</f>
        <v>0</v>
      </c>
      <c r="E6" s="103" t="n">
        <f aca="false">COUNTIFS(04_Test_Prediction!$F$8:$F$17,0,04_Test_Prediction!$K$8:$K$17,"&lt;"&amp;A6)</f>
        <v>1</v>
      </c>
      <c r="F6" s="104" t="n">
        <f aca="false">IFERROR((B6+E6)/SUM(B6:E6),0)</f>
        <v>0.7</v>
      </c>
      <c r="G6" s="104" t="n">
        <f aca="false">IFERROR(B6/(B6+C6),0)</f>
        <v>0.666666666666667</v>
      </c>
      <c r="H6" s="104" t="n">
        <f aca="false">IFERROR(B6/(B6+D6),0)</f>
        <v>1</v>
      </c>
      <c r="I6" s="104" t="n">
        <f aca="false">IFERROR(2*G6*H6/(G6+H6),0)</f>
        <v>0.8</v>
      </c>
    </row>
    <row r="7" customFormat="false" ht="24.75" hidden="false" customHeight="true" outlineLevel="0" collapsed="false">
      <c r="A7" s="102" t="n">
        <v>0.4</v>
      </c>
      <c r="B7" s="105" t="n">
        <f aca="false">COUNTIFS(04_Test_Prediction!$F$8:$F$17,1,04_Test_Prediction!$K$8:$K$17,"&gt;="&amp;A7)</f>
        <v>6</v>
      </c>
      <c r="C7" s="105" t="n">
        <f aca="false">COUNTIFS(04_Test_Prediction!$F$8:$F$17,0,04_Test_Prediction!$K$8:$K$17,"&gt;="&amp;A7)</f>
        <v>2</v>
      </c>
      <c r="D7" s="105" t="n">
        <f aca="false">COUNTIFS(04_Test_Prediction!$F$8:$F$17,1,04_Test_Prediction!$K$8:$K$17,"&lt;"&amp;A7)</f>
        <v>0</v>
      </c>
      <c r="E7" s="105" t="n">
        <f aca="false">COUNTIFS(04_Test_Prediction!$F$8:$F$17,0,04_Test_Prediction!$K$8:$K$17,"&lt;"&amp;A7)</f>
        <v>2</v>
      </c>
      <c r="F7" s="106" t="n">
        <f aca="false">IFERROR((B7+E7)/SUM(B7:E7),0)</f>
        <v>0.8</v>
      </c>
      <c r="G7" s="106" t="n">
        <f aca="false">IFERROR(B7/(B7+C7),0)</f>
        <v>0.75</v>
      </c>
      <c r="H7" s="106" t="n">
        <f aca="false">IFERROR(B7/(B7+D7),0)</f>
        <v>1</v>
      </c>
      <c r="I7" s="106" t="n">
        <f aca="false">IFERROR(2*G7*H7/(G7+H7),0)</f>
        <v>0.857142857142857</v>
      </c>
    </row>
    <row r="8" customFormat="false" ht="24.75" hidden="false" customHeight="true" outlineLevel="0" collapsed="false">
      <c r="A8" s="102" t="n">
        <v>0.5</v>
      </c>
      <c r="B8" s="103" t="n">
        <f aca="false">COUNTIFS(04_Test_Prediction!$F$8:$F$17,1,04_Test_Prediction!$K$8:$K$17,"&gt;="&amp;A8)</f>
        <v>5</v>
      </c>
      <c r="C8" s="103" t="n">
        <f aca="false">COUNTIFS(04_Test_Prediction!$F$8:$F$17,0,04_Test_Prediction!$K$8:$K$17,"&gt;="&amp;A8)</f>
        <v>1</v>
      </c>
      <c r="D8" s="103" t="n">
        <f aca="false">COUNTIFS(04_Test_Prediction!$F$8:$F$17,1,04_Test_Prediction!$K$8:$K$17,"&lt;"&amp;A8)</f>
        <v>1</v>
      </c>
      <c r="E8" s="103" t="n">
        <f aca="false">COUNTIFS(04_Test_Prediction!$F$8:$F$17,0,04_Test_Prediction!$K$8:$K$17,"&lt;"&amp;A8)</f>
        <v>3</v>
      </c>
      <c r="F8" s="104" t="n">
        <f aca="false">IFERROR((B8+E8)/SUM(B8:E8),0)</f>
        <v>0.8</v>
      </c>
      <c r="G8" s="104" t="n">
        <f aca="false">IFERROR(B8/(B8+C8),0)</f>
        <v>0.833333333333333</v>
      </c>
      <c r="H8" s="104" t="n">
        <f aca="false">IFERROR(B8/(B8+D8),0)</f>
        <v>0.833333333333333</v>
      </c>
      <c r="I8" s="104" t="n">
        <f aca="false">IFERROR(2*G8*H8/(G8+H8),0)</f>
        <v>0.833333333333333</v>
      </c>
    </row>
    <row r="9" customFormat="false" ht="24.75" hidden="false" customHeight="true" outlineLevel="0" collapsed="false">
      <c r="A9" s="102" t="n">
        <v>0.6</v>
      </c>
      <c r="B9" s="105" t="n">
        <f aca="false">COUNTIFS(04_Test_Prediction!$F$8:$F$17,1,04_Test_Prediction!$K$8:$K$17,"&gt;="&amp;A9)</f>
        <v>5</v>
      </c>
      <c r="C9" s="105" t="n">
        <f aca="false">COUNTIFS(04_Test_Prediction!$F$8:$F$17,0,04_Test_Prediction!$K$8:$K$17,"&gt;="&amp;A9)</f>
        <v>0</v>
      </c>
      <c r="D9" s="105" t="n">
        <f aca="false">COUNTIFS(04_Test_Prediction!$F$8:$F$17,1,04_Test_Prediction!$K$8:$K$17,"&lt;"&amp;A9)</f>
        <v>1</v>
      </c>
      <c r="E9" s="105" t="n">
        <f aca="false">COUNTIFS(04_Test_Prediction!$F$8:$F$17,0,04_Test_Prediction!$K$8:$K$17,"&lt;"&amp;A9)</f>
        <v>4</v>
      </c>
      <c r="F9" s="106" t="n">
        <f aca="false">IFERROR((B9+E9)/SUM(B9:E9),0)</f>
        <v>0.9</v>
      </c>
      <c r="G9" s="106" t="n">
        <f aca="false">IFERROR(B9/(B9+C9),0)</f>
        <v>1</v>
      </c>
      <c r="H9" s="106" t="n">
        <f aca="false">IFERROR(B9/(B9+D9),0)</f>
        <v>0.833333333333333</v>
      </c>
      <c r="I9" s="106" t="n">
        <f aca="false">IFERROR(2*G9*H9/(G9+H9),0)</f>
        <v>0.909090909090909</v>
      </c>
    </row>
    <row r="10" customFormat="false" ht="24.75" hidden="false" customHeight="true" outlineLevel="0" collapsed="false">
      <c r="A10" s="102" t="n">
        <v>0.7</v>
      </c>
      <c r="B10" s="103" t="n">
        <f aca="false">COUNTIFS(04_Test_Prediction!$F$8:$F$17,1,04_Test_Prediction!$K$8:$K$17,"&gt;="&amp;A10)</f>
        <v>2</v>
      </c>
      <c r="C10" s="103" t="n">
        <f aca="false">COUNTIFS(04_Test_Prediction!$F$8:$F$17,0,04_Test_Prediction!$K$8:$K$17,"&gt;="&amp;A10)</f>
        <v>0</v>
      </c>
      <c r="D10" s="103" t="n">
        <f aca="false">COUNTIFS(04_Test_Prediction!$F$8:$F$17,1,04_Test_Prediction!$K$8:$K$17,"&lt;"&amp;A10)</f>
        <v>4</v>
      </c>
      <c r="E10" s="103" t="n">
        <f aca="false">COUNTIFS(04_Test_Prediction!$F$8:$F$17,0,04_Test_Prediction!$K$8:$K$17,"&lt;"&amp;A10)</f>
        <v>4</v>
      </c>
      <c r="F10" s="104" t="n">
        <f aca="false">IFERROR((B10+E10)/SUM(B10:E10),0)</f>
        <v>0.6</v>
      </c>
      <c r="G10" s="104" t="n">
        <f aca="false">IFERROR(B10/(B10+C10),0)</f>
        <v>1</v>
      </c>
      <c r="H10" s="104" t="n">
        <f aca="false">IFERROR(B10/(B10+D10),0)</f>
        <v>0.333333333333333</v>
      </c>
      <c r="I10" s="104" t="n">
        <f aca="false">IFERROR(2*G10*H10/(G10+H10),0)</f>
        <v>0.5</v>
      </c>
    </row>
    <row r="12" customFormat="false" ht="22.5" hidden="false" customHeight="true" outlineLevel="0" collapsed="false">
      <c r="A12" s="17" t="s">
        <v>305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customFormat="false" ht="33.75" hidden="false" customHeight="true" outlineLevel="0" collapsed="false">
      <c r="A13" s="107" t="s">
        <v>306</v>
      </c>
      <c r="B13" s="107"/>
      <c r="C13" s="107"/>
      <c r="D13" s="107"/>
      <c r="E13" s="107"/>
      <c r="F13" s="107"/>
      <c r="G13" s="107"/>
      <c r="H13" s="107"/>
      <c r="I13" s="107"/>
      <c r="K13" s="108" t="s">
        <v>307</v>
      </c>
      <c r="L13" s="108"/>
    </row>
    <row r="14" customFormat="false" ht="33.75" hidden="false" customHeight="true" outlineLevel="0" collapsed="false">
      <c r="A14" s="109" t="s">
        <v>308</v>
      </c>
      <c r="B14" s="109"/>
      <c r="C14" s="109"/>
      <c r="D14" s="109"/>
      <c r="E14" s="109"/>
      <c r="F14" s="109"/>
      <c r="G14" s="109"/>
      <c r="H14" s="109"/>
      <c r="I14" s="109"/>
      <c r="K14" s="108" t="s">
        <v>307</v>
      </c>
      <c r="L14" s="108"/>
    </row>
    <row r="15" customFormat="false" ht="33.75" hidden="false" customHeight="true" outlineLevel="0" collapsed="false">
      <c r="A15" s="5" t="s">
        <v>309</v>
      </c>
      <c r="B15" s="5"/>
      <c r="C15" s="5"/>
      <c r="D15" s="5"/>
      <c r="E15" s="5"/>
      <c r="F15" s="5"/>
      <c r="G15" s="5"/>
      <c r="H15" s="5"/>
      <c r="I15" s="5"/>
      <c r="K15" s="108" t="s">
        <v>307</v>
      </c>
      <c r="L15" s="108"/>
    </row>
    <row r="16" customFormat="false" ht="33.75" hidden="false" customHeight="true" outlineLevel="0" collapsed="false">
      <c r="A16" s="109" t="s">
        <v>310</v>
      </c>
      <c r="B16" s="109"/>
      <c r="C16" s="109"/>
      <c r="D16" s="109"/>
      <c r="E16" s="109"/>
      <c r="F16" s="109"/>
      <c r="G16" s="109"/>
      <c r="H16" s="109"/>
      <c r="I16" s="109"/>
      <c r="K16" s="108" t="s">
        <v>307</v>
      </c>
      <c r="L16" s="108"/>
    </row>
    <row r="17" customFormat="false" ht="33.75" hidden="false" customHeight="true" outlineLevel="0" collapsed="false">
      <c r="A17" s="5" t="s">
        <v>311</v>
      </c>
      <c r="B17" s="5"/>
      <c r="C17" s="5"/>
      <c r="D17" s="5"/>
      <c r="E17" s="5"/>
      <c r="F17" s="5"/>
      <c r="G17" s="5"/>
      <c r="H17" s="5"/>
      <c r="I17" s="5"/>
      <c r="K17" s="108" t="s">
        <v>307</v>
      </c>
      <c r="L17" s="108"/>
    </row>
    <row r="20" customFormat="false" ht="24.75" hidden="false" customHeight="true" outlineLevel="0" collapsed="false">
      <c r="A20" s="101" t="s">
        <v>312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</row>
    <row r="21" customFormat="false" ht="24.75" hidden="false" customHeight="true" outlineLevel="0" collapsed="false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</row>
  </sheetData>
  <mergeCells count="15">
    <mergeCell ref="A1:L1"/>
    <mergeCell ref="A2:L2"/>
    <mergeCell ref="A4:I4"/>
    <mergeCell ref="A12:L12"/>
    <mergeCell ref="A13:I13"/>
    <mergeCell ref="K13:L13"/>
    <mergeCell ref="A14:I14"/>
    <mergeCell ref="K14:L14"/>
    <mergeCell ref="A15:I15"/>
    <mergeCell ref="K15:L15"/>
    <mergeCell ref="A16:I16"/>
    <mergeCell ref="K16:L16"/>
    <mergeCell ref="A17:I17"/>
    <mergeCell ref="K17:L17"/>
    <mergeCell ref="A20:L21"/>
  </mergeCells>
  <conditionalFormatting sqref="I6:I10">
    <cfRule type="cellIs" priority="2" operator="equal" aboveAverage="0" equalAverage="0" bottom="0" percent="0" rank="0" text="" dxfId="9">
      <formula>MAX($I$6:$I$10)</formula>
    </cfRule>
  </conditionalFormatting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2026-07-16T06:18:07Z</dcterms:created>
  <dc:creator>OpenAI</dc:creator>
  <dc:description>Thai classroom workbook with formula-driven gradient descent, prediction, confusion matrix, and metrics</dc:description>
  <dc:language>en-US</dc:language>
  <cp:lastModifiedBy/>
  <dcterms:modified xsi:type="dcterms:W3CDTF">2026-07-16T14:37:34Z</dcterms:modified>
  <cp:revision>2</cp:revision>
  <dc:subject>Excel-based Logistic Regression teaching workbook</dc:subject>
  <dc:title>Logistic Regression Step by Step for Students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