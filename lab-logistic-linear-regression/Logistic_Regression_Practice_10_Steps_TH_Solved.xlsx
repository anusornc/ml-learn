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Data" sheetId="2" state="visible" r:id="rId4"/>
    <sheet name="02_Training_Detail" sheetId="3" state="visible" r:id="rId5"/>
    <sheet name="03_Model_Path" sheetId="4" state="visible" r:id="rId6"/>
    <sheet name="04_Test_Prediction" sheetId="5" state="visible" r:id="rId7"/>
    <sheet name="05_Evaluation" sheetId="6" state="visible" r:id="rId8"/>
    <sheet name="06_Key_Concepts" sheetId="7" state="visible" r:id="rId9"/>
    <sheet name="07_Exercises" sheetId="8" state="visible" r:id="rId10"/>
  </sheets>
  <definedNames>
    <definedName function="false" hidden="false" localSheetId="0" name="_xlnm.Print_Area" vbProcedure="false">00_Guide!$A$1:$H$35</definedName>
    <definedName function="false" hidden="false" localSheetId="1" name="_xlnm.Print_Area" vbProcedure="false">01_Data!$A$1:$Q$37</definedName>
    <definedName function="false" hidden="false" localSheetId="1" name="_xlnm.Print_Titles" vbProcedure="false">01_Data!$1:$5</definedName>
    <definedName function="false" hidden="true" localSheetId="1" name="_xlnm._FilterDatabase" vbProcedure="false">01_Data!$A$5:$H$35</definedName>
    <definedName function="false" hidden="false" localSheetId="2" name="_xlnm.Print_Area" vbProcedure="false">02_Training_Detail!$A$1:$K$529</definedName>
    <definedName function="false" hidden="false" localSheetId="2" name="_xlnm.Print_Titles" vbProcedure="false">02_Training_Detail!$1:$10</definedName>
    <definedName function="false" hidden="false" localSheetId="3" name="_xlnm.Print_Area" vbProcedure="false">03_Model_Path!$A$1:$U$38</definedName>
    <definedName function="false" hidden="false" localSheetId="4" name="_xlnm.Print_Area" vbProcedure="false">04_Test_Prediction!$A$1:$W$28</definedName>
    <definedName function="false" hidden="true" localSheetId="4" name="_xlnm._FilterDatabase" vbProcedure="false">04_Test_Prediction!$A$7:$O$17</definedName>
    <definedName function="false" hidden="false" localSheetId="5" name="_xlnm.Print_Area" vbProcedure="false">05_Evaluation!$A$1:$J$24</definedName>
    <definedName function="false" hidden="false" localSheetId="6" name="_xlnm.Print_Area" vbProcedure="false">06_Key_Concepts!$A$1:$J$33</definedName>
    <definedName function="false" hidden="false" localSheetId="7" name="_xlnm.Print_Area" vbProcedure="false">07_Exercises!$A$1:$L$22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K6" authorId="0">
      <text>
        <r>
          <rPr>
            <sz val="10"/>
            <rFont val="Arial Unicode MS"/>
            <family val="2"/>
          </rPr>
          <t xml:space="preserve">ค่าเฉลี่ยของชั่วโมงอ่านในชุด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5.00 </t>
        </r>
        <r>
          <rPr>
            <sz val="10"/>
            <rFont val="Arial Unicode MS"/>
            <family val="2"/>
          </rPr>
          <t xml:space="preserve">จึงใช้เป็นจุดกึ่งกลาง ทำให้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Arial Unicode MS"/>
            <family val="2"/>
          </rPr>
          <t xml:space="preserve">ชั่วโมงแปลงเป็น </t>
        </r>
        <r>
          <rPr>
            <sz val="10"/>
            <rFont val="Arial"/>
            <family val="2"/>
          </rPr>
          <t xml:space="preserve">x1 = 0</t>
        </r>
      </text>
    </comment>
    <comment ref="K7" authorId="0">
      <text>
        <r>
          <rPr>
            <sz val="10"/>
            <rFont val="Arial Unicode MS"/>
            <family val="2"/>
          </rPr>
          <t xml:space="preserve">ส่วนเบี่ยงเบนมาตรฐานจริงประมาณ </t>
        </r>
        <r>
          <rPr>
            <sz val="10"/>
            <rFont val="Arial"/>
            <family val="2"/>
          </rPr>
          <t xml:space="preserve">2.35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2.5 </t>
        </r>
        <r>
          <rPr>
            <sz val="10"/>
            <rFont val="Arial Unicode MS"/>
            <family val="2"/>
          </rPr>
          <t xml:space="preserve">เพื่อให้คำนวณมือและตีความง่าย ค่านี้เป็น </t>
        </r>
        <r>
          <rPr>
            <sz val="10"/>
            <rFont val="Arial"/>
            <family val="2"/>
          </rPr>
          <t xml:space="preserve">teaching scale </t>
        </r>
        <r>
          <rPr>
            <sz val="10"/>
            <rFont val="Arial Unicode MS"/>
            <family val="2"/>
          </rPr>
          <t xml:space="preserve">ไม่ใช่ </t>
        </r>
        <r>
          <rPr>
            <sz val="10"/>
            <rFont val="Arial"/>
            <family val="2"/>
          </rPr>
          <t xml:space="preserve">z-score </t>
        </r>
        <r>
          <rPr>
            <sz val="10"/>
            <rFont val="Arial Unicode MS"/>
            <family val="2"/>
          </rPr>
          <t xml:space="preserve">แบบเคร่งครัด</t>
        </r>
      </text>
    </comment>
    <comment ref="K8" authorId="0">
      <text>
        <r>
          <rPr>
            <sz val="10"/>
            <rFont val="Arial Unicode MS"/>
            <family val="2"/>
          </rPr>
          <t xml:space="preserve">ค่าเฉลี่ย </t>
        </r>
        <r>
          <rPr>
            <sz val="10"/>
            <rFont val="Arial"/>
            <family val="2"/>
          </rPr>
          <t xml:space="preserve">Attendance </t>
        </r>
        <r>
          <rPr>
            <sz val="10"/>
            <rFont val="Arial Unicode MS"/>
            <family val="2"/>
          </rPr>
          <t xml:space="preserve">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74.5%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75% </t>
        </r>
        <r>
          <rPr>
            <sz val="10"/>
            <rFont val="Arial Unicode MS"/>
            <family val="2"/>
          </rPr>
          <t xml:space="preserve">เพื่อใช้เป็นจุดกึ่งกลางที่จำง่าย</t>
        </r>
      </text>
    </comment>
    <comment ref="K9" authorId="0">
      <text>
        <r>
          <rPr>
            <sz val="10"/>
            <rFont val="Arial Unicode MS"/>
            <family val="2"/>
          </rPr>
          <t xml:space="preserve">เลือก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Arial Unicode MS"/>
            <family val="2"/>
          </rPr>
          <t xml:space="preserve">จุดเปอร์เซ็นต์เพื่อให้ </t>
        </r>
        <r>
          <rPr>
            <sz val="10"/>
            <rFont val="Arial"/>
            <family val="2"/>
          </rPr>
          <t xml:space="preserve">60% </t>
        </r>
        <r>
          <rPr>
            <sz val="10"/>
            <rFont val="Arial Unicode MS"/>
            <family val="2"/>
          </rPr>
          <t xml:space="preserve">แปลงเป็น </t>
        </r>
        <r>
          <rPr>
            <sz val="10"/>
            <rFont val="Arial"/>
            <family val="2"/>
          </rPr>
          <t xml:space="preserve">-1, 75%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90%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+1 </t>
        </r>
        <r>
          <rPr>
            <sz val="10"/>
            <rFont val="Arial Unicode MS"/>
            <family val="2"/>
          </rPr>
          <t xml:space="preserve">ค่านี้เน้นการสอนและการคำนวณมือ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ลองปรับ </t>
        </r>
        <r>
          <rPr>
            <sz val="10"/>
            <rFont val="Arial"/>
            <family val="2"/>
          </rPr>
          <t xml:space="preserve">0.10–0.80 </t>
        </r>
        <r>
          <rPr>
            <sz val="10"/>
            <rFont val="Arial Unicode MS"/>
            <family val="2"/>
          </rPr>
          <t xml:space="preserve">แล้วสังเกตกราฟ </t>
        </r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</rPr>
          <t xml:space="preserve">ในชีต </t>
        </r>
        <r>
          <rPr>
            <sz val="10"/>
            <rFont val="Arial"/>
            <family val="2"/>
          </rPr>
          <t xml:space="preserve">03_Model_Path</t>
        </r>
      </text>
    </comment>
    <comment ref="B5" authorId="0">
      <text>
        <r>
          <rPr>
            <sz val="10"/>
            <rFont val="Arial Unicode MS"/>
            <family val="2"/>
          </rPr>
          <t xml:space="preserve">ไฟล์นี้เตรียมพื้นที่ฝึกไว้ </t>
        </r>
        <r>
          <rPr>
            <sz val="10"/>
            <rFont val="Arial"/>
            <family val="2"/>
          </rPr>
          <t xml:space="preserve">20 </t>
        </r>
        <r>
          <rPr>
            <sz val="10"/>
            <rFont val="Arial Unicode MS"/>
            <family val="2"/>
          </rPr>
          <t xml:space="preserve">รอบ</t>
        </r>
      </text>
    </comment>
    <comment ref="E14" authorId="0">
      <text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คือคะแนนเชิงเส้นก่อนผ่าน </t>
        </r>
        <r>
          <rPr>
            <sz val="10"/>
            <rFont val="Arial"/>
            <family val="2"/>
          </rPr>
          <t xml:space="preserve">sigmoid</t>
        </r>
      </text>
    </comment>
    <comment ref="F14" authorId="0">
      <text>
        <r>
          <rPr>
            <sz val="10"/>
            <rFont val="Arial"/>
            <family val="2"/>
          </rPr>
          <t xml:space="preserve">sigmoid </t>
        </r>
        <r>
          <rPr>
            <sz val="10"/>
            <rFont val="Arial Unicode MS"/>
            <family val="2"/>
          </rPr>
          <t xml:space="preserve">แปลง </t>
        </r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ให้เป็นความน่าจะเป็นระหว่าง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1</t>
        </r>
      </text>
    </comment>
    <comment ref="G14" authorId="0">
      <text>
        <r>
          <rPr>
            <sz val="10"/>
            <rFont val="Arial"/>
            <family val="2"/>
          </rPr>
          <t xml:space="preserve">error = p - y </t>
        </r>
        <r>
          <rPr>
            <sz val="10"/>
            <rFont val="Arial Unicode MS"/>
            <family val="2"/>
          </rPr>
          <t xml:space="preserve">เป็นทิศทางความคลาดเคลื่อนของแถวนั้น</t>
        </r>
      </text>
    </comment>
    <comment ref="K14" authorId="0">
      <text>
        <r>
          <rPr>
            <sz val="10"/>
            <rFont val="Arial"/>
            <family val="2"/>
          </rPr>
          <t xml:space="preserve">Log Loss </t>
        </r>
        <r>
          <rPr>
            <sz val="10"/>
            <rFont val="Arial Unicode MS"/>
            <family val="2"/>
          </rPr>
          <t xml:space="preserve">ลงโทษการทำนายที่มั่นใจแต่ผิดมากเป็นพิเศษ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ลองเปลี่ยนเป็น </t>
        </r>
        <r>
          <rPr>
            <sz val="10"/>
            <rFont val="Arial"/>
            <family val="2"/>
          </rPr>
          <t xml:space="preserve">0.40 </t>
        </r>
        <r>
          <rPr>
            <sz val="10"/>
            <rFont val="Arial Unicode M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0.60 </t>
        </r>
        <r>
          <rPr>
            <sz val="10"/>
            <rFont val="Arial Unicode MS"/>
            <family val="2"/>
          </rPr>
          <t xml:space="preserve">แล้วดูผลที่ชีต </t>
        </r>
        <r>
          <rPr>
            <sz val="10"/>
            <rFont val="Arial"/>
            <family val="2"/>
          </rPr>
          <t xml:space="preserve">05_Evaluation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C8" authorId="0">
      <text>
        <r>
          <rPr>
            <sz val="10"/>
            <rFont val="Arial"/>
            <family val="2"/>
          </rPr>
          <t xml:space="preserve">True Positive (TP)</t>
        </r>
      </text>
    </comment>
    <comment ref="C9" authorId="0">
      <text>
        <r>
          <rPr>
            <sz val="10"/>
            <rFont val="Arial"/>
            <family val="2"/>
          </rPr>
          <t xml:space="preserve">False Positive (FP)</t>
        </r>
      </text>
    </comment>
    <comment ref="D8" authorId="0">
      <text>
        <r>
          <rPr>
            <sz val="10"/>
            <rFont val="Arial"/>
            <family val="2"/>
          </rPr>
          <t xml:space="preserve">False Negative (FN)</t>
        </r>
      </text>
    </comment>
    <comment ref="D9" authorId="0">
      <text>
        <r>
          <rPr>
            <sz val="10"/>
            <rFont val="Arial"/>
            <family val="2"/>
          </rPr>
          <t xml:space="preserve">True Negative (TN)</t>
        </r>
      </text>
    </comment>
  </commentList>
</comments>
</file>

<file path=xl/sharedStrings.xml><?xml version="1.0" encoding="utf-8"?>
<sst xmlns="http://schemas.openxmlformats.org/spreadsheetml/2006/main" count="583" uniqueCount="305">
  <si>
    <t xml:space="preserve">Logistic Regression — แบบฝึกคำนวณทีละขั้นใน Excel</t>
  </si>
  <si>
    <t xml:space="preserve">แบบฝึกก่อนสอบ: เติมช่องสีเหลืองให้ครบ 10 รอบ แล้วตรวจเส้นทางการเรียนรู้ของโมเดล</t>
  </si>
  <si>
    <t xml:space="preserve">เป้าหมายการเรียนรู้</t>
  </si>
  <si>
    <t xml:space="preserve">1. อธิบายสมการ z = w1x1 + w2x2 + b และ sigmoid ได้</t>
  </si>
  <si>
    <t xml:space="preserve">2. เห็นว่า Gradient Descent ปรับค่าน้ำหนักอย่างไรในแต่ละรอบ</t>
  </si>
  <si>
    <t xml:space="preserve">3. เปลี่ยน probability เป็น class ด้วย threshold และอธิบาย TP/FP/FN/TN ได้</t>
  </si>
  <si>
    <t xml:space="preserve">4. คำนวณ Accuracy, Precision, Recall และ F1-score จาก Confusion Matrix ได้</t>
  </si>
  <si>
    <t xml:space="preserve">เส้นทางการเรียนใน Workbook</t>
  </si>
  <si>
    <t xml:space="preserve">01_Data</t>
  </si>
  <si>
    <t xml:space="preserve">ข้อมูลนักศึกษา 30 คน พร้อมการปรับสเกล x1 และ x2</t>
  </si>
  <si>
    <t xml:space="preserve">02_Training_Detail</t>
  </si>
  <si>
    <t xml:space="preserve">คำนวณ z, p, error, gradient, log loss และอัปเดต w1, w2, b ทีละรอบ</t>
  </si>
  <si>
    <t xml:space="preserve">03_Model_Path</t>
  </si>
  <si>
    <t xml:space="preserve">ดูตารางสรุปค่าน้ำหนักและกราฟ loss ตลอด 10 รอบ</t>
  </si>
  <si>
    <t xml:space="preserve">04_Test_Prediction</t>
  </si>
  <si>
    <t xml:space="preserve">ใช้โมเดลกับข้อมูล Test และทดลองเปลี่ยน threshold</t>
  </si>
  <si>
    <t xml:space="preserve">05_Evaluation</t>
  </si>
  <si>
    <t xml:space="preserve">สร้าง Confusion Matrix และคำนวณ metrics จากสูตร</t>
  </si>
  <si>
    <t xml:space="preserve">06_Key_Concepts</t>
  </si>
  <si>
    <t xml:space="preserve">อ่านคำอธิบายแนวคิดสำคัญและเหตุผลของแต่ละขั้นตอน</t>
  </si>
  <si>
    <t xml:space="preserve">07_Exercises</t>
  </si>
  <si>
    <t xml:space="preserve">ทดลอง threshold หลายค่าและตอบคำถามอภิปราย</t>
  </si>
  <si>
    <t xml:space="preserve">สูตรหลัก</t>
  </si>
  <si>
    <t xml:space="preserve">Linear score</t>
  </si>
  <si>
    <t xml:space="preserve">z = w1x1 + w2x2 + b</t>
  </si>
  <si>
    <t xml:space="preserve">Sigmoid</t>
  </si>
  <si>
    <t xml:space="preserve">p = 1 / (1 + EXP(-z))</t>
  </si>
  <si>
    <t xml:space="preserve">Error</t>
  </si>
  <si>
    <t xml:space="preserve">error = p - y</t>
  </si>
  <si>
    <t xml:space="preserve">Gradient</t>
  </si>
  <si>
    <t xml:space="preserve">grad b = AVERAGE(error); grad w1 = AVERAGE(error×x1); grad w2 = AVERAGE(error×x2)</t>
  </si>
  <si>
    <t xml:space="preserve">Update</t>
  </si>
  <si>
    <t xml:space="preserve">พารามิเตอร์ใหม่ = พารามิเตอร์เดิม - learning rate × gradient</t>
  </si>
  <si>
    <t xml:space="preserve">Log Loss</t>
  </si>
  <si>
    <t xml:space="preserve">-[y·LN(p) + (1-y)·LN(1-p)]</t>
  </si>
  <si>
    <t xml:space="preserve">รหัสสีและวิธีทดลอง</t>
  </si>
  <si>
    <t xml:space="preserve">ช่องสีเหลือง = ช่องว่างที่นักศึกษาต้องเติม</t>
  </si>
  <si>
    <t xml:space="preserve">ตัวอักษรสีดำ = สูตรคำนวณภายในชีต</t>
  </si>
  <si>
    <t xml:space="preserve">ตัวอักษรสีเขียว = สูตรที่ดึงค่าจากชีตอื่น</t>
  </si>
  <si>
    <t xml:space="preserve">สีเขียว = ผลลัพธ์ถูกต้อง / TP / TN</t>
  </si>
  <si>
    <t xml:space="preserve">สีแดง = ผลลัพธ์คลาดเคลื่อน / FP / FN</t>
  </si>
  <si>
    <t xml:space="preserve">คำแนะนำ: เริ่มจาก 01_Data แล้วเติมช่องสีเหลืองใน 02_Training_Detail ตามลำดับรอบที่ 1–20 เมื่อกรอกครบ 03_Model_Path และชีตถัดไปจะแสดงผลจากคำตอบของนักศึกษา</t>
  </si>
  <si>
    <t xml:space="preserve">01 • ข้อมูลและการเตรียมฟีเจอร์</t>
  </si>
  <si>
    <t xml:space="preserve">ข้อมูลจำลองเพื่อการเรียนการสอน: 20 แถวแรกเป็น Train และ 10 แถวท้ายเป็น Test • ด้านขวามีคำอธิบายที่มาของการปรับสเกล</t>
  </si>
  <si>
    <t xml:space="preserve">ข้อมูลหลัก</t>
  </si>
  <si>
    <t xml:space="preserve">ค่าที่ใช้ปรับสเกล</t>
  </si>
  <si>
    <t xml:space="preserve">ทำไมต้องปรับสเกล และตัวเลขมาจากไหน</t>
  </si>
  <si>
    <t xml:space="preserve">Student ID</t>
  </si>
  <si>
    <t xml:space="preserve">ชั่วโมงอ่าน/วัน</t>
  </si>
  <si>
    <t xml:space="preserve">เข้าเรียน (%)</t>
  </si>
  <si>
    <t xml:space="preserve">ผลจริง y
(1=ผ่าน)</t>
  </si>
  <si>
    <t xml:space="preserve">Split</t>
  </si>
  <si>
    <t xml:space="preserve">x1
(Centered &amp; scaled hours)</t>
  </si>
  <si>
    <t xml:space="preserve">x2
(Centered &amp; scaled attendance)</t>
  </si>
  <si>
    <t xml:space="preserve">คำอธิบาย</t>
  </si>
  <si>
    <t xml:space="preserve">ทำไมต้องปรับสเกล?
Hours อยู่ประมาณ 1–9 แต่ Attendance อยู่ประมาณ 55–95 หากใช้ค่าดิบ Gradient ของ Attendance อาจมีขนาดใหญ่กว่าเพียงเพราะหน่วยต่างกัน การปรับสเกลทำให้ทั้งสองฟีเจอร์มีขนาดใกล้กัน เรียนรู้เสถียรขึ้น และใช้ learning rate เดียวกันได้เหมาะสมกว่า</t>
  </si>
  <si>
    <t xml:space="preserve">S01</t>
  </si>
  <si>
    <t xml:space="preserve">Train</t>
  </si>
  <si>
    <t xml:space="preserve">Hours center</t>
  </si>
  <si>
    <t xml:space="preserve">S02</t>
  </si>
  <si>
    <t xml:space="preserve">Hours scale</t>
  </si>
  <si>
    <t xml:space="preserve">S03</t>
  </si>
  <si>
    <t xml:space="preserve">Attendance center</t>
  </si>
  <si>
    <t xml:space="preserve">สูตรที่ใช้
x_scaled = (ค่าดิบ - center) / scale
การลบ center ทำให้ค่าทั่วไปอยู่ใกล้ 0 ส่วนการหาร scale ทำให้ระยะห่างอยู่ราว -1 ถึง +1 โดยไฟล์นี้ใช้ Center-and-Scale แบบออกแบบเพื่อการสอน ไม่ใช่ z-score แบบเคร่งครัด</t>
  </si>
  <si>
    <t xml:space="preserve">S04</t>
  </si>
  <si>
    <t xml:space="preserve">Attendance scale</t>
  </si>
  <si>
    <t xml:space="preserve">S05</t>
  </si>
  <si>
    <t xml:space="preserve">S06</t>
  </si>
  <si>
    <t xml:space="preserve">สูตร</t>
  </si>
  <si>
    <t xml:space="preserve">x = (ค่าดิบ - center) / scale</t>
  </si>
  <si>
    <t xml:space="preserve">S07</t>
  </si>
  <si>
    <t xml:space="preserve">Hours center = 5 มาจากไหน?
ค่าเฉลี่ยชั่วโมงอ่านของข้อมูล Train เท่ากับ 5.00 ชั่วโมงพอดี จึงใช้ 5 เป็นจุดอ้างอิง เมื่ออ่าน 5 ชั่วโมง จะได้ x1 = (5-5)/2.5 = 0</t>
  </si>
  <si>
    <t xml:space="preserve">S08</t>
  </si>
  <si>
    <t xml:space="preserve">S09</t>
  </si>
  <si>
    <t xml:space="preserve">S10</t>
  </si>
  <si>
    <t xml:space="preserve">Hours scale = 2.5 มาจากไหน?
ส่วนเบี่ยงเบนมาตรฐานจริงของ Train ≈ 2.35 ชั่วโมง จึงปัดเป็น 2.5 เพื่อให้นักศึกษาคำนวณง่าย เช่น 2.5 ชม. → -1, 5 ชม. → 0, 7.5 ชม. → +1</t>
  </si>
  <si>
    <t xml:space="preserve">S11</t>
  </si>
  <si>
    <t xml:space="preserve">S12</t>
  </si>
  <si>
    <t xml:space="preserve">S13</t>
  </si>
  <si>
    <t xml:space="preserve">Attendance center = 75 มาจากไหน?
ค่าเฉลี่ย Attendance ของ Train = 74.5% จึงปัดเป็น 75% ซึ่งเป็นค่ากลางที่จำง่าย เมื่อเข้าเรียน 75% จะได้ x2 = 0</t>
  </si>
  <si>
    <t xml:space="preserve">S14</t>
  </si>
  <si>
    <t xml:space="preserve">S15</t>
  </si>
  <si>
    <t xml:space="preserve">S16</t>
  </si>
  <si>
    <t xml:space="preserve">Attendance scale = 15 มาจากไหน?
เลือก 15 จุดเปอร์เซ็นต์เพื่อให้ตีความง่าย: 60% → -1, 75% → 0, 90% → +1 และทำให้ช่วงข้อมูล Train 55–95% อยู่ราว -1.33 ถึง +1.33</t>
  </si>
  <si>
    <t xml:space="preserve">S17</t>
  </si>
  <si>
    <t xml:space="preserve">S18</t>
  </si>
  <si>
    <t xml:space="preserve">S19</t>
  </si>
  <si>
    <t xml:space="preserve">S20</t>
  </si>
  <si>
    <t xml:space="preserve">ข้อควรจำ
Center กำหนดว่า “ค่าใดควรเป็นศูนย์” ส่วน Scale กำหนดว่า “การเปลี่ยนเท่าใดควรนับเป็นหนึ่งหน่วย” ค่าน้ำหนัก w1 และ w2 หลังการ scaling จึงเปรียบเทียบกันได้ง่ายขึ้น</t>
  </si>
  <si>
    <t xml:space="preserve">T01</t>
  </si>
  <si>
    <t xml:space="preserve">Test</t>
  </si>
  <si>
    <t xml:space="preserve">T02</t>
  </si>
  <si>
    <t xml:space="preserve">T03</t>
  </si>
  <si>
    <t xml:space="preserve">T04</t>
  </si>
  <si>
    <t xml:space="preserve">เปรียบเทียบค่าที่ใช้กับสถิติจริงของ Train</t>
  </si>
  <si>
    <t xml:space="preserve">T05</t>
  </si>
  <si>
    <t xml:space="preserve">รายการ</t>
  </si>
  <si>
    <t xml:space="preserve">ค่าในไฟล์</t>
  </si>
  <si>
    <t xml:space="preserve">ค่าสถิติจริง</t>
  </si>
  <si>
    <t xml:space="preserve">เหตุผลที่เลือก</t>
  </si>
  <si>
    <t xml:space="preserve">T06</t>
  </si>
  <si>
    <t xml:space="preserve">ใช้ค่าเฉลี่ยจริงของ Train</t>
  </si>
  <si>
    <t xml:space="preserve">T07</t>
  </si>
  <si>
    <t xml:space="preserve">ปัดจาก 2.35 เป็น 2.5 เพื่อคำนวณง่าย</t>
  </si>
  <si>
    <t xml:space="preserve">T08</t>
  </si>
  <si>
    <t xml:space="preserve">ปัดจาก 74.5 เป็น 75 เพื่อจำง่าย</t>
  </si>
  <si>
    <t xml:space="preserve">T09</t>
  </si>
  <si>
    <t xml:space="preserve">ใช้ 15 เพื่อให้ 60/75/90 แปลงเป็น -1/0/+1</t>
  </si>
  <si>
    <t xml:space="preserve">T10</t>
  </si>
  <si>
    <t xml:space="preserve">หากต้องการ z-score แบบมาตรฐาน ให้ใช้ center = AVERAGE(Train) และ scale = STDEV.P(Train) โดยตรง แต่ตัวอย่างนี้ตั้งใจปัดค่าเพื่อให้ติดตามสูตรด้วยมือได้ง่าย</t>
  </si>
  <si>
    <t xml:space="preserve">แหล่งข้อมูล</t>
  </si>
  <si>
    <t xml:space="preserve">Synthetic dataset สร้างเพื่อการเรียนการสอน Logistic Regression (15 กรกฎาคม 2026)</t>
  </si>
  <si>
    <t xml:space="preserve">02 • ฝึกโมเดลแบบ Step by Step</t>
  </si>
  <si>
    <t xml:space="preserve">แบบฝึก Batch Gradient Descent: เติมค่าที่คำนวณได้ด้วยตนเองให้ครบ 10 รอบ</t>
  </si>
  <si>
    <t xml:space="preserve">ค่าตั้งต้นที่ปรับทดลองได้</t>
  </si>
  <si>
    <t xml:space="preserve">Learning rate (α)</t>
  </si>
  <si>
    <t xml:space="preserve">จำนวนรอบ</t>
  </si>
  <si>
    <t xml:space="preserve">จำนวน Train</t>
  </si>
  <si>
    <t xml:space="preserve">b เริ่มต้น</t>
  </si>
  <si>
    <t xml:space="preserve">w1 เริ่มต้น</t>
  </si>
  <si>
    <t xml:space="preserve">w2 เริ่มต้น</t>
  </si>
  <si>
    <t xml:space="preserve">วิธีทำ: ข้อมูลพื้นสีน้ำเงินเป็นโจทย์ที่กำหนดให้ • เติมสูตรหรือค่าที่คำนวณได้ในช่องสีเหลือง • ทำ Summary และ Update ก่อนขึ้นรอบถัดไป</t>
  </si>
  <si>
    <t xml:space="preserve">รอบที่ 01  •  พารามิเตอร์ปัจจุบัน → z → sigmoid p → error → gradient → log loss → พารามิเตอร์ใหม่</t>
  </si>
  <si>
    <t xml:space="preserve">Iteration</t>
  </si>
  <si>
    <t xml:space="preserve">b</t>
  </si>
  <si>
    <t xml:space="preserve">w1</t>
  </si>
  <si>
    <t xml:space="preserve">w2</t>
  </si>
  <si>
    <t xml:space="preserve">ใช้ค่าน้ำหนักชุดนี้กับข้อมูล Train ทุกแถว</t>
  </si>
  <si>
    <t xml:space="preserve">ID</t>
  </si>
  <si>
    <t xml:space="preserve">x1</t>
  </si>
  <si>
    <t xml:space="preserve">x2</t>
  </si>
  <si>
    <t xml:space="preserve">y</t>
  </si>
  <si>
    <t xml:space="preserve">z</t>
  </si>
  <si>
    <t xml:space="preserve">p = sigmoid(z)</t>
  </si>
  <si>
    <t xml:space="preserve">error = p-y</t>
  </si>
  <si>
    <t xml:space="preserve">grad b = error</t>
  </si>
  <si>
    <t xml:space="preserve">grad w1 = error×x1</t>
  </si>
  <si>
    <t xml:space="preserve">grad w2 = error×x2</t>
  </si>
  <si>
    <t xml:space="preserve">สรุป Gradient และ Loss</t>
  </si>
  <si>
    <t xml:space="preserve">ค่าเฉลี่ย</t>
  </si>
  <si>
    <t xml:space="preserve">Update: พารามิเตอร์ใหม่ = ค่าเดิม - α × gradient</t>
  </si>
  <si>
    <t xml:space="preserve">b ใหม่</t>
  </si>
  <si>
    <t xml:space="preserve">w1 ใหม่</t>
  </si>
  <si>
    <t xml:space="preserve">w2 ใหม่</t>
  </si>
  <si>
    <t xml:space="preserve">ค่าชุดนี้จะเป็นพารามิเตอร์ปัจจุบันของรอบถัดไป</t>
  </si>
  <si>
    <t xml:space="preserve">รอบที่ 02  •  พารามิเตอร์ปัจจุบัน → z → sigmoid p → error → gradient → log loss → พารามิเตอร์ใหม่</t>
  </si>
  <si>
    <t xml:space="preserve">รอบที่ 03  •  พารามิเตอร์ปัจจุบัน → z → sigmoid p → error → gradient → log loss → พารามิเตอร์ใหม่</t>
  </si>
  <si>
    <t xml:space="preserve">รอบที่ 04  •  พารามิเตอร์ปัจจุบัน → z → sigmoid p → error → gradient → log loss → พารามิเตอร์ใหม่</t>
  </si>
  <si>
    <t xml:space="preserve">รอบที่ 05  •  พารามิเตอร์ปัจจุบัน → z → sigmoid p → error → gradient → log loss → พารามิเตอร์ใหม่</t>
  </si>
  <si>
    <t xml:space="preserve">รอบที่ 06  •  พารามิเตอร์ปัจจุบัน → z → sigmoid p → error → gradient → log loss → พารามิเตอร์ใหม่</t>
  </si>
  <si>
    <t xml:space="preserve">รอบที่ 07  •  พารามิเตอร์ปัจจุบัน → z → sigmoid p → error → gradient → log loss → พารามิเตอร์ใหม่</t>
  </si>
  <si>
    <t xml:space="preserve">รอบที่ 08  •  พารามิเตอร์ปัจจุบัน → z → sigmoid p → error → gradient → log loss → พารามิเตอร์ใหม่</t>
  </si>
  <si>
    <t xml:space="preserve">รอบที่ 09  •  พารามิเตอร์ปัจจุบัน → z → sigmoid p → error → gradient → log loss → พารามิเตอร์ใหม่</t>
  </si>
  <si>
    <t xml:space="preserve">รอบที่ 10  •  พารามิเตอร์ปัจจุบัน → z → sigmoid p → error → gradient → log loss → พารามิเตอร์ใหม่</t>
  </si>
  <si>
    <t xml:space="preserve">03 • เส้นทางการเรียนรู้ของโมเดล</t>
  </si>
  <si>
    <t xml:space="preserve">ติดตามค่าน้ำหนัก Gradient และ Average Log Loss ตลอด 10 รอบ</t>
  </si>
  <si>
    <t xml:space="preserve">b ก่อน</t>
  </si>
  <si>
    <t xml:space="preserve">w1 ก่อน</t>
  </si>
  <si>
    <t xml:space="preserve">w2 ก่อน</t>
  </si>
  <si>
    <t xml:space="preserve">Avg Loss</t>
  </si>
  <si>
    <t xml:space="preserve">grad b</t>
  </si>
  <si>
    <t xml:space="preserve">grad w1</t>
  </si>
  <si>
    <t xml:space="preserve">grad w2</t>
  </si>
  <si>
    <t xml:space="preserve">b หลัง</t>
  </si>
  <si>
    <t xml:space="preserve">w1 หลัง</t>
  </si>
  <si>
    <t xml:space="preserve">w2 หลัง</t>
  </si>
  <si>
    <t xml:space="preserve">โมเดลสุดท้าย</t>
  </si>
  <si>
    <t xml:space="preserve">Final b</t>
  </si>
  <si>
    <t xml:space="preserve">สมการสุดท้าย: z = w1x1 + w2x2 + b</t>
  </si>
  <si>
    <t xml:space="preserve">Final w1</t>
  </si>
  <si>
    <t xml:space="preserve">Probability: p = 1 / (1 + EXP(-z))</t>
  </si>
  <si>
    <t xml:space="preserve">Final w2</t>
  </si>
  <si>
    <t xml:space="preserve">ถ้า p ≥ threshold → ทำนาย 1, ถ้า p &lt; threshold → ทำนาย 0</t>
  </si>
  <si>
    <t xml:space="preserve">04 • ทำนายข้อมูล Test</t>
  </si>
  <si>
    <t xml:space="preserve">แยก contribution ของ w1x1, w2x2 และ b เพื่อให้เห็นที่มาของ z และ probability</t>
  </si>
  <si>
    <t xml:space="preserve">Threshold</t>
  </si>
  <si>
    <t xml:space="preserve">Hours</t>
  </si>
  <si>
    <t xml:space="preserve">Attend %</t>
  </si>
  <si>
    <t xml:space="preserve">Actual y</t>
  </si>
  <si>
    <t xml:space="preserve">w1×x1</t>
  </si>
  <si>
    <t xml:space="preserve">w2×x2</t>
  </si>
  <si>
    <t xml:space="preserve">Probability p</t>
  </si>
  <si>
    <t xml:space="preserve">Predicted</t>
  </si>
  <si>
    <t xml:space="preserve">Outcome</t>
  </si>
  <si>
    <t xml:space="preserve">Correct</t>
  </si>
  <si>
    <t xml:space="preserve">อ่าน Outcome: TP = ผ่านจริงและทำนายว่าผ่าน, TN = ไม่ผ่านจริงและทำนายว่าไม่ผ่าน, FP/FN คือกรณีที่โมเดลทำนายคลาดเคลื่อน</t>
  </si>
  <si>
    <t xml:space="preserve">05 • Confusion Matrix และ Model Metrics</t>
  </si>
  <si>
    <t xml:space="preserve">คำนวณ Accuracy, Precision, Recall และ F1-score จากผลทำนายชุด Test</t>
  </si>
  <si>
    <t xml:space="preserve">Threshold ปัจจุบัน</t>
  </si>
  <si>
    <t xml:space="preserve">Confusion Matrix</t>
  </si>
  <si>
    <t xml:space="preserve">Actual / Predicted</t>
  </si>
  <si>
    <t xml:space="preserve">Predicted = 1</t>
  </si>
  <si>
    <t xml:space="preserve">Predicted = 0</t>
  </si>
  <si>
    <t xml:space="preserve">รวม Actual</t>
  </si>
  <si>
    <t xml:space="preserve">สัญลักษณ์</t>
  </si>
  <si>
    <t xml:space="preserve">ความหมาย</t>
  </si>
  <si>
    <t xml:space="preserve">Actual = 1</t>
  </si>
  <si>
    <t xml:space="preserve">TP</t>
  </si>
  <si>
    <t xml:space="preserve">ผ่านจริง และโมเดลทำนายว่าผ่าน</t>
  </si>
  <si>
    <t xml:space="preserve">Actual = 0</t>
  </si>
  <si>
    <t xml:space="preserve">FP</t>
  </si>
  <si>
    <t xml:space="preserve">ไม่ผ่านจริง แต่โมเดลทำนายว่าผ่าน</t>
  </si>
  <si>
    <t xml:space="preserve">รวม Predicted</t>
  </si>
  <si>
    <t xml:space="preserve">FN</t>
  </si>
  <si>
    <t xml:space="preserve">ผ่านจริง แต่โมเดลทำนายว่าไม่ผ่าน</t>
  </si>
  <si>
    <t xml:space="preserve">TN</t>
  </si>
  <si>
    <t xml:space="preserve">ไม่ผ่านจริง และโมเดลทำนายว่าไม่ผ่าน</t>
  </si>
  <si>
    <t xml:space="preserve">Metrics</t>
  </si>
  <si>
    <t xml:space="preserve">Metric</t>
  </si>
  <si>
    <t xml:space="preserve">ค่า</t>
  </si>
  <si>
    <t xml:space="preserve">สูตรจาก Matrix</t>
  </si>
  <si>
    <t xml:space="preserve">คำถามที่ metric ตอบ</t>
  </si>
  <si>
    <t xml:space="preserve">Accuracy</t>
  </si>
  <si>
    <t xml:space="preserve">(TP+TN)/(TP+TN+FP+FN)</t>
  </si>
  <si>
    <t xml:space="preserve">โดยรวมโมเดลทำนายถูกกี่เปอร์เซ็นต์?</t>
  </si>
  <si>
    <t xml:space="preserve">Precision</t>
  </si>
  <si>
    <t xml:space="preserve">TP/(TP+FP)</t>
  </si>
  <si>
    <t xml:space="preserve">ในคนที่โมเดลบอกว่าผ่าน มีผ่านจริงกี่เปอร์เซ็นต์?</t>
  </si>
  <si>
    <t xml:space="preserve">Recall</t>
  </si>
  <si>
    <t xml:space="preserve">TP/(TP+FN)</t>
  </si>
  <si>
    <t xml:space="preserve">ในคนที่ผ่านจริง โมเดลค้นพบได้กี่เปอร์เซ็นต์?</t>
  </si>
  <si>
    <t xml:space="preserve">F1-score</t>
  </si>
  <si>
    <t xml:space="preserve">2×Precision×Recall/(Precision+Recall)</t>
  </si>
  <si>
    <t xml:space="preserve">Precision และ Recall สมดุลกันดีเพียงใด?</t>
  </si>
  <si>
    <t xml:space="preserve">Error rate</t>
  </si>
  <si>
    <t xml:space="preserve">1-Accuracy</t>
  </si>
  <si>
    <t xml:space="preserve">โดยรวมโมเดลทำนายผิดกี่เปอร์เซ็นต์?</t>
  </si>
  <si>
    <t xml:space="preserve">06 • แนวคิดสำคัญที่ต้องเข้าใจ</t>
  </si>
  <si>
    <t xml:space="preserve">คำอธิบายว่าแต่ละขั้นตอนทำอะไร ทำไปทำไม และควรตีความอย่างไร</t>
  </si>
  <si>
    <t xml:space="preserve">ภาพรวม: ข้อมูล Train ใช้เรียนรู้ค่าน้ำหนัก → โมเดลแปลงข้อมูลเป็น z และ probability → threshold เปลี่ยน probability เป็น class → ข้อมูล Test ใช้วัดผลด้วย Confusion Matrix และ Metrics</t>
  </si>
  <si>
    <t xml:space="preserve">คำอธิบายแต่ละแนวคิด</t>
  </si>
  <si>
    <t xml:space="preserve">ขั้น</t>
  </si>
  <si>
    <t xml:space="preserve">แนวคิด</t>
  </si>
  <si>
    <t xml:space="preserve">ทำไมจึงสำคัญ / ข้อควรจำ</t>
  </si>
  <si>
    <t xml:space="preserve">1</t>
  </si>
  <si>
    <t xml:space="preserve">Train / Test split</t>
  </si>
  <si>
    <t xml:space="preserve">Train ใช้ปรับ weights w1, w2 และ bias b ส่วน Test กันไว้เพื่อวัดผลหลังฝึก</t>
  </si>
  <si>
    <t xml:space="preserve">ห้ามใช้ Test ฝึกโมเดล เพราะจะทำให้คะแนนประเมินดูดีเกินจริงและไม่สะท้อนข้อมูลใหม่</t>
  </si>
  <si>
    <t xml:space="preserve">2</t>
  </si>
  <si>
    <t xml:space="preserve">Feature scaling</t>
  </si>
  <si>
    <t xml:space="preserve">ทำให้ฟีเจอร์ที่มีหน่วยต่างกันมีขนาดใกล้กัน เช่น Hours 1–9 กับ Attendance 55–95</t>
  </si>
  <si>
    <t xml:space="preserve">ช่วยให้ Gradient Descent เสถียรและไม่ให้ฟีเจอร์หนึ่งดูสำคัญเพียงเพราะตัวเลขมีหน่วยใหญ่กว่า</t>
  </si>
  <si>
    <t xml:space="preserve">3</t>
  </si>
  <si>
    <t xml:space="preserve">Center</t>
  </si>
  <si>
    <t xml:space="preserve">ค่าดิบที่ต้องการให้แปลงเป็น 0 เช่น Hours center = 5</t>
  </si>
  <si>
    <t xml:space="preserve">เมื่อ x = 0 ส่วนของฟีเจอร์นั้นจะไม่เพิ่มหรือลด z ทำให้ bias/intercept b ตีความง่ายขึ้น</t>
  </si>
  <si>
    <t xml:space="preserve">4</t>
  </si>
  <si>
    <t xml:space="preserve">Scale</t>
  </si>
  <si>
    <t xml:space="preserve">ระยะของค่าดิบที่นับเป็น 1 หน่วยหลัง scaling เช่น Hours scale = 2.5</t>
  </si>
  <si>
    <t xml:space="preserve">Scale ไม่ใช่ค่าสูงสุด แต่เป็นตัวกำหนดขนาดของหนึ่งก้าวบนแกนฟีเจอร์</t>
  </si>
  <si>
    <t xml:space="preserve">5</t>
  </si>
  <si>
    <t xml:space="preserve">Linear score z</t>
  </si>
  <si>
    <t xml:space="preserve">z = w1x1 + w2x2 + b เป็นคะแนนรวมก่อนแปลงเป็น probability</t>
  </si>
  <si>
    <t xml:space="preserve">z ยังไม่ใช่ความน่าจะเป็นและอาจน้อยกว่า 0 หรือมากกว่า 1 ได้</t>
  </si>
  <si>
    <t xml:space="preserve">6</t>
  </si>
  <si>
    <t xml:space="preserve">p = 1/(1+EXP(-z)) แปลง z เป็นค่าระหว่าง 0 ถึง 1</t>
  </si>
  <si>
    <t xml:space="preserve">p ใช้สื่อระดับความมั่นใจของโมเดล แต่ไม่ใช่ class จนกว่าจะเลือก threshold</t>
  </si>
  <si>
    <t xml:space="preserve">7</t>
  </si>
  <si>
    <t xml:space="preserve">วัดระยะห่างระหว่าง probability กับคำตอบจริง y และลงโทษการมั่นใจผิดอย่างมาก</t>
  </si>
  <si>
    <t xml:space="preserve">ใช้ probability โดยตรง จึงละเอียดกว่าแค่ดูว่าทำนาย class ถูกหรือผิด</t>
  </si>
  <si>
    <t xml:space="preserve">8</t>
  </si>
  <si>
    <t xml:space="preserve">ค่าเฉลี่ยของ error และ error×x บอกทิศทางที่ควรปรับน้ำหนัก</t>
  </si>
  <si>
    <t xml:space="preserve">เครื่องหมายของ Gradient บอกทิศทาง ส่วนขนาดบอกความแรงของการปรับ</t>
  </si>
  <si>
    <t xml:space="preserve">9</t>
  </si>
  <si>
    <t xml:space="preserve">Learning rate α</t>
  </si>
  <si>
    <t xml:space="preserve">กำหนดขนาดก้าวในการอัปเดตพารามิเตอร์ใหม่ = ค่าเดิม - α×gradient</t>
  </si>
  <si>
    <t xml:space="preserve">เล็กเกินไปเรียนช้า ใหญ่เกินไปอาจแกว่งหรือทำให้ Loss เพิ่มขึ้น</t>
  </si>
  <si>
    <t xml:space="preserve">10</t>
  </si>
  <si>
    <t xml:space="preserve">กติกาเปลี่ยน probability เป็น class เช่น p ≥ 0.50 ให้ทำนาย 1</t>
  </si>
  <si>
    <t xml:space="preserve">Threshold ไม่ได้ถูกเรียนรู้ในตัวอย่างนี้ และการเปลี่ยน threshold ทำให้ FP/FN เปลี่ยน</t>
  </si>
  <si>
    <t xml:space="preserve">11</t>
  </si>
  <si>
    <t xml:space="preserve">นับ TP, FP, FN, TN เพื่อแยกประเภทการทำนายถูกและผิด</t>
  </si>
  <si>
    <t xml:space="preserve">บอกชนิดของความผิดพลาดได้ละเอียดกว่า Accuracy เพียงค่าเดียว</t>
  </si>
  <si>
    <t xml:space="preserve">12</t>
  </si>
  <si>
    <t xml:space="preserve">สัดส่วนที่ทำนายถูกทั้งหมด: (TP+TN)/(TP+TN+FP+FN)</t>
  </si>
  <si>
    <t xml:space="preserve">เข้าใจง่ายแต่ต้องระวัง หาก class หนึ่งมีจำนวนมากกว่าอีก class มาก Accuracy อาจดูสูงทั้งที่โมเดลพลาด class สำคัญ</t>
  </si>
  <si>
    <t xml:space="preserve">13</t>
  </si>
  <si>
    <t xml:space="preserve">ในคนที่โมเดลทำนายเป็น 1 มีเป็น 1 จริงกี่ส่วน: TP/(TP+FP)</t>
  </si>
  <si>
    <t xml:space="preserve">สำคัญเมื่อ False Positive มีต้นทุนสูง</t>
  </si>
  <si>
    <t xml:space="preserve">14</t>
  </si>
  <si>
    <t xml:space="preserve">ในคนที่เป็น 1 จริง โมเดลค้นพบได้กี่ส่วน: TP/(TP+FN)</t>
  </si>
  <si>
    <t xml:space="preserve">สำคัญเมื่อการพลาดกรณี Positive หรือ False Negative มีต้นทุนสูง</t>
  </si>
  <si>
    <t xml:space="preserve">15</t>
  </si>
  <si>
    <t xml:space="preserve">ค่าเฉลี่ยแบบ harmonic ของ Precision และ Recall</t>
  </si>
  <si>
    <t xml:space="preserve">ใช้เมื่ออยากให้ Precision และ Recall สมดุล โดยเฉพาะเมื่อจำนวนแต่ละ class ไม่เท่ากัน</t>
  </si>
  <si>
    <t xml:space="preserve">สรุปที่มาของค่าปรับสเกลใน 01_Data</t>
  </si>
  <si>
    <t xml:space="preserve">พารามิเตอร์</t>
  </si>
  <si>
    <t xml:space="preserve">ที่มา</t>
  </si>
  <si>
    <t xml:space="preserve">ความหมายหลังแปลง</t>
  </si>
  <si>
    <t xml:space="preserve">5 ชั่วโมง → x1 = 0</t>
  </si>
  <si>
    <t xml:space="preserve">2.5/5/7.5 ชั่วโมง → -1/0/+1</t>
  </si>
  <si>
    <t xml:space="preserve">75% → x2 = 0</t>
  </si>
  <si>
    <t xml:space="preserve">60/75/90% → -1/0/+1</t>
  </si>
  <si>
    <t xml:space="preserve">คำสำคัญ: Center-and-Scale ในไฟล์นี้ใช้ค่าที่ใกล้สถิติจริงแต่ปัดให้คำนวณง่าย หากต้องการ z-score มาตรฐาน ให้ใช้ Mean และ Standard Deviation จริงโดยไม่ปัดค่า</t>
  </si>
  <si>
    <t xml:space="preserve">07 • แบบฝึกหัดและการทดลอง Threshold</t>
  </si>
  <si>
    <t xml:space="preserve">ใช้ probability เดิม แต่จำแนก class ที่ threshold ต่างกัน เพื่อเปรียบเทียบ trade-off</t>
  </si>
  <si>
    <t xml:space="preserve">ตารางทดลองอัตโนมัติ</t>
  </si>
  <si>
    <t xml:space="preserve">คำถามสำหรับอภิปราย</t>
  </si>
  <si>
    <t xml:space="preserve">1. ในการฝึกโมเดล 10 รอบ ค่า Average Log Loss มีแนวโน้มลดลงอย่างไรในแต่ละรอบ และเริ่มชะลอตัวลงที่รอบใด?</t>
  </si>
  <si>
    <t xml:space="preserve">บันทึกคำตอบ:</t>
  </si>
  <si>
    <t xml:space="preserve">2. เมื่อสังเกตขนาดของ Gradient (grad b, grad w1, grad w2) จากรอบที่ 1 ถึงรอบที่ 10 มีแนวโน้มอย่างไร เหตุใดขนาดจึงลดลง?</t>
  </si>
  <si>
    <t xml:space="preserve">3. หากทดลองปรับ Learning Rate (α) ใน 02_Training_Detail เป็น 0.10 และ 0.80 การลู่เข้าของ Loss ใน 10 รอบเปลี่ยนแปลงอย่างไร?</t>
  </si>
  <si>
    <t xml:space="preserve">4. จากตาราง Threshold (0.3–0.7) การเปลี่ยน Threshold มีผลต่อ Precision และ Recall อย่างไร และ Threshold ใดให้ F1-score สูงสุด?</t>
  </si>
  <si>
    <t xml:space="preserve">5. เหตุใดการทำ Center &amp; Scale จึงช่วยให้ Gradient Descent ใน 10 รอบนี้ลู่เข้าได้อย่างมีเสถียรภาพมากกว่าการใช้ข้อมูลดิบ?</t>
  </si>
  <si>
    <t xml:space="preserve">แนวคิดสำคัญ: metric ที่ดีที่สุดขึ้นอยู่กับต้นทุนของ FP และ FN ในบริบทจริง ไม่ใช่เลือก Accuracy สูงสุดเพียงอย่างเดียว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</si>
</sst>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%"/>
    <numFmt numFmtId="166" formatCode="0.000"/>
    <numFmt numFmtId="167" formatCode="0.00"/>
    <numFmt numFmtId="168" formatCode="0.0000"/>
    <numFmt numFmtId="169" formatCode="0.0%"/>
  </numFmts>
  <fonts count="3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7324D"/>
      <name val="Arial"/>
      <family val="0"/>
      <charset val="1"/>
    </font>
    <font>
      <b val="true"/>
      <sz val="10"/>
      <color rgb="FF0B7285"/>
      <name val="Arial"/>
      <family val="0"/>
      <charset val="1"/>
    </font>
    <font>
      <b val="true"/>
      <sz val="10"/>
      <color rgb="FF17324D"/>
      <name val="Arial"/>
      <family val="0"/>
      <charset val="1"/>
    </font>
    <font>
      <sz val="10"/>
      <color rgb="FF7048E8"/>
      <name val="Arial"/>
      <family val="0"/>
      <charset val="1"/>
    </font>
    <font>
      <b val="true"/>
      <sz val="10"/>
      <color rgb="FF1971C2"/>
      <name val="Arial"/>
      <family val="0"/>
      <charset val="1"/>
    </font>
    <font>
      <sz val="10"/>
      <color rgb="FF2B8A3E"/>
      <name val="Arial"/>
      <family val="0"/>
      <charset val="1"/>
    </font>
    <font>
      <sz val="10"/>
      <color rgb="FFC92A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7324D"/>
      <name val="Arial"/>
      <family val="0"/>
      <charset val="1"/>
    </font>
    <font>
      <sz val="10"/>
      <color rgb="FF1971C2"/>
      <name val="Arial"/>
      <family val="0"/>
      <charset val="1"/>
    </font>
    <font>
      <sz val="9"/>
      <color rgb="FF7048E8"/>
      <name val="Arial"/>
      <family val="0"/>
      <charset val="1"/>
    </font>
    <font>
      <sz val="9"/>
      <color rgb="FF2B8A3E"/>
      <name val="Arial"/>
      <family val="0"/>
      <charset val="1"/>
    </font>
    <font>
      <sz val="9"/>
      <color rgb="FF17324D"/>
      <name val="Arial"/>
      <family val="0"/>
      <charset val="1"/>
    </font>
    <font>
      <b val="true"/>
      <sz val="9"/>
      <color rgb="FF7048E8"/>
      <name val="Arial"/>
      <family val="0"/>
      <charset val="1"/>
    </font>
    <font>
      <i val="true"/>
      <sz val="9"/>
      <color rgb="FF495057"/>
      <name val="Arial"/>
      <family val="0"/>
      <charset val="1"/>
    </font>
    <font>
      <sz val="10"/>
      <name val="Arial Unicode MS"/>
      <family val="2"/>
    </font>
    <font>
      <sz val="10"/>
      <name val="Arial"/>
      <family val="2"/>
    </font>
    <font>
      <b val="true"/>
      <sz val="10"/>
      <color rgb="FF2B8A3E"/>
      <name val="Arial"/>
      <family val="0"/>
      <charset val="1"/>
    </font>
    <font>
      <sz val="9"/>
      <color rgb="FF1971C2"/>
      <name val="Arial"/>
      <family val="0"/>
      <charset val="1"/>
    </font>
    <font>
      <b val="true"/>
      <sz val="9"/>
      <color rgb="FF1971C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7048E8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Arial Unicode M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971C2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2B8A3E"/>
      <name val="Arial"/>
      <family val="0"/>
      <charset val="1"/>
    </font>
    <font>
      <b val="true"/>
      <sz val="12"/>
      <color rgb="FF0B7285"/>
      <name val="Arial"/>
      <family val="0"/>
      <charset val="1"/>
    </font>
    <font>
      <b val="true"/>
      <sz val="9"/>
      <color rgb="FF0B728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003300"/>
      </patternFill>
    </fill>
    <fill>
      <patternFill patternType="solid">
        <fgColor rgb="FF0B7285"/>
        <bgColor rgb="FF008080"/>
      </patternFill>
    </fill>
    <fill>
      <patternFill patternType="solid">
        <fgColor rgb="FFE7F5FF"/>
        <bgColor rgb="FFF1F3F5"/>
      </patternFill>
    </fill>
    <fill>
      <patternFill patternType="solid">
        <fgColor rgb="FFF1F3F5"/>
        <bgColor rgb="FFE7F5FF"/>
      </patternFill>
    </fill>
    <fill>
      <patternFill patternType="solid">
        <fgColor rgb="FFD0EBFF"/>
        <bgColor rgb="FFE7F5FF"/>
      </patternFill>
    </fill>
    <fill>
      <patternFill patternType="solid">
        <fgColor rgb="FFFFFFFF"/>
        <bgColor rgb="FFF1F3F5"/>
      </patternFill>
    </fill>
    <fill>
      <patternFill patternType="solid">
        <fgColor rgb="FFE5DBFF"/>
        <bgColor rgb="FFD9D9D9"/>
      </patternFill>
    </fill>
    <fill>
      <patternFill patternType="solid">
        <fgColor rgb="FFFFF3BF"/>
        <bgColor rgb="FFFFE3E3"/>
      </patternFill>
    </fill>
    <fill>
      <patternFill patternType="solid">
        <fgColor rgb="FFD3F9D8"/>
        <bgColor rgb="FFD0EBFF"/>
      </patternFill>
    </fill>
    <fill>
      <patternFill patternType="solid">
        <fgColor rgb="FFFFE3E3"/>
        <bgColor rgb="FFF1F3F5"/>
      </patternFill>
    </fill>
    <fill>
      <patternFill patternType="solid">
        <fgColor rgb="FFF59F00"/>
        <bgColor rgb="FFFF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 diagonalUp="false" diagonalDown="false">
      <left style="medium">
        <color rgb="FF17324D"/>
      </left>
      <right/>
      <top style="thin">
        <color rgb="FFCED4DA"/>
      </top>
      <bottom/>
      <diagonal/>
    </border>
    <border diagonalUp="false" diagonalDown="false">
      <left/>
      <right/>
      <top style="thin">
        <color rgb="FFCED4DA"/>
      </top>
      <bottom style="thin">
        <color rgb="FFCE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7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35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971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3F9D8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D0EB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3F9D8"/>
        </patternFill>
      </fill>
    </dxf>
    <dxf>
      <fill>
        <patternFill>
          <bgColor rgb="FFF1F3F5"/>
        </patternFill>
      </fill>
    </dxf>
    <dxf>
      <fill>
        <patternFill patternType="solid">
          <fgColor rgb="FFE7F5FF"/>
          <bgColor rgb="FF000000"/>
        </patternFill>
      </fill>
    </dxf>
    <dxf>
      <fill>
        <patternFill patternType="solid">
          <fgColor rgb="FF2B8A3E"/>
          <bgColor rgb="FF000000"/>
        </patternFill>
      </fill>
    </dxf>
    <dxf>
      <font>
        <name val="Arial"/>
        <charset val="1"/>
        <family val="0"/>
        <b val="1"/>
        <color rgb="FF2B8A3E"/>
        <sz val="9"/>
      </font>
      <fill>
        <patternFill>
          <bgColor rgb="FFD3F9D8"/>
        </patternFill>
      </fill>
    </dxf>
    <dxf>
      <font>
        <name val="Arial"/>
        <charset val="1"/>
        <family val="0"/>
        <b val="1"/>
        <color rgb="FFC92A2A"/>
        <sz val="9"/>
      </font>
      <fill>
        <patternFill>
          <bgColor rgb="FFFFE3E3"/>
        </patternFill>
      </fill>
    </dxf>
    <dxf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B3C992"/>
      <rgbColor rgb="FF878787"/>
      <rgbColor rgb="FF9999FF"/>
      <rgbColor rgb="FF9D3E3B"/>
      <rgbColor rgb="FFFFF3BF"/>
      <rgbColor rgb="FFD0EBFF"/>
      <rgbColor rgb="FF660066"/>
      <rgbColor rgb="FFFF8080"/>
      <rgbColor rgb="FF1971C2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FF"/>
      <rgbColor rgb="FFD3F9D8"/>
      <rgbColor rgb="FFF1F3F5"/>
      <rgbColor rgb="FFD9D9D9"/>
      <rgbColor rgb="FFD4A5A4"/>
      <rgbColor rgb="FFE5DBFF"/>
      <rgbColor rgb="FFFFE3E3"/>
      <rgbColor rgb="FF3366FF"/>
      <rgbColor rgb="FF33CCCC"/>
      <rgbColor rgb="FF98B855"/>
      <rgbColor rgb="FFFFCC00"/>
      <rgbColor rgb="FFF59F00"/>
      <rgbColor rgb="FFFF6600"/>
      <rgbColor rgb="FF7048E8"/>
      <rgbColor rgb="FF87A44B"/>
      <rgbColor rgb="FF17324D"/>
      <rgbColor rgb="FF2B8A3E"/>
      <rgbColor rgb="FF003300"/>
      <rgbColor rgb="FF333300"/>
      <rgbColor rgb="FFC92A2A"/>
      <rgbColor rgb="FFBE4B48"/>
      <rgbColor rgb="FF333399"/>
      <rgbColor rgb="FF495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Log Loss ลดลงในแต่ละรอบ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03_Model_Path!E5</c:f>
              <c:strCache>
                <c:ptCount val="1"/>
                <c:pt idx="0">
                  <c:v>Avg Loss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03_Model_Path!$E$6:$E$25</c:f>
              <c:numCache>
                <c:formatCode>0.0000</c:formatCode>
                <c:ptCount val="20"/>
                <c:pt idx="0">
                  <c:v>0.693147180559945</c:v>
                </c:pt>
                <c:pt idx="1">
                  <c:v>0.610370559193259</c:v>
                </c:pt>
                <c:pt idx="2">
                  <c:v>0.547812041491201</c:v>
                </c:pt>
                <c:pt idx="3">
                  <c:v>0.499757479635012</c:v>
                </c:pt>
                <c:pt idx="4">
                  <c:v>0.46203398711501</c:v>
                </c:pt>
                <c:pt idx="5">
                  <c:v>0.43174679159473</c:v>
                </c:pt>
                <c:pt idx="6">
                  <c:v>0.406912388541915</c:v>
                </c:pt>
                <c:pt idx="7">
                  <c:v>0.386161755063828</c:v>
                </c:pt>
                <c:pt idx="8">
                  <c:v>0.368534587978548</c:v>
                </c:pt>
                <c:pt idx="9">
                  <c:v>0.353344018878586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596619"/>
        <c:axId val="75942316"/>
      </c:lineChart>
      <c:catAx>
        <c:axId val="26596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42316"/>
        <c:crosses val="autoZero"/>
        <c:auto val="1"/>
        <c:lblAlgn val="ctr"/>
        <c:lblOffset val="100"/>
        <c:noMultiLvlLbl val="0"/>
      </c:catAx>
      <c:valAx>
        <c:axId val="759423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Log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5966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การเปลี่ยนแปลงของ b, w1, w2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03_Model_Path!I5</c:f>
              <c:strCache>
                <c:ptCount val="1"/>
                <c:pt idx="0">
                  <c:v>b หลัง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03_Model_Path!$I$6:$I$25</c:f>
              <c:numCache>
                <c:formatCode>0.0000</c:formatCode>
                <c:ptCount val="20"/>
                <c:pt idx="0">
                  <c:v>0.02</c:v>
                </c:pt>
                <c:pt idx="1">
                  <c:v>0.0381274133127402</c:v>
                </c:pt>
                <c:pt idx="2">
                  <c:v>0.0545872376676711</c:v>
                </c:pt>
                <c:pt idx="3">
                  <c:v>0.0695814391836857</c:v>
                </c:pt>
                <c:pt idx="4">
                  <c:v>0.0832932028991226</c:v>
                </c:pt>
                <c:pt idx="5">
                  <c:v>0.0958817127790086</c:v>
                </c:pt>
                <c:pt idx="6">
                  <c:v>0.10748259626423</c:v>
                </c:pt>
                <c:pt idx="7">
                  <c:v>0.11821063005845</c:v>
                </c:pt>
                <c:pt idx="8">
                  <c:v>0.128162967760553</c:v>
                </c:pt>
                <c:pt idx="9">
                  <c:v>0.137422164562416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03_Model_Path!J5</c:f>
              <c:strCache>
                <c:ptCount val="1"/>
                <c:pt idx="0">
                  <c:v>w1 หลัง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03_Model_Path!$J$6:$J$25</c:f>
              <c:numCache>
                <c:formatCode>0.0000</c:formatCode>
                <c:ptCount val="20"/>
                <c:pt idx="0">
                  <c:v>0.128</c:v>
                </c:pt>
                <c:pt idx="1">
                  <c:v>0.237539186778501</c:v>
                </c:pt>
                <c:pt idx="2">
                  <c:v>0.331826341401263</c:v>
                </c:pt>
                <c:pt idx="3">
                  <c:v>0.413773306297664</c:v>
                </c:pt>
                <c:pt idx="4">
                  <c:v>0.48576751236741</c:v>
                </c:pt>
                <c:pt idx="5">
                  <c:v>0.549685006599506</c:v>
                </c:pt>
                <c:pt idx="6">
                  <c:v>0.606980580769384</c:v>
                </c:pt>
                <c:pt idx="7">
                  <c:v>0.658783603740041</c:v>
                </c:pt>
                <c:pt idx="8">
                  <c:v>0.70597774354009</c:v>
                </c:pt>
                <c:pt idx="9">
                  <c:v>0.749261912656916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03_Model_Path!K5</c:f>
              <c:strCache>
                <c:ptCount val="1"/>
                <c:pt idx="0">
                  <c:v>w2 หลัง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03_Model_Path!$K$6:$K$25</c:f>
              <c:numCache>
                <c:formatCode>0.0000</c:formatCode>
                <c:ptCount val="20"/>
                <c:pt idx="0">
                  <c:v>0.136666666666667</c:v>
                </c:pt>
                <c:pt idx="1">
                  <c:v>0.256641045478426</c:v>
                </c:pt>
                <c:pt idx="2">
                  <c:v>0.362784938946922</c:v>
                </c:pt>
                <c:pt idx="3">
                  <c:v>0.45770800393781</c:v>
                </c:pt>
                <c:pt idx="4">
                  <c:v>0.543551645196243</c:v>
                </c:pt>
                <c:pt idx="5">
                  <c:v>0.621997106967056</c:v>
                </c:pt>
                <c:pt idx="6">
                  <c:v>0.694346084866109</c:v>
                </c:pt>
                <c:pt idx="7">
                  <c:v>0.761607333566368</c:v>
                </c:pt>
                <c:pt idx="8">
                  <c:v>0.824568840033033</c:v>
                </c:pt>
                <c:pt idx="9">
                  <c:v>0.883852963948573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51448"/>
        <c:axId val="73740454"/>
      </c:lineChart>
      <c:catAx>
        <c:axId val="353514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740454"/>
        <c:crosses val="autoZero"/>
        <c:auto val="1"/>
        <c:lblAlgn val="ctr"/>
        <c:lblOffset val="100"/>
        <c:noMultiLvlLbl val="0"/>
      </c:catAx>
      <c:valAx>
        <c:axId val="73740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Weight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3514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Probability เทียบกับ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04_Test_Prediction!K7</c:f>
              <c:strCache>
                <c:ptCount val="1"/>
                <c:pt idx="0">
                  <c:v>Probability p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04_Test_Prediction!$K$8:$K$17</c:f>
              <c:numCache>
                <c:formatCode>0.0000</c:formatCode>
                <c:ptCount val="10"/>
                <c:pt idx="0">
                  <c:v>0.0939113646540516</c:v>
                </c:pt>
                <c:pt idx="1">
                  <c:v>0.42917528145977</c:v>
                </c:pt>
                <c:pt idx="2">
                  <c:v>0.640331927038767</c:v>
                </c:pt>
                <c:pt idx="3">
                  <c:v>0.32159950862708</c:v>
                </c:pt>
                <c:pt idx="4">
                  <c:v>0.783973574431192</c:v>
                </c:pt>
                <c:pt idx="5">
                  <c:v>0.535567144995483</c:v>
                </c:pt>
                <c:pt idx="6">
                  <c:v>0.434167343399132</c:v>
                </c:pt>
                <c:pt idx="7">
                  <c:v>0.631745572654563</c:v>
                </c:pt>
                <c:pt idx="8">
                  <c:v>0.80984466644248</c:v>
                </c:pt>
                <c:pt idx="9">
                  <c:v>0.360142129415957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04_Test_Prediction!O7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04_Test_Prediction!$O$8:$O$17</c:f>
              <c:numCache>
                <c:formatCode>0.00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717342"/>
        <c:axId val="10254087"/>
      </c:lineChart>
      <c:catAx>
        <c:axId val="48717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Student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254087"/>
        <c:crosses val="autoZero"/>
        <c:auto val="1"/>
        <c:lblAlgn val="ctr"/>
        <c:lblOffset val="100"/>
        <c:noMultiLvlLbl val="0"/>
      </c:catAx>
      <c:valAx>
        <c:axId val="102540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7173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0</xdr:rowOff>
    </xdr:from>
    <xdr:to>
      <xdr:col>20</xdr:col>
      <xdr:colOff>507240</xdr:colOff>
      <xdr:row>12</xdr:row>
      <xdr:rowOff>270360</xdr:rowOff>
    </xdr:to>
    <xdr:graphicFrame>
      <xdr:nvGraphicFramePr>
        <xdr:cNvPr id="1" name="Chart 1"/>
        <xdr:cNvGraphicFramePr/>
      </xdr:nvGraphicFramePr>
      <xdr:xfrm>
        <a:off x="10690920" y="11239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20</xdr:col>
      <xdr:colOff>507240</xdr:colOff>
      <xdr:row>31</xdr:row>
      <xdr:rowOff>32400</xdr:rowOff>
    </xdr:to>
    <xdr:graphicFrame>
      <xdr:nvGraphicFramePr>
        <xdr:cNvPr id="2" name="Chart 2"/>
        <xdr:cNvGraphicFramePr/>
      </xdr:nvGraphicFramePr>
      <xdr:xfrm>
        <a:off x="10690920" y="58388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0</xdr:rowOff>
    </xdr:from>
    <xdr:to>
      <xdr:col>25</xdr:col>
      <xdr:colOff>255960</xdr:colOff>
      <xdr:row>14</xdr:row>
      <xdr:rowOff>183600</xdr:rowOff>
    </xdr:to>
    <xdr:graphicFrame>
      <xdr:nvGraphicFramePr>
        <xdr:cNvPr id="3" name="Chart 1"/>
        <xdr:cNvGraphicFramePr/>
      </xdr:nvGraphicFramePr>
      <xdr:xfrm>
        <a:off x="12805560" y="15048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24"/>
    <col collapsed="false" customWidth="true" hidden="false" outlineLevel="0" max="8" min="8" style="1" width="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/>
    <row r="4" customFormat="false" ht="22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27.7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27.75" hidden="false" customHeight="true" outlineLevel="0" collapsed="false">
      <c r="B6" s="6" t="s">
        <v>4</v>
      </c>
      <c r="C6" s="6"/>
      <c r="D6" s="6"/>
      <c r="E6" s="6"/>
      <c r="F6" s="6"/>
      <c r="G6" s="6"/>
    </row>
    <row r="7" customFormat="false" ht="27.75" hidden="false" customHeight="true" outlineLevel="0" collapsed="false">
      <c r="B7" s="5" t="s">
        <v>5</v>
      </c>
      <c r="C7" s="5"/>
      <c r="D7" s="5"/>
      <c r="E7" s="5"/>
      <c r="F7" s="5"/>
      <c r="G7" s="5"/>
    </row>
    <row r="8" customFormat="false" ht="27.75" hidden="false" customHeight="true" outlineLevel="0" collapsed="false">
      <c r="B8" s="6" t="s">
        <v>6</v>
      </c>
      <c r="C8" s="6"/>
      <c r="D8" s="6"/>
      <c r="E8" s="6"/>
      <c r="F8" s="6"/>
      <c r="G8" s="6"/>
    </row>
    <row r="9" customFormat="false" ht="15" hidden="false" customHeight="false" outlineLevel="0" collapsed="false"/>
    <row r="10" customFormat="false" ht="22.5" hidden="false" customHeight="true" outlineLevel="0" collapsed="false">
      <c r="B10" s="4" t="s">
        <v>7</v>
      </c>
      <c r="C10" s="4"/>
      <c r="D10" s="4"/>
      <c r="E10" s="4"/>
      <c r="F10" s="4"/>
      <c r="G10" s="4"/>
    </row>
    <row r="11" customFormat="false" ht="25.5" hidden="false" customHeight="true" outlineLevel="0" collapsed="false">
      <c r="B11" s="7" t="s">
        <v>8</v>
      </c>
      <c r="C11" s="8" t="s">
        <v>9</v>
      </c>
      <c r="D11" s="8"/>
      <c r="E11" s="8"/>
      <c r="F11" s="8"/>
      <c r="G11" s="8"/>
    </row>
    <row r="12" customFormat="false" ht="25.5" hidden="false" customHeight="true" outlineLevel="0" collapsed="false">
      <c r="B12" s="7" t="s">
        <v>10</v>
      </c>
      <c r="C12" s="8" t="s">
        <v>11</v>
      </c>
      <c r="D12" s="8"/>
      <c r="E12" s="8"/>
      <c r="F12" s="8"/>
      <c r="G12" s="8"/>
    </row>
    <row r="13" customFormat="false" ht="25.5" hidden="false" customHeight="true" outlineLevel="0" collapsed="false">
      <c r="B13" s="7" t="s">
        <v>12</v>
      </c>
      <c r="C13" s="8" t="s">
        <v>13</v>
      </c>
      <c r="D13" s="8"/>
      <c r="E13" s="8"/>
      <c r="F13" s="8"/>
      <c r="G13" s="8"/>
    </row>
    <row r="14" customFormat="false" ht="25.5" hidden="false" customHeight="true" outlineLevel="0" collapsed="false">
      <c r="B14" s="7" t="s">
        <v>14</v>
      </c>
      <c r="C14" s="8" t="s">
        <v>15</v>
      </c>
      <c r="D14" s="8"/>
      <c r="E14" s="8"/>
      <c r="F14" s="8"/>
      <c r="G14" s="8"/>
    </row>
    <row r="15" customFormat="false" ht="25.5" hidden="false" customHeight="true" outlineLevel="0" collapsed="false">
      <c r="B15" s="7" t="s">
        <v>16</v>
      </c>
      <c r="C15" s="8" t="s">
        <v>17</v>
      </c>
      <c r="D15" s="8"/>
      <c r="E15" s="8"/>
      <c r="F15" s="8"/>
      <c r="G15" s="8"/>
    </row>
    <row r="16" customFormat="false" ht="25.5" hidden="false" customHeight="true" outlineLevel="0" collapsed="false">
      <c r="B16" s="7" t="s">
        <v>18</v>
      </c>
      <c r="C16" s="8" t="s">
        <v>19</v>
      </c>
      <c r="D16" s="8"/>
      <c r="E16" s="8"/>
      <c r="F16" s="8"/>
      <c r="G16" s="8"/>
    </row>
    <row r="17" customFormat="false" ht="25.5" hidden="false" customHeight="true" outlineLevel="0" collapsed="false">
      <c r="B17" s="7" t="s">
        <v>20</v>
      </c>
      <c r="C17" s="8" t="s">
        <v>21</v>
      </c>
      <c r="D17" s="8"/>
      <c r="E17" s="8"/>
      <c r="F17" s="8"/>
      <c r="G17" s="8"/>
    </row>
    <row r="18" customFormat="false" ht="22.5" hidden="false" customHeight="true" outlineLevel="0" collapsed="false">
      <c r="B18" s="4" t="s">
        <v>22</v>
      </c>
      <c r="C18" s="4"/>
      <c r="D18" s="4"/>
      <c r="E18" s="4"/>
      <c r="F18" s="4"/>
      <c r="G18" s="4"/>
    </row>
    <row r="19" customFormat="false" ht="24.75" hidden="false" customHeight="true" outlineLevel="0" collapsed="false">
      <c r="B19" s="9" t="s">
        <v>23</v>
      </c>
      <c r="C19" s="10" t="s">
        <v>24</v>
      </c>
      <c r="D19" s="10"/>
      <c r="E19" s="10"/>
      <c r="F19" s="10"/>
      <c r="G19" s="10"/>
    </row>
    <row r="20" customFormat="false" ht="24.75" hidden="false" customHeight="true" outlineLevel="0" collapsed="false">
      <c r="B20" s="9" t="s">
        <v>25</v>
      </c>
      <c r="C20" s="10" t="s">
        <v>26</v>
      </c>
      <c r="D20" s="10"/>
      <c r="E20" s="10"/>
      <c r="F20" s="10"/>
      <c r="G20" s="10"/>
    </row>
    <row r="21" customFormat="false" ht="24.75" hidden="false" customHeight="true" outlineLevel="0" collapsed="false">
      <c r="B21" s="9" t="s">
        <v>27</v>
      </c>
      <c r="C21" s="10" t="s">
        <v>28</v>
      </c>
      <c r="D21" s="10"/>
      <c r="E21" s="10"/>
      <c r="F21" s="10"/>
      <c r="G21" s="10"/>
    </row>
    <row r="22" customFormat="false" ht="24.75" hidden="false" customHeight="true" outlineLevel="0" collapsed="false">
      <c r="B22" s="9" t="s">
        <v>29</v>
      </c>
      <c r="C22" s="10" t="s">
        <v>30</v>
      </c>
      <c r="D22" s="10"/>
      <c r="E22" s="10"/>
      <c r="F22" s="10"/>
      <c r="G22" s="10"/>
    </row>
    <row r="23" customFormat="false" ht="24.75" hidden="false" customHeight="true" outlineLevel="0" collapsed="false">
      <c r="B23" s="9" t="s">
        <v>31</v>
      </c>
      <c r="C23" s="10" t="s">
        <v>32</v>
      </c>
      <c r="D23" s="10"/>
      <c r="E23" s="10"/>
      <c r="F23" s="10"/>
      <c r="G23" s="10"/>
    </row>
    <row r="24" customFormat="false" ht="24.75" hidden="false" customHeight="true" outlineLevel="0" collapsed="false">
      <c r="B24" s="9" t="s">
        <v>33</v>
      </c>
      <c r="C24" s="10" t="s">
        <v>34</v>
      </c>
      <c r="D24" s="10"/>
      <c r="E24" s="10"/>
      <c r="F24" s="10"/>
      <c r="G24" s="10"/>
    </row>
    <row r="25" customFormat="false" ht="15" hidden="false" customHeight="false" outlineLevel="0" collapsed="false"/>
    <row r="26" customFormat="false" ht="22.5" hidden="false" customHeight="true" outlineLevel="0" collapsed="false">
      <c r="B26" s="4" t="s">
        <v>35</v>
      </c>
      <c r="C26" s="4"/>
      <c r="D26" s="4"/>
      <c r="E26" s="4"/>
      <c r="F26" s="4"/>
      <c r="G26" s="4"/>
    </row>
    <row r="27" customFormat="false" ht="24" hidden="false" customHeight="true" outlineLevel="0" collapsed="false">
      <c r="B27" s="11" t="s">
        <v>36</v>
      </c>
      <c r="C27" s="11"/>
      <c r="D27" s="11"/>
      <c r="E27" s="11"/>
      <c r="F27" s="11"/>
      <c r="G27" s="11"/>
    </row>
    <row r="28" customFormat="false" ht="24" hidden="false" customHeight="true" outlineLevel="0" collapsed="false">
      <c r="B28" s="12" t="s">
        <v>37</v>
      </c>
      <c r="C28" s="12"/>
      <c r="D28" s="12"/>
      <c r="E28" s="12"/>
      <c r="F28" s="12"/>
      <c r="G28" s="12"/>
    </row>
    <row r="29" customFormat="false" ht="24" hidden="false" customHeight="true" outlineLevel="0" collapsed="false">
      <c r="B29" s="13" t="s">
        <v>38</v>
      </c>
      <c r="C29" s="13"/>
      <c r="D29" s="13"/>
      <c r="E29" s="13"/>
      <c r="F29" s="13"/>
      <c r="G29" s="13"/>
    </row>
    <row r="30" customFormat="false" ht="24" hidden="false" customHeight="true" outlineLevel="0" collapsed="false">
      <c r="B30" s="14" t="s">
        <v>39</v>
      </c>
      <c r="C30" s="14"/>
      <c r="D30" s="14"/>
      <c r="E30" s="14"/>
      <c r="F30" s="14"/>
      <c r="G30" s="14"/>
    </row>
    <row r="31" customFormat="false" ht="24" hidden="false" customHeight="true" outlineLevel="0" collapsed="false">
      <c r="B31" s="15" t="s">
        <v>40</v>
      </c>
      <c r="C31" s="15"/>
      <c r="D31" s="15"/>
      <c r="E31" s="15"/>
      <c r="F31" s="15"/>
      <c r="G31" s="15"/>
    </row>
    <row r="32" customFormat="false" ht="15" hidden="false" customHeight="false" outlineLevel="0" collapsed="false"/>
    <row r="33" customFormat="false" ht="24.75" hidden="false" customHeight="true" outlineLevel="0" collapsed="false">
      <c r="B33" s="16" t="s">
        <v>41</v>
      </c>
      <c r="C33" s="16"/>
      <c r="D33" s="16"/>
      <c r="E33" s="16"/>
      <c r="F33" s="16"/>
      <c r="G33" s="16"/>
    </row>
    <row r="34" customFormat="false" ht="24.75" hidden="false" customHeight="true" outlineLevel="0" collapsed="false">
      <c r="B34" s="16"/>
      <c r="C34" s="16"/>
      <c r="D34" s="16"/>
      <c r="E34" s="16"/>
      <c r="F34" s="16"/>
      <c r="G34" s="16"/>
    </row>
  </sheetData>
  <mergeCells count="29">
    <mergeCell ref="A1:H1"/>
    <mergeCell ref="A2:H2"/>
    <mergeCell ref="B4:G4"/>
    <mergeCell ref="B5:G5"/>
    <mergeCell ref="B6:G6"/>
    <mergeCell ref="B7:G7"/>
    <mergeCell ref="B8:G8"/>
    <mergeCell ref="B10:G10"/>
    <mergeCell ref="C11:G11"/>
    <mergeCell ref="C12:G12"/>
    <mergeCell ref="C13:G13"/>
    <mergeCell ref="C14:G14"/>
    <mergeCell ref="C15:G15"/>
    <mergeCell ref="C16:G16"/>
    <mergeCell ref="C17:G17"/>
    <mergeCell ref="B18:G18"/>
    <mergeCell ref="C19:G19"/>
    <mergeCell ref="C20:G20"/>
    <mergeCell ref="C21:G21"/>
    <mergeCell ref="C22:G22"/>
    <mergeCell ref="C23:G23"/>
    <mergeCell ref="C24:G24"/>
    <mergeCell ref="B26:G26"/>
    <mergeCell ref="B27:G27"/>
    <mergeCell ref="B28:G28"/>
    <mergeCell ref="B29:G29"/>
    <mergeCell ref="B30:G30"/>
    <mergeCell ref="B31:G31"/>
    <mergeCell ref="B33:G34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5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9"/>
    <col collapsed="false" customWidth="true" hidden="false" outlineLevel="0" max="8" min="7" style="1" width="22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5"/>
    <col collapsed="false" customWidth="true" hidden="false" outlineLevel="0" max="12" min="12" style="1" width="3"/>
    <col collapsed="false" customWidth="true" hidden="false" outlineLevel="0" max="13" min="13" style="1" width="21"/>
    <col collapsed="false" customWidth="true" hidden="false" outlineLevel="0" max="15" min="14" style="1" width="16"/>
    <col collapsed="false" customWidth="true" hidden="false" outlineLevel="0" max="17" min="16" style="1" width="22"/>
  </cols>
  <sheetData>
    <row r="1" customFormat="false" ht="33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2.5" hidden="false" customHeight="true" outlineLevel="0" collapsed="false">
      <c r="A4" s="4" t="s">
        <v>44</v>
      </c>
      <c r="B4" s="4"/>
      <c r="C4" s="4"/>
      <c r="D4" s="4"/>
      <c r="E4" s="4"/>
      <c r="F4" s="4"/>
      <c r="G4" s="4"/>
      <c r="H4" s="4"/>
      <c r="J4" s="17" t="s">
        <v>45</v>
      </c>
      <c r="K4" s="17"/>
      <c r="M4" s="17" t="s">
        <v>46</v>
      </c>
      <c r="N4" s="17"/>
      <c r="O4" s="17"/>
      <c r="P4" s="17"/>
      <c r="Q4" s="17"/>
    </row>
    <row r="5" customFormat="false" ht="33.75" hidden="false" customHeight="true" outlineLevel="0" collapsed="false">
      <c r="A5" s="18" t="s">
        <v>47</v>
      </c>
      <c r="B5" s="18" t="s">
        <v>48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53</v>
      </c>
      <c r="H5" s="18" t="s">
        <v>54</v>
      </c>
      <c r="M5" s="19" t="s">
        <v>55</v>
      </c>
      <c r="N5" s="19"/>
      <c r="O5" s="19"/>
      <c r="P5" s="19"/>
      <c r="Q5" s="19"/>
    </row>
    <row r="6" customFormat="false" ht="22.5" hidden="false" customHeight="true" outlineLevel="0" collapsed="false">
      <c r="A6" s="20" t="s">
        <v>56</v>
      </c>
      <c r="B6" s="20" t="n">
        <v>1</v>
      </c>
      <c r="C6" s="21" t="n">
        <v>50</v>
      </c>
      <c r="D6" s="20" t="n">
        <v>0</v>
      </c>
      <c r="E6" s="22" t="s">
        <v>57</v>
      </c>
      <c r="F6" s="23" t="n">
        <f aca="false">(B6-$K$6)/$K$7</f>
        <v>-1.6</v>
      </c>
      <c r="G6" s="23" t="n">
        <f aca="false">(C6-$K$8)/$K$9</f>
        <v>-1.66666666666667</v>
      </c>
      <c r="H6" s="24" t="str">
        <f aca="false">IF(E6="Train","ใช้ฝึกโมเดล","เก็บไว้ประเมิน")</f>
        <v>ใช้ฝึกโมเดล</v>
      </c>
      <c r="J6" s="25" t="s">
        <v>58</v>
      </c>
      <c r="K6" s="26" t="n">
        <v>5</v>
      </c>
      <c r="M6" s="19"/>
      <c r="N6" s="19"/>
      <c r="O6" s="19"/>
      <c r="P6" s="19"/>
      <c r="Q6" s="19"/>
    </row>
    <row r="7" customFormat="false" ht="22.5" hidden="false" customHeight="true" outlineLevel="0" collapsed="false">
      <c r="A7" s="20" t="s">
        <v>59</v>
      </c>
      <c r="B7" s="20" t="n">
        <v>2</v>
      </c>
      <c r="C7" s="21" t="n">
        <v>55</v>
      </c>
      <c r="D7" s="20" t="n">
        <v>0</v>
      </c>
      <c r="E7" s="22" t="s">
        <v>57</v>
      </c>
      <c r="F7" s="23" t="n">
        <f aca="false">(B7-$K$6)/$K$7</f>
        <v>-1.2</v>
      </c>
      <c r="G7" s="23" t="n">
        <f aca="false">(C7-$K$8)/$K$9</f>
        <v>-1.33333333333333</v>
      </c>
      <c r="H7" s="24" t="str">
        <f aca="false">IF(E7="Train","ใช้ฝึกโมเดล","เก็บไว้ประเมิน")</f>
        <v>ใช้ฝึกโมเดล</v>
      </c>
      <c r="J7" s="25" t="s">
        <v>60</v>
      </c>
      <c r="K7" s="26" t="n">
        <v>2.5</v>
      </c>
      <c r="M7" s="19"/>
      <c r="N7" s="19"/>
      <c r="O7" s="19"/>
      <c r="P7" s="19"/>
      <c r="Q7" s="19"/>
    </row>
    <row r="8" customFormat="false" ht="22.5" hidden="false" customHeight="true" outlineLevel="0" collapsed="false">
      <c r="A8" s="20" t="s">
        <v>61</v>
      </c>
      <c r="B8" s="20" t="n">
        <v>1.5</v>
      </c>
      <c r="C8" s="21" t="n">
        <v>65</v>
      </c>
      <c r="D8" s="20" t="n">
        <v>0</v>
      </c>
      <c r="E8" s="22" t="s">
        <v>57</v>
      </c>
      <c r="F8" s="23" t="n">
        <f aca="false">(B8-$K$6)/$K$7</f>
        <v>-1.4</v>
      </c>
      <c r="G8" s="23" t="n">
        <f aca="false">(C8-$K$8)/$K$9</f>
        <v>-0.666666666666667</v>
      </c>
      <c r="H8" s="24" t="str">
        <f aca="false">IF(E8="Train","ใช้ฝึกโมเดล","เก็บไว้ประเมิน")</f>
        <v>ใช้ฝึกโมเดล</v>
      </c>
      <c r="J8" s="25" t="s">
        <v>62</v>
      </c>
      <c r="K8" s="26" t="n">
        <v>75</v>
      </c>
      <c r="M8" s="27" t="s">
        <v>63</v>
      </c>
      <c r="N8" s="27"/>
      <c r="O8" s="27"/>
      <c r="P8" s="27"/>
      <c r="Q8" s="27"/>
    </row>
    <row r="9" customFormat="false" ht="22.5" hidden="false" customHeight="true" outlineLevel="0" collapsed="false">
      <c r="A9" s="20" t="s">
        <v>64</v>
      </c>
      <c r="B9" s="20" t="n">
        <v>2.5</v>
      </c>
      <c r="C9" s="21" t="n">
        <v>60</v>
      </c>
      <c r="D9" s="20" t="n">
        <v>0</v>
      </c>
      <c r="E9" s="22" t="s">
        <v>57</v>
      </c>
      <c r="F9" s="23" t="n">
        <f aca="false">(B9-$K$6)/$K$7</f>
        <v>-1</v>
      </c>
      <c r="G9" s="23" t="n">
        <f aca="false">(C9-$K$8)/$K$9</f>
        <v>-1</v>
      </c>
      <c r="H9" s="24" t="str">
        <f aca="false">IF(E9="Train","ใช้ฝึกโมเดล","เก็บไว้ประเมิน")</f>
        <v>ใช้ฝึกโมเดล</v>
      </c>
      <c r="J9" s="25" t="s">
        <v>65</v>
      </c>
      <c r="K9" s="26" t="n">
        <v>15</v>
      </c>
      <c r="M9" s="27"/>
      <c r="N9" s="27"/>
      <c r="O9" s="27"/>
      <c r="P9" s="27"/>
      <c r="Q9" s="27"/>
    </row>
    <row r="10" customFormat="false" ht="22.5" hidden="false" customHeight="true" outlineLevel="0" collapsed="false">
      <c r="A10" s="20" t="s">
        <v>66</v>
      </c>
      <c r="B10" s="20" t="n">
        <v>3</v>
      </c>
      <c r="C10" s="21" t="n">
        <v>70</v>
      </c>
      <c r="D10" s="20" t="n">
        <v>0</v>
      </c>
      <c r="E10" s="22" t="s">
        <v>57</v>
      </c>
      <c r="F10" s="23" t="n">
        <f aca="false">(B10-$K$6)/$K$7</f>
        <v>-0.8</v>
      </c>
      <c r="G10" s="23" t="n">
        <f aca="false">(C10-$K$8)/$K$9</f>
        <v>-0.333333333333333</v>
      </c>
      <c r="H10" s="24" t="str">
        <f aca="false">IF(E10="Train","ใช้ฝึกโมเดล","เก็บไว้ประเมิน")</f>
        <v>ใช้ฝึกโมเดล</v>
      </c>
      <c r="M10" s="27"/>
      <c r="N10" s="27"/>
      <c r="O10" s="27"/>
      <c r="P10" s="27"/>
      <c r="Q10" s="27"/>
    </row>
    <row r="11" customFormat="false" ht="22.5" hidden="false" customHeight="true" outlineLevel="0" collapsed="false">
      <c r="A11" s="20" t="s">
        <v>67</v>
      </c>
      <c r="B11" s="20" t="n">
        <v>3.5</v>
      </c>
      <c r="C11" s="21" t="n">
        <v>65</v>
      </c>
      <c r="D11" s="20" t="n">
        <v>0</v>
      </c>
      <c r="E11" s="22" t="s">
        <v>57</v>
      </c>
      <c r="F11" s="23" t="n">
        <f aca="false">(B11-$K$6)/$K$7</f>
        <v>-0.6</v>
      </c>
      <c r="G11" s="23" t="n">
        <f aca="false">(C11-$K$8)/$K$9</f>
        <v>-0.666666666666667</v>
      </c>
      <c r="H11" s="24" t="str">
        <f aca="false">IF(E11="Train","ใช้ฝึกโมเดล","เก็บไว้ประเมิน")</f>
        <v>ใช้ฝึกโมเดล</v>
      </c>
      <c r="J11" s="28" t="s">
        <v>68</v>
      </c>
      <c r="K11" s="29" t="s">
        <v>69</v>
      </c>
    </row>
    <row r="12" customFormat="false" ht="22.5" hidden="false" customHeight="true" outlineLevel="0" collapsed="false">
      <c r="A12" s="20" t="s">
        <v>70</v>
      </c>
      <c r="B12" s="20" t="n">
        <v>4</v>
      </c>
      <c r="C12" s="21" t="n">
        <v>72</v>
      </c>
      <c r="D12" s="20" t="n">
        <v>0</v>
      </c>
      <c r="E12" s="22" t="s">
        <v>57</v>
      </c>
      <c r="F12" s="23" t="n">
        <f aca="false">(B12-$K$6)/$K$7</f>
        <v>-0.4</v>
      </c>
      <c r="G12" s="23" t="n">
        <f aca="false">(C12-$K$8)/$K$9</f>
        <v>-0.2</v>
      </c>
      <c r="H12" s="24" t="str">
        <f aca="false">IF(E12="Train","ใช้ฝึกโมเดล","เก็บไว้ประเมิน")</f>
        <v>ใช้ฝึกโมเดล</v>
      </c>
      <c r="M12" s="30" t="s">
        <v>71</v>
      </c>
      <c r="N12" s="30"/>
      <c r="O12" s="30"/>
      <c r="P12" s="30"/>
      <c r="Q12" s="30"/>
    </row>
    <row r="13" customFormat="false" ht="22.5" hidden="false" customHeight="true" outlineLevel="0" collapsed="false">
      <c r="A13" s="20" t="s">
        <v>72</v>
      </c>
      <c r="B13" s="20" t="n">
        <v>4</v>
      </c>
      <c r="C13" s="21" t="n">
        <v>80</v>
      </c>
      <c r="D13" s="20" t="n">
        <v>1</v>
      </c>
      <c r="E13" s="22" t="s">
        <v>57</v>
      </c>
      <c r="F13" s="23" t="n">
        <f aca="false">(B13-$K$6)/$K$7</f>
        <v>-0.4</v>
      </c>
      <c r="G13" s="23" t="n">
        <f aca="false">(C13-$K$8)/$K$9</f>
        <v>0.333333333333333</v>
      </c>
      <c r="H13" s="24" t="str">
        <f aca="false">IF(E13="Train","ใช้ฝึกโมเดล","เก็บไว้ประเมิน")</f>
        <v>ใช้ฝึกโมเดล</v>
      </c>
      <c r="M13" s="30"/>
      <c r="N13" s="30"/>
      <c r="O13" s="30"/>
      <c r="P13" s="30"/>
      <c r="Q13" s="30"/>
    </row>
    <row r="14" customFormat="false" ht="22.5" hidden="false" customHeight="true" outlineLevel="0" collapsed="false">
      <c r="A14" s="20" t="s">
        <v>73</v>
      </c>
      <c r="B14" s="20" t="n">
        <v>4.5</v>
      </c>
      <c r="C14" s="21" t="n">
        <v>75</v>
      </c>
      <c r="D14" s="20" t="n">
        <v>0</v>
      </c>
      <c r="E14" s="22" t="s">
        <v>57</v>
      </c>
      <c r="F14" s="23" t="n">
        <f aca="false">(B14-$K$6)/$K$7</f>
        <v>-0.2</v>
      </c>
      <c r="G14" s="23" t="n">
        <f aca="false">(C14-$K$8)/$K$9</f>
        <v>0</v>
      </c>
      <c r="H14" s="24" t="str">
        <f aca="false">IF(E14="Train","ใช้ฝึกโมเดล","เก็บไว้ประเมิน")</f>
        <v>ใช้ฝึกโมเดล</v>
      </c>
      <c r="M14" s="30"/>
      <c r="N14" s="30"/>
      <c r="O14" s="30"/>
      <c r="P14" s="30"/>
      <c r="Q14" s="30"/>
    </row>
    <row r="15" customFormat="false" ht="22.5" hidden="false" customHeight="true" outlineLevel="0" collapsed="false">
      <c r="A15" s="20" t="s">
        <v>74</v>
      </c>
      <c r="B15" s="20" t="n">
        <v>5</v>
      </c>
      <c r="C15" s="21" t="n">
        <v>78</v>
      </c>
      <c r="D15" s="20" t="n">
        <v>1</v>
      </c>
      <c r="E15" s="22" t="s">
        <v>57</v>
      </c>
      <c r="F15" s="23" t="n">
        <f aca="false">(B15-$K$6)/$K$7</f>
        <v>0</v>
      </c>
      <c r="G15" s="23" t="n">
        <f aca="false">(C15-$K$8)/$K$9</f>
        <v>0.2</v>
      </c>
      <c r="H15" s="24" t="str">
        <f aca="false">IF(E15="Train","ใช้ฝึกโมเดล","เก็บไว้ประเมิน")</f>
        <v>ใช้ฝึกโมเดล</v>
      </c>
      <c r="M15" s="31" t="s">
        <v>75</v>
      </c>
      <c r="N15" s="31"/>
      <c r="O15" s="31"/>
      <c r="P15" s="31"/>
      <c r="Q15" s="31"/>
    </row>
    <row r="16" customFormat="false" ht="22.5" hidden="false" customHeight="true" outlineLevel="0" collapsed="false">
      <c r="A16" s="20" t="s">
        <v>76</v>
      </c>
      <c r="B16" s="20" t="n">
        <v>5.5</v>
      </c>
      <c r="C16" s="21" t="n">
        <v>82</v>
      </c>
      <c r="D16" s="20" t="n">
        <v>1</v>
      </c>
      <c r="E16" s="22" t="s">
        <v>57</v>
      </c>
      <c r="F16" s="23" t="n">
        <f aca="false">(B16-$K$6)/$K$7</f>
        <v>0.2</v>
      </c>
      <c r="G16" s="23" t="n">
        <f aca="false">(C16-$K$8)/$K$9</f>
        <v>0.466666666666667</v>
      </c>
      <c r="H16" s="24" t="str">
        <f aca="false">IF(E16="Train","ใช้ฝึกโมเดล","เก็บไว้ประเมิน")</f>
        <v>ใช้ฝึกโมเดล</v>
      </c>
      <c r="M16" s="31"/>
      <c r="N16" s="31"/>
      <c r="O16" s="31"/>
      <c r="P16" s="31"/>
      <c r="Q16" s="31"/>
    </row>
    <row r="17" customFormat="false" ht="22.5" hidden="false" customHeight="true" outlineLevel="0" collapsed="false">
      <c r="A17" s="20" t="s">
        <v>77</v>
      </c>
      <c r="B17" s="20" t="n">
        <v>6</v>
      </c>
      <c r="C17" s="21" t="n">
        <v>80</v>
      </c>
      <c r="D17" s="20" t="n">
        <v>1</v>
      </c>
      <c r="E17" s="22" t="s">
        <v>57</v>
      </c>
      <c r="F17" s="23" t="n">
        <f aca="false">(B17-$K$6)/$K$7</f>
        <v>0.4</v>
      </c>
      <c r="G17" s="23" t="n">
        <f aca="false">(C17-$K$8)/$K$9</f>
        <v>0.333333333333333</v>
      </c>
      <c r="H17" s="24" t="str">
        <f aca="false">IF(E17="Train","ใช้ฝึกโมเดล","เก็บไว้ประเมิน")</f>
        <v>ใช้ฝึกโมเดล</v>
      </c>
      <c r="M17" s="31"/>
      <c r="N17" s="31"/>
      <c r="O17" s="31"/>
      <c r="P17" s="31"/>
      <c r="Q17" s="31"/>
    </row>
    <row r="18" customFormat="false" ht="22.5" hidden="false" customHeight="true" outlineLevel="0" collapsed="false">
      <c r="A18" s="20" t="s">
        <v>78</v>
      </c>
      <c r="B18" s="20" t="n">
        <v>6.5</v>
      </c>
      <c r="C18" s="21" t="n">
        <v>85</v>
      </c>
      <c r="D18" s="20" t="n">
        <v>1</v>
      </c>
      <c r="E18" s="22" t="s">
        <v>57</v>
      </c>
      <c r="F18" s="23" t="n">
        <f aca="false">(B18-$K$6)/$K$7</f>
        <v>0.6</v>
      </c>
      <c r="G18" s="23" t="n">
        <f aca="false">(C18-$K$8)/$K$9</f>
        <v>0.666666666666667</v>
      </c>
      <c r="H18" s="24" t="str">
        <f aca="false">IF(E18="Train","ใช้ฝึกโมเดล","เก็บไว้ประเมิน")</f>
        <v>ใช้ฝึกโมเดล</v>
      </c>
      <c r="M18" s="30" t="s">
        <v>79</v>
      </c>
      <c r="N18" s="30"/>
      <c r="O18" s="30"/>
      <c r="P18" s="30"/>
      <c r="Q18" s="30"/>
    </row>
    <row r="19" customFormat="false" ht="22.5" hidden="false" customHeight="true" outlineLevel="0" collapsed="false">
      <c r="A19" s="20" t="s">
        <v>80</v>
      </c>
      <c r="B19" s="20" t="n">
        <v>7</v>
      </c>
      <c r="C19" s="21" t="n">
        <v>88</v>
      </c>
      <c r="D19" s="20" t="n">
        <v>1</v>
      </c>
      <c r="E19" s="22" t="s">
        <v>57</v>
      </c>
      <c r="F19" s="23" t="n">
        <f aca="false">(B19-$K$6)/$K$7</f>
        <v>0.8</v>
      </c>
      <c r="G19" s="23" t="n">
        <f aca="false">(C19-$K$8)/$K$9</f>
        <v>0.866666666666667</v>
      </c>
      <c r="H19" s="24" t="str">
        <f aca="false">IF(E19="Train","ใช้ฝึกโมเดล","เก็บไว้ประเมิน")</f>
        <v>ใช้ฝึกโมเดล</v>
      </c>
      <c r="M19" s="30"/>
      <c r="N19" s="30"/>
      <c r="O19" s="30"/>
      <c r="P19" s="30"/>
      <c r="Q19" s="30"/>
    </row>
    <row r="20" customFormat="false" ht="22.5" hidden="false" customHeight="true" outlineLevel="0" collapsed="false">
      <c r="A20" s="20" t="s">
        <v>81</v>
      </c>
      <c r="B20" s="20" t="n">
        <v>7.5</v>
      </c>
      <c r="C20" s="21" t="n">
        <v>92</v>
      </c>
      <c r="D20" s="20" t="n">
        <v>1</v>
      </c>
      <c r="E20" s="22" t="s">
        <v>57</v>
      </c>
      <c r="F20" s="23" t="n">
        <f aca="false">(B20-$K$6)/$K$7</f>
        <v>1</v>
      </c>
      <c r="G20" s="23" t="n">
        <f aca="false">(C20-$K$8)/$K$9</f>
        <v>1.13333333333333</v>
      </c>
      <c r="H20" s="24" t="str">
        <f aca="false">IF(E20="Train","ใช้ฝึกโมเดล","เก็บไว้ประเมิน")</f>
        <v>ใช้ฝึกโมเดล</v>
      </c>
      <c r="M20" s="30"/>
      <c r="N20" s="30"/>
      <c r="O20" s="30"/>
      <c r="P20" s="30"/>
      <c r="Q20" s="30"/>
    </row>
    <row r="21" customFormat="false" ht="22.5" hidden="false" customHeight="true" outlineLevel="0" collapsed="false">
      <c r="A21" s="20" t="s">
        <v>82</v>
      </c>
      <c r="B21" s="20" t="n">
        <v>8</v>
      </c>
      <c r="C21" s="21" t="n">
        <v>90</v>
      </c>
      <c r="D21" s="20" t="n">
        <v>1</v>
      </c>
      <c r="E21" s="22" t="s">
        <v>57</v>
      </c>
      <c r="F21" s="23" t="n">
        <f aca="false">(B21-$K$6)/$K$7</f>
        <v>1.2</v>
      </c>
      <c r="G21" s="23" t="n">
        <f aca="false">(C21-$K$8)/$K$9</f>
        <v>1</v>
      </c>
      <c r="H21" s="24" t="str">
        <f aca="false">IF(E21="Train","ใช้ฝึกโมเดล","เก็บไว้ประเมิน")</f>
        <v>ใช้ฝึกโมเดล</v>
      </c>
      <c r="M21" s="31" t="s">
        <v>83</v>
      </c>
      <c r="N21" s="31"/>
      <c r="O21" s="31"/>
      <c r="P21" s="31"/>
      <c r="Q21" s="31"/>
    </row>
    <row r="22" customFormat="false" ht="22.5" hidden="false" customHeight="true" outlineLevel="0" collapsed="false">
      <c r="A22" s="20" t="s">
        <v>84</v>
      </c>
      <c r="B22" s="20" t="n">
        <v>9</v>
      </c>
      <c r="C22" s="21" t="n">
        <v>96</v>
      </c>
      <c r="D22" s="20" t="n">
        <v>1</v>
      </c>
      <c r="E22" s="22" t="s">
        <v>57</v>
      </c>
      <c r="F22" s="23" t="n">
        <f aca="false">(B22-$K$6)/$K$7</f>
        <v>1.6</v>
      </c>
      <c r="G22" s="23" t="n">
        <f aca="false">(C22-$K$8)/$K$9</f>
        <v>1.4</v>
      </c>
      <c r="H22" s="24" t="str">
        <f aca="false">IF(E22="Train","ใช้ฝึกโมเดล","เก็บไว้ประเมิน")</f>
        <v>ใช้ฝึกโมเดล</v>
      </c>
      <c r="M22" s="31"/>
      <c r="N22" s="31"/>
      <c r="O22" s="31"/>
      <c r="P22" s="31"/>
      <c r="Q22" s="31"/>
    </row>
    <row r="23" customFormat="false" ht="22.5" hidden="false" customHeight="true" outlineLevel="0" collapsed="false">
      <c r="A23" s="20" t="s">
        <v>85</v>
      </c>
      <c r="B23" s="20" t="n">
        <v>3.5</v>
      </c>
      <c r="C23" s="21" t="n">
        <v>88</v>
      </c>
      <c r="D23" s="20" t="n">
        <v>1</v>
      </c>
      <c r="E23" s="22" t="s">
        <v>57</v>
      </c>
      <c r="F23" s="23" t="n">
        <f aca="false">(B23-$K$6)/$K$7</f>
        <v>-0.6</v>
      </c>
      <c r="G23" s="23" t="n">
        <f aca="false">(C23-$K$8)/$K$9</f>
        <v>0.866666666666667</v>
      </c>
      <c r="H23" s="24" t="str">
        <f aca="false">IF(E23="Train","ใช้ฝึกโมเดล","เก็บไว้ประเมิน")</f>
        <v>ใช้ฝึกโมเดล</v>
      </c>
      <c r="M23" s="31"/>
      <c r="N23" s="31"/>
      <c r="O23" s="31"/>
      <c r="P23" s="31"/>
      <c r="Q23" s="31"/>
    </row>
    <row r="24" customFormat="false" ht="22.5" hidden="false" customHeight="true" outlineLevel="0" collapsed="false">
      <c r="A24" s="20" t="s">
        <v>86</v>
      </c>
      <c r="B24" s="20" t="n">
        <v>6.5</v>
      </c>
      <c r="C24" s="21" t="n">
        <v>62</v>
      </c>
      <c r="D24" s="20" t="n">
        <v>0</v>
      </c>
      <c r="E24" s="22" t="s">
        <v>57</v>
      </c>
      <c r="F24" s="23" t="n">
        <f aca="false">(B24-$K$6)/$K$7</f>
        <v>0.6</v>
      </c>
      <c r="G24" s="23" t="n">
        <f aca="false">(C24-$K$8)/$K$9</f>
        <v>-0.866666666666667</v>
      </c>
      <c r="H24" s="24" t="str">
        <f aca="false">IF(E24="Train","ใช้ฝึกโมเดล","เก็บไว้ประเมิน")</f>
        <v>ใช้ฝึกโมเดล</v>
      </c>
    </row>
    <row r="25" customFormat="false" ht="22.5" hidden="false" customHeight="true" outlineLevel="0" collapsed="false">
      <c r="A25" s="20" t="s">
        <v>87</v>
      </c>
      <c r="B25" s="20" t="n">
        <v>8.5</v>
      </c>
      <c r="C25" s="21" t="n">
        <v>70</v>
      </c>
      <c r="D25" s="20" t="n">
        <v>1</v>
      </c>
      <c r="E25" s="22" t="s">
        <v>57</v>
      </c>
      <c r="F25" s="23" t="n">
        <f aca="false">(B25-$K$6)/$K$7</f>
        <v>1.4</v>
      </c>
      <c r="G25" s="23" t="n">
        <f aca="false">(C25-$K$8)/$K$9</f>
        <v>-0.333333333333333</v>
      </c>
      <c r="H25" s="24" t="str">
        <f aca="false">IF(E25="Train","ใช้ฝึกโมเดล","เก็บไว้ประเมิน")</f>
        <v>ใช้ฝึกโมเดล</v>
      </c>
      <c r="M25" s="19" t="s">
        <v>88</v>
      </c>
      <c r="N25" s="19"/>
      <c r="O25" s="19"/>
      <c r="P25" s="19"/>
      <c r="Q25" s="19"/>
    </row>
    <row r="26" customFormat="false" ht="22.5" hidden="false" customHeight="true" outlineLevel="0" collapsed="false">
      <c r="A26" s="20" t="s">
        <v>89</v>
      </c>
      <c r="B26" s="20" t="n">
        <v>1.5</v>
      </c>
      <c r="C26" s="21" t="n">
        <v>52</v>
      </c>
      <c r="D26" s="20" t="n">
        <v>0</v>
      </c>
      <c r="E26" s="32" t="s">
        <v>90</v>
      </c>
      <c r="F26" s="23" t="n">
        <f aca="false">(B26-$K$6)/$K$7</f>
        <v>-1.4</v>
      </c>
      <c r="G26" s="23" t="n">
        <f aca="false">(C26-$K$8)/$K$9</f>
        <v>-1.53333333333333</v>
      </c>
      <c r="H26" s="24" t="str">
        <f aca="false">IF(E26="Train","ใช้ฝึกโมเดล","เก็บไว้ประเมิน")</f>
        <v>เก็บไว้ประเมิน</v>
      </c>
      <c r="M26" s="19"/>
      <c r="N26" s="19"/>
      <c r="O26" s="19"/>
      <c r="P26" s="19"/>
      <c r="Q26" s="19"/>
    </row>
    <row r="27" customFormat="false" ht="22.5" hidden="false" customHeight="true" outlineLevel="0" collapsed="false">
      <c r="A27" s="20" t="s">
        <v>91</v>
      </c>
      <c r="B27" s="20" t="n">
        <v>3</v>
      </c>
      <c r="C27" s="21" t="n">
        <v>78</v>
      </c>
      <c r="D27" s="20" t="n">
        <v>0</v>
      </c>
      <c r="E27" s="32" t="s">
        <v>90</v>
      </c>
      <c r="F27" s="23" t="n">
        <f aca="false">(B27-$K$6)/$K$7</f>
        <v>-0.8</v>
      </c>
      <c r="G27" s="23" t="n">
        <f aca="false">(C27-$K$8)/$K$9</f>
        <v>0.2</v>
      </c>
      <c r="H27" s="24" t="str">
        <f aca="false">IF(E27="Train","ใช้ฝึกโมเดล","เก็บไว้ประเมิน")</f>
        <v>เก็บไว้ประเมิน</v>
      </c>
      <c r="M27" s="19"/>
      <c r="N27" s="19"/>
      <c r="O27" s="19"/>
      <c r="P27" s="19"/>
      <c r="Q27" s="19"/>
    </row>
    <row r="28" customFormat="false" ht="22.5" hidden="false" customHeight="true" outlineLevel="0" collapsed="false">
      <c r="A28" s="20" t="s">
        <v>92</v>
      </c>
      <c r="B28" s="20" t="n">
        <v>4.5</v>
      </c>
      <c r="C28" s="21" t="n">
        <v>85</v>
      </c>
      <c r="D28" s="20" t="n">
        <v>1</v>
      </c>
      <c r="E28" s="32" t="s">
        <v>90</v>
      </c>
      <c r="F28" s="23" t="n">
        <f aca="false">(B28-$K$6)/$K$7</f>
        <v>-0.2</v>
      </c>
      <c r="G28" s="23" t="n">
        <f aca="false">(C28-$K$8)/$K$9</f>
        <v>0.666666666666667</v>
      </c>
      <c r="H28" s="24" t="str">
        <f aca="false">IF(E28="Train","ใช้ฝึกโมเดล","เก็บไว้ประเมิน")</f>
        <v>เก็บไว้ประเมิน</v>
      </c>
    </row>
    <row r="29" customFormat="false" ht="22.5" hidden="false" customHeight="true" outlineLevel="0" collapsed="false">
      <c r="A29" s="20" t="s">
        <v>93</v>
      </c>
      <c r="B29" s="20" t="n">
        <v>5</v>
      </c>
      <c r="C29" s="21" t="n">
        <v>60</v>
      </c>
      <c r="D29" s="20" t="n">
        <v>0</v>
      </c>
      <c r="E29" s="32" t="s">
        <v>90</v>
      </c>
      <c r="F29" s="23" t="n">
        <f aca="false">(B29-$K$6)/$K$7</f>
        <v>0</v>
      </c>
      <c r="G29" s="23" t="n">
        <f aca="false">(C29-$K$8)/$K$9</f>
        <v>-1</v>
      </c>
      <c r="H29" s="24" t="str">
        <f aca="false">IF(E29="Train","ใช้ฝึกโมเดล","เก็บไว้ประเมิน")</f>
        <v>เก็บไว้ประเมิน</v>
      </c>
      <c r="M29" s="4" t="s">
        <v>94</v>
      </c>
      <c r="N29" s="4"/>
      <c r="O29" s="4"/>
      <c r="P29" s="4"/>
      <c r="Q29" s="4"/>
    </row>
    <row r="30" customFormat="false" ht="33.75" hidden="false" customHeight="true" outlineLevel="0" collapsed="false">
      <c r="A30" s="20" t="s">
        <v>95</v>
      </c>
      <c r="B30" s="20" t="n">
        <v>5.5</v>
      </c>
      <c r="C30" s="21" t="n">
        <v>92</v>
      </c>
      <c r="D30" s="20" t="n">
        <v>1</v>
      </c>
      <c r="E30" s="32" t="s">
        <v>90</v>
      </c>
      <c r="F30" s="23" t="n">
        <f aca="false">(B30-$K$6)/$K$7</f>
        <v>0.2</v>
      </c>
      <c r="G30" s="23" t="n">
        <f aca="false">(C30-$K$8)/$K$9</f>
        <v>1.13333333333333</v>
      </c>
      <c r="H30" s="24" t="str">
        <f aca="false">IF(E30="Train","ใช้ฝึกโมเดล","เก็บไว้ประเมิน")</f>
        <v>เก็บไว้ประเมิน</v>
      </c>
      <c r="M30" s="18" t="s">
        <v>96</v>
      </c>
      <c r="N30" s="18" t="s">
        <v>97</v>
      </c>
      <c r="O30" s="18" t="s">
        <v>98</v>
      </c>
      <c r="P30" s="18" t="s">
        <v>99</v>
      </c>
      <c r="Q30" s="18"/>
    </row>
    <row r="31" customFormat="false" ht="30" hidden="false" customHeight="true" outlineLevel="0" collapsed="false">
      <c r="A31" s="20" t="s">
        <v>100</v>
      </c>
      <c r="B31" s="20" t="n">
        <v>6</v>
      </c>
      <c r="C31" s="21" t="n">
        <v>70</v>
      </c>
      <c r="D31" s="20" t="n">
        <v>1</v>
      </c>
      <c r="E31" s="32" t="s">
        <v>90</v>
      </c>
      <c r="F31" s="23" t="n">
        <f aca="false">(B31-$K$6)/$K$7</f>
        <v>0.4</v>
      </c>
      <c r="G31" s="23" t="n">
        <f aca="false">(C31-$K$8)/$K$9</f>
        <v>-0.333333333333333</v>
      </c>
      <c r="H31" s="24" t="str">
        <f aca="false">IF(E31="Train","ใช้ฝึกโมเดล","เก็บไว้ประเมิน")</f>
        <v>เก็บไว้ประเมิน</v>
      </c>
      <c r="M31" s="33" t="s">
        <v>58</v>
      </c>
      <c r="N31" s="34" t="n">
        <f aca="false">$K$6</f>
        <v>5</v>
      </c>
      <c r="O31" s="34" t="n">
        <f aca="false">AVERAGE($B$6:$B$25)</f>
        <v>4.95</v>
      </c>
      <c r="P31" s="35" t="s">
        <v>101</v>
      </c>
      <c r="Q31" s="35"/>
    </row>
    <row r="32" customFormat="false" ht="30" hidden="false" customHeight="true" outlineLevel="0" collapsed="false">
      <c r="A32" s="20" t="s">
        <v>102</v>
      </c>
      <c r="B32" s="20" t="n">
        <v>7</v>
      </c>
      <c r="C32" s="21" t="n">
        <v>58</v>
      </c>
      <c r="D32" s="20" t="n">
        <v>0</v>
      </c>
      <c r="E32" s="32" t="s">
        <v>90</v>
      </c>
      <c r="F32" s="23" t="n">
        <f aca="false">(B32-$K$6)/$K$7</f>
        <v>0.8</v>
      </c>
      <c r="G32" s="23" t="n">
        <f aca="false">(C32-$K$8)/$K$9</f>
        <v>-1.13333333333333</v>
      </c>
      <c r="H32" s="24" t="str">
        <f aca="false">IF(E32="Train","ใช้ฝึกโมเดล","เก็บไว้ประเมิน")</f>
        <v>เก็บไว้ประเมิน</v>
      </c>
      <c r="M32" s="36" t="s">
        <v>60</v>
      </c>
      <c r="N32" s="37" t="n">
        <f aca="false">$K$7</f>
        <v>2.5</v>
      </c>
      <c r="O32" s="37" t="n">
        <f aca="false">STDEVP($B$6:$B$25)</f>
        <v>2.31786539729985</v>
      </c>
      <c r="P32" s="38" t="s">
        <v>103</v>
      </c>
      <c r="Q32" s="38"/>
    </row>
    <row r="33" customFormat="false" ht="30" hidden="false" customHeight="true" outlineLevel="0" collapsed="false">
      <c r="A33" s="20" t="s">
        <v>104</v>
      </c>
      <c r="B33" s="20" t="n">
        <v>3</v>
      </c>
      <c r="C33" s="21" t="n">
        <v>92</v>
      </c>
      <c r="D33" s="20" t="n">
        <v>1</v>
      </c>
      <c r="E33" s="32" t="s">
        <v>90</v>
      </c>
      <c r="F33" s="23" t="n">
        <f aca="false">(B33-$K$6)/$K$7</f>
        <v>-0.8</v>
      </c>
      <c r="G33" s="23" t="n">
        <f aca="false">(C33-$K$8)/$K$9</f>
        <v>1.13333333333333</v>
      </c>
      <c r="H33" s="24" t="str">
        <f aca="false">IF(E33="Train","ใช้ฝึกโมเดล","เก็บไว้ประเมิน")</f>
        <v>เก็บไว้ประเมิน</v>
      </c>
      <c r="M33" s="33" t="s">
        <v>62</v>
      </c>
      <c r="N33" s="34" t="n">
        <f aca="false">$K$8</f>
        <v>75</v>
      </c>
      <c r="O33" s="34" t="n">
        <f aca="false">AVERAGE($C$6:$C$25)</f>
        <v>75.15</v>
      </c>
      <c r="P33" s="35" t="s">
        <v>105</v>
      </c>
      <c r="Q33" s="35"/>
    </row>
    <row r="34" customFormat="false" ht="30" hidden="false" customHeight="true" outlineLevel="0" collapsed="false">
      <c r="A34" s="20" t="s">
        <v>106</v>
      </c>
      <c r="B34" s="20" t="n">
        <v>8</v>
      </c>
      <c r="C34" s="21" t="n">
        <v>82</v>
      </c>
      <c r="D34" s="20" t="n">
        <v>1</v>
      </c>
      <c r="E34" s="32" t="s">
        <v>90</v>
      </c>
      <c r="F34" s="23" t="n">
        <f aca="false">(B34-$K$6)/$K$7</f>
        <v>1.2</v>
      </c>
      <c r="G34" s="23" t="n">
        <f aca="false">(C34-$K$8)/$K$9</f>
        <v>0.466666666666667</v>
      </c>
      <c r="H34" s="24" t="str">
        <f aca="false">IF(E34="Train","ใช้ฝึกโมเดล","เก็บไว้ประเมิน")</f>
        <v>เก็บไว้ประเมิน</v>
      </c>
      <c r="M34" s="36" t="s">
        <v>65</v>
      </c>
      <c r="N34" s="37" t="n">
        <f aca="false">$K$9</f>
        <v>15</v>
      </c>
      <c r="O34" s="37" t="n">
        <f aca="false">STDEVP($C$6:$C$25)</f>
        <v>12.606645073135</v>
      </c>
      <c r="P34" s="38" t="s">
        <v>107</v>
      </c>
      <c r="Q34" s="38"/>
    </row>
    <row r="35" customFormat="false" ht="22.5" hidden="false" customHeight="true" outlineLevel="0" collapsed="false">
      <c r="A35" s="20" t="s">
        <v>108</v>
      </c>
      <c r="B35" s="20" t="n">
        <v>4</v>
      </c>
      <c r="C35" s="21" t="n">
        <v>68</v>
      </c>
      <c r="D35" s="20" t="n">
        <v>0</v>
      </c>
      <c r="E35" s="32" t="s">
        <v>90</v>
      </c>
      <c r="F35" s="23" t="n">
        <f aca="false">(B35-$K$6)/$K$7</f>
        <v>-0.4</v>
      </c>
      <c r="G35" s="23" t="n">
        <f aca="false">(C35-$K$8)/$K$9</f>
        <v>-0.466666666666667</v>
      </c>
      <c r="H35" s="24" t="str">
        <f aca="false">IF(E35="Train","ใช้ฝึกโมเดล","เก็บไว้ประเมิน")</f>
        <v>เก็บไว้ประเมิน</v>
      </c>
    </row>
    <row r="36" customFormat="false" ht="15" hidden="false" customHeight="true" outlineLevel="0" collapsed="false">
      <c r="M36" s="39" t="s">
        <v>109</v>
      </c>
      <c r="N36" s="39"/>
      <c r="O36" s="39"/>
      <c r="P36" s="39"/>
      <c r="Q36" s="39"/>
    </row>
    <row r="37" customFormat="false" ht="15" hidden="false" customHeight="true" outlineLevel="0" collapsed="false">
      <c r="A37" s="40" t="s">
        <v>110</v>
      </c>
      <c r="B37" s="41" t="s">
        <v>111</v>
      </c>
      <c r="C37" s="41"/>
      <c r="D37" s="41"/>
      <c r="E37" s="41"/>
      <c r="F37" s="41"/>
      <c r="G37" s="41"/>
      <c r="H37" s="41"/>
      <c r="M37" s="39"/>
      <c r="N37" s="39"/>
      <c r="O37" s="39"/>
      <c r="P37" s="39"/>
      <c r="Q37" s="39"/>
    </row>
  </sheetData>
  <autoFilter ref="A5:H35"/>
  <mergeCells count="20">
    <mergeCell ref="A1:Q1"/>
    <mergeCell ref="A2:Q2"/>
    <mergeCell ref="A4:H4"/>
    <mergeCell ref="J4:K4"/>
    <mergeCell ref="M4:Q4"/>
    <mergeCell ref="M5:Q7"/>
    <mergeCell ref="M8:Q10"/>
    <mergeCell ref="M12:Q14"/>
    <mergeCell ref="M15:Q17"/>
    <mergeCell ref="M18:Q20"/>
    <mergeCell ref="M21:Q23"/>
    <mergeCell ref="M25:Q27"/>
    <mergeCell ref="M29:Q29"/>
    <mergeCell ref="P30:Q30"/>
    <mergeCell ref="P31:Q31"/>
    <mergeCell ref="P32:Q32"/>
    <mergeCell ref="P33:Q33"/>
    <mergeCell ref="P34:Q34"/>
    <mergeCell ref="M36:Q37"/>
    <mergeCell ref="B37:H37"/>
  </mergeCells>
  <conditionalFormatting sqref="D6:D35">
    <cfRule type="cellIs" priority="2" operator="equal" aboveAverage="0" equalAverage="0" bottom="0" percent="0" rank="0" text="" dxfId="9">
      <formula>1</formula>
    </cfRule>
    <cfRule type="cellIs" priority="3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10" min="5" style="1" width="13"/>
    <col collapsed="false" customWidth="true" hidden="false" outlineLevel="0" max="11" min="11" style="1" width="14"/>
  </cols>
  <sheetData>
    <row r="1" customFormat="false" ht="33.7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4.75" hidden="false" customHeight="true" outlineLevel="0" collapsed="false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2.5" hidden="false" customHeight="true" outlineLevel="0" collapsed="false">
      <c r="A3" s="17" t="s">
        <v>114</v>
      </c>
      <c r="B3" s="17"/>
      <c r="C3" s="17"/>
      <c r="D3" s="17"/>
      <c r="E3" s="17"/>
      <c r="F3" s="17"/>
    </row>
    <row r="4" customFormat="false" ht="15" hidden="false" customHeight="true" outlineLevel="0" collapsed="false">
      <c r="A4" s="9" t="s">
        <v>115</v>
      </c>
      <c r="B4" s="42" t="n">
        <v>0.4</v>
      </c>
    </row>
    <row r="5" customFormat="false" ht="15" hidden="false" customHeight="true" outlineLevel="0" collapsed="false">
      <c r="A5" s="9" t="s">
        <v>116</v>
      </c>
      <c r="B5" s="43" t="n">
        <v>10</v>
      </c>
    </row>
    <row r="6" customFormat="false" ht="15" hidden="false" customHeight="true" outlineLevel="0" collapsed="false">
      <c r="A6" s="9" t="s">
        <v>117</v>
      </c>
      <c r="B6" s="44" t="n">
        <f aca="false">COUNTIF(01_Data!E6:E35,"Train")</f>
        <v>20</v>
      </c>
    </row>
    <row r="7" customFormat="false" ht="15" hidden="false" customHeight="true" outlineLevel="0" collapsed="false">
      <c r="C7" s="45" t="s">
        <v>118</v>
      </c>
      <c r="D7" s="46" t="n">
        <v>0</v>
      </c>
      <c r="E7" s="45" t="s">
        <v>119</v>
      </c>
      <c r="F7" s="46" t="n">
        <v>0</v>
      </c>
      <c r="G7" s="45" t="s">
        <v>120</v>
      </c>
      <c r="H7" s="46" t="n">
        <v>0</v>
      </c>
    </row>
    <row r="8" customFormat="false" ht="15" hidden="false" customHeight="false" outlineLevel="0" collapsed="false"/>
    <row r="9" customFormat="false" ht="24.75" hidden="false" customHeight="true" outlineLevel="0" collapsed="false">
      <c r="A9" s="16" t="s">
        <v>121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customFormat="false" ht="24.7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customFormat="false" ht="22.5" hidden="false" customHeight="true" outlineLevel="0" collapsed="false">
      <c r="A11" s="4" t="s">
        <v>122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47" t="s">
        <v>123</v>
      </c>
      <c r="B12" s="48" t="n">
        <v>1</v>
      </c>
      <c r="C12" s="47" t="s">
        <v>124</v>
      </c>
      <c r="D12" s="49" t="n">
        <f aca="false">$D$7</f>
        <v>0</v>
      </c>
      <c r="E12" s="47" t="s">
        <v>125</v>
      </c>
      <c r="F12" s="49" t="n">
        <f aca="false">$F$7</f>
        <v>0</v>
      </c>
      <c r="G12" s="47" t="s">
        <v>126</v>
      </c>
      <c r="H12" s="49" t="n">
        <f aca="false">$H$7</f>
        <v>0</v>
      </c>
      <c r="I12" s="48" t="s">
        <v>127</v>
      </c>
      <c r="J12" s="48"/>
      <c r="K12" s="48"/>
    </row>
    <row r="13" customFormat="false" ht="33.75" hidden="false" customHeight="true" outlineLevel="0" collapsed="false">
      <c r="A13" s="18" t="s">
        <v>128</v>
      </c>
      <c r="B13" s="18" t="s">
        <v>129</v>
      </c>
      <c r="C13" s="18" t="s">
        <v>130</v>
      </c>
      <c r="D13" s="18" t="s">
        <v>131</v>
      </c>
      <c r="E13" s="18" t="s">
        <v>132</v>
      </c>
      <c r="F13" s="18" t="s">
        <v>133</v>
      </c>
      <c r="G13" s="18" t="s">
        <v>134</v>
      </c>
      <c r="H13" s="18" t="s">
        <v>135</v>
      </c>
      <c r="I13" s="18" t="s">
        <v>136</v>
      </c>
      <c r="J13" s="18" t="s">
        <v>137</v>
      </c>
      <c r="K13" s="18" t="s">
        <v>33</v>
      </c>
    </row>
    <row r="14" customFormat="false" ht="15" hidden="false" customHeight="true" outlineLevel="0" collapsed="false">
      <c r="A14" s="50" t="str">
        <f aca="false">01_Data!A6</f>
        <v>S01</v>
      </c>
      <c r="B14" s="51" t="n">
        <f aca="false">01_Data!F6</f>
        <v>-1.6</v>
      </c>
      <c r="C14" s="51" t="n">
        <f aca="false">01_Data!G6</f>
        <v>-1.66666666666667</v>
      </c>
      <c r="D14" s="51" t="n">
        <f aca="false">01_Data!D6</f>
        <v>0</v>
      </c>
      <c r="E14" s="52" t="n">
        <f aca="false">$D$12 + $F$12*B14 + $H$12*C14</f>
        <v>0</v>
      </c>
      <c r="F14" s="52" t="n">
        <f aca="false">1/(1+EXP(-E14))</f>
        <v>0.5</v>
      </c>
      <c r="G14" s="52" t="n">
        <f aca="false">F14-D14</f>
        <v>0.5</v>
      </c>
      <c r="H14" s="52" t="n">
        <f aca="false">G14</f>
        <v>0.5</v>
      </c>
      <c r="I14" s="52" t="n">
        <f aca="false">G14*B14</f>
        <v>-0.8</v>
      </c>
      <c r="J14" s="52" t="n">
        <f aca="false">G14*C14</f>
        <v>-0.833333333333333</v>
      </c>
      <c r="K14" s="52" t="n">
        <f aca="false">-D14*LN(F14)-(1-D14)*LN(1-F14)</f>
        <v>0.693147180559945</v>
      </c>
    </row>
    <row r="15" customFormat="false" ht="15" hidden="false" customHeight="true" outlineLevel="0" collapsed="false">
      <c r="A15" s="50" t="str">
        <f aca="false">01_Data!A7</f>
        <v>S02</v>
      </c>
      <c r="B15" s="51" t="n">
        <f aca="false">01_Data!F7</f>
        <v>-1.2</v>
      </c>
      <c r="C15" s="51" t="n">
        <f aca="false">01_Data!G7</f>
        <v>-1.33333333333333</v>
      </c>
      <c r="D15" s="51" t="n">
        <f aca="false">01_Data!D7</f>
        <v>0</v>
      </c>
      <c r="E15" s="52" t="n">
        <f aca="false">$D$12 + $F$12*B15 + $H$12*C15</f>
        <v>0</v>
      </c>
      <c r="F15" s="52" t="n">
        <f aca="false">1/(1+EXP(-E15))</f>
        <v>0.5</v>
      </c>
      <c r="G15" s="52" t="n">
        <f aca="false">F15-D15</f>
        <v>0.5</v>
      </c>
      <c r="H15" s="52" t="n">
        <f aca="false">G15</f>
        <v>0.5</v>
      </c>
      <c r="I15" s="52" t="n">
        <f aca="false">G15*B15</f>
        <v>-0.6</v>
      </c>
      <c r="J15" s="52" t="n">
        <f aca="false">G15*C15</f>
        <v>-0.666666666666667</v>
      </c>
      <c r="K15" s="52" t="n">
        <f aca="false">-D15*LN(F15)-(1-D15)*LN(1-F15)</f>
        <v>0.693147180559945</v>
      </c>
    </row>
    <row r="16" customFormat="false" ht="15" hidden="false" customHeight="true" outlineLevel="0" collapsed="false">
      <c r="A16" s="50" t="str">
        <f aca="false">01_Data!A8</f>
        <v>S03</v>
      </c>
      <c r="B16" s="51" t="n">
        <f aca="false">01_Data!F8</f>
        <v>-1.4</v>
      </c>
      <c r="C16" s="51" t="n">
        <f aca="false">01_Data!G8</f>
        <v>-0.666666666666667</v>
      </c>
      <c r="D16" s="51" t="n">
        <f aca="false">01_Data!D8</f>
        <v>0</v>
      </c>
      <c r="E16" s="52" t="n">
        <f aca="false">$D$12 + $F$12*B16 + $H$12*C16</f>
        <v>0</v>
      </c>
      <c r="F16" s="52" t="n">
        <f aca="false">1/(1+EXP(-E16))</f>
        <v>0.5</v>
      </c>
      <c r="G16" s="52" t="n">
        <f aca="false">F16-D16</f>
        <v>0.5</v>
      </c>
      <c r="H16" s="52" t="n">
        <f aca="false">G16</f>
        <v>0.5</v>
      </c>
      <c r="I16" s="52" t="n">
        <f aca="false">G16*B16</f>
        <v>-0.7</v>
      </c>
      <c r="J16" s="52" t="n">
        <f aca="false">G16*C16</f>
        <v>-0.333333333333333</v>
      </c>
      <c r="K16" s="52" t="n">
        <f aca="false">-D16*LN(F16)-(1-D16)*LN(1-F16)</f>
        <v>0.693147180559945</v>
      </c>
    </row>
    <row r="17" customFormat="false" ht="15" hidden="false" customHeight="true" outlineLevel="0" collapsed="false">
      <c r="A17" s="50" t="str">
        <f aca="false">01_Data!A9</f>
        <v>S04</v>
      </c>
      <c r="B17" s="51" t="n">
        <f aca="false">01_Data!F9</f>
        <v>-1</v>
      </c>
      <c r="C17" s="51" t="n">
        <f aca="false">01_Data!G9</f>
        <v>-1</v>
      </c>
      <c r="D17" s="51" t="n">
        <f aca="false">01_Data!D9</f>
        <v>0</v>
      </c>
      <c r="E17" s="52" t="n">
        <f aca="false">$D$12 + $F$12*B17 + $H$12*C17</f>
        <v>0</v>
      </c>
      <c r="F17" s="52" t="n">
        <f aca="false">1/(1+EXP(-E17))</f>
        <v>0.5</v>
      </c>
      <c r="G17" s="52" t="n">
        <f aca="false">F17-D17</f>
        <v>0.5</v>
      </c>
      <c r="H17" s="52" t="n">
        <f aca="false">G17</f>
        <v>0.5</v>
      </c>
      <c r="I17" s="52" t="n">
        <f aca="false">G17*B17</f>
        <v>-0.5</v>
      </c>
      <c r="J17" s="52" t="n">
        <f aca="false">G17*C17</f>
        <v>-0.5</v>
      </c>
      <c r="K17" s="52" t="n">
        <f aca="false">-D17*LN(F17)-(1-D17)*LN(1-F17)</f>
        <v>0.693147180559945</v>
      </c>
    </row>
    <row r="18" customFormat="false" ht="15" hidden="false" customHeight="true" outlineLevel="0" collapsed="false">
      <c r="A18" s="50" t="str">
        <f aca="false">01_Data!A10</f>
        <v>S05</v>
      </c>
      <c r="B18" s="51" t="n">
        <f aca="false">01_Data!F10</f>
        <v>-0.8</v>
      </c>
      <c r="C18" s="51" t="n">
        <f aca="false">01_Data!G10</f>
        <v>-0.333333333333333</v>
      </c>
      <c r="D18" s="51" t="n">
        <f aca="false">01_Data!D10</f>
        <v>0</v>
      </c>
      <c r="E18" s="52" t="n">
        <f aca="false">$D$12 + $F$12*B18 + $H$12*C18</f>
        <v>0</v>
      </c>
      <c r="F18" s="52" t="n">
        <f aca="false">1/(1+EXP(-E18))</f>
        <v>0.5</v>
      </c>
      <c r="G18" s="52" t="n">
        <f aca="false">F18-D18</f>
        <v>0.5</v>
      </c>
      <c r="H18" s="52" t="n">
        <f aca="false">G18</f>
        <v>0.5</v>
      </c>
      <c r="I18" s="52" t="n">
        <f aca="false">G18*B18</f>
        <v>-0.4</v>
      </c>
      <c r="J18" s="52" t="n">
        <f aca="false">G18*C18</f>
        <v>-0.166666666666667</v>
      </c>
      <c r="K18" s="52" t="n">
        <f aca="false">-D18*LN(F18)-(1-D18)*LN(1-F18)</f>
        <v>0.693147180559945</v>
      </c>
    </row>
    <row r="19" customFormat="false" ht="15" hidden="false" customHeight="true" outlineLevel="0" collapsed="false">
      <c r="A19" s="50" t="str">
        <f aca="false">01_Data!A11</f>
        <v>S06</v>
      </c>
      <c r="B19" s="51" t="n">
        <f aca="false">01_Data!F11</f>
        <v>-0.6</v>
      </c>
      <c r="C19" s="51" t="n">
        <f aca="false">01_Data!G11</f>
        <v>-0.666666666666667</v>
      </c>
      <c r="D19" s="51" t="n">
        <f aca="false">01_Data!D11</f>
        <v>0</v>
      </c>
      <c r="E19" s="52" t="n">
        <f aca="false">$D$12 + $F$12*B19 + $H$12*C19</f>
        <v>0</v>
      </c>
      <c r="F19" s="52" t="n">
        <f aca="false">1/(1+EXP(-E19))</f>
        <v>0.5</v>
      </c>
      <c r="G19" s="52" t="n">
        <f aca="false">F19-D19</f>
        <v>0.5</v>
      </c>
      <c r="H19" s="52" t="n">
        <f aca="false">G19</f>
        <v>0.5</v>
      </c>
      <c r="I19" s="52" t="n">
        <f aca="false">G19*B19</f>
        <v>-0.3</v>
      </c>
      <c r="J19" s="52" t="n">
        <f aca="false">G19*C19</f>
        <v>-0.333333333333333</v>
      </c>
      <c r="K19" s="52" t="n">
        <f aca="false">-D19*LN(F19)-(1-D19)*LN(1-F19)</f>
        <v>0.693147180559945</v>
      </c>
    </row>
    <row r="20" customFormat="false" ht="15" hidden="false" customHeight="true" outlineLevel="0" collapsed="false">
      <c r="A20" s="50" t="str">
        <f aca="false">01_Data!A12</f>
        <v>S07</v>
      </c>
      <c r="B20" s="51" t="n">
        <f aca="false">01_Data!F12</f>
        <v>-0.4</v>
      </c>
      <c r="C20" s="51" t="n">
        <f aca="false">01_Data!G12</f>
        <v>-0.2</v>
      </c>
      <c r="D20" s="51" t="n">
        <f aca="false">01_Data!D12</f>
        <v>0</v>
      </c>
      <c r="E20" s="52" t="n">
        <f aca="false">$D$12 + $F$12*B20 + $H$12*C20</f>
        <v>0</v>
      </c>
      <c r="F20" s="52" t="n">
        <f aca="false">1/(1+EXP(-E20))</f>
        <v>0.5</v>
      </c>
      <c r="G20" s="52" t="n">
        <f aca="false">F20-D20</f>
        <v>0.5</v>
      </c>
      <c r="H20" s="52" t="n">
        <f aca="false">G20</f>
        <v>0.5</v>
      </c>
      <c r="I20" s="52" t="n">
        <f aca="false">G20*B20</f>
        <v>-0.2</v>
      </c>
      <c r="J20" s="52" t="n">
        <f aca="false">G20*C20</f>
        <v>-0.1</v>
      </c>
      <c r="K20" s="52" t="n">
        <f aca="false">-D20*LN(F20)-(1-D20)*LN(1-F20)</f>
        <v>0.693147180559945</v>
      </c>
    </row>
    <row r="21" customFormat="false" ht="15" hidden="false" customHeight="true" outlineLevel="0" collapsed="false">
      <c r="A21" s="50" t="str">
        <f aca="false">01_Data!A13</f>
        <v>S08</v>
      </c>
      <c r="B21" s="51" t="n">
        <f aca="false">01_Data!F13</f>
        <v>-0.4</v>
      </c>
      <c r="C21" s="51" t="n">
        <f aca="false">01_Data!G13</f>
        <v>0.333333333333333</v>
      </c>
      <c r="D21" s="51" t="n">
        <f aca="false">01_Data!D13</f>
        <v>1</v>
      </c>
      <c r="E21" s="52" t="n">
        <f aca="false">$D$12 + $F$12*B21 + $H$12*C21</f>
        <v>0</v>
      </c>
      <c r="F21" s="52" t="n">
        <f aca="false">1/(1+EXP(-E21))</f>
        <v>0.5</v>
      </c>
      <c r="G21" s="52" t="n">
        <f aca="false">F21-D21</f>
        <v>-0.5</v>
      </c>
      <c r="H21" s="52" t="n">
        <f aca="false">G21</f>
        <v>-0.5</v>
      </c>
      <c r="I21" s="52" t="n">
        <f aca="false">G21*B21</f>
        <v>0.2</v>
      </c>
      <c r="J21" s="52" t="n">
        <f aca="false">G21*C21</f>
        <v>-0.166666666666667</v>
      </c>
      <c r="K21" s="52" t="n">
        <f aca="false">-D21*LN(F21)-(1-D21)*LN(1-F21)</f>
        <v>0.693147180559945</v>
      </c>
    </row>
    <row r="22" customFormat="false" ht="15" hidden="false" customHeight="true" outlineLevel="0" collapsed="false">
      <c r="A22" s="50" t="str">
        <f aca="false">01_Data!A14</f>
        <v>S09</v>
      </c>
      <c r="B22" s="51" t="n">
        <f aca="false">01_Data!F14</f>
        <v>-0.2</v>
      </c>
      <c r="C22" s="51" t="n">
        <f aca="false">01_Data!G14</f>
        <v>0</v>
      </c>
      <c r="D22" s="51" t="n">
        <f aca="false">01_Data!D14</f>
        <v>0</v>
      </c>
      <c r="E22" s="52" t="n">
        <f aca="false">$D$12 + $F$12*B22 + $H$12*C22</f>
        <v>0</v>
      </c>
      <c r="F22" s="52" t="n">
        <f aca="false">1/(1+EXP(-E22))</f>
        <v>0.5</v>
      </c>
      <c r="G22" s="52" t="n">
        <f aca="false">F22-D22</f>
        <v>0.5</v>
      </c>
      <c r="H22" s="52" t="n">
        <f aca="false">G22</f>
        <v>0.5</v>
      </c>
      <c r="I22" s="52" t="n">
        <f aca="false">G22*B22</f>
        <v>-0.1</v>
      </c>
      <c r="J22" s="52" t="n">
        <f aca="false">G22*C22</f>
        <v>0</v>
      </c>
      <c r="K22" s="52" t="n">
        <f aca="false">-D22*LN(F22)-(1-D22)*LN(1-F22)</f>
        <v>0.693147180559945</v>
      </c>
    </row>
    <row r="23" customFormat="false" ht="15" hidden="false" customHeight="true" outlineLevel="0" collapsed="false">
      <c r="A23" s="50" t="str">
        <f aca="false">01_Data!A15</f>
        <v>S10</v>
      </c>
      <c r="B23" s="51" t="n">
        <f aca="false">01_Data!F15</f>
        <v>0</v>
      </c>
      <c r="C23" s="51" t="n">
        <f aca="false">01_Data!G15</f>
        <v>0.2</v>
      </c>
      <c r="D23" s="51" t="n">
        <f aca="false">01_Data!D15</f>
        <v>1</v>
      </c>
      <c r="E23" s="52" t="n">
        <f aca="false">$D$12 + $F$12*B23 + $H$12*C23</f>
        <v>0</v>
      </c>
      <c r="F23" s="52" t="n">
        <f aca="false">1/(1+EXP(-E23))</f>
        <v>0.5</v>
      </c>
      <c r="G23" s="52" t="n">
        <f aca="false">F23-D23</f>
        <v>-0.5</v>
      </c>
      <c r="H23" s="52" t="n">
        <f aca="false">G23</f>
        <v>-0.5</v>
      </c>
      <c r="I23" s="52" t="n">
        <f aca="false">G23*B23</f>
        <v>-0</v>
      </c>
      <c r="J23" s="52" t="n">
        <f aca="false">G23*C23</f>
        <v>-0.1</v>
      </c>
      <c r="K23" s="52" t="n">
        <f aca="false">-D23*LN(F23)-(1-D23)*LN(1-F23)</f>
        <v>0.693147180559945</v>
      </c>
    </row>
    <row r="24" customFormat="false" ht="15" hidden="false" customHeight="true" outlineLevel="0" collapsed="false">
      <c r="A24" s="50" t="str">
        <f aca="false">01_Data!A16</f>
        <v>S11</v>
      </c>
      <c r="B24" s="51" t="n">
        <f aca="false">01_Data!F16</f>
        <v>0.2</v>
      </c>
      <c r="C24" s="51" t="n">
        <f aca="false">01_Data!G16</f>
        <v>0.466666666666667</v>
      </c>
      <c r="D24" s="51" t="n">
        <f aca="false">01_Data!D16</f>
        <v>1</v>
      </c>
      <c r="E24" s="52" t="n">
        <f aca="false">$D$12 + $F$12*B24 + $H$12*C24</f>
        <v>0</v>
      </c>
      <c r="F24" s="52" t="n">
        <f aca="false">1/(1+EXP(-E24))</f>
        <v>0.5</v>
      </c>
      <c r="G24" s="52" t="n">
        <f aca="false">F24-D24</f>
        <v>-0.5</v>
      </c>
      <c r="H24" s="52" t="n">
        <f aca="false">G24</f>
        <v>-0.5</v>
      </c>
      <c r="I24" s="52" t="n">
        <f aca="false">G24*B24</f>
        <v>-0.1</v>
      </c>
      <c r="J24" s="52" t="n">
        <f aca="false">G24*C24</f>
        <v>-0.233333333333333</v>
      </c>
      <c r="K24" s="52" t="n">
        <f aca="false">-D24*LN(F24)-(1-D24)*LN(1-F24)</f>
        <v>0.693147180559945</v>
      </c>
    </row>
    <row r="25" customFormat="false" ht="15" hidden="false" customHeight="true" outlineLevel="0" collapsed="false">
      <c r="A25" s="50" t="str">
        <f aca="false">01_Data!A17</f>
        <v>S12</v>
      </c>
      <c r="B25" s="51" t="n">
        <f aca="false">01_Data!F17</f>
        <v>0.4</v>
      </c>
      <c r="C25" s="51" t="n">
        <f aca="false">01_Data!G17</f>
        <v>0.333333333333333</v>
      </c>
      <c r="D25" s="51" t="n">
        <f aca="false">01_Data!D17</f>
        <v>1</v>
      </c>
      <c r="E25" s="52" t="n">
        <f aca="false">$D$12 + $F$12*B25 + $H$12*C25</f>
        <v>0</v>
      </c>
      <c r="F25" s="52" t="n">
        <f aca="false">1/(1+EXP(-E25))</f>
        <v>0.5</v>
      </c>
      <c r="G25" s="52" t="n">
        <f aca="false">F25-D25</f>
        <v>-0.5</v>
      </c>
      <c r="H25" s="52" t="n">
        <f aca="false">G25</f>
        <v>-0.5</v>
      </c>
      <c r="I25" s="52" t="n">
        <f aca="false">G25*B25</f>
        <v>-0.2</v>
      </c>
      <c r="J25" s="52" t="n">
        <f aca="false">G25*C25</f>
        <v>-0.166666666666667</v>
      </c>
      <c r="K25" s="52" t="n">
        <f aca="false">-D25*LN(F25)-(1-D25)*LN(1-F25)</f>
        <v>0.693147180559945</v>
      </c>
    </row>
    <row r="26" customFormat="false" ht="15" hidden="false" customHeight="true" outlineLevel="0" collapsed="false">
      <c r="A26" s="50" t="str">
        <f aca="false">01_Data!A18</f>
        <v>S13</v>
      </c>
      <c r="B26" s="51" t="n">
        <f aca="false">01_Data!F18</f>
        <v>0.6</v>
      </c>
      <c r="C26" s="51" t="n">
        <f aca="false">01_Data!G18</f>
        <v>0.666666666666667</v>
      </c>
      <c r="D26" s="51" t="n">
        <f aca="false">01_Data!D18</f>
        <v>1</v>
      </c>
      <c r="E26" s="52" t="n">
        <f aca="false">$D$12 + $F$12*B26 + $H$12*C26</f>
        <v>0</v>
      </c>
      <c r="F26" s="52" t="n">
        <f aca="false">1/(1+EXP(-E26))</f>
        <v>0.5</v>
      </c>
      <c r="G26" s="52" t="n">
        <f aca="false">F26-D26</f>
        <v>-0.5</v>
      </c>
      <c r="H26" s="52" t="n">
        <f aca="false">G26</f>
        <v>-0.5</v>
      </c>
      <c r="I26" s="52" t="n">
        <f aca="false">G26*B26</f>
        <v>-0.3</v>
      </c>
      <c r="J26" s="52" t="n">
        <f aca="false">G26*C26</f>
        <v>-0.333333333333333</v>
      </c>
      <c r="K26" s="52" t="n">
        <f aca="false">-D26*LN(F26)-(1-D26)*LN(1-F26)</f>
        <v>0.693147180559945</v>
      </c>
    </row>
    <row r="27" customFormat="false" ht="15" hidden="false" customHeight="true" outlineLevel="0" collapsed="false">
      <c r="A27" s="50" t="str">
        <f aca="false">01_Data!A19</f>
        <v>S14</v>
      </c>
      <c r="B27" s="51" t="n">
        <f aca="false">01_Data!F19</f>
        <v>0.8</v>
      </c>
      <c r="C27" s="51" t="n">
        <f aca="false">01_Data!G19</f>
        <v>0.866666666666667</v>
      </c>
      <c r="D27" s="51" t="n">
        <f aca="false">01_Data!D19</f>
        <v>1</v>
      </c>
      <c r="E27" s="52" t="n">
        <f aca="false">$D$12 + $F$12*B27 + $H$12*C27</f>
        <v>0</v>
      </c>
      <c r="F27" s="52" t="n">
        <f aca="false">1/(1+EXP(-E27))</f>
        <v>0.5</v>
      </c>
      <c r="G27" s="52" t="n">
        <f aca="false">F27-D27</f>
        <v>-0.5</v>
      </c>
      <c r="H27" s="52" t="n">
        <f aca="false">G27</f>
        <v>-0.5</v>
      </c>
      <c r="I27" s="52" t="n">
        <f aca="false">G27*B27</f>
        <v>-0.4</v>
      </c>
      <c r="J27" s="52" t="n">
        <f aca="false">G27*C27</f>
        <v>-0.433333333333333</v>
      </c>
      <c r="K27" s="52" t="n">
        <f aca="false">-D27*LN(F27)-(1-D27)*LN(1-F27)</f>
        <v>0.693147180559945</v>
      </c>
    </row>
    <row r="28" customFormat="false" ht="15" hidden="false" customHeight="true" outlineLevel="0" collapsed="false">
      <c r="A28" s="50" t="str">
        <f aca="false">01_Data!A20</f>
        <v>S15</v>
      </c>
      <c r="B28" s="51" t="n">
        <f aca="false">01_Data!F20</f>
        <v>1</v>
      </c>
      <c r="C28" s="51" t="n">
        <f aca="false">01_Data!G20</f>
        <v>1.13333333333333</v>
      </c>
      <c r="D28" s="51" t="n">
        <f aca="false">01_Data!D20</f>
        <v>1</v>
      </c>
      <c r="E28" s="52" t="n">
        <f aca="false">$D$12 + $F$12*B28 + $H$12*C28</f>
        <v>0</v>
      </c>
      <c r="F28" s="52" t="n">
        <f aca="false">1/(1+EXP(-E28))</f>
        <v>0.5</v>
      </c>
      <c r="G28" s="52" t="n">
        <f aca="false">F28-D28</f>
        <v>-0.5</v>
      </c>
      <c r="H28" s="52" t="n">
        <f aca="false">G28</f>
        <v>-0.5</v>
      </c>
      <c r="I28" s="52" t="n">
        <f aca="false">G28*B28</f>
        <v>-0.5</v>
      </c>
      <c r="J28" s="52" t="n">
        <f aca="false">G28*C28</f>
        <v>-0.566666666666667</v>
      </c>
      <c r="K28" s="52" t="n">
        <f aca="false">-D28*LN(F28)-(1-D28)*LN(1-F28)</f>
        <v>0.693147180559945</v>
      </c>
    </row>
    <row r="29" customFormat="false" ht="15" hidden="false" customHeight="true" outlineLevel="0" collapsed="false">
      <c r="A29" s="50" t="str">
        <f aca="false">01_Data!A21</f>
        <v>S16</v>
      </c>
      <c r="B29" s="51" t="n">
        <f aca="false">01_Data!F21</f>
        <v>1.2</v>
      </c>
      <c r="C29" s="51" t="n">
        <f aca="false">01_Data!G21</f>
        <v>1</v>
      </c>
      <c r="D29" s="51" t="n">
        <f aca="false">01_Data!D21</f>
        <v>1</v>
      </c>
      <c r="E29" s="52" t="n">
        <f aca="false">$D$12 + $F$12*B29 + $H$12*C29</f>
        <v>0</v>
      </c>
      <c r="F29" s="52" t="n">
        <f aca="false">1/(1+EXP(-E29))</f>
        <v>0.5</v>
      </c>
      <c r="G29" s="52" t="n">
        <f aca="false">F29-D29</f>
        <v>-0.5</v>
      </c>
      <c r="H29" s="52" t="n">
        <f aca="false">G29</f>
        <v>-0.5</v>
      </c>
      <c r="I29" s="52" t="n">
        <f aca="false">G29*B29</f>
        <v>-0.6</v>
      </c>
      <c r="J29" s="52" t="n">
        <f aca="false">G29*C29</f>
        <v>-0.5</v>
      </c>
      <c r="K29" s="52" t="n">
        <f aca="false">-D29*LN(F29)-(1-D29)*LN(1-F29)</f>
        <v>0.693147180559945</v>
      </c>
    </row>
    <row r="30" customFormat="false" ht="15" hidden="false" customHeight="true" outlineLevel="0" collapsed="false">
      <c r="A30" s="50" t="str">
        <f aca="false">01_Data!A22</f>
        <v>S17</v>
      </c>
      <c r="B30" s="51" t="n">
        <f aca="false">01_Data!F22</f>
        <v>1.6</v>
      </c>
      <c r="C30" s="51" t="n">
        <f aca="false">01_Data!G22</f>
        <v>1.4</v>
      </c>
      <c r="D30" s="51" t="n">
        <f aca="false">01_Data!D22</f>
        <v>1</v>
      </c>
      <c r="E30" s="52" t="n">
        <f aca="false">$D$12 + $F$12*B30 + $H$12*C30</f>
        <v>0</v>
      </c>
      <c r="F30" s="52" t="n">
        <f aca="false">1/(1+EXP(-E30))</f>
        <v>0.5</v>
      </c>
      <c r="G30" s="52" t="n">
        <f aca="false">F30-D30</f>
        <v>-0.5</v>
      </c>
      <c r="H30" s="52" t="n">
        <f aca="false">G30</f>
        <v>-0.5</v>
      </c>
      <c r="I30" s="52" t="n">
        <f aca="false">G30*B30</f>
        <v>-0.8</v>
      </c>
      <c r="J30" s="52" t="n">
        <f aca="false">G30*C30</f>
        <v>-0.7</v>
      </c>
      <c r="K30" s="52" t="n">
        <f aca="false">-D30*LN(F30)-(1-D30)*LN(1-F30)</f>
        <v>0.693147180559945</v>
      </c>
    </row>
    <row r="31" customFormat="false" ht="15" hidden="false" customHeight="true" outlineLevel="0" collapsed="false">
      <c r="A31" s="50" t="str">
        <f aca="false">01_Data!A23</f>
        <v>S18</v>
      </c>
      <c r="B31" s="51" t="n">
        <f aca="false">01_Data!F23</f>
        <v>-0.6</v>
      </c>
      <c r="C31" s="51" t="n">
        <f aca="false">01_Data!G23</f>
        <v>0.866666666666667</v>
      </c>
      <c r="D31" s="51" t="n">
        <f aca="false">01_Data!D23</f>
        <v>1</v>
      </c>
      <c r="E31" s="52" t="n">
        <f aca="false">$D$12 + $F$12*B31 + $H$12*C31</f>
        <v>0</v>
      </c>
      <c r="F31" s="52" t="n">
        <f aca="false">1/(1+EXP(-E31))</f>
        <v>0.5</v>
      </c>
      <c r="G31" s="52" t="n">
        <f aca="false">F31-D31</f>
        <v>-0.5</v>
      </c>
      <c r="H31" s="52" t="n">
        <f aca="false">G31</f>
        <v>-0.5</v>
      </c>
      <c r="I31" s="52" t="n">
        <f aca="false">G31*B31</f>
        <v>0.3</v>
      </c>
      <c r="J31" s="52" t="n">
        <f aca="false">G31*C31</f>
        <v>-0.433333333333333</v>
      </c>
      <c r="K31" s="52" t="n">
        <f aca="false">-D31*LN(F31)-(1-D31)*LN(1-F31)</f>
        <v>0.693147180559945</v>
      </c>
    </row>
    <row r="32" customFormat="false" ht="15" hidden="false" customHeight="true" outlineLevel="0" collapsed="false">
      <c r="A32" s="50" t="str">
        <f aca="false">01_Data!A24</f>
        <v>S19</v>
      </c>
      <c r="B32" s="51" t="n">
        <f aca="false">01_Data!F24</f>
        <v>0.6</v>
      </c>
      <c r="C32" s="51" t="n">
        <f aca="false">01_Data!G24</f>
        <v>-0.866666666666667</v>
      </c>
      <c r="D32" s="51" t="n">
        <f aca="false">01_Data!D24</f>
        <v>0</v>
      </c>
      <c r="E32" s="52" t="n">
        <f aca="false">$D$12 + $F$12*B32 + $H$12*C32</f>
        <v>0</v>
      </c>
      <c r="F32" s="52" t="n">
        <f aca="false">1/(1+EXP(-E32))</f>
        <v>0.5</v>
      </c>
      <c r="G32" s="52" t="n">
        <f aca="false">F32-D32</f>
        <v>0.5</v>
      </c>
      <c r="H32" s="52" t="n">
        <f aca="false">G32</f>
        <v>0.5</v>
      </c>
      <c r="I32" s="52" t="n">
        <f aca="false">G32*B32</f>
        <v>0.3</v>
      </c>
      <c r="J32" s="52" t="n">
        <f aca="false">G32*C32</f>
        <v>-0.433333333333333</v>
      </c>
      <c r="K32" s="52" t="n">
        <f aca="false">-D32*LN(F32)-(1-D32)*LN(1-F32)</f>
        <v>0.693147180559945</v>
      </c>
    </row>
    <row r="33" customFormat="false" ht="15" hidden="false" customHeight="true" outlineLevel="0" collapsed="false">
      <c r="A33" s="50" t="str">
        <f aca="false">01_Data!A25</f>
        <v>S20</v>
      </c>
      <c r="B33" s="51" t="n">
        <f aca="false">01_Data!F25</f>
        <v>1.4</v>
      </c>
      <c r="C33" s="51" t="n">
        <f aca="false">01_Data!G25</f>
        <v>-0.333333333333333</v>
      </c>
      <c r="D33" s="51" t="n">
        <f aca="false">01_Data!D25</f>
        <v>1</v>
      </c>
      <c r="E33" s="52" t="n">
        <f aca="false">$D$12 + $F$12*B33 + $H$12*C33</f>
        <v>0</v>
      </c>
      <c r="F33" s="52" t="n">
        <f aca="false">1/(1+EXP(-E33))</f>
        <v>0.5</v>
      </c>
      <c r="G33" s="52" t="n">
        <f aca="false">F33-D33</f>
        <v>-0.5</v>
      </c>
      <c r="H33" s="52" t="n">
        <f aca="false">G33</f>
        <v>-0.5</v>
      </c>
      <c r="I33" s="52" t="n">
        <f aca="false">G33*B33</f>
        <v>-0.7</v>
      </c>
      <c r="J33" s="52" t="n">
        <f aca="false">G33*C33</f>
        <v>0.166666666666667</v>
      </c>
      <c r="K33" s="52" t="n">
        <f aca="false">-D33*LN(F33)-(1-D33)*LN(1-F33)</f>
        <v>0.693147180559945</v>
      </c>
    </row>
    <row r="34" customFormat="false" ht="15" hidden="false" customHeight="true" outlineLevel="0" collapsed="false">
      <c r="A34" s="53" t="s">
        <v>138</v>
      </c>
      <c r="B34" s="53"/>
      <c r="C34" s="53"/>
      <c r="D34" s="53"/>
      <c r="E34" s="53"/>
      <c r="F34" s="53"/>
      <c r="G34" s="53" t="s">
        <v>139</v>
      </c>
      <c r="H34" s="54" t="n">
        <f aca="false">AVERAGE(H14:H33)</f>
        <v>-0.05</v>
      </c>
      <c r="I34" s="54" t="n">
        <f aca="false">AVERAGE(I14:I33)</f>
        <v>-0.32</v>
      </c>
      <c r="J34" s="54" t="n">
        <f aca="false">AVERAGE(J14:J33)</f>
        <v>-0.341666666666667</v>
      </c>
      <c r="K34" s="54" t="n">
        <f aca="false">AVERAGE(K14:K33)</f>
        <v>0.693147180559945</v>
      </c>
    </row>
    <row r="35" customFormat="false" ht="21.75" hidden="false" customHeight="true" outlineLevel="0" collapsed="false">
      <c r="A35" s="47" t="s">
        <v>140</v>
      </c>
      <c r="B35" s="47"/>
      <c r="C35" s="47" t="s">
        <v>141</v>
      </c>
      <c r="D35" s="55" t="n">
        <f aca="false">$D$12 - $B$4*H34</f>
        <v>0.02</v>
      </c>
      <c r="E35" s="47" t="s">
        <v>142</v>
      </c>
      <c r="F35" s="55" t="n">
        <f aca="false">$F$12 - $B$4*I34</f>
        <v>0.128</v>
      </c>
      <c r="G35" s="47" t="s">
        <v>143</v>
      </c>
      <c r="H35" s="55" t="n">
        <f aca="false">$H$12 - $B$4*J34</f>
        <v>0.136666666666667</v>
      </c>
      <c r="I35" s="48" t="s">
        <v>144</v>
      </c>
      <c r="J35" s="48"/>
      <c r="K35" s="48"/>
    </row>
    <row r="37" customFormat="false" ht="22.5" hidden="false" customHeight="true" outlineLevel="0" collapsed="false">
      <c r="A37" s="56" t="s">
        <v>145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customFormat="false" ht="15" hidden="false" customHeight="true" outlineLevel="0" collapsed="false">
      <c r="A38" s="47" t="s">
        <v>123</v>
      </c>
      <c r="B38" s="48" t="n">
        <v>2</v>
      </c>
      <c r="C38" s="47" t="s">
        <v>124</v>
      </c>
      <c r="D38" s="57" t="n">
        <f aca="false">IF(D35="","",D35)</f>
        <v>0.02</v>
      </c>
      <c r="E38" s="47" t="s">
        <v>125</v>
      </c>
      <c r="F38" s="57" t="n">
        <f aca="false">IF(F35="","",F35)</f>
        <v>0.128</v>
      </c>
      <c r="G38" s="47" t="s">
        <v>126</v>
      </c>
      <c r="H38" s="57" t="n">
        <f aca="false">IF(H35="","",H35)</f>
        <v>0.136666666666667</v>
      </c>
      <c r="I38" s="48" t="s">
        <v>127</v>
      </c>
      <c r="J38" s="48"/>
      <c r="K38" s="48"/>
    </row>
    <row r="39" customFormat="false" ht="33.75" hidden="false" customHeight="true" outlineLevel="0" collapsed="false">
      <c r="A39" s="18" t="s">
        <v>128</v>
      </c>
      <c r="B39" s="18" t="s">
        <v>129</v>
      </c>
      <c r="C39" s="18" t="s">
        <v>130</v>
      </c>
      <c r="D39" s="18" t="s">
        <v>131</v>
      </c>
      <c r="E39" s="18" t="s">
        <v>132</v>
      </c>
      <c r="F39" s="18" t="s">
        <v>133</v>
      </c>
      <c r="G39" s="18" t="s">
        <v>134</v>
      </c>
      <c r="H39" s="18" t="s">
        <v>135</v>
      </c>
      <c r="I39" s="18" t="s">
        <v>136</v>
      </c>
      <c r="J39" s="18" t="s">
        <v>137</v>
      </c>
      <c r="K39" s="18" t="s">
        <v>33</v>
      </c>
    </row>
    <row r="40" customFormat="false" ht="15" hidden="false" customHeight="true" outlineLevel="0" collapsed="false">
      <c r="A40" s="50" t="str">
        <f aca="false">01_Data!A6</f>
        <v>S01</v>
      </c>
      <c r="B40" s="51" t="n">
        <f aca="false">01_Data!F6</f>
        <v>-1.6</v>
      </c>
      <c r="C40" s="51" t="n">
        <f aca="false">01_Data!G6</f>
        <v>-1.66666666666667</v>
      </c>
      <c r="D40" s="51" t="n">
        <f aca="false">01_Data!D6</f>
        <v>0</v>
      </c>
      <c r="E40" s="52" t="n">
        <f aca="false">$D$38 + $F$38*B40 + $H$38*C40</f>
        <v>-0.412577777777778</v>
      </c>
      <c r="F40" s="52" t="n">
        <f aca="false">1/(1+EXP(-E40))</f>
        <v>0.398294179764336</v>
      </c>
      <c r="G40" s="52" t="n">
        <f aca="false">F40-D40</f>
        <v>0.398294179764336</v>
      </c>
      <c r="H40" s="52" t="n">
        <f aca="false">G40</f>
        <v>0.398294179764336</v>
      </c>
      <c r="I40" s="52" t="n">
        <f aca="false">G40*B40</f>
        <v>-0.637270687622937</v>
      </c>
      <c r="J40" s="52" t="n">
        <f aca="false">G40*C40</f>
        <v>-0.66382363294056</v>
      </c>
      <c r="K40" s="52" t="n">
        <f aca="false">-D40*LN(F40)-(1-D40)*LN(1-F40)</f>
        <v>0.507986623816634</v>
      </c>
    </row>
    <row r="41" customFormat="false" ht="15" hidden="false" customHeight="true" outlineLevel="0" collapsed="false">
      <c r="A41" s="50" t="str">
        <f aca="false">01_Data!A7</f>
        <v>S02</v>
      </c>
      <c r="B41" s="51" t="n">
        <f aca="false">01_Data!F7</f>
        <v>-1.2</v>
      </c>
      <c r="C41" s="51" t="n">
        <f aca="false">01_Data!G7</f>
        <v>-1.33333333333333</v>
      </c>
      <c r="D41" s="51" t="n">
        <f aca="false">01_Data!D7</f>
        <v>0</v>
      </c>
      <c r="E41" s="52" t="n">
        <f aca="false">$D$38 + $F$38*B41 + $H$38*C41</f>
        <v>-0.315822222222222</v>
      </c>
      <c r="F41" s="52" t="n">
        <f aca="false">1/(1+EXP(-E41))</f>
        <v>0.421694240356209</v>
      </c>
      <c r="G41" s="52" t="n">
        <f aca="false">F41-D41</f>
        <v>0.421694240356209</v>
      </c>
      <c r="H41" s="52" t="n">
        <f aca="false">G41</f>
        <v>0.421694240356209</v>
      </c>
      <c r="I41" s="52" t="n">
        <f aca="false">G41*B41</f>
        <v>-0.506033088427451</v>
      </c>
      <c r="J41" s="52" t="n">
        <f aca="false">G41*C41</f>
        <v>-0.562258987141612</v>
      </c>
      <c r="K41" s="52" t="n">
        <f aca="false">-D41*LN(F41)-(1-D41)*LN(1-F41)</f>
        <v>0.547652554255265</v>
      </c>
    </row>
    <row r="42" customFormat="false" ht="15" hidden="false" customHeight="true" outlineLevel="0" collapsed="false">
      <c r="A42" s="50" t="str">
        <f aca="false">01_Data!A8</f>
        <v>S03</v>
      </c>
      <c r="B42" s="51" t="n">
        <f aca="false">01_Data!F8</f>
        <v>-1.4</v>
      </c>
      <c r="C42" s="51" t="n">
        <f aca="false">01_Data!G8</f>
        <v>-0.666666666666667</v>
      </c>
      <c r="D42" s="51" t="n">
        <f aca="false">01_Data!D8</f>
        <v>0</v>
      </c>
      <c r="E42" s="52" t="n">
        <f aca="false">$D$38 + $F$38*B42 + $H$38*C42</f>
        <v>-0.250311111111111</v>
      </c>
      <c r="F42" s="52" t="n">
        <f aca="false">1/(1+EXP(-E42))</f>
        <v>0.437746925548081</v>
      </c>
      <c r="G42" s="52" t="n">
        <f aca="false">F42-D42</f>
        <v>0.437746925548081</v>
      </c>
      <c r="H42" s="52" t="n">
        <f aca="false">G42</f>
        <v>0.437746925548081</v>
      </c>
      <c r="I42" s="52" t="n">
        <f aca="false">G42*B42</f>
        <v>-0.612845695767313</v>
      </c>
      <c r="J42" s="52" t="n">
        <f aca="false">G42*C42</f>
        <v>-0.29183128369872</v>
      </c>
      <c r="K42" s="52" t="n">
        <f aca="false">-D42*LN(F42)-(1-D42)*LN(1-F42)</f>
        <v>0.575803220035084</v>
      </c>
    </row>
    <row r="43" customFormat="false" ht="15" hidden="false" customHeight="true" outlineLevel="0" collapsed="false">
      <c r="A43" s="50" t="str">
        <f aca="false">01_Data!A9</f>
        <v>S04</v>
      </c>
      <c r="B43" s="51" t="n">
        <f aca="false">01_Data!F9</f>
        <v>-1</v>
      </c>
      <c r="C43" s="51" t="n">
        <f aca="false">01_Data!G9</f>
        <v>-1</v>
      </c>
      <c r="D43" s="51" t="n">
        <f aca="false">01_Data!D9</f>
        <v>0</v>
      </c>
      <c r="E43" s="52" t="n">
        <f aca="false">$D$38 + $F$38*B43 + $H$38*C43</f>
        <v>-0.244666666666667</v>
      </c>
      <c r="F43" s="52" t="n">
        <f aca="false">1/(1+EXP(-E43))</f>
        <v>0.439136646559696</v>
      </c>
      <c r="G43" s="52" t="n">
        <f aca="false">F43-D43</f>
        <v>0.439136646559696</v>
      </c>
      <c r="H43" s="52" t="n">
        <f aca="false">G43</f>
        <v>0.439136646559696</v>
      </c>
      <c r="I43" s="52" t="n">
        <f aca="false">G43*B43</f>
        <v>-0.439136646559696</v>
      </c>
      <c r="J43" s="52" t="n">
        <f aca="false">G43*C43</f>
        <v>-0.439136646559696</v>
      </c>
      <c r="K43" s="52" t="n">
        <f aca="false">-D43*LN(F43)-(1-D43)*LN(1-F43)</f>
        <v>0.578277979884328</v>
      </c>
    </row>
    <row r="44" customFormat="false" ht="15" hidden="false" customHeight="true" outlineLevel="0" collapsed="false">
      <c r="A44" s="50" t="str">
        <f aca="false">01_Data!A10</f>
        <v>S05</v>
      </c>
      <c r="B44" s="51" t="n">
        <f aca="false">01_Data!F10</f>
        <v>-0.8</v>
      </c>
      <c r="C44" s="51" t="n">
        <f aca="false">01_Data!G10</f>
        <v>-0.333333333333333</v>
      </c>
      <c r="D44" s="51" t="n">
        <f aca="false">01_Data!D10</f>
        <v>0</v>
      </c>
      <c r="E44" s="52" t="n">
        <f aca="false">$D$38 + $F$38*B44 + $H$38*C44</f>
        <v>-0.127955555555556</v>
      </c>
      <c r="F44" s="52" t="n">
        <f aca="false">1/(1+EXP(-E44))</f>
        <v>0.468054684942062</v>
      </c>
      <c r="G44" s="52" t="n">
        <f aca="false">F44-D44</f>
        <v>0.468054684942062</v>
      </c>
      <c r="H44" s="52" t="n">
        <f aca="false">G44</f>
        <v>0.468054684942062</v>
      </c>
      <c r="I44" s="52" t="n">
        <f aca="false">G44*B44</f>
        <v>-0.374443747953649</v>
      </c>
      <c r="J44" s="52" t="n">
        <f aca="false">G44*C44</f>
        <v>-0.156018228314021</v>
      </c>
      <c r="K44" s="52" t="n">
        <f aca="false">-D44*LN(F44)-(1-D44)*LN(1-F44)</f>
        <v>0.631214586168352</v>
      </c>
    </row>
    <row r="45" customFormat="false" ht="15" hidden="false" customHeight="true" outlineLevel="0" collapsed="false">
      <c r="A45" s="50" t="str">
        <f aca="false">01_Data!A11</f>
        <v>S06</v>
      </c>
      <c r="B45" s="51" t="n">
        <f aca="false">01_Data!F11</f>
        <v>-0.6</v>
      </c>
      <c r="C45" s="51" t="n">
        <f aca="false">01_Data!G11</f>
        <v>-0.666666666666667</v>
      </c>
      <c r="D45" s="51" t="n">
        <f aca="false">01_Data!D11</f>
        <v>0</v>
      </c>
      <c r="E45" s="52" t="n">
        <f aca="false">$D$38 + $F$38*B45 + $H$38*C45</f>
        <v>-0.147911111111111</v>
      </c>
      <c r="F45" s="52" t="n">
        <f aca="false">1/(1+EXP(-E45))</f>
        <v>0.463089490775469</v>
      </c>
      <c r="G45" s="52" t="n">
        <f aca="false">F45-D45</f>
        <v>0.463089490775469</v>
      </c>
      <c r="H45" s="52" t="n">
        <f aca="false">G45</f>
        <v>0.463089490775469</v>
      </c>
      <c r="I45" s="52" t="n">
        <f aca="false">G45*B45</f>
        <v>-0.277853694465282</v>
      </c>
      <c r="J45" s="52" t="n">
        <f aca="false">G45*C45</f>
        <v>-0.308726327183646</v>
      </c>
      <c r="K45" s="52" t="n">
        <f aca="false">-D45*LN(F45)-(1-D45)*LN(1-F45)</f>
        <v>0.621923847849611</v>
      </c>
    </row>
    <row r="46" customFormat="false" ht="15" hidden="false" customHeight="true" outlineLevel="0" collapsed="false">
      <c r="A46" s="50" t="str">
        <f aca="false">01_Data!A12</f>
        <v>S07</v>
      </c>
      <c r="B46" s="51" t="n">
        <f aca="false">01_Data!F12</f>
        <v>-0.4</v>
      </c>
      <c r="C46" s="51" t="n">
        <f aca="false">01_Data!G12</f>
        <v>-0.2</v>
      </c>
      <c r="D46" s="51" t="n">
        <f aca="false">01_Data!D12</f>
        <v>0</v>
      </c>
      <c r="E46" s="52" t="n">
        <f aca="false">$D$38 + $F$38*B46 + $H$38*C46</f>
        <v>-0.0585333333333333</v>
      </c>
      <c r="F46" s="52" t="n">
        <f aca="false">1/(1+EXP(-E46))</f>
        <v>0.485370843236655</v>
      </c>
      <c r="G46" s="52" t="n">
        <f aca="false">F46-D46</f>
        <v>0.485370843236655</v>
      </c>
      <c r="H46" s="52" t="n">
        <f aca="false">G46</f>
        <v>0.485370843236655</v>
      </c>
      <c r="I46" s="52" t="n">
        <f aca="false">G46*B46</f>
        <v>-0.194148337294662</v>
      </c>
      <c r="J46" s="52" t="n">
        <f aca="false">G46*C46</f>
        <v>-0.0970741686473309</v>
      </c>
      <c r="K46" s="52" t="n">
        <f aca="false">-D46*LN(F46)-(1-D46)*LN(1-F46)</f>
        <v>0.664308721658048</v>
      </c>
    </row>
    <row r="47" customFormat="false" ht="15" hidden="false" customHeight="true" outlineLevel="0" collapsed="false">
      <c r="A47" s="50" t="str">
        <f aca="false">01_Data!A13</f>
        <v>S08</v>
      </c>
      <c r="B47" s="51" t="n">
        <f aca="false">01_Data!F13</f>
        <v>-0.4</v>
      </c>
      <c r="C47" s="51" t="n">
        <f aca="false">01_Data!G13</f>
        <v>0.333333333333333</v>
      </c>
      <c r="D47" s="51" t="n">
        <f aca="false">01_Data!D13</f>
        <v>1</v>
      </c>
      <c r="E47" s="52" t="n">
        <f aca="false">$D$38 + $F$38*B47 + $H$38*C47</f>
        <v>0.0143555555555556</v>
      </c>
      <c r="F47" s="52" t="n">
        <f aca="false">1/(1+EXP(-E47))</f>
        <v>0.503588827256383</v>
      </c>
      <c r="G47" s="52" t="n">
        <f aca="false">F47-D47</f>
        <v>-0.496411172743617</v>
      </c>
      <c r="H47" s="52" t="n">
        <f aca="false">G47</f>
        <v>-0.496411172743617</v>
      </c>
      <c r="I47" s="52" t="n">
        <f aca="false">G47*B47</f>
        <v>0.198564469097447</v>
      </c>
      <c r="J47" s="52" t="n">
        <f aca="false">G47*C47</f>
        <v>-0.165470390914539</v>
      </c>
      <c r="K47" s="52" t="n">
        <f aca="false">-D47*LN(F47)-(1-D47)*LN(1-F47)</f>
        <v>0.685995162807888</v>
      </c>
    </row>
    <row r="48" customFormat="false" ht="15" hidden="false" customHeight="true" outlineLevel="0" collapsed="false">
      <c r="A48" s="50" t="str">
        <f aca="false">01_Data!A14</f>
        <v>S09</v>
      </c>
      <c r="B48" s="51" t="n">
        <f aca="false">01_Data!F14</f>
        <v>-0.2</v>
      </c>
      <c r="C48" s="51" t="n">
        <f aca="false">01_Data!G14</f>
        <v>0</v>
      </c>
      <c r="D48" s="51" t="n">
        <f aca="false">01_Data!D14</f>
        <v>0</v>
      </c>
      <c r="E48" s="52" t="n">
        <f aca="false">$D$38 + $F$38*B48 + $H$38*C48</f>
        <v>-0.0056</v>
      </c>
      <c r="F48" s="52" t="n">
        <f aca="false">1/(1+EXP(-E48))</f>
        <v>0.498600003658655</v>
      </c>
      <c r="G48" s="52" t="n">
        <f aca="false">F48-D48</f>
        <v>0.498600003658655</v>
      </c>
      <c r="H48" s="52" t="n">
        <f aca="false">G48</f>
        <v>0.498600003658655</v>
      </c>
      <c r="I48" s="52" t="n">
        <f aca="false">G48*B48</f>
        <v>-0.099720000731731</v>
      </c>
      <c r="J48" s="52" t="n">
        <f aca="false">G48*C48</f>
        <v>0</v>
      </c>
      <c r="K48" s="52" t="n">
        <f aca="false">-D48*LN(F48)-(1-D48)*LN(1-F48)</f>
        <v>0.690351100554823</v>
      </c>
    </row>
    <row r="49" customFormat="false" ht="15" hidden="false" customHeight="true" outlineLevel="0" collapsed="false">
      <c r="A49" s="50" t="str">
        <f aca="false">01_Data!A15</f>
        <v>S10</v>
      </c>
      <c r="B49" s="51" t="n">
        <f aca="false">01_Data!F15</f>
        <v>0</v>
      </c>
      <c r="C49" s="51" t="n">
        <f aca="false">01_Data!G15</f>
        <v>0.2</v>
      </c>
      <c r="D49" s="51" t="n">
        <f aca="false">01_Data!D15</f>
        <v>1</v>
      </c>
      <c r="E49" s="52" t="n">
        <f aca="false">$D$38 + $F$38*B49 + $H$38*C49</f>
        <v>0.0473333333333333</v>
      </c>
      <c r="F49" s="52" t="n">
        <f aca="false">1/(1+EXP(-E49))</f>
        <v>0.511831124501048</v>
      </c>
      <c r="G49" s="52" t="n">
        <f aca="false">F49-D49</f>
        <v>-0.488168875498952</v>
      </c>
      <c r="H49" s="52" t="n">
        <f aca="false">G49</f>
        <v>-0.488168875498952</v>
      </c>
      <c r="I49" s="52" t="n">
        <f aca="false">G49*B49</f>
        <v>-0</v>
      </c>
      <c r="J49" s="52" t="n">
        <f aca="false">G49*C49</f>
        <v>-0.0976337750997904</v>
      </c>
      <c r="K49" s="52" t="n">
        <f aca="false">-D49*LN(F49)-(1-D49)*LN(1-F49)</f>
        <v>0.669760543309034</v>
      </c>
    </row>
    <row r="50" customFormat="false" ht="15" hidden="false" customHeight="true" outlineLevel="0" collapsed="false">
      <c r="A50" s="50" t="str">
        <f aca="false">01_Data!A16</f>
        <v>S11</v>
      </c>
      <c r="B50" s="51" t="n">
        <f aca="false">01_Data!F16</f>
        <v>0.2</v>
      </c>
      <c r="C50" s="51" t="n">
        <f aca="false">01_Data!G16</f>
        <v>0.466666666666667</v>
      </c>
      <c r="D50" s="51" t="n">
        <f aca="false">01_Data!D16</f>
        <v>1</v>
      </c>
      <c r="E50" s="52" t="n">
        <f aca="false">$D$38 + $F$38*B50 + $H$38*C50</f>
        <v>0.109377777777778</v>
      </c>
      <c r="F50" s="52" t="n">
        <f aca="false">1/(1+EXP(-E50))</f>
        <v>0.527317215751202</v>
      </c>
      <c r="G50" s="52" t="n">
        <f aca="false">F50-D50</f>
        <v>-0.472682784248798</v>
      </c>
      <c r="H50" s="52" t="n">
        <f aca="false">G50</f>
        <v>-0.472682784248798</v>
      </c>
      <c r="I50" s="52" t="n">
        <f aca="false">G50*B50</f>
        <v>-0.0945365568497596</v>
      </c>
      <c r="J50" s="52" t="n">
        <f aca="false">G50*C50</f>
        <v>-0.220585299316106</v>
      </c>
      <c r="K50" s="52" t="n">
        <f aca="false">-D50*LN(F50)-(1-D50)*LN(1-F50)</f>
        <v>0.639952984104786</v>
      </c>
    </row>
    <row r="51" customFormat="false" ht="15" hidden="false" customHeight="true" outlineLevel="0" collapsed="false">
      <c r="A51" s="50" t="str">
        <f aca="false">01_Data!A17</f>
        <v>S12</v>
      </c>
      <c r="B51" s="51" t="n">
        <f aca="false">01_Data!F17</f>
        <v>0.4</v>
      </c>
      <c r="C51" s="51" t="n">
        <f aca="false">01_Data!G17</f>
        <v>0.333333333333333</v>
      </c>
      <c r="D51" s="51" t="n">
        <f aca="false">01_Data!D17</f>
        <v>1</v>
      </c>
      <c r="E51" s="52" t="n">
        <f aca="false">$D$38 + $F$38*B51 + $H$38*C51</f>
        <v>0.116755555555556</v>
      </c>
      <c r="F51" s="52" t="n">
        <f aca="false">1/(1+EXP(-E51))</f>
        <v>0.529155775790827</v>
      </c>
      <c r="G51" s="52" t="n">
        <f aca="false">F51-D51</f>
        <v>-0.470844224209173</v>
      </c>
      <c r="H51" s="52" t="n">
        <f aca="false">G51</f>
        <v>-0.470844224209173</v>
      </c>
      <c r="I51" s="52" t="n">
        <f aca="false">G51*B51</f>
        <v>-0.188337689683669</v>
      </c>
      <c r="J51" s="52" t="n">
        <f aca="false">G51*C51</f>
        <v>-0.156948074736391</v>
      </c>
      <c r="K51" s="52" t="n">
        <f aca="false">-D51*LN(F51)-(1-D51)*LN(1-F51)</f>
        <v>0.636472418277884</v>
      </c>
    </row>
    <row r="52" customFormat="false" ht="15" hidden="false" customHeight="true" outlineLevel="0" collapsed="false">
      <c r="A52" s="50" t="str">
        <f aca="false">01_Data!A18</f>
        <v>S13</v>
      </c>
      <c r="B52" s="51" t="n">
        <f aca="false">01_Data!F18</f>
        <v>0.6</v>
      </c>
      <c r="C52" s="51" t="n">
        <f aca="false">01_Data!G18</f>
        <v>0.666666666666667</v>
      </c>
      <c r="D52" s="51" t="n">
        <f aca="false">01_Data!D18</f>
        <v>1</v>
      </c>
      <c r="E52" s="52" t="n">
        <f aca="false">$D$38 + $F$38*B52 + $H$38*C52</f>
        <v>0.187911111111111</v>
      </c>
      <c r="F52" s="52" t="n">
        <f aca="false">1/(1+EXP(-E52))</f>
        <v>0.546840029749758</v>
      </c>
      <c r="G52" s="52" t="n">
        <f aca="false">F52-D52</f>
        <v>-0.453159970250242</v>
      </c>
      <c r="H52" s="52" t="n">
        <f aca="false">G52</f>
        <v>-0.453159970250242</v>
      </c>
      <c r="I52" s="52" t="n">
        <f aca="false">G52*B52</f>
        <v>-0.271895982150145</v>
      </c>
      <c r="J52" s="52" t="n">
        <f aca="false">G52*C52</f>
        <v>-0.302106646833495</v>
      </c>
      <c r="K52" s="52" t="n">
        <f aca="false">-D52*LN(F52)-(1-D52)*LN(1-F52)</f>
        <v>0.603598969515308</v>
      </c>
    </row>
    <row r="53" customFormat="false" ht="15" hidden="false" customHeight="true" outlineLevel="0" collapsed="false">
      <c r="A53" s="50" t="str">
        <f aca="false">01_Data!A19</f>
        <v>S14</v>
      </c>
      <c r="B53" s="51" t="n">
        <f aca="false">01_Data!F19</f>
        <v>0.8</v>
      </c>
      <c r="C53" s="51" t="n">
        <f aca="false">01_Data!G19</f>
        <v>0.866666666666667</v>
      </c>
      <c r="D53" s="51" t="n">
        <f aca="false">01_Data!D19</f>
        <v>1</v>
      </c>
      <c r="E53" s="52" t="n">
        <f aca="false">$D$38 + $F$38*B53 + $H$38*C53</f>
        <v>0.240844444444444</v>
      </c>
      <c r="F53" s="52" t="n">
        <f aca="false">1/(1+EXP(-E53))</f>
        <v>0.559921738820685</v>
      </c>
      <c r="G53" s="52" t="n">
        <f aca="false">F53-D53</f>
        <v>-0.440078261179315</v>
      </c>
      <c r="H53" s="52" t="n">
        <f aca="false">G53</f>
        <v>-0.440078261179315</v>
      </c>
      <c r="I53" s="52" t="n">
        <f aca="false">G53*B53</f>
        <v>-0.352062608943452</v>
      </c>
      <c r="J53" s="52" t="n">
        <f aca="false">G53*C53</f>
        <v>-0.38140115968874</v>
      </c>
      <c r="K53" s="52" t="n">
        <f aca="false">-D53*LN(F53)-(1-D53)*LN(1-F53)</f>
        <v>0.579958257125098</v>
      </c>
    </row>
    <row r="54" customFormat="false" ht="15" hidden="false" customHeight="true" outlineLevel="0" collapsed="false">
      <c r="A54" s="50" t="str">
        <f aca="false">01_Data!A20</f>
        <v>S15</v>
      </c>
      <c r="B54" s="51" t="n">
        <f aca="false">01_Data!F20</f>
        <v>1</v>
      </c>
      <c r="C54" s="51" t="n">
        <f aca="false">01_Data!G20</f>
        <v>1.13333333333333</v>
      </c>
      <c r="D54" s="51" t="n">
        <f aca="false">01_Data!D20</f>
        <v>1</v>
      </c>
      <c r="E54" s="52" t="n">
        <f aca="false">$D$38 + $F$38*B54 + $H$38*C54</f>
        <v>0.302888888888889</v>
      </c>
      <c r="F54" s="52" t="n">
        <f aca="false">1/(1+EXP(-E54))</f>
        <v>0.575148577378379</v>
      </c>
      <c r="G54" s="52" t="n">
        <f aca="false">F54-D54</f>
        <v>-0.424851422621621</v>
      </c>
      <c r="H54" s="52" t="n">
        <f aca="false">G54</f>
        <v>-0.424851422621621</v>
      </c>
      <c r="I54" s="52" t="n">
        <f aca="false">G54*B54</f>
        <v>-0.424851422621621</v>
      </c>
      <c r="J54" s="52" t="n">
        <f aca="false">G54*C54</f>
        <v>-0.481498278971171</v>
      </c>
      <c r="K54" s="52" t="n">
        <f aca="false">-D54*LN(F54)-(1-D54)*LN(1-F54)</f>
        <v>0.55312687612248</v>
      </c>
    </row>
    <row r="55" customFormat="false" ht="15" hidden="false" customHeight="true" outlineLevel="0" collapsed="false">
      <c r="A55" s="50" t="str">
        <f aca="false">01_Data!A21</f>
        <v>S16</v>
      </c>
      <c r="B55" s="51" t="n">
        <f aca="false">01_Data!F21</f>
        <v>1.2</v>
      </c>
      <c r="C55" s="51" t="n">
        <f aca="false">01_Data!G21</f>
        <v>1</v>
      </c>
      <c r="D55" s="51" t="n">
        <f aca="false">01_Data!D21</f>
        <v>1</v>
      </c>
      <c r="E55" s="52" t="n">
        <f aca="false">$D$38 + $F$38*B55 + $H$38*C55</f>
        <v>0.310266666666667</v>
      </c>
      <c r="F55" s="52" t="n">
        <f aca="false">1/(1+EXP(-E55))</f>
        <v>0.576950350105591</v>
      </c>
      <c r="G55" s="52" t="n">
        <f aca="false">F55-D55</f>
        <v>-0.423049649894409</v>
      </c>
      <c r="H55" s="52" t="n">
        <f aca="false">G55</f>
        <v>-0.423049649894409</v>
      </c>
      <c r="I55" s="52" t="n">
        <f aca="false">G55*B55</f>
        <v>-0.507659579873291</v>
      </c>
      <c r="J55" s="52" t="n">
        <f aca="false">G55*C55</f>
        <v>-0.423049649894409</v>
      </c>
      <c r="K55" s="52" t="n">
        <f aca="false">-D55*LN(F55)-(1-D55)*LN(1-F55)</f>
        <v>0.549999064520272</v>
      </c>
    </row>
    <row r="56" customFormat="false" ht="15" hidden="false" customHeight="true" outlineLevel="0" collapsed="false">
      <c r="A56" s="50" t="str">
        <f aca="false">01_Data!A22</f>
        <v>S17</v>
      </c>
      <c r="B56" s="51" t="n">
        <f aca="false">01_Data!F22</f>
        <v>1.6</v>
      </c>
      <c r="C56" s="51" t="n">
        <f aca="false">01_Data!G22</f>
        <v>1.4</v>
      </c>
      <c r="D56" s="51" t="n">
        <f aca="false">01_Data!D22</f>
        <v>1</v>
      </c>
      <c r="E56" s="52" t="n">
        <f aca="false">$D$38 + $F$38*B56 + $H$38*C56</f>
        <v>0.416133333333333</v>
      </c>
      <c r="F56" s="52" t="n">
        <f aca="false">1/(1+EXP(-E56))</f>
        <v>0.602557621268987</v>
      </c>
      <c r="G56" s="52" t="n">
        <f aca="false">F56-D56</f>
        <v>-0.397442378731013</v>
      </c>
      <c r="H56" s="52" t="n">
        <f aca="false">G56</f>
        <v>-0.397442378731013</v>
      </c>
      <c r="I56" s="52" t="n">
        <f aca="false">G56*B56</f>
        <v>-0.635907805969621</v>
      </c>
      <c r="J56" s="52" t="n">
        <f aca="false">G56*C56</f>
        <v>-0.556419330223418</v>
      </c>
      <c r="K56" s="52" t="n">
        <f aca="false">-D56*LN(F56)-(1-D56)*LN(1-F56)</f>
        <v>0.506571981229275</v>
      </c>
    </row>
    <row r="57" customFormat="false" ht="15" hidden="false" customHeight="true" outlineLevel="0" collapsed="false">
      <c r="A57" s="50" t="str">
        <f aca="false">01_Data!A23</f>
        <v>S18</v>
      </c>
      <c r="B57" s="51" t="n">
        <f aca="false">01_Data!F23</f>
        <v>-0.6</v>
      </c>
      <c r="C57" s="51" t="n">
        <f aca="false">01_Data!G23</f>
        <v>0.866666666666667</v>
      </c>
      <c r="D57" s="51" t="n">
        <f aca="false">01_Data!D23</f>
        <v>1</v>
      </c>
      <c r="E57" s="52" t="n">
        <f aca="false">$D$38 + $F$38*B57 + $H$38*C57</f>
        <v>0.0616444444444445</v>
      </c>
      <c r="F57" s="52" t="n">
        <f aca="false">1/(1+EXP(-E57))</f>
        <v>0.515406232731521</v>
      </c>
      <c r="G57" s="52" t="n">
        <f aca="false">F57-D57</f>
        <v>-0.484593767268479</v>
      </c>
      <c r="H57" s="52" t="n">
        <f aca="false">G57</f>
        <v>-0.484593767268479</v>
      </c>
      <c r="I57" s="52" t="n">
        <f aca="false">G57*B57</f>
        <v>0.290756260361088</v>
      </c>
      <c r="J57" s="52" t="n">
        <f aca="false">G57*C57</f>
        <v>-0.419981264966015</v>
      </c>
      <c r="K57" s="52" t="n">
        <f aca="false">-D57*LN(F57)-(1-D57)*LN(1-F57)</f>
        <v>0.66279988783831</v>
      </c>
    </row>
    <row r="58" customFormat="false" ht="15" hidden="false" customHeight="true" outlineLevel="0" collapsed="false">
      <c r="A58" s="50" t="str">
        <f aca="false">01_Data!A24</f>
        <v>S19</v>
      </c>
      <c r="B58" s="51" t="n">
        <f aca="false">01_Data!F24</f>
        <v>0.6</v>
      </c>
      <c r="C58" s="51" t="n">
        <f aca="false">01_Data!G24</f>
        <v>-0.866666666666667</v>
      </c>
      <c r="D58" s="51" t="n">
        <f aca="false">01_Data!D24</f>
        <v>0</v>
      </c>
      <c r="E58" s="52" t="n">
        <f aca="false">$D$38 + $F$38*B58 + $H$38*C58</f>
        <v>-0.0216444444444445</v>
      </c>
      <c r="F58" s="52" t="n">
        <f aca="false">1/(1+EXP(-E58))</f>
        <v>0.494589100129661</v>
      </c>
      <c r="G58" s="52" t="n">
        <f aca="false">F58-D58</f>
        <v>0.494589100129661</v>
      </c>
      <c r="H58" s="52" t="n">
        <f aca="false">G58</f>
        <v>0.494589100129661</v>
      </c>
      <c r="I58" s="52" t="n">
        <f aca="false">G58*B58</f>
        <v>0.296753460077797</v>
      </c>
      <c r="J58" s="52" t="n">
        <f aca="false">G58*C58</f>
        <v>-0.42864388677904</v>
      </c>
      <c r="K58" s="52" t="n">
        <f aca="false">-D58*LN(F58)-(1-D58)*LN(1-F58)</f>
        <v>0.682383517441572</v>
      </c>
    </row>
    <row r="59" customFormat="false" ht="15" hidden="false" customHeight="true" outlineLevel="0" collapsed="false">
      <c r="A59" s="50" t="str">
        <f aca="false">01_Data!A25</f>
        <v>S20</v>
      </c>
      <c r="B59" s="51" t="n">
        <f aca="false">01_Data!F25</f>
        <v>1.4</v>
      </c>
      <c r="C59" s="51" t="n">
        <f aca="false">01_Data!G25</f>
        <v>-0.333333333333333</v>
      </c>
      <c r="D59" s="51" t="n">
        <f aca="false">01_Data!D25</f>
        <v>1</v>
      </c>
      <c r="E59" s="52" t="n">
        <f aca="false">$D$38 + $F$38*B59 + $H$38*C59</f>
        <v>0.153644444444444</v>
      </c>
      <c r="F59" s="52" t="n">
        <f aca="false">1/(1+EXP(-E59))</f>
        <v>0.538335726037789</v>
      </c>
      <c r="G59" s="52" t="n">
        <f aca="false">F59-D59</f>
        <v>-0.461664273962211</v>
      </c>
      <c r="H59" s="52" t="n">
        <f aca="false">G59</f>
        <v>-0.461664273962211</v>
      </c>
      <c r="I59" s="52" t="n">
        <f aca="false">G59*B59</f>
        <v>-0.646329983547095</v>
      </c>
      <c r="J59" s="52" t="n">
        <f aca="false">G59*C59</f>
        <v>0.153888091320737</v>
      </c>
      <c r="K59" s="52" t="n">
        <f aca="false">-D59*LN(F59)-(1-D59)*LN(1-F59)</f>
        <v>0.619272887351128</v>
      </c>
    </row>
    <row r="60" customFormat="false" ht="15" hidden="false" customHeight="true" outlineLevel="0" collapsed="false">
      <c r="A60" s="53" t="s">
        <v>138</v>
      </c>
      <c r="B60" s="53"/>
      <c r="C60" s="53"/>
      <c r="D60" s="53"/>
      <c r="E60" s="53"/>
      <c r="F60" s="53"/>
      <c r="G60" s="53" t="s">
        <v>139</v>
      </c>
      <c r="H60" s="54" t="n">
        <f aca="false">AVERAGE(H40:H59)</f>
        <v>-0.0453185332818504</v>
      </c>
      <c r="I60" s="54" t="n">
        <f aca="false">AVERAGE(I40:I59)</f>
        <v>-0.273847966946252</v>
      </c>
      <c r="J60" s="54" t="n">
        <f aca="false">AVERAGE(J40:J59)</f>
        <v>-0.299935947029398</v>
      </c>
      <c r="K60" s="54" t="n">
        <f aca="false">AVERAGE(K40:K59)</f>
        <v>0.610370559193259</v>
      </c>
    </row>
    <row r="61" customFormat="false" ht="21.75" hidden="false" customHeight="true" outlineLevel="0" collapsed="false">
      <c r="A61" s="47" t="s">
        <v>140</v>
      </c>
      <c r="B61" s="47"/>
      <c r="C61" s="47" t="s">
        <v>141</v>
      </c>
      <c r="D61" s="55" t="n">
        <f aca="false">$D$38 - $B$4*H60</f>
        <v>0.0381274133127402</v>
      </c>
      <c r="E61" s="47" t="s">
        <v>142</v>
      </c>
      <c r="F61" s="55" t="n">
        <f aca="false">$F$38 - $B$4*I60</f>
        <v>0.237539186778501</v>
      </c>
      <c r="G61" s="47" t="s">
        <v>143</v>
      </c>
      <c r="H61" s="55" t="n">
        <f aca="false">$H$38 - $B$4*J60</f>
        <v>0.256641045478426</v>
      </c>
      <c r="I61" s="48" t="s">
        <v>144</v>
      </c>
      <c r="J61" s="48"/>
      <c r="K61" s="48"/>
    </row>
    <row r="63" customFormat="false" ht="22.5" hidden="false" customHeight="true" outlineLevel="0" collapsed="false">
      <c r="A63" s="4" t="s">
        <v>146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true" outlineLevel="0" collapsed="false">
      <c r="A64" s="47" t="s">
        <v>123</v>
      </c>
      <c r="B64" s="48" t="n">
        <v>3</v>
      </c>
      <c r="C64" s="47" t="s">
        <v>124</v>
      </c>
      <c r="D64" s="57" t="n">
        <f aca="false">IF(D61="","",D61)</f>
        <v>0.0381274133127402</v>
      </c>
      <c r="E64" s="47" t="s">
        <v>125</v>
      </c>
      <c r="F64" s="57" t="n">
        <f aca="false">IF(F61="","",F61)</f>
        <v>0.237539186778501</v>
      </c>
      <c r="G64" s="47" t="s">
        <v>126</v>
      </c>
      <c r="H64" s="57" t="n">
        <f aca="false">IF(H61="","",H61)</f>
        <v>0.256641045478426</v>
      </c>
      <c r="I64" s="48" t="s">
        <v>127</v>
      </c>
      <c r="J64" s="48"/>
      <c r="K64" s="48"/>
    </row>
    <row r="65" customFormat="false" ht="33.75" hidden="false" customHeight="true" outlineLevel="0" collapsed="false">
      <c r="A65" s="18" t="s">
        <v>128</v>
      </c>
      <c r="B65" s="18" t="s">
        <v>129</v>
      </c>
      <c r="C65" s="18" t="s">
        <v>130</v>
      </c>
      <c r="D65" s="18" t="s">
        <v>131</v>
      </c>
      <c r="E65" s="18" t="s">
        <v>132</v>
      </c>
      <c r="F65" s="18" t="s">
        <v>133</v>
      </c>
      <c r="G65" s="18" t="s">
        <v>134</v>
      </c>
      <c r="H65" s="18" t="s">
        <v>135</v>
      </c>
      <c r="I65" s="18" t="s">
        <v>136</v>
      </c>
      <c r="J65" s="18" t="s">
        <v>137</v>
      </c>
      <c r="K65" s="18" t="s">
        <v>33</v>
      </c>
    </row>
    <row r="66" customFormat="false" ht="15" hidden="false" customHeight="true" outlineLevel="0" collapsed="false">
      <c r="A66" s="50" t="str">
        <f aca="false">01_Data!A6</f>
        <v>S01</v>
      </c>
      <c r="B66" s="51" t="n">
        <f aca="false">01_Data!F6</f>
        <v>-1.6</v>
      </c>
      <c r="C66" s="51" t="n">
        <f aca="false">01_Data!G6</f>
        <v>-1.66666666666667</v>
      </c>
      <c r="D66" s="51" t="n">
        <f aca="false">01_Data!D6</f>
        <v>0</v>
      </c>
      <c r="E66" s="52" t="n">
        <f aca="false">$D$64 + $F$64*B66 + $H$64*C66</f>
        <v>-0.769670361330238</v>
      </c>
      <c r="F66" s="52" t="n">
        <f aca="false">1/(1+EXP(-E66))</f>
        <v>0.316550418041015</v>
      </c>
      <c r="G66" s="52" t="n">
        <f aca="false">F66-D66</f>
        <v>0.316550418041015</v>
      </c>
      <c r="H66" s="52" t="n">
        <f aca="false">G66</f>
        <v>0.316550418041015</v>
      </c>
      <c r="I66" s="52" t="n">
        <f aca="false">G66*B66</f>
        <v>-0.506480668865624</v>
      </c>
      <c r="J66" s="52" t="n">
        <f aca="false">G66*C66</f>
        <v>-0.527584030068359</v>
      </c>
      <c r="K66" s="52" t="n">
        <f aca="false">-D66*LN(F66)-(1-D66)*LN(1-F66)</f>
        <v>0.380602390046571</v>
      </c>
    </row>
    <row r="67" customFormat="false" ht="15" hidden="false" customHeight="true" outlineLevel="0" collapsed="false">
      <c r="A67" s="50" t="str">
        <f aca="false">01_Data!A7</f>
        <v>S02</v>
      </c>
      <c r="B67" s="51" t="n">
        <f aca="false">01_Data!F7</f>
        <v>-1.2</v>
      </c>
      <c r="C67" s="51" t="n">
        <f aca="false">01_Data!G7</f>
        <v>-1.33333333333333</v>
      </c>
      <c r="D67" s="51" t="n">
        <f aca="false">01_Data!D7</f>
        <v>0</v>
      </c>
      <c r="E67" s="52" t="n">
        <f aca="false">$D$64 + $F$64*B67 + $H$64*C67</f>
        <v>-0.589107671459362</v>
      </c>
      <c r="F67" s="52" t="n">
        <f aca="false">1/(1+EXP(-E67))</f>
        <v>0.356839622090208</v>
      </c>
      <c r="G67" s="52" t="n">
        <f aca="false">F67-D67</f>
        <v>0.356839622090208</v>
      </c>
      <c r="H67" s="52" t="n">
        <f aca="false">G67</f>
        <v>0.356839622090208</v>
      </c>
      <c r="I67" s="52" t="n">
        <f aca="false">G67*B67</f>
        <v>-0.42820754650825</v>
      </c>
      <c r="J67" s="52" t="n">
        <f aca="false">G67*C67</f>
        <v>-0.475786162786945</v>
      </c>
      <c r="K67" s="52" t="n">
        <f aca="false">-D67*LN(F67)-(1-D67)*LN(1-F67)</f>
        <v>0.44136116452324</v>
      </c>
    </row>
    <row r="68" customFormat="false" ht="15" hidden="false" customHeight="true" outlineLevel="0" collapsed="false">
      <c r="A68" s="50" t="str">
        <f aca="false">01_Data!A8</f>
        <v>S03</v>
      </c>
      <c r="B68" s="51" t="n">
        <f aca="false">01_Data!F8</f>
        <v>-1.4</v>
      </c>
      <c r="C68" s="51" t="n">
        <f aca="false">01_Data!G8</f>
        <v>-0.666666666666667</v>
      </c>
      <c r="D68" s="51" t="n">
        <f aca="false">01_Data!D8</f>
        <v>0</v>
      </c>
      <c r="E68" s="52" t="n">
        <f aca="false">$D$64 + $F$64*B68 + $H$64*C68</f>
        <v>-0.465521478496112</v>
      </c>
      <c r="F68" s="52" t="n">
        <f aca="false">1/(1+EXP(-E68))</f>
        <v>0.385676795852552</v>
      </c>
      <c r="G68" s="52" t="n">
        <f aca="false">F68-D68</f>
        <v>0.385676795852552</v>
      </c>
      <c r="H68" s="52" t="n">
        <f aca="false">G68</f>
        <v>0.385676795852552</v>
      </c>
      <c r="I68" s="52" t="n">
        <f aca="false">G68*B68</f>
        <v>-0.539947514193573</v>
      </c>
      <c r="J68" s="52" t="n">
        <f aca="false">G68*C68</f>
        <v>-0.257117863901701</v>
      </c>
      <c r="K68" s="52" t="n">
        <f aca="false">-D68*LN(F68)-(1-D68)*LN(1-F68)</f>
        <v>0.487234098210578</v>
      </c>
    </row>
    <row r="69" customFormat="false" ht="15" hidden="false" customHeight="true" outlineLevel="0" collapsed="false">
      <c r="A69" s="50" t="str">
        <f aca="false">01_Data!A9</f>
        <v>S04</v>
      </c>
      <c r="B69" s="51" t="n">
        <f aca="false">01_Data!F9</f>
        <v>-1</v>
      </c>
      <c r="C69" s="51" t="n">
        <f aca="false">01_Data!G9</f>
        <v>-1</v>
      </c>
      <c r="D69" s="51" t="n">
        <f aca="false">01_Data!D9</f>
        <v>0</v>
      </c>
      <c r="E69" s="52" t="n">
        <f aca="false">$D$64 + $F$64*B69 + $H$64*C69</f>
        <v>-0.456052818944187</v>
      </c>
      <c r="F69" s="52" t="n">
        <f aca="false">1/(1+EXP(-E69))</f>
        <v>0.387922621600303</v>
      </c>
      <c r="G69" s="52" t="n">
        <f aca="false">F69-D69</f>
        <v>0.387922621600303</v>
      </c>
      <c r="H69" s="52" t="n">
        <f aca="false">G69</f>
        <v>0.387922621600303</v>
      </c>
      <c r="I69" s="52" t="n">
        <f aca="false">G69*B69</f>
        <v>-0.387922621600303</v>
      </c>
      <c r="J69" s="52" t="n">
        <f aca="false">G69*C69</f>
        <v>-0.387922621600303</v>
      </c>
      <c r="K69" s="52" t="n">
        <f aca="false">-D69*LN(F69)-(1-D69)*LN(1-F69)</f>
        <v>0.490896569168456</v>
      </c>
    </row>
    <row r="70" customFormat="false" ht="15" hidden="false" customHeight="true" outlineLevel="0" collapsed="false">
      <c r="A70" s="50" t="str">
        <f aca="false">01_Data!A10</f>
        <v>S05</v>
      </c>
      <c r="B70" s="51" t="n">
        <f aca="false">01_Data!F10</f>
        <v>-0.8</v>
      </c>
      <c r="C70" s="51" t="n">
        <f aca="false">01_Data!G10</f>
        <v>-0.333333333333333</v>
      </c>
      <c r="D70" s="51" t="n">
        <f aca="false">01_Data!D10</f>
        <v>0</v>
      </c>
      <c r="E70" s="52" t="n">
        <f aca="false">$D$64 + $F$64*B70 + $H$64*C70</f>
        <v>-0.237450951269536</v>
      </c>
      <c r="F70" s="52" t="n">
        <f aca="false">1/(1+EXP(-E70))</f>
        <v>0.440914619012028</v>
      </c>
      <c r="G70" s="52" t="n">
        <f aca="false">F70-D70</f>
        <v>0.440914619012028</v>
      </c>
      <c r="H70" s="52" t="n">
        <f aca="false">G70</f>
        <v>0.440914619012028</v>
      </c>
      <c r="I70" s="52" t="n">
        <f aca="false">G70*B70</f>
        <v>-0.352731695209623</v>
      </c>
      <c r="J70" s="52" t="n">
        <f aca="false">G70*C70</f>
        <v>-0.146971539670676</v>
      </c>
      <c r="K70" s="52" t="n">
        <f aca="false">-D70*LN(F70)-(1-D70)*LN(1-F70)</f>
        <v>0.581453078692618</v>
      </c>
    </row>
    <row r="71" customFormat="false" ht="15" hidden="false" customHeight="true" outlineLevel="0" collapsed="false">
      <c r="A71" s="50" t="str">
        <f aca="false">01_Data!A11</f>
        <v>S06</v>
      </c>
      <c r="B71" s="51" t="n">
        <f aca="false">01_Data!F11</f>
        <v>-0.6</v>
      </c>
      <c r="C71" s="51" t="n">
        <f aca="false">01_Data!G11</f>
        <v>-0.666666666666667</v>
      </c>
      <c r="D71" s="51" t="n">
        <f aca="false">01_Data!D11</f>
        <v>0</v>
      </c>
      <c r="E71" s="52" t="n">
        <f aca="false">$D$64 + $F$64*B71 + $H$64*C71</f>
        <v>-0.275490129073311</v>
      </c>
      <c r="F71" s="52" t="n">
        <f aca="false">1/(1+EXP(-E71))</f>
        <v>0.431559776018493</v>
      </c>
      <c r="G71" s="52" t="n">
        <f aca="false">F71-D71</f>
        <v>0.431559776018493</v>
      </c>
      <c r="H71" s="52" t="n">
        <f aca="false">G71</f>
        <v>0.431559776018493</v>
      </c>
      <c r="I71" s="52" t="n">
        <f aca="false">G71*B71</f>
        <v>-0.258935865611096</v>
      </c>
      <c r="J71" s="52" t="n">
        <f aca="false">G71*C71</f>
        <v>-0.287706517345662</v>
      </c>
      <c r="K71" s="52" t="n">
        <f aca="false">-D71*LN(F71)-(1-D71)*LN(1-F71)</f>
        <v>0.564859118230148</v>
      </c>
    </row>
    <row r="72" customFormat="false" ht="15" hidden="false" customHeight="true" outlineLevel="0" collapsed="false">
      <c r="A72" s="50" t="str">
        <f aca="false">01_Data!A12</f>
        <v>S07</v>
      </c>
      <c r="B72" s="51" t="n">
        <f aca="false">01_Data!F12</f>
        <v>-0.4</v>
      </c>
      <c r="C72" s="51" t="n">
        <f aca="false">01_Data!G12</f>
        <v>-0.2</v>
      </c>
      <c r="D72" s="51" t="n">
        <f aca="false">01_Data!D12</f>
        <v>0</v>
      </c>
      <c r="E72" s="52" t="n">
        <f aca="false">$D$64 + $F$64*B72 + $H$64*C72</f>
        <v>-0.108216470494345</v>
      </c>
      <c r="F72" s="52" t="n">
        <f aca="false">1/(1+EXP(-E72))</f>
        <v>0.472972253617503</v>
      </c>
      <c r="G72" s="52" t="n">
        <f aca="false">F72-D72</f>
        <v>0.472972253617503</v>
      </c>
      <c r="H72" s="52" t="n">
        <f aca="false">G72</f>
        <v>0.472972253617503</v>
      </c>
      <c r="I72" s="52" t="n">
        <f aca="false">G72*B72</f>
        <v>-0.189188901447001</v>
      </c>
      <c r="J72" s="52" t="n">
        <f aca="false">G72*C72</f>
        <v>-0.0945944507235005</v>
      </c>
      <c r="K72" s="52" t="n">
        <f aca="false">-D72*LN(F72)-(1-D72)*LN(1-F72)</f>
        <v>0.640502082144562</v>
      </c>
    </row>
    <row r="73" customFormat="false" ht="15" hidden="false" customHeight="true" outlineLevel="0" collapsed="false">
      <c r="A73" s="50" t="str">
        <f aca="false">01_Data!A13</f>
        <v>S08</v>
      </c>
      <c r="B73" s="51" t="n">
        <f aca="false">01_Data!F13</f>
        <v>-0.4</v>
      </c>
      <c r="C73" s="51" t="n">
        <f aca="false">01_Data!G13</f>
        <v>0.333333333333333</v>
      </c>
      <c r="D73" s="51" t="n">
        <f aca="false">01_Data!D13</f>
        <v>1</v>
      </c>
      <c r="E73" s="52" t="n">
        <f aca="false">$D$64 + $F$64*B73 + $H$64*C73</f>
        <v>0.0286587537608151</v>
      </c>
      <c r="F73" s="52" t="n">
        <f aca="false">1/(1+EXP(-E73))</f>
        <v>0.507164198102829</v>
      </c>
      <c r="G73" s="52" t="n">
        <f aca="false">F73-D73</f>
        <v>-0.492835801897171</v>
      </c>
      <c r="H73" s="52" t="n">
        <f aca="false">G73</f>
        <v>-0.492835801897171</v>
      </c>
      <c r="I73" s="52" t="n">
        <f aca="false">G73*B73</f>
        <v>0.197134320758868</v>
      </c>
      <c r="J73" s="52" t="n">
        <f aca="false">G73*C73</f>
        <v>-0.16427860063239</v>
      </c>
      <c r="K73" s="52" t="n">
        <f aca="false">-D73*LN(F73)-(1-D73)*LN(1-F73)</f>
        <v>0.678920465687217</v>
      </c>
    </row>
    <row r="74" customFormat="false" ht="15" hidden="false" customHeight="true" outlineLevel="0" collapsed="false">
      <c r="A74" s="50" t="str">
        <f aca="false">01_Data!A14</f>
        <v>S09</v>
      </c>
      <c r="B74" s="51" t="n">
        <f aca="false">01_Data!F14</f>
        <v>-0.2</v>
      </c>
      <c r="C74" s="51" t="n">
        <f aca="false">01_Data!G14</f>
        <v>0</v>
      </c>
      <c r="D74" s="51" t="n">
        <f aca="false">01_Data!D14</f>
        <v>0</v>
      </c>
      <c r="E74" s="52" t="n">
        <f aca="false">$D$64 + $F$64*B74 + $H$64*C74</f>
        <v>-0.00938042404296003</v>
      </c>
      <c r="F74" s="52" t="n">
        <f aca="false">1/(1+EXP(-E74))</f>
        <v>0.497654911185059</v>
      </c>
      <c r="G74" s="52" t="n">
        <f aca="false">F74-D74</f>
        <v>0.497654911185059</v>
      </c>
      <c r="H74" s="52" t="n">
        <f aca="false">G74</f>
        <v>0.497654911185059</v>
      </c>
      <c r="I74" s="52" t="n">
        <f aca="false">G74*B74</f>
        <v>-0.0995309822370118</v>
      </c>
      <c r="J74" s="52" t="n">
        <f aca="false">G74*C74</f>
        <v>0</v>
      </c>
      <c r="K74" s="52" t="n">
        <f aca="false">-D74*LN(F74)-(1-D74)*LN(1-F74)</f>
        <v>0.688467967542543</v>
      </c>
    </row>
    <row r="75" customFormat="false" ht="15" hidden="false" customHeight="true" outlineLevel="0" collapsed="false">
      <c r="A75" s="50" t="str">
        <f aca="false">01_Data!A15</f>
        <v>S10</v>
      </c>
      <c r="B75" s="51" t="n">
        <f aca="false">01_Data!F15</f>
        <v>0</v>
      </c>
      <c r="C75" s="51" t="n">
        <f aca="false">01_Data!G15</f>
        <v>0.2</v>
      </c>
      <c r="D75" s="51" t="n">
        <f aca="false">01_Data!D15</f>
        <v>1</v>
      </c>
      <c r="E75" s="52" t="n">
        <f aca="false">$D$64 + $F$64*B75 + $H$64*C75</f>
        <v>0.0894556224084253</v>
      </c>
      <c r="F75" s="52" t="n">
        <f aca="false">1/(1+EXP(-E75))</f>
        <v>0.522349003954316</v>
      </c>
      <c r="G75" s="52" t="n">
        <f aca="false">F75-D75</f>
        <v>-0.477650996045684</v>
      </c>
      <c r="H75" s="52" t="n">
        <f aca="false">G75</f>
        <v>-0.477650996045684</v>
      </c>
      <c r="I75" s="52" t="n">
        <f aca="false">G75*B75</f>
        <v>-0</v>
      </c>
      <c r="J75" s="52" t="n">
        <f aca="false">G75*C75</f>
        <v>-0.0955301992091368</v>
      </c>
      <c r="K75" s="52" t="n">
        <f aca="false">-D75*LN(F75)-(1-D75)*LN(1-F75)</f>
        <v>0.64941932455539</v>
      </c>
    </row>
    <row r="76" customFormat="false" ht="15" hidden="false" customHeight="true" outlineLevel="0" collapsed="false">
      <c r="A76" s="50" t="str">
        <f aca="false">01_Data!A16</f>
        <v>S11</v>
      </c>
      <c r="B76" s="51" t="n">
        <f aca="false">01_Data!F16</f>
        <v>0.2</v>
      </c>
      <c r="C76" s="51" t="n">
        <f aca="false">01_Data!G16</f>
        <v>0.466666666666667</v>
      </c>
      <c r="D76" s="51" t="n">
        <f aca="false">01_Data!D16</f>
        <v>1</v>
      </c>
      <c r="E76" s="52" t="n">
        <f aca="false">$D$64 + $F$64*B76 + $H$64*C76</f>
        <v>0.205401071891706</v>
      </c>
      <c r="F76" s="52" t="n">
        <f aca="false">1/(1+EXP(-E76))</f>
        <v>0.551170489140986</v>
      </c>
      <c r="G76" s="52" t="n">
        <f aca="false">F76-D76</f>
        <v>-0.448829510859014</v>
      </c>
      <c r="H76" s="52" t="n">
        <f aca="false">G76</f>
        <v>-0.448829510859014</v>
      </c>
      <c r="I76" s="52" t="n">
        <f aca="false">G76*B76</f>
        <v>-0.0897659021718028</v>
      </c>
      <c r="J76" s="52" t="n">
        <f aca="false">G76*C76</f>
        <v>-0.209453771734206</v>
      </c>
      <c r="K76" s="52" t="n">
        <f aca="false">-D76*LN(F76)-(1-D76)*LN(1-F76)</f>
        <v>0.595711100010259</v>
      </c>
    </row>
    <row r="77" customFormat="false" ht="15" hidden="false" customHeight="true" outlineLevel="0" collapsed="false">
      <c r="A77" s="50" t="str">
        <f aca="false">01_Data!A17</f>
        <v>S12</v>
      </c>
      <c r="B77" s="51" t="n">
        <f aca="false">01_Data!F17</f>
        <v>0.4</v>
      </c>
      <c r="C77" s="51" t="n">
        <f aca="false">01_Data!G17</f>
        <v>0.333333333333333</v>
      </c>
      <c r="D77" s="51" t="n">
        <f aca="false">01_Data!D17</f>
        <v>1</v>
      </c>
      <c r="E77" s="52" t="n">
        <f aca="false">$D$64 + $F$64*B77 + $H$64*C77</f>
        <v>0.218690103183616</v>
      </c>
      <c r="F77" s="52" t="n">
        <f aca="false">1/(1+EXP(-E77))</f>
        <v>0.554455668423805</v>
      </c>
      <c r="G77" s="52" t="n">
        <f aca="false">F77-D77</f>
        <v>-0.445544331576195</v>
      </c>
      <c r="H77" s="52" t="n">
        <f aca="false">G77</f>
        <v>-0.445544331576195</v>
      </c>
      <c r="I77" s="52" t="n">
        <f aca="false">G77*B77</f>
        <v>-0.178217732630478</v>
      </c>
      <c r="J77" s="52" t="n">
        <f aca="false">G77*C77</f>
        <v>-0.148514777192065</v>
      </c>
      <c r="K77" s="52" t="n">
        <f aca="false">-D77*LN(F77)-(1-D77)*LN(1-F77)</f>
        <v>0.589768424127544</v>
      </c>
    </row>
    <row r="78" customFormat="false" ht="15" hidden="false" customHeight="true" outlineLevel="0" collapsed="false">
      <c r="A78" s="50" t="str">
        <f aca="false">01_Data!A18</f>
        <v>S13</v>
      </c>
      <c r="B78" s="51" t="n">
        <f aca="false">01_Data!F18</f>
        <v>0.6</v>
      </c>
      <c r="C78" s="51" t="n">
        <f aca="false">01_Data!G18</f>
        <v>0.666666666666667</v>
      </c>
      <c r="D78" s="51" t="n">
        <f aca="false">01_Data!D18</f>
        <v>1</v>
      </c>
      <c r="E78" s="52" t="n">
        <f aca="false">$D$64 + $F$64*B78 + $H$64*C78</f>
        <v>0.351744955698791</v>
      </c>
      <c r="F78" s="52" t="n">
        <f aca="false">1/(1+EXP(-E78))</f>
        <v>0.587040662074952</v>
      </c>
      <c r="G78" s="52" t="n">
        <f aca="false">F78-D78</f>
        <v>-0.412959337925048</v>
      </c>
      <c r="H78" s="52" t="n">
        <f aca="false">G78</f>
        <v>-0.412959337925048</v>
      </c>
      <c r="I78" s="52" t="n">
        <f aca="false">G78*B78</f>
        <v>-0.247775602755029</v>
      </c>
      <c r="J78" s="52" t="n">
        <f aca="false">G78*C78</f>
        <v>-0.275306225283366</v>
      </c>
      <c r="K78" s="52" t="n">
        <f aca="false">-D78*LN(F78)-(1-D78)*LN(1-F78)</f>
        <v>0.532661190556655</v>
      </c>
    </row>
    <row r="79" customFormat="false" ht="15" hidden="false" customHeight="true" outlineLevel="0" collapsed="false">
      <c r="A79" s="50" t="str">
        <f aca="false">01_Data!A19</f>
        <v>S14</v>
      </c>
      <c r="B79" s="51" t="n">
        <f aca="false">01_Data!F19</f>
        <v>0.8</v>
      </c>
      <c r="C79" s="51" t="n">
        <f aca="false">01_Data!G19</f>
        <v>0.866666666666667</v>
      </c>
      <c r="D79" s="51" t="n">
        <f aca="false">01_Data!D19</f>
        <v>1</v>
      </c>
      <c r="E79" s="52" t="n">
        <f aca="false">$D$64 + $F$64*B79 + $H$64*C79</f>
        <v>0.450581002150177</v>
      </c>
      <c r="F79" s="52" t="n">
        <f aca="false">1/(1+EXP(-E79))</f>
        <v>0.610777363533073</v>
      </c>
      <c r="G79" s="52" t="n">
        <f aca="false">F79-D79</f>
        <v>-0.389222636466927</v>
      </c>
      <c r="H79" s="52" t="n">
        <f aca="false">G79</f>
        <v>-0.389222636466927</v>
      </c>
      <c r="I79" s="52" t="n">
        <f aca="false">G79*B79</f>
        <v>-0.311378109173541</v>
      </c>
      <c r="J79" s="52" t="n">
        <f aca="false">G79*C79</f>
        <v>-0.337326284938003</v>
      </c>
      <c r="K79" s="52" t="n">
        <f aca="false">-D79*LN(F79)-(1-D79)*LN(1-F79)</f>
        <v>0.493022766682838</v>
      </c>
    </row>
    <row r="80" customFormat="false" ht="15" hidden="false" customHeight="true" outlineLevel="0" collapsed="false">
      <c r="A80" s="50" t="str">
        <f aca="false">01_Data!A20</f>
        <v>S15</v>
      </c>
      <c r="B80" s="51" t="n">
        <f aca="false">01_Data!F20</f>
        <v>1</v>
      </c>
      <c r="C80" s="51" t="n">
        <f aca="false">01_Data!G20</f>
        <v>1.13333333333333</v>
      </c>
      <c r="D80" s="51" t="n">
        <f aca="false">01_Data!D20</f>
        <v>1</v>
      </c>
      <c r="E80" s="52" t="n">
        <f aca="false">$D$64 + $F$64*B80 + $H$64*C80</f>
        <v>0.566526451633457</v>
      </c>
      <c r="F80" s="52" t="n">
        <f aca="false">1/(1+EXP(-E80))</f>
        <v>0.637961286286293</v>
      </c>
      <c r="G80" s="52" t="n">
        <f aca="false">F80-D80</f>
        <v>-0.362038713713707</v>
      </c>
      <c r="H80" s="52" t="n">
        <f aca="false">G80</f>
        <v>-0.362038713713707</v>
      </c>
      <c r="I80" s="52" t="n">
        <f aca="false">G80*B80</f>
        <v>-0.362038713713707</v>
      </c>
      <c r="J80" s="52" t="n">
        <f aca="false">G80*C80</f>
        <v>-0.410310542208868</v>
      </c>
      <c r="K80" s="52" t="n">
        <f aca="false">-D80*LN(F80)-(1-D80)*LN(1-F80)</f>
        <v>0.44947767728049</v>
      </c>
    </row>
    <row r="81" customFormat="false" ht="15" hidden="false" customHeight="true" outlineLevel="0" collapsed="false">
      <c r="A81" s="50" t="str">
        <f aca="false">01_Data!A21</f>
        <v>S16</v>
      </c>
      <c r="B81" s="51" t="n">
        <f aca="false">01_Data!F21</f>
        <v>1.2</v>
      </c>
      <c r="C81" s="51" t="n">
        <f aca="false">01_Data!G21</f>
        <v>1</v>
      </c>
      <c r="D81" s="51" t="n">
        <f aca="false">01_Data!D21</f>
        <v>1</v>
      </c>
      <c r="E81" s="52" t="n">
        <f aca="false">$D$64 + $F$64*B81 + $H$64*C81</f>
        <v>0.579815482925367</v>
      </c>
      <c r="F81" s="52" t="n">
        <f aca="false">1/(1+EXP(-E81))</f>
        <v>0.641024947853321</v>
      </c>
      <c r="G81" s="52" t="n">
        <f aca="false">F81-D81</f>
        <v>-0.358975052146679</v>
      </c>
      <c r="H81" s="52" t="n">
        <f aca="false">G81</f>
        <v>-0.358975052146679</v>
      </c>
      <c r="I81" s="52" t="n">
        <f aca="false">G81*B81</f>
        <v>-0.430770062576015</v>
      </c>
      <c r="J81" s="52" t="n">
        <f aca="false">G81*C81</f>
        <v>-0.358975052146679</v>
      </c>
      <c r="K81" s="52" t="n">
        <f aca="false">-D81*LN(F81)-(1-D81)*LN(1-F81)</f>
        <v>0.44468690261085</v>
      </c>
    </row>
    <row r="82" customFormat="false" ht="15" hidden="false" customHeight="true" outlineLevel="0" collapsed="false">
      <c r="A82" s="50" t="str">
        <f aca="false">01_Data!A22</f>
        <v>S17</v>
      </c>
      <c r="B82" s="51" t="n">
        <f aca="false">01_Data!F22</f>
        <v>1.6</v>
      </c>
      <c r="C82" s="51" t="n">
        <f aca="false">01_Data!G22</f>
        <v>1.4</v>
      </c>
      <c r="D82" s="51" t="n">
        <f aca="false">01_Data!D22</f>
        <v>1</v>
      </c>
      <c r="E82" s="52" t="n">
        <f aca="false">$D$64 + $F$64*B82 + $H$64*C82</f>
        <v>0.777487575828138</v>
      </c>
      <c r="F82" s="52" t="n">
        <f aca="false">1/(1+EXP(-E82))</f>
        <v>0.685138376567121</v>
      </c>
      <c r="G82" s="52" t="n">
        <f aca="false">F82-D82</f>
        <v>-0.314861623432879</v>
      </c>
      <c r="H82" s="52" t="n">
        <f aca="false">G82</f>
        <v>-0.314861623432879</v>
      </c>
      <c r="I82" s="52" t="n">
        <f aca="false">G82*B82</f>
        <v>-0.503778597492606</v>
      </c>
      <c r="J82" s="52" t="n">
        <f aca="false">G82*C82</f>
        <v>-0.44080627280603</v>
      </c>
      <c r="K82" s="52" t="n">
        <f aca="false">-D82*LN(F82)-(1-D82)*LN(1-F82)</f>
        <v>0.378134451534062</v>
      </c>
    </row>
    <row r="83" customFormat="false" ht="15" hidden="false" customHeight="true" outlineLevel="0" collapsed="false">
      <c r="A83" s="50" t="str">
        <f aca="false">01_Data!A23</f>
        <v>S18</v>
      </c>
      <c r="B83" s="51" t="n">
        <f aca="false">01_Data!F23</f>
        <v>-0.6</v>
      </c>
      <c r="C83" s="51" t="n">
        <f aca="false">01_Data!G23</f>
        <v>0.866666666666667</v>
      </c>
      <c r="D83" s="51" t="n">
        <f aca="false">01_Data!D23</f>
        <v>1</v>
      </c>
      <c r="E83" s="52" t="n">
        <f aca="false">$D$64 + $F$64*B83 + $H$64*C83</f>
        <v>0.118026140660275</v>
      </c>
      <c r="F83" s="52" t="n">
        <f aca="false">1/(1+EXP(-E83))</f>
        <v>0.529472330225058</v>
      </c>
      <c r="G83" s="52" t="n">
        <f aca="false">F83-D83</f>
        <v>-0.470527669774942</v>
      </c>
      <c r="H83" s="52" t="n">
        <f aca="false">G83</f>
        <v>-0.470527669774942</v>
      </c>
      <c r="I83" s="52" t="n">
        <f aca="false">G83*B83</f>
        <v>0.282316601864965</v>
      </c>
      <c r="J83" s="52" t="n">
        <f aca="false">G83*C83</f>
        <v>-0.407790647138283</v>
      </c>
      <c r="K83" s="52" t="n">
        <f aca="false">-D83*LN(F83)-(1-D83)*LN(1-F83)</f>
        <v>0.635874371727132</v>
      </c>
    </row>
    <row r="84" customFormat="false" ht="15" hidden="false" customHeight="true" outlineLevel="0" collapsed="false">
      <c r="A84" s="50" t="str">
        <f aca="false">01_Data!A24</f>
        <v>S19</v>
      </c>
      <c r="B84" s="51" t="n">
        <f aca="false">01_Data!F24</f>
        <v>0.6</v>
      </c>
      <c r="C84" s="51" t="n">
        <f aca="false">01_Data!G24</f>
        <v>-0.866666666666667</v>
      </c>
      <c r="D84" s="51" t="n">
        <f aca="false">01_Data!D24</f>
        <v>0</v>
      </c>
      <c r="E84" s="52" t="n">
        <f aca="false">$D$64 + $F$64*B84 + $H$64*C84</f>
        <v>-0.0417713140347951</v>
      </c>
      <c r="F84" s="52" t="n">
        <f aca="false">1/(1+EXP(-E84))</f>
        <v>0.48955868965081</v>
      </c>
      <c r="G84" s="52" t="n">
        <f aca="false">F84-D84</f>
        <v>0.48955868965081</v>
      </c>
      <c r="H84" s="52" t="n">
        <f aca="false">G84</f>
        <v>0.48955868965081</v>
      </c>
      <c r="I84" s="52" t="n">
        <f aca="false">G84*B84</f>
        <v>0.293735213790486</v>
      </c>
      <c r="J84" s="52" t="n">
        <f aca="false">G84*C84</f>
        <v>-0.424284197697369</v>
      </c>
      <c r="K84" s="52" t="n">
        <f aca="false">-D84*LN(F84)-(1-D84)*LN(1-F84)</f>
        <v>0.67247961302227</v>
      </c>
    </row>
    <row r="85" customFormat="false" ht="15" hidden="false" customHeight="true" outlineLevel="0" collapsed="false">
      <c r="A85" s="50" t="str">
        <f aca="false">01_Data!A25</f>
        <v>S20</v>
      </c>
      <c r="B85" s="51" t="n">
        <f aca="false">01_Data!F25</f>
        <v>1.4</v>
      </c>
      <c r="C85" s="51" t="n">
        <f aca="false">01_Data!G25</f>
        <v>-0.333333333333333</v>
      </c>
      <c r="D85" s="51" t="n">
        <f aca="false">01_Data!D25</f>
        <v>1</v>
      </c>
      <c r="E85" s="52" t="n">
        <f aca="false">$D$64 + $F$64*B85 + $H$64*C85</f>
        <v>0.285135259643166</v>
      </c>
      <c r="F85" s="52" t="n">
        <f aca="false">1/(1+EXP(-E85))</f>
        <v>0.57080474902373</v>
      </c>
      <c r="G85" s="52" t="n">
        <f aca="false">F85-D85</f>
        <v>-0.42919525097627</v>
      </c>
      <c r="H85" s="52" t="n">
        <f aca="false">G85</f>
        <v>-0.42919525097627</v>
      </c>
      <c r="I85" s="52" t="n">
        <f aca="false">G85*B85</f>
        <v>-0.600873351366778</v>
      </c>
      <c r="J85" s="52" t="n">
        <f aca="false">G85*C85</f>
        <v>0.143065083658757</v>
      </c>
      <c r="K85" s="52" t="n">
        <f aca="false">-D85*LN(F85)-(1-D85)*LN(1-F85)</f>
        <v>0.560708073470601</v>
      </c>
    </row>
    <row r="86" customFormat="false" ht="15" hidden="false" customHeight="true" outlineLevel="0" collapsed="false">
      <c r="A86" s="53" t="s">
        <v>138</v>
      </c>
      <c r="B86" s="53"/>
      <c r="C86" s="53"/>
      <c r="D86" s="53"/>
      <c r="E86" s="53"/>
      <c r="F86" s="53"/>
      <c r="G86" s="53" t="s">
        <v>139</v>
      </c>
      <c r="H86" s="54" t="n">
        <f aca="false">AVERAGE(H66:H85)</f>
        <v>-0.0411495608873272</v>
      </c>
      <c r="I86" s="54" t="n">
        <f aca="false">AVERAGE(I66:I85)</f>
        <v>-0.235717886556906</v>
      </c>
      <c r="J86" s="54" t="n">
        <f aca="false">AVERAGE(J66:J85)</f>
        <v>-0.265359733671239</v>
      </c>
      <c r="K86" s="54" t="n">
        <f aca="false">AVERAGE(K66:K85)</f>
        <v>0.547812041491201</v>
      </c>
    </row>
    <row r="87" customFormat="false" ht="21.75" hidden="false" customHeight="true" outlineLevel="0" collapsed="false">
      <c r="A87" s="47" t="s">
        <v>140</v>
      </c>
      <c r="B87" s="47"/>
      <c r="C87" s="47" t="s">
        <v>141</v>
      </c>
      <c r="D87" s="55" t="n">
        <f aca="false">$D$64 - $B$4*H86</f>
        <v>0.0545872376676711</v>
      </c>
      <c r="E87" s="47" t="s">
        <v>142</v>
      </c>
      <c r="F87" s="55" t="n">
        <f aca="false">$F$64 - $B$4*I86</f>
        <v>0.331826341401263</v>
      </c>
      <c r="G87" s="47" t="s">
        <v>143</v>
      </c>
      <c r="H87" s="55" t="n">
        <f aca="false">$H$64 - $B$4*J86</f>
        <v>0.362784938946922</v>
      </c>
      <c r="I87" s="48" t="s">
        <v>144</v>
      </c>
      <c r="J87" s="48"/>
      <c r="K87" s="48"/>
    </row>
    <row r="89" customFormat="false" ht="22.5" hidden="false" customHeight="true" outlineLevel="0" collapsed="false">
      <c r="A89" s="56" t="s">
        <v>147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</row>
    <row r="90" customFormat="false" ht="15" hidden="false" customHeight="true" outlineLevel="0" collapsed="false">
      <c r="A90" s="47" t="s">
        <v>123</v>
      </c>
      <c r="B90" s="48" t="n">
        <v>4</v>
      </c>
      <c r="C90" s="47" t="s">
        <v>124</v>
      </c>
      <c r="D90" s="57" t="n">
        <f aca="false">IF(D87="","",D87)</f>
        <v>0.0545872376676711</v>
      </c>
      <c r="E90" s="47" t="s">
        <v>125</v>
      </c>
      <c r="F90" s="57" t="n">
        <f aca="false">IF(F87="","",F87)</f>
        <v>0.331826341401263</v>
      </c>
      <c r="G90" s="47" t="s">
        <v>126</v>
      </c>
      <c r="H90" s="57" t="n">
        <f aca="false">IF(H87="","",H87)</f>
        <v>0.362784938946922</v>
      </c>
      <c r="I90" s="48" t="s">
        <v>127</v>
      </c>
      <c r="J90" s="48"/>
      <c r="K90" s="48"/>
    </row>
    <row r="91" customFormat="false" ht="33.75" hidden="false" customHeight="true" outlineLevel="0" collapsed="false">
      <c r="A91" s="18" t="s">
        <v>128</v>
      </c>
      <c r="B91" s="18" t="s">
        <v>129</v>
      </c>
      <c r="C91" s="18" t="s">
        <v>130</v>
      </c>
      <c r="D91" s="18" t="s">
        <v>131</v>
      </c>
      <c r="E91" s="18" t="s">
        <v>132</v>
      </c>
      <c r="F91" s="18" t="s">
        <v>133</v>
      </c>
      <c r="G91" s="18" t="s">
        <v>134</v>
      </c>
      <c r="H91" s="18" t="s">
        <v>135</v>
      </c>
      <c r="I91" s="18" t="s">
        <v>136</v>
      </c>
      <c r="J91" s="18" t="s">
        <v>137</v>
      </c>
      <c r="K91" s="18" t="s">
        <v>33</v>
      </c>
    </row>
    <row r="92" customFormat="false" ht="15" hidden="false" customHeight="true" outlineLevel="0" collapsed="false">
      <c r="A92" s="50" t="str">
        <f aca="false">01_Data!A6</f>
        <v>S01</v>
      </c>
      <c r="B92" s="51" t="n">
        <f aca="false">01_Data!F6</f>
        <v>-1.6</v>
      </c>
      <c r="C92" s="51" t="n">
        <f aca="false">01_Data!G6</f>
        <v>-1.66666666666667</v>
      </c>
      <c r="D92" s="51" t="n">
        <f aca="false">01_Data!D6</f>
        <v>0</v>
      </c>
      <c r="E92" s="52" t="n">
        <f aca="false">$D$90 + $F$90*B92 + $H$90*C92</f>
        <v>-1.08097647348589</v>
      </c>
      <c r="F92" s="52" t="n">
        <f aca="false">1/(1+EXP(-E92))</f>
        <v>0.253321272602161</v>
      </c>
      <c r="G92" s="52" t="n">
        <f aca="false">F92-D92</f>
        <v>0.253321272602161</v>
      </c>
      <c r="H92" s="52" t="n">
        <f aca="false">G92</f>
        <v>0.253321272602161</v>
      </c>
      <c r="I92" s="52" t="n">
        <f aca="false">G92*B92</f>
        <v>-0.405314036163458</v>
      </c>
      <c r="J92" s="52" t="n">
        <f aca="false">G92*C92</f>
        <v>-0.422202121003602</v>
      </c>
      <c r="K92" s="52" t="n">
        <f aca="false">-D92*LN(F92)-(1-D92)*LN(1-F92)</f>
        <v>0.292120270166653</v>
      </c>
    </row>
    <row r="93" customFormat="false" ht="15" hidden="false" customHeight="true" outlineLevel="0" collapsed="false">
      <c r="A93" s="50" t="str">
        <f aca="false">01_Data!A7</f>
        <v>S02</v>
      </c>
      <c r="B93" s="51" t="n">
        <f aca="false">01_Data!F7</f>
        <v>-1.2</v>
      </c>
      <c r="C93" s="51" t="n">
        <f aca="false">01_Data!G7</f>
        <v>-1.33333333333333</v>
      </c>
      <c r="D93" s="51" t="n">
        <f aca="false">01_Data!D7</f>
        <v>0</v>
      </c>
      <c r="E93" s="52" t="n">
        <f aca="false">$D$90 + $F$90*B93 + $H$90*C93</f>
        <v>-0.827317623943074</v>
      </c>
      <c r="F93" s="52" t="n">
        <f aca="false">1/(1+EXP(-E93))</f>
        <v>0.30421254303465</v>
      </c>
      <c r="G93" s="52" t="n">
        <f aca="false">F93-D93</f>
        <v>0.30421254303465</v>
      </c>
      <c r="H93" s="52" t="n">
        <f aca="false">G93</f>
        <v>0.30421254303465</v>
      </c>
      <c r="I93" s="52" t="n">
        <f aca="false">G93*B93</f>
        <v>-0.36505505164158</v>
      </c>
      <c r="J93" s="52" t="n">
        <f aca="false">G93*C93</f>
        <v>-0.4056167240462</v>
      </c>
      <c r="K93" s="52" t="n">
        <f aca="false">-D93*LN(F93)-(1-D93)*LN(1-F93)</f>
        <v>0.362711043208398</v>
      </c>
    </row>
    <row r="94" customFormat="false" ht="15" hidden="false" customHeight="true" outlineLevel="0" collapsed="false">
      <c r="A94" s="50" t="str">
        <f aca="false">01_Data!A8</f>
        <v>S03</v>
      </c>
      <c r="B94" s="51" t="n">
        <f aca="false">01_Data!F8</f>
        <v>-1.4</v>
      </c>
      <c r="C94" s="51" t="n">
        <f aca="false">01_Data!G8</f>
        <v>-0.666666666666667</v>
      </c>
      <c r="D94" s="51" t="n">
        <f aca="false">01_Data!D8</f>
        <v>0</v>
      </c>
      <c r="E94" s="52" t="n">
        <f aca="false">$D$90 + $F$90*B94 + $H$90*C94</f>
        <v>-0.651826266258712</v>
      </c>
      <c r="F94" s="52" t="n">
        <f aca="false">1/(1+EXP(-E94))</f>
        <v>0.342578110486909</v>
      </c>
      <c r="G94" s="52" t="n">
        <f aca="false">F94-D94</f>
        <v>0.342578110486909</v>
      </c>
      <c r="H94" s="52" t="n">
        <f aca="false">G94</f>
        <v>0.342578110486909</v>
      </c>
      <c r="I94" s="52" t="n">
        <f aca="false">G94*B94</f>
        <v>-0.479609354681673</v>
      </c>
      <c r="J94" s="52" t="n">
        <f aca="false">G94*C94</f>
        <v>-0.228385406991273</v>
      </c>
      <c r="K94" s="52" t="n">
        <f aca="false">-D94*LN(F94)-(1-D94)*LN(1-F94)</f>
        <v>0.419429321207038</v>
      </c>
    </row>
    <row r="95" customFormat="false" ht="15" hidden="false" customHeight="true" outlineLevel="0" collapsed="false">
      <c r="A95" s="50" t="str">
        <f aca="false">01_Data!A9</f>
        <v>S04</v>
      </c>
      <c r="B95" s="51" t="n">
        <f aca="false">01_Data!F9</f>
        <v>-1</v>
      </c>
      <c r="C95" s="51" t="n">
        <f aca="false">01_Data!G9</f>
        <v>-1</v>
      </c>
      <c r="D95" s="51" t="n">
        <f aca="false">01_Data!D9</f>
        <v>0</v>
      </c>
      <c r="E95" s="52" t="n">
        <f aca="false">$D$90 + $F$90*B95 + $H$90*C95</f>
        <v>-0.640024042680514</v>
      </c>
      <c r="F95" s="52" t="n">
        <f aca="false">1/(1+EXP(-E95))</f>
        <v>0.34524110453312</v>
      </c>
      <c r="G95" s="52" t="n">
        <f aca="false">F95-D95</f>
        <v>0.34524110453312</v>
      </c>
      <c r="H95" s="52" t="n">
        <f aca="false">G95</f>
        <v>0.34524110453312</v>
      </c>
      <c r="I95" s="52" t="n">
        <f aca="false">G95*B95</f>
        <v>-0.34524110453312</v>
      </c>
      <c r="J95" s="52" t="n">
        <f aca="false">G95*C95</f>
        <v>-0.34524110453312</v>
      </c>
      <c r="K95" s="52" t="n">
        <f aca="false">-D95*LN(F95)-(1-D95)*LN(1-F95)</f>
        <v>0.423488209635623</v>
      </c>
    </row>
    <row r="96" customFormat="false" ht="15" hidden="false" customHeight="true" outlineLevel="0" collapsed="false">
      <c r="A96" s="50" t="str">
        <f aca="false">01_Data!A10</f>
        <v>S05</v>
      </c>
      <c r="B96" s="51" t="n">
        <f aca="false">01_Data!F10</f>
        <v>-0.8</v>
      </c>
      <c r="C96" s="51" t="n">
        <f aca="false">01_Data!G10</f>
        <v>-0.333333333333333</v>
      </c>
      <c r="D96" s="51" t="n">
        <f aca="false">01_Data!D10</f>
        <v>0</v>
      </c>
      <c r="E96" s="52" t="n">
        <f aca="false">$D$90 + $F$90*B96 + $H$90*C96</f>
        <v>-0.331802148435647</v>
      </c>
      <c r="F96" s="52" t="n">
        <f aca="false">1/(1+EXP(-E96))</f>
        <v>0.417802197400358</v>
      </c>
      <c r="G96" s="52" t="n">
        <f aca="false">F96-D96</f>
        <v>0.417802197400358</v>
      </c>
      <c r="H96" s="52" t="n">
        <f aca="false">G96</f>
        <v>0.417802197400358</v>
      </c>
      <c r="I96" s="52" t="n">
        <f aca="false">G96*B96</f>
        <v>-0.334241757920286</v>
      </c>
      <c r="J96" s="52" t="n">
        <f aca="false">G96*C96</f>
        <v>-0.139267399133453</v>
      </c>
      <c r="K96" s="52" t="n">
        <f aca="false">-D96*LN(F96)-(1-D96)*LN(1-F96)</f>
        <v>0.540945021982715</v>
      </c>
    </row>
    <row r="97" customFormat="false" ht="15" hidden="false" customHeight="true" outlineLevel="0" collapsed="false">
      <c r="A97" s="50" t="str">
        <f aca="false">01_Data!A11</f>
        <v>S06</v>
      </c>
      <c r="B97" s="51" t="n">
        <f aca="false">01_Data!F11</f>
        <v>-0.6</v>
      </c>
      <c r="C97" s="51" t="n">
        <f aca="false">01_Data!G11</f>
        <v>-0.666666666666667</v>
      </c>
      <c r="D97" s="51" t="n">
        <f aca="false">01_Data!D11</f>
        <v>0</v>
      </c>
      <c r="E97" s="52" t="n">
        <f aca="false">$D$90 + $F$90*B97 + $H$90*C97</f>
        <v>-0.386365193137701</v>
      </c>
      <c r="F97" s="52" t="n">
        <f aca="false">1/(1+EXP(-E97))</f>
        <v>0.404592611825312</v>
      </c>
      <c r="G97" s="52" t="n">
        <f aca="false">F97-D97</f>
        <v>0.404592611825312</v>
      </c>
      <c r="H97" s="52" t="n">
        <f aca="false">G97</f>
        <v>0.404592611825312</v>
      </c>
      <c r="I97" s="52" t="n">
        <f aca="false">G97*B97</f>
        <v>-0.242755567095187</v>
      </c>
      <c r="J97" s="52" t="n">
        <f aca="false">G97*C97</f>
        <v>-0.269728407883541</v>
      </c>
      <c r="K97" s="52" t="n">
        <f aca="false">-D97*LN(F97)-(1-D97)*LN(1-F97)</f>
        <v>0.518509421719156</v>
      </c>
    </row>
    <row r="98" customFormat="false" ht="15" hidden="false" customHeight="true" outlineLevel="0" collapsed="false">
      <c r="A98" s="50" t="str">
        <f aca="false">01_Data!A12</f>
        <v>S07</v>
      </c>
      <c r="B98" s="51" t="n">
        <f aca="false">01_Data!F12</f>
        <v>-0.4</v>
      </c>
      <c r="C98" s="51" t="n">
        <f aca="false">01_Data!G12</f>
        <v>-0.2</v>
      </c>
      <c r="D98" s="51" t="n">
        <f aca="false">01_Data!D12</f>
        <v>0</v>
      </c>
      <c r="E98" s="52" t="n">
        <f aca="false">$D$90 + $F$90*B98 + $H$90*C98</f>
        <v>-0.150700286682219</v>
      </c>
      <c r="F98" s="52" t="n">
        <f aca="false">1/(1+EXP(-E98))</f>
        <v>0.462396068652852</v>
      </c>
      <c r="G98" s="52" t="n">
        <f aca="false">F98-D98</f>
        <v>0.462396068652852</v>
      </c>
      <c r="H98" s="52" t="n">
        <f aca="false">G98</f>
        <v>0.462396068652852</v>
      </c>
      <c r="I98" s="52" t="n">
        <f aca="false">G98*B98</f>
        <v>-0.184958427461141</v>
      </c>
      <c r="J98" s="52" t="n">
        <f aca="false">G98*C98</f>
        <v>-0.0924792137305705</v>
      </c>
      <c r="K98" s="52" t="n">
        <f aca="false">-D98*LN(F98)-(1-D98)*LN(1-F98)</f>
        <v>0.620633177026223</v>
      </c>
    </row>
    <row r="99" customFormat="false" ht="15" hidden="false" customHeight="true" outlineLevel="0" collapsed="false">
      <c r="A99" s="50" t="str">
        <f aca="false">01_Data!A13</f>
        <v>S08</v>
      </c>
      <c r="B99" s="51" t="n">
        <f aca="false">01_Data!F13</f>
        <v>-0.4</v>
      </c>
      <c r="C99" s="51" t="n">
        <f aca="false">01_Data!G13</f>
        <v>0.333333333333333</v>
      </c>
      <c r="D99" s="51" t="n">
        <f aca="false">01_Data!D13</f>
        <v>1</v>
      </c>
      <c r="E99" s="52" t="n">
        <f aca="false">$D$90 + $F$90*B99 + $H$90*C99</f>
        <v>0.0427850140894729</v>
      </c>
      <c r="F99" s="52" t="n">
        <f aca="false">1/(1+EXP(-E99))</f>
        <v>0.51069462214547</v>
      </c>
      <c r="G99" s="52" t="n">
        <f aca="false">F99-D99</f>
        <v>-0.48930537785453</v>
      </c>
      <c r="H99" s="52" t="n">
        <f aca="false">G99</f>
        <v>-0.48930537785453</v>
      </c>
      <c r="I99" s="52" t="n">
        <f aca="false">G99*B99</f>
        <v>0.195722151141812</v>
      </c>
      <c r="J99" s="52" t="n">
        <f aca="false">G99*C99</f>
        <v>-0.163101792618177</v>
      </c>
      <c r="K99" s="52" t="n">
        <f aca="false">-D99*LN(F99)-(1-D99)*LN(1-F99)</f>
        <v>0.671983475743353</v>
      </c>
    </row>
    <row r="100" customFormat="false" ht="15" hidden="false" customHeight="true" outlineLevel="0" collapsed="false">
      <c r="A100" s="50" t="str">
        <f aca="false">01_Data!A14</f>
        <v>S09</v>
      </c>
      <c r="B100" s="51" t="n">
        <f aca="false">01_Data!F14</f>
        <v>-0.2</v>
      </c>
      <c r="C100" s="51" t="n">
        <f aca="false">01_Data!G14</f>
        <v>0</v>
      </c>
      <c r="D100" s="51" t="n">
        <f aca="false">01_Data!D14</f>
        <v>0</v>
      </c>
      <c r="E100" s="52" t="n">
        <f aca="false">$D$90 + $F$90*B100 + $H$90*C100</f>
        <v>-0.0117780306125816</v>
      </c>
      <c r="F100" s="52" t="n">
        <f aca="false">1/(1+EXP(-E100))</f>
        <v>0.497055526385383</v>
      </c>
      <c r="G100" s="52" t="n">
        <f aca="false">F100-D100</f>
        <v>0.497055526385383</v>
      </c>
      <c r="H100" s="52" t="n">
        <f aca="false">G100</f>
        <v>0.497055526385383</v>
      </c>
      <c r="I100" s="52" t="n">
        <f aca="false">G100*B100</f>
        <v>-0.0994111052770766</v>
      </c>
      <c r="J100" s="52" t="n">
        <f aca="false">G100*C100</f>
        <v>0</v>
      </c>
      <c r="K100" s="52" t="n">
        <f aca="false">-D100*LN(F100)-(1-D100)*LN(1-F100)</f>
        <v>0.687275505404066</v>
      </c>
    </row>
    <row r="101" customFormat="false" ht="15" hidden="false" customHeight="true" outlineLevel="0" collapsed="false">
      <c r="A101" s="50" t="str">
        <f aca="false">01_Data!A15</f>
        <v>S10</v>
      </c>
      <c r="B101" s="51" t="n">
        <f aca="false">01_Data!F15</f>
        <v>0</v>
      </c>
      <c r="C101" s="51" t="n">
        <f aca="false">01_Data!G15</f>
        <v>0.2</v>
      </c>
      <c r="D101" s="51" t="n">
        <f aca="false">01_Data!D15</f>
        <v>1</v>
      </c>
      <c r="E101" s="52" t="n">
        <f aca="false">$D$90 + $F$90*B101 + $H$90*C101</f>
        <v>0.127144225457055</v>
      </c>
      <c r="F101" s="52" t="n">
        <f aca="false">1/(1+EXP(-E101))</f>
        <v>0.53174330527359</v>
      </c>
      <c r="G101" s="52" t="n">
        <f aca="false">F101-D101</f>
        <v>-0.46825669472641</v>
      </c>
      <c r="H101" s="52" t="n">
        <f aca="false">G101</f>
        <v>-0.46825669472641</v>
      </c>
      <c r="I101" s="52" t="n">
        <f aca="false">G101*B101</f>
        <v>-0</v>
      </c>
      <c r="J101" s="52" t="n">
        <f aca="false">G101*C101</f>
        <v>-0.093651338945282</v>
      </c>
      <c r="K101" s="52" t="n">
        <f aca="false">-D101*LN(F101)-(1-D101)*LN(1-F101)</f>
        <v>0.631594414969593</v>
      </c>
    </row>
    <row r="102" customFormat="false" ht="15" hidden="false" customHeight="true" outlineLevel="0" collapsed="false">
      <c r="A102" s="50" t="str">
        <f aca="false">01_Data!A16</f>
        <v>S11</v>
      </c>
      <c r="B102" s="51" t="n">
        <f aca="false">01_Data!F16</f>
        <v>0.2</v>
      </c>
      <c r="C102" s="51" t="n">
        <f aca="false">01_Data!G16</f>
        <v>0.466666666666667</v>
      </c>
      <c r="D102" s="51" t="n">
        <f aca="false">01_Data!D16</f>
        <v>1</v>
      </c>
      <c r="E102" s="52" t="n">
        <f aca="false">$D$90 + $F$90*B102 + $H$90*C102</f>
        <v>0.290252144123154</v>
      </c>
      <c r="F102" s="52" t="n">
        <f aca="false">1/(1+EXP(-E102))</f>
        <v>0.572057860866678</v>
      </c>
      <c r="G102" s="52" t="n">
        <f aca="false">F102-D102</f>
        <v>-0.427942139133322</v>
      </c>
      <c r="H102" s="52" t="n">
        <f aca="false">G102</f>
        <v>-0.427942139133322</v>
      </c>
      <c r="I102" s="52" t="n">
        <f aca="false">G102*B102</f>
        <v>-0.0855884278266643</v>
      </c>
      <c r="J102" s="52" t="n">
        <f aca="false">G102*C102</f>
        <v>-0.19970633159555</v>
      </c>
      <c r="K102" s="52" t="n">
        <f aca="false">-D102*LN(F102)-(1-D102)*LN(1-F102)</f>
        <v>0.558515137356872</v>
      </c>
    </row>
    <row r="103" customFormat="false" ht="15" hidden="false" customHeight="true" outlineLevel="0" collapsed="false">
      <c r="A103" s="50" t="str">
        <f aca="false">01_Data!A17</f>
        <v>S12</v>
      </c>
      <c r="B103" s="51" t="n">
        <f aca="false">01_Data!F17</f>
        <v>0.4</v>
      </c>
      <c r="C103" s="51" t="n">
        <f aca="false">01_Data!G17</f>
        <v>0.333333333333333</v>
      </c>
      <c r="D103" s="51" t="n">
        <f aca="false">01_Data!D17</f>
        <v>1</v>
      </c>
      <c r="E103" s="52" t="n">
        <f aca="false">$D$90 + $F$90*B103 + $H$90*C103</f>
        <v>0.308246087210484</v>
      </c>
      <c r="F103" s="52" t="n">
        <f aca="false">1/(1+EXP(-E103))</f>
        <v>0.576457093286732</v>
      </c>
      <c r="G103" s="52" t="n">
        <f aca="false">F103-D103</f>
        <v>-0.423542906713268</v>
      </c>
      <c r="H103" s="52" t="n">
        <f aca="false">G103</f>
        <v>-0.423542906713268</v>
      </c>
      <c r="I103" s="52" t="n">
        <f aca="false">G103*B103</f>
        <v>-0.169417162685307</v>
      </c>
      <c r="J103" s="52" t="n">
        <f aca="false">G103*C103</f>
        <v>-0.141180968904423</v>
      </c>
      <c r="K103" s="52" t="n">
        <f aca="false">-D103*LN(F103)-(1-D103)*LN(1-F103)</f>
        <v>0.550854368258347</v>
      </c>
    </row>
    <row r="104" customFormat="false" ht="15" hidden="false" customHeight="true" outlineLevel="0" collapsed="false">
      <c r="A104" s="50" t="str">
        <f aca="false">01_Data!A18</f>
        <v>S13</v>
      </c>
      <c r="B104" s="51" t="n">
        <f aca="false">01_Data!F18</f>
        <v>0.6</v>
      </c>
      <c r="C104" s="51" t="n">
        <f aca="false">01_Data!G18</f>
        <v>0.666666666666667</v>
      </c>
      <c r="D104" s="51" t="n">
        <f aca="false">01_Data!D18</f>
        <v>1</v>
      </c>
      <c r="E104" s="52" t="n">
        <f aca="false">$D$90 + $F$90*B104 + $H$90*C104</f>
        <v>0.495539668473043</v>
      </c>
      <c r="F104" s="52" t="n">
        <f aca="false">1/(1+EXP(-E104))</f>
        <v>0.621410565628675</v>
      </c>
      <c r="G104" s="52" t="n">
        <f aca="false">F104-D104</f>
        <v>-0.378589434371325</v>
      </c>
      <c r="H104" s="52" t="n">
        <f aca="false">G104</f>
        <v>-0.378589434371325</v>
      </c>
      <c r="I104" s="52" t="n">
        <f aca="false">G104*B104</f>
        <v>-0.227153660622795</v>
      </c>
      <c r="J104" s="52" t="n">
        <f aca="false">G104*C104</f>
        <v>-0.25239295624755</v>
      </c>
      <c r="K104" s="52" t="n">
        <f aca="false">-D104*LN(F104)-(1-D104)*LN(1-F104)</f>
        <v>0.475763279224907</v>
      </c>
    </row>
    <row r="105" customFormat="false" ht="15" hidden="false" customHeight="true" outlineLevel="0" collapsed="false">
      <c r="A105" s="50" t="str">
        <f aca="false">01_Data!A19</f>
        <v>S14</v>
      </c>
      <c r="B105" s="51" t="n">
        <f aca="false">01_Data!F19</f>
        <v>0.8</v>
      </c>
      <c r="C105" s="51" t="n">
        <f aca="false">01_Data!G19</f>
        <v>0.866666666666667</v>
      </c>
      <c r="D105" s="51" t="n">
        <f aca="false">01_Data!D19</f>
        <v>1</v>
      </c>
      <c r="E105" s="52" t="n">
        <f aca="false">$D$90 + $F$90*B105 + $H$90*C105</f>
        <v>0.634461924542681</v>
      </c>
      <c r="F105" s="52" t="n">
        <f aca="false">1/(1+EXP(-E105))</f>
        <v>0.653500500451795</v>
      </c>
      <c r="G105" s="52" t="n">
        <f aca="false">F105-D105</f>
        <v>-0.346499499548205</v>
      </c>
      <c r="H105" s="52" t="n">
        <f aca="false">G105</f>
        <v>-0.346499499548205</v>
      </c>
      <c r="I105" s="52" t="n">
        <f aca="false">G105*B105</f>
        <v>-0.277199599638564</v>
      </c>
      <c r="J105" s="52" t="n">
        <f aca="false">G105*C105</f>
        <v>-0.300299566275111</v>
      </c>
      <c r="K105" s="52" t="n">
        <f aca="false">-D105*LN(F105)-(1-D105)*LN(1-F105)</f>
        <v>0.425411980115866</v>
      </c>
    </row>
    <row r="106" customFormat="false" ht="15" hidden="false" customHeight="true" outlineLevel="0" collapsed="false">
      <c r="A106" s="50" t="str">
        <f aca="false">01_Data!A20</f>
        <v>S15</v>
      </c>
      <c r="B106" s="51" t="n">
        <f aca="false">01_Data!F20</f>
        <v>1</v>
      </c>
      <c r="C106" s="51" t="n">
        <f aca="false">01_Data!G20</f>
        <v>1.13333333333333</v>
      </c>
      <c r="D106" s="51" t="n">
        <f aca="false">01_Data!D20</f>
        <v>1</v>
      </c>
      <c r="E106" s="52" t="n">
        <f aca="false">$D$90 + $F$90*B106 + $H$90*C106</f>
        <v>0.797569843208779</v>
      </c>
      <c r="F106" s="52" t="n">
        <f aca="false">1/(1+EXP(-E106))</f>
        <v>0.689454407180472</v>
      </c>
      <c r="G106" s="52" t="n">
        <f aca="false">F106-D106</f>
        <v>-0.310545592819528</v>
      </c>
      <c r="H106" s="52" t="n">
        <f aca="false">G106</f>
        <v>-0.310545592819528</v>
      </c>
      <c r="I106" s="52" t="n">
        <f aca="false">G106*B106</f>
        <v>-0.310545592819528</v>
      </c>
      <c r="J106" s="52" t="n">
        <f aca="false">G106*C106</f>
        <v>-0.351951671862132</v>
      </c>
      <c r="K106" s="52" t="n">
        <f aca="false">-D106*LN(F106)-(1-D106)*LN(1-F106)</f>
        <v>0.37185470840142</v>
      </c>
    </row>
    <row r="107" customFormat="false" ht="15" hidden="false" customHeight="true" outlineLevel="0" collapsed="false">
      <c r="A107" s="50" t="str">
        <f aca="false">01_Data!A21</f>
        <v>S16</v>
      </c>
      <c r="B107" s="51" t="n">
        <f aca="false">01_Data!F21</f>
        <v>1.2</v>
      </c>
      <c r="C107" s="51" t="n">
        <f aca="false">01_Data!G21</f>
        <v>1</v>
      </c>
      <c r="D107" s="51" t="n">
        <f aca="false">01_Data!D21</f>
        <v>1</v>
      </c>
      <c r="E107" s="52" t="n">
        <f aca="false">$D$90 + $F$90*B107 + $H$90*C107</f>
        <v>0.815563786296109</v>
      </c>
      <c r="F107" s="52" t="n">
        <f aca="false">1/(1+EXP(-E107))</f>
        <v>0.693293844491242</v>
      </c>
      <c r="G107" s="52" t="n">
        <f aca="false">F107-D107</f>
        <v>-0.306706155508758</v>
      </c>
      <c r="H107" s="52" t="n">
        <f aca="false">G107</f>
        <v>-0.306706155508758</v>
      </c>
      <c r="I107" s="52" t="n">
        <f aca="false">G107*B107</f>
        <v>-0.36804738661051</v>
      </c>
      <c r="J107" s="52" t="n">
        <f aca="false">G107*C107</f>
        <v>-0.306706155508758</v>
      </c>
      <c r="K107" s="52" t="n">
        <f aca="false">-D107*LN(F107)-(1-D107)*LN(1-F107)</f>
        <v>0.366301351637593</v>
      </c>
    </row>
    <row r="108" customFormat="false" ht="15" hidden="false" customHeight="true" outlineLevel="0" collapsed="false">
      <c r="A108" s="50" t="str">
        <f aca="false">01_Data!A22</f>
        <v>S17</v>
      </c>
      <c r="B108" s="51" t="n">
        <f aca="false">01_Data!F22</f>
        <v>1.6</v>
      </c>
      <c r="C108" s="51" t="n">
        <f aca="false">01_Data!G22</f>
        <v>1.4</v>
      </c>
      <c r="D108" s="51" t="n">
        <f aca="false">01_Data!D22</f>
        <v>1</v>
      </c>
      <c r="E108" s="52" t="n">
        <f aca="false">$D$90 + $F$90*B108 + $H$90*C108</f>
        <v>1.09340829843538</v>
      </c>
      <c r="F108" s="52" t="n">
        <f aca="false">1/(1+EXP(-E108))</f>
        <v>0.749022982939478</v>
      </c>
      <c r="G108" s="52" t="n">
        <f aca="false">F108-D108</f>
        <v>-0.250977017060522</v>
      </c>
      <c r="H108" s="52" t="n">
        <f aca="false">G108</f>
        <v>-0.250977017060522</v>
      </c>
      <c r="I108" s="52" t="n">
        <f aca="false">G108*B108</f>
        <v>-0.401563227296836</v>
      </c>
      <c r="J108" s="52" t="n">
        <f aca="false">G108*C108</f>
        <v>-0.351367823884731</v>
      </c>
      <c r="K108" s="52" t="n">
        <f aca="false">-D108*LN(F108)-(1-D108)*LN(1-F108)</f>
        <v>0.288985611103274</v>
      </c>
    </row>
    <row r="109" customFormat="false" ht="15" hidden="false" customHeight="true" outlineLevel="0" collapsed="false">
      <c r="A109" s="50" t="str">
        <f aca="false">01_Data!A23</f>
        <v>S18</v>
      </c>
      <c r="B109" s="51" t="n">
        <f aca="false">01_Data!F23</f>
        <v>-0.6</v>
      </c>
      <c r="C109" s="51" t="n">
        <f aca="false">01_Data!G23</f>
        <v>0.866666666666667</v>
      </c>
      <c r="D109" s="51" t="n">
        <f aca="false">01_Data!D23</f>
        <v>1</v>
      </c>
      <c r="E109" s="52" t="n">
        <f aca="false">$D$90 + $F$90*B109 + $H$90*C109</f>
        <v>0.169905046580912</v>
      </c>
      <c r="F109" s="52" t="n">
        <f aca="false">1/(1+EXP(-E109))</f>
        <v>0.542374373011595</v>
      </c>
      <c r="G109" s="52" t="n">
        <f aca="false">F109-D109</f>
        <v>-0.457625626988405</v>
      </c>
      <c r="H109" s="52" t="n">
        <f aca="false">G109</f>
        <v>-0.457625626988405</v>
      </c>
      <c r="I109" s="52" t="n">
        <f aca="false">G109*B109</f>
        <v>0.274575376193043</v>
      </c>
      <c r="J109" s="52" t="n">
        <f aca="false">G109*C109</f>
        <v>-0.396608876723284</v>
      </c>
      <c r="K109" s="52" t="n">
        <f aca="false">-D109*LN(F109)-(1-D109)*LN(1-F109)</f>
        <v>0.611798790869646</v>
      </c>
    </row>
    <row r="110" customFormat="false" ht="15" hidden="false" customHeight="true" outlineLevel="0" collapsed="false">
      <c r="A110" s="50" t="str">
        <f aca="false">01_Data!A24</f>
        <v>S19</v>
      </c>
      <c r="B110" s="51" t="n">
        <f aca="false">01_Data!F24</f>
        <v>0.6</v>
      </c>
      <c r="C110" s="51" t="n">
        <f aca="false">01_Data!G24</f>
        <v>-0.866666666666667</v>
      </c>
      <c r="D110" s="51" t="n">
        <f aca="false">01_Data!D24</f>
        <v>0</v>
      </c>
      <c r="E110" s="52" t="n">
        <f aca="false">$D$90 + $F$90*B110 + $H$90*C110</f>
        <v>-0.0607305712455698</v>
      </c>
      <c r="F110" s="52" t="n">
        <f aca="false">1/(1+EXP(-E110))</f>
        <v>0.484822021856349</v>
      </c>
      <c r="G110" s="52" t="n">
        <f aca="false">F110-D110</f>
        <v>0.484822021856349</v>
      </c>
      <c r="H110" s="52" t="n">
        <f aca="false">G110</f>
        <v>0.484822021856349</v>
      </c>
      <c r="I110" s="52" t="n">
        <f aca="false">G110*B110</f>
        <v>0.290893213113809</v>
      </c>
      <c r="J110" s="52" t="n">
        <f aca="false">G110*C110</f>
        <v>-0.420179085608836</v>
      </c>
      <c r="K110" s="52" t="n">
        <f aca="false">-D110*LN(F110)-(1-D110)*LN(1-F110)</f>
        <v>0.663242849391948</v>
      </c>
    </row>
    <row r="111" customFormat="false" ht="15" hidden="false" customHeight="true" outlineLevel="0" collapsed="false">
      <c r="A111" s="50" t="str">
        <f aca="false">01_Data!A25</f>
        <v>S20</v>
      </c>
      <c r="B111" s="51" t="n">
        <f aca="false">01_Data!F25</f>
        <v>1.4</v>
      </c>
      <c r="C111" s="51" t="n">
        <f aca="false">01_Data!G25</f>
        <v>-0.333333333333333</v>
      </c>
      <c r="D111" s="51" t="n">
        <f aca="false">01_Data!D25</f>
        <v>1</v>
      </c>
      <c r="E111" s="52" t="n">
        <f aca="false">$D$90 + $F$90*B111 + $H$90*C111</f>
        <v>0.398215802647132</v>
      </c>
      <c r="F111" s="52" t="n">
        <f aca="false">1/(1+EXP(-E111))</f>
        <v>0.598258912146444</v>
      </c>
      <c r="G111" s="52" t="n">
        <f aca="false">F111-D111</f>
        <v>-0.401741087853556</v>
      </c>
      <c r="H111" s="52" t="n">
        <f aca="false">G111</f>
        <v>-0.401741087853556</v>
      </c>
      <c r="I111" s="52" t="n">
        <f aca="false">G111*B111</f>
        <v>-0.562437522994979</v>
      </c>
      <c r="J111" s="52" t="n">
        <f aca="false">G111*C111</f>
        <v>0.133913695951185</v>
      </c>
      <c r="K111" s="52" t="n">
        <f aca="false">-D111*LN(F111)-(1-D111)*LN(1-F111)</f>
        <v>0.513731655277546</v>
      </c>
    </row>
    <row r="112" customFormat="false" ht="15" hidden="false" customHeight="true" outlineLevel="0" collapsed="false">
      <c r="A112" s="53" t="s">
        <v>138</v>
      </c>
      <c r="B112" s="53"/>
      <c r="C112" s="53"/>
      <c r="D112" s="53"/>
      <c r="E112" s="53"/>
      <c r="F112" s="53"/>
      <c r="G112" s="53" t="s">
        <v>139</v>
      </c>
      <c r="H112" s="54" t="n">
        <f aca="false">AVERAGE(H92:H111)</f>
        <v>-0.0374855037900367</v>
      </c>
      <c r="I112" s="54" t="n">
        <f aca="false">AVERAGE(I92:I111)</f>
        <v>-0.204867412241002</v>
      </c>
      <c r="J112" s="54" t="n">
        <f aca="false">AVERAGE(J92:J111)</f>
        <v>-0.23730766247722</v>
      </c>
      <c r="K112" s="54" t="n">
        <f aca="false">AVERAGE(K92:K111)</f>
        <v>0.499757479635012</v>
      </c>
    </row>
    <row r="113" customFormat="false" ht="21.75" hidden="false" customHeight="true" outlineLevel="0" collapsed="false">
      <c r="A113" s="47" t="s">
        <v>140</v>
      </c>
      <c r="B113" s="47"/>
      <c r="C113" s="47" t="s">
        <v>141</v>
      </c>
      <c r="D113" s="55" t="n">
        <f aca="false">$D$90 - $B$4*H112</f>
        <v>0.0695814391836857</v>
      </c>
      <c r="E113" s="47" t="s">
        <v>142</v>
      </c>
      <c r="F113" s="55" t="n">
        <f aca="false">$F$90 - $B$4*I112</f>
        <v>0.413773306297664</v>
      </c>
      <c r="G113" s="47" t="s">
        <v>143</v>
      </c>
      <c r="H113" s="55" t="n">
        <f aca="false">$H$90 - $B$4*J112</f>
        <v>0.45770800393781</v>
      </c>
      <c r="I113" s="48" t="s">
        <v>144</v>
      </c>
      <c r="J113" s="48"/>
      <c r="K113" s="48"/>
    </row>
    <row r="115" customFormat="false" ht="22.5" hidden="false" customHeight="true" outlineLevel="0" collapsed="false">
      <c r="A115" s="4" t="s">
        <v>148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customFormat="false" ht="15" hidden="false" customHeight="true" outlineLevel="0" collapsed="false">
      <c r="A116" s="47" t="s">
        <v>123</v>
      </c>
      <c r="B116" s="48" t="n">
        <v>5</v>
      </c>
      <c r="C116" s="47" t="s">
        <v>124</v>
      </c>
      <c r="D116" s="57" t="n">
        <f aca="false">IF(D113="","",D113)</f>
        <v>0.0695814391836857</v>
      </c>
      <c r="E116" s="47" t="s">
        <v>125</v>
      </c>
      <c r="F116" s="57" t="n">
        <f aca="false">IF(F113="","",F113)</f>
        <v>0.413773306297664</v>
      </c>
      <c r="G116" s="47" t="s">
        <v>126</v>
      </c>
      <c r="H116" s="57" t="n">
        <f aca="false">IF(H113="","",H113)</f>
        <v>0.45770800393781</v>
      </c>
      <c r="I116" s="48" t="s">
        <v>127</v>
      </c>
      <c r="J116" s="48"/>
      <c r="K116" s="48"/>
    </row>
    <row r="117" customFormat="false" ht="33.75" hidden="false" customHeight="true" outlineLevel="0" collapsed="false">
      <c r="A117" s="18" t="s">
        <v>128</v>
      </c>
      <c r="B117" s="18" t="s">
        <v>129</v>
      </c>
      <c r="C117" s="18" t="s">
        <v>130</v>
      </c>
      <c r="D117" s="18" t="s">
        <v>131</v>
      </c>
      <c r="E117" s="18" t="s">
        <v>132</v>
      </c>
      <c r="F117" s="18" t="s">
        <v>133</v>
      </c>
      <c r="G117" s="18" t="s">
        <v>134</v>
      </c>
      <c r="H117" s="18" t="s">
        <v>135</v>
      </c>
      <c r="I117" s="18" t="s">
        <v>136</v>
      </c>
      <c r="J117" s="18" t="s">
        <v>137</v>
      </c>
      <c r="K117" s="18" t="s">
        <v>33</v>
      </c>
    </row>
    <row r="118" customFormat="false" ht="15" hidden="false" customHeight="true" outlineLevel="0" collapsed="false">
      <c r="A118" s="50" t="str">
        <f aca="false">01_Data!A6</f>
        <v>S01</v>
      </c>
      <c r="B118" s="51" t="n">
        <f aca="false">01_Data!F6</f>
        <v>-1.6</v>
      </c>
      <c r="C118" s="51" t="n">
        <f aca="false">01_Data!G6</f>
        <v>-1.66666666666667</v>
      </c>
      <c r="D118" s="51" t="n">
        <f aca="false">01_Data!D6</f>
        <v>0</v>
      </c>
      <c r="E118" s="52" t="n">
        <f aca="false">$D$116 + $F$116*B118 + $H$116*C118</f>
        <v>-1.35530252412226</v>
      </c>
      <c r="F118" s="52" t="n">
        <f aca="false">1/(1+EXP(-E118))</f>
        <v>0.205004825959039</v>
      </c>
      <c r="G118" s="52" t="n">
        <f aca="false">F118-D118</f>
        <v>0.205004825959039</v>
      </c>
      <c r="H118" s="52" t="n">
        <f aca="false">G118</f>
        <v>0.205004825959039</v>
      </c>
      <c r="I118" s="52" t="n">
        <f aca="false">G118*B118</f>
        <v>-0.328007721534462</v>
      </c>
      <c r="J118" s="52" t="n">
        <f aca="false">G118*C118</f>
        <v>-0.341674709931731</v>
      </c>
      <c r="K118" s="52" t="n">
        <f aca="false">-D118*LN(F118)-(1-D118)*LN(1-F118)</f>
        <v>0.229419234734958</v>
      </c>
    </row>
    <row r="119" customFormat="false" ht="15" hidden="false" customHeight="true" outlineLevel="0" collapsed="false">
      <c r="A119" s="50" t="str">
        <f aca="false">01_Data!A7</f>
        <v>S02</v>
      </c>
      <c r="B119" s="51" t="n">
        <f aca="false">01_Data!F7</f>
        <v>-1.2</v>
      </c>
      <c r="C119" s="51" t="n">
        <f aca="false">01_Data!G7</f>
        <v>-1.33333333333333</v>
      </c>
      <c r="D119" s="51" t="n">
        <f aca="false">01_Data!D7</f>
        <v>0</v>
      </c>
      <c r="E119" s="52" t="n">
        <f aca="false">$D$116 + $F$116*B119 + $H$116*C119</f>
        <v>-1.03722386695726</v>
      </c>
      <c r="F119" s="52" t="n">
        <f aca="false">1/(1+EXP(-E119))</f>
        <v>0.261686005733251</v>
      </c>
      <c r="G119" s="52" t="n">
        <f aca="false">F119-D119</f>
        <v>0.261686005733251</v>
      </c>
      <c r="H119" s="52" t="n">
        <f aca="false">G119</f>
        <v>0.261686005733251</v>
      </c>
      <c r="I119" s="52" t="n">
        <f aca="false">G119*B119</f>
        <v>-0.314023206879901</v>
      </c>
      <c r="J119" s="52" t="n">
        <f aca="false">G119*C119</f>
        <v>-0.348914674311001</v>
      </c>
      <c r="K119" s="52" t="n">
        <f aca="false">-D119*LN(F119)-(1-D119)*LN(1-F119)</f>
        <v>0.303386078380756</v>
      </c>
    </row>
    <row r="120" customFormat="false" ht="15" hidden="false" customHeight="true" outlineLevel="0" collapsed="false">
      <c r="A120" s="50" t="str">
        <f aca="false">01_Data!A8</f>
        <v>S03</v>
      </c>
      <c r="B120" s="51" t="n">
        <f aca="false">01_Data!F8</f>
        <v>-1.4</v>
      </c>
      <c r="C120" s="51" t="n">
        <f aca="false">01_Data!G8</f>
        <v>-0.666666666666667</v>
      </c>
      <c r="D120" s="51" t="n">
        <f aca="false">01_Data!D8</f>
        <v>0</v>
      </c>
      <c r="E120" s="52" t="n">
        <f aca="false">$D$116 + $F$116*B120 + $H$116*C120</f>
        <v>-0.814839858924917</v>
      </c>
      <c r="F120" s="52" t="n">
        <f aca="false">1/(1+EXP(-E120))</f>
        <v>0.306860111144077</v>
      </c>
      <c r="G120" s="52" t="n">
        <f aca="false">F120-D120</f>
        <v>0.306860111144077</v>
      </c>
      <c r="H120" s="52" t="n">
        <f aca="false">G120</f>
        <v>0.306860111144077</v>
      </c>
      <c r="I120" s="52" t="n">
        <f aca="false">G120*B120</f>
        <v>-0.429604155601708</v>
      </c>
      <c r="J120" s="52" t="n">
        <f aca="false">G120*C120</f>
        <v>-0.204573407429385</v>
      </c>
      <c r="K120" s="52" t="n">
        <f aca="false">-D120*LN(F120)-(1-D120)*LN(1-F120)</f>
        <v>0.36652344034223</v>
      </c>
    </row>
    <row r="121" customFormat="false" ht="15" hidden="false" customHeight="true" outlineLevel="0" collapsed="false">
      <c r="A121" s="50" t="str">
        <f aca="false">01_Data!A9</f>
        <v>S04</v>
      </c>
      <c r="B121" s="51" t="n">
        <f aca="false">01_Data!F9</f>
        <v>-1</v>
      </c>
      <c r="C121" s="51" t="n">
        <f aca="false">01_Data!G9</f>
        <v>-1</v>
      </c>
      <c r="D121" s="51" t="n">
        <f aca="false">01_Data!D9</f>
        <v>0</v>
      </c>
      <c r="E121" s="52" t="n">
        <f aca="false">$D$116 + $F$116*B121 + $H$116*C121</f>
        <v>-0.801899871051788</v>
      </c>
      <c r="F121" s="52" t="n">
        <f aca="false">1/(1+EXP(-E121))</f>
        <v>0.309619264782547</v>
      </c>
      <c r="G121" s="52" t="n">
        <f aca="false">F121-D121</f>
        <v>0.309619264782547</v>
      </c>
      <c r="H121" s="52" t="n">
        <f aca="false">G121</f>
        <v>0.309619264782547</v>
      </c>
      <c r="I121" s="52" t="n">
        <f aca="false">G121*B121</f>
        <v>-0.309619264782547</v>
      </c>
      <c r="J121" s="52" t="n">
        <f aca="false">G121*C121</f>
        <v>-0.309619264782547</v>
      </c>
      <c r="K121" s="52" t="n">
        <f aca="false">-D121*LN(F121)-(1-D121)*LN(1-F121)</f>
        <v>0.370512043400828</v>
      </c>
    </row>
    <row r="122" customFormat="false" ht="15" hidden="false" customHeight="true" outlineLevel="0" collapsed="false">
      <c r="A122" s="50" t="str">
        <f aca="false">01_Data!A10</f>
        <v>S05</v>
      </c>
      <c r="B122" s="51" t="n">
        <f aca="false">01_Data!F10</f>
        <v>-0.8</v>
      </c>
      <c r="C122" s="51" t="n">
        <f aca="false">01_Data!G10</f>
        <v>-0.333333333333333</v>
      </c>
      <c r="D122" s="51" t="n">
        <f aca="false">01_Data!D10</f>
        <v>0</v>
      </c>
      <c r="E122" s="52" t="n">
        <f aca="false">$D$116 + $F$116*B122 + $H$116*C122</f>
        <v>-0.414006540500382</v>
      </c>
      <c r="F122" s="52" t="n">
        <f aca="false">1/(1+EXP(-E122))</f>
        <v>0.397951818118834</v>
      </c>
      <c r="G122" s="52" t="n">
        <f aca="false">F122-D122</f>
        <v>0.397951818118834</v>
      </c>
      <c r="H122" s="52" t="n">
        <f aca="false">G122</f>
        <v>0.397951818118834</v>
      </c>
      <c r="I122" s="52" t="n">
        <f aca="false">G122*B122</f>
        <v>-0.318361454495067</v>
      </c>
      <c r="J122" s="52" t="n">
        <f aca="false">G122*C122</f>
        <v>-0.132650606039611</v>
      </c>
      <c r="K122" s="52" t="n">
        <f aca="false">-D122*LN(F122)-(1-D122)*LN(1-F122)</f>
        <v>0.507417800528601</v>
      </c>
    </row>
    <row r="123" customFormat="false" ht="15" hidden="false" customHeight="true" outlineLevel="0" collapsed="false">
      <c r="A123" s="50" t="str">
        <f aca="false">01_Data!A11</f>
        <v>S06</v>
      </c>
      <c r="B123" s="51" t="n">
        <f aca="false">01_Data!F11</f>
        <v>-0.6</v>
      </c>
      <c r="C123" s="51" t="n">
        <f aca="false">01_Data!G11</f>
        <v>-0.666666666666667</v>
      </c>
      <c r="D123" s="51" t="n">
        <f aca="false">01_Data!D11</f>
        <v>0</v>
      </c>
      <c r="E123" s="52" t="n">
        <f aca="false">$D$116 + $F$116*B123 + $H$116*C123</f>
        <v>-0.483821213886786</v>
      </c>
      <c r="F123" s="52" t="n">
        <f aca="false">1/(1+EXP(-E123))</f>
        <v>0.381350208121826</v>
      </c>
      <c r="G123" s="52" t="n">
        <f aca="false">F123-D123</f>
        <v>0.381350208121826</v>
      </c>
      <c r="H123" s="52" t="n">
        <f aca="false">G123</f>
        <v>0.381350208121826</v>
      </c>
      <c r="I123" s="52" t="n">
        <f aca="false">G123*B123</f>
        <v>-0.228810124873096</v>
      </c>
      <c r="J123" s="52" t="n">
        <f aca="false">G123*C123</f>
        <v>-0.254233472081217</v>
      </c>
      <c r="K123" s="52" t="n">
        <f aca="false">-D123*LN(F123)-(1-D123)*LN(1-F123)</f>
        <v>0.480215930735086</v>
      </c>
    </row>
    <row r="124" customFormat="false" ht="15" hidden="false" customHeight="true" outlineLevel="0" collapsed="false">
      <c r="A124" s="50" t="str">
        <f aca="false">01_Data!A12</f>
        <v>S07</v>
      </c>
      <c r="B124" s="51" t="n">
        <f aca="false">01_Data!F12</f>
        <v>-0.4</v>
      </c>
      <c r="C124" s="51" t="n">
        <f aca="false">01_Data!G12</f>
        <v>-0.2</v>
      </c>
      <c r="D124" s="51" t="n">
        <f aca="false">01_Data!D12</f>
        <v>0</v>
      </c>
      <c r="E124" s="52" t="n">
        <f aca="false">$D$116 + $F$116*B124 + $H$116*C124</f>
        <v>-0.187469484122942</v>
      </c>
      <c r="F124" s="52" t="n">
        <f aca="false">1/(1+EXP(-E124))</f>
        <v>0.45326941033488</v>
      </c>
      <c r="G124" s="52" t="n">
        <f aca="false">F124-D124</f>
        <v>0.45326941033488</v>
      </c>
      <c r="H124" s="52" t="n">
        <f aca="false">G124</f>
        <v>0.45326941033488</v>
      </c>
      <c r="I124" s="52" t="n">
        <f aca="false">G124*B124</f>
        <v>-0.181307764133952</v>
      </c>
      <c r="J124" s="52" t="n">
        <f aca="false">G124*C124</f>
        <v>-0.0906538820669761</v>
      </c>
      <c r="K124" s="52" t="n">
        <f aca="false">-D124*LN(F124)-(1-D124)*LN(1-F124)</f>
        <v>0.603799121353809</v>
      </c>
    </row>
    <row r="125" customFormat="false" ht="15" hidden="false" customHeight="true" outlineLevel="0" collapsed="false">
      <c r="A125" s="50" t="str">
        <f aca="false">01_Data!A13</f>
        <v>S08</v>
      </c>
      <c r="B125" s="51" t="n">
        <f aca="false">01_Data!F13</f>
        <v>-0.4</v>
      </c>
      <c r="C125" s="51" t="n">
        <f aca="false">01_Data!G13</f>
        <v>0.333333333333333</v>
      </c>
      <c r="D125" s="51" t="n">
        <f aca="false">01_Data!D13</f>
        <v>1</v>
      </c>
      <c r="E125" s="52" t="n">
        <f aca="false">$D$116 + $F$116*B125 + $H$116*C125</f>
        <v>0.0566414513105567</v>
      </c>
      <c r="F125" s="52" t="n">
        <f aca="false">1/(1+EXP(-E125))</f>
        <v>0.514156578205106</v>
      </c>
      <c r="G125" s="52" t="n">
        <f aca="false">F125-D125</f>
        <v>-0.485843421794894</v>
      </c>
      <c r="H125" s="52" t="n">
        <f aca="false">G125</f>
        <v>-0.485843421794894</v>
      </c>
      <c r="I125" s="52" t="n">
        <f aca="false">G125*B125</f>
        <v>0.194337368717957</v>
      </c>
      <c r="J125" s="52" t="n">
        <f aca="false">G125*C125</f>
        <v>-0.161947807264965</v>
      </c>
      <c r="K125" s="52" t="n">
        <f aca="false">-D125*LN(F125)-(1-D125)*LN(1-F125)</f>
        <v>0.665227433058129</v>
      </c>
    </row>
    <row r="126" customFormat="false" ht="15" hidden="false" customHeight="true" outlineLevel="0" collapsed="false">
      <c r="A126" s="50" t="str">
        <f aca="false">01_Data!A14</f>
        <v>S09</v>
      </c>
      <c r="B126" s="51" t="n">
        <f aca="false">01_Data!F14</f>
        <v>-0.2</v>
      </c>
      <c r="C126" s="51" t="n">
        <f aca="false">01_Data!G14</f>
        <v>0</v>
      </c>
      <c r="D126" s="51" t="n">
        <f aca="false">01_Data!D14</f>
        <v>0</v>
      </c>
      <c r="E126" s="52" t="n">
        <f aca="false">$D$116 + $F$116*B126 + $H$116*C126</f>
        <v>-0.0131732220758471</v>
      </c>
      <c r="F126" s="52" t="n">
        <f aca="false">1/(1+EXP(-E126))</f>
        <v>0.496706742105191</v>
      </c>
      <c r="G126" s="52" t="n">
        <f aca="false">F126-D126</f>
        <v>0.496706742105191</v>
      </c>
      <c r="H126" s="52" t="n">
        <f aca="false">G126</f>
        <v>0.496706742105191</v>
      </c>
      <c r="I126" s="52" t="n">
        <f aca="false">G126*B126</f>
        <v>-0.0993413484210383</v>
      </c>
      <c r="J126" s="52" t="n">
        <f aca="false">G126*C126</f>
        <v>0</v>
      </c>
      <c r="K126" s="52" t="n">
        <f aca="false">-D126*LN(F126)-(1-D126)*LN(1-F126)</f>
        <v>0.686582261087663</v>
      </c>
    </row>
    <row r="127" customFormat="false" ht="15" hidden="false" customHeight="true" outlineLevel="0" collapsed="false">
      <c r="A127" s="50" t="str">
        <f aca="false">01_Data!A15</f>
        <v>S10</v>
      </c>
      <c r="B127" s="51" t="n">
        <f aca="false">01_Data!F15</f>
        <v>0</v>
      </c>
      <c r="C127" s="51" t="n">
        <f aca="false">01_Data!G15</f>
        <v>0.2</v>
      </c>
      <c r="D127" s="51" t="n">
        <f aca="false">01_Data!D15</f>
        <v>1</v>
      </c>
      <c r="E127" s="52" t="n">
        <f aca="false">$D$116 + $F$116*B127 + $H$116*C127</f>
        <v>0.161123039971248</v>
      </c>
      <c r="F127" s="52" t="n">
        <f aca="false">1/(1+EXP(-E127))</f>
        <v>0.540193842789428</v>
      </c>
      <c r="G127" s="52" t="n">
        <f aca="false">F127-D127</f>
        <v>-0.459806157210573</v>
      </c>
      <c r="H127" s="52" t="n">
        <f aca="false">G127</f>
        <v>-0.459806157210573</v>
      </c>
      <c r="I127" s="52" t="n">
        <f aca="false">G127*B127</f>
        <v>-0</v>
      </c>
      <c r="J127" s="52" t="n">
        <f aca="false">G127*C127</f>
        <v>-0.0919612314421145</v>
      </c>
      <c r="K127" s="52" t="n">
        <f aca="false">-D127*LN(F127)-(1-D127)*LN(1-F127)</f>
        <v>0.615827235708892</v>
      </c>
    </row>
    <row r="128" customFormat="false" ht="15" hidden="false" customHeight="true" outlineLevel="0" collapsed="false">
      <c r="A128" s="50" t="str">
        <f aca="false">01_Data!A16</f>
        <v>S11</v>
      </c>
      <c r="B128" s="51" t="n">
        <f aca="false">01_Data!F16</f>
        <v>0.2</v>
      </c>
      <c r="C128" s="51" t="n">
        <f aca="false">01_Data!G16</f>
        <v>0.466666666666667</v>
      </c>
      <c r="D128" s="51" t="n">
        <f aca="false">01_Data!D16</f>
        <v>1</v>
      </c>
      <c r="E128" s="52" t="n">
        <f aca="false">$D$116 + $F$116*B128 + $H$116*C128</f>
        <v>0.36593316894753</v>
      </c>
      <c r="F128" s="52" t="n">
        <f aca="false">1/(1+EXP(-E128))</f>
        <v>0.590475924383006</v>
      </c>
      <c r="G128" s="52" t="n">
        <f aca="false">F128-D128</f>
        <v>-0.409524075616994</v>
      </c>
      <c r="H128" s="52" t="n">
        <f aca="false">G128</f>
        <v>-0.409524075616994</v>
      </c>
      <c r="I128" s="52" t="n">
        <f aca="false">G128*B128</f>
        <v>-0.0819048151233987</v>
      </c>
      <c r="J128" s="52" t="n">
        <f aca="false">G128*C128</f>
        <v>-0.19111123528793</v>
      </c>
      <c r="K128" s="52" t="n">
        <f aca="false">-D128*LN(F128)-(1-D128)*LN(1-F128)</f>
        <v>0.526826415754216</v>
      </c>
    </row>
    <row r="129" customFormat="false" ht="15" hidden="false" customHeight="true" outlineLevel="0" collapsed="false">
      <c r="A129" s="50" t="str">
        <f aca="false">01_Data!A17</f>
        <v>S12</v>
      </c>
      <c r="B129" s="51" t="n">
        <f aca="false">01_Data!F17</f>
        <v>0.4</v>
      </c>
      <c r="C129" s="51" t="n">
        <f aca="false">01_Data!G17</f>
        <v>0.333333333333333</v>
      </c>
      <c r="D129" s="51" t="n">
        <f aca="false">01_Data!D17</f>
        <v>1</v>
      </c>
      <c r="E129" s="52" t="n">
        <f aca="false">$D$116 + $F$116*B129 + $H$116*C129</f>
        <v>0.387660096348688</v>
      </c>
      <c r="F129" s="52" t="n">
        <f aca="false">1/(1+EXP(-E129))</f>
        <v>0.595719288453896</v>
      </c>
      <c r="G129" s="52" t="n">
        <f aca="false">F129-D129</f>
        <v>-0.404280711546104</v>
      </c>
      <c r="H129" s="52" t="n">
        <f aca="false">G129</f>
        <v>-0.404280711546104</v>
      </c>
      <c r="I129" s="52" t="n">
        <f aca="false">G129*B129</f>
        <v>-0.161712284618442</v>
      </c>
      <c r="J129" s="52" t="n">
        <f aca="false">G129*C129</f>
        <v>-0.134760237182035</v>
      </c>
      <c r="K129" s="52" t="n">
        <f aca="false">-D129*LN(F129)-(1-D129)*LN(1-F129)</f>
        <v>0.517985715395628</v>
      </c>
    </row>
    <row r="130" customFormat="false" ht="15" hidden="false" customHeight="true" outlineLevel="0" collapsed="false">
      <c r="A130" s="50" t="str">
        <f aca="false">01_Data!A18</f>
        <v>S13</v>
      </c>
      <c r="B130" s="51" t="n">
        <f aca="false">01_Data!F18</f>
        <v>0.6</v>
      </c>
      <c r="C130" s="51" t="n">
        <f aca="false">01_Data!G18</f>
        <v>0.666666666666667</v>
      </c>
      <c r="D130" s="51" t="n">
        <f aca="false">01_Data!D18</f>
        <v>1</v>
      </c>
      <c r="E130" s="52" t="n">
        <f aca="false">$D$116 + $F$116*B130 + $H$116*C130</f>
        <v>0.622984092254157</v>
      </c>
      <c r="F130" s="52" t="n">
        <f aca="false">1/(1+EXP(-E130))</f>
        <v>0.65089692917002</v>
      </c>
      <c r="G130" s="52" t="n">
        <f aca="false">F130-D130</f>
        <v>-0.34910307082998</v>
      </c>
      <c r="H130" s="52" t="n">
        <f aca="false">G130</f>
        <v>-0.34910307082998</v>
      </c>
      <c r="I130" s="52" t="n">
        <f aca="false">G130*B130</f>
        <v>-0.209461842497988</v>
      </c>
      <c r="J130" s="52" t="n">
        <f aca="false">G130*C130</f>
        <v>-0.23273538055332</v>
      </c>
      <c r="K130" s="52" t="n">
        <f aca="false">-D130*LN(F130)-(1-D130)*LN(1-F130)</f>
        <v>0.429403976236371</v>
      </c>
    </row>
    <row r="131" customFormat="false" ht="15" hidden="false" customHeight="true" outlineLevel="0" collapsed="false">
      <c r="A131" s="50" t="str">
        <f aca="false">01_Data!A19</f>
        <v>S14</v>
      </c>
      <c r="B131" s="51" t="n">
        <f aca="false">01_Data!F19</f>
        <v>0.8</v>
      </c>
      <c r="C131" s="51" t="n">
        <f aca="false">01_Data!G19</f>
        <v>0.866666666666667</v>
      </c>
      <c r="D131" s="51" t="n">
        <f aca="false">01_Data!D19</f>
        <v>1</v>
      </c>
      <c r="E131" s="52" t="n">
        <f aca="false">$D$116 + $F$116*B131 + $H$116*C131</f>
        <v>0.797280354301252</v>
      </c>
      <c r="F131" s="52" t="n">
        <f aca="false">1/(1+EXP(-E131))</f>
        <v>0.689392422171826</v>
      </c>
      <c r="G131" s="52" t="n">
        <f aca="false">F131-D131</f>
        <v>-0.310607577828174</v>
      </c>
      <c r="H131" s="52" t="n">
        <f aca="false">G131</f>
        <v>-0.310607577828174</v>
      </c>
      <c r="I131" s="52" t="n">
        <f aca="false">G131*B131</f>
        <v>-0.248486062262539</v>
      </c>
      <c r="J131" s="52" t="n">
        <f aca="false">G131*C131</f>
        <v>-0.269193234117751</v>
      </c>
      <c r="K131" s="52" t="n">
        <f aca="false">-D131*LN(F131)-(1-D131)*LN(1-F131)</f>
        <v>0.371944616877645</v>
      </c>
    </row>
    <row r="132" customFormat="false" ht="15" hidden="false" customHeight="true" outlineLevel="0" collapsed="false">
      <c r="A132" s="50" t="str">
        <f aca="false">01_Data!A20</f>
        <v>S15</v>
      </c>
      <c r="B132" s="51" t="n">
        <f aca="false">01_Data!F20</f>
        <v>1</v>
      </c>
      <c r="C132" s="51" t="n">
        <f aca="false">01_Data!G20</f>
        <v>1.13333333333333</v>
      </c>
      <c r="D132" s="51" t="n">
        <f aca="false">01_Data!D20</f>
        <v>1</v>
      </c>
      <c r="E132" s="52" t="n">
        <f aca="false">$D$116 + $F$116*B132 + $H$116*C132</f>
        <v>1.00209048327753</v>
      </c>
      <c r="F132" s="52" t="n">
        <f aca="false">1/(1+EXP(-E132))</f>
        <v>0.731469394005276</v>
      </c>
      <c r="G132" s="52" t="n">
        <f aca="false">F132-D132</f>
        <v>-0.268530605994724</v>
      </c>
      <c r="H132" s="52" t="n">
        <f aca="false">G132</f>
        <v>-0.268530605994724</v>
      </c>
      <c r="I132" s="52" t="n">
        <f aca="false">G132*B132</f>
        <v>-0.268530605994724</v>
      </c>
      <c r="J132" s="52" t="n">
        <f aca="false">G132*C132</f>
        <v>-0.304334686794021</v>
      </c>
      <c r="K132" s="52" t="n">
        <f aca="false">-D132*LN(F132)-(1-D132)*LN(1-F132)</f>
        <v>0.312699899444747</v>
      </c>
    </row>
    <row r="133" customFormat="false" ht="15" hidden="false" customHeight="true" outlineLevel="0" collapsed="false">
      <c r="A133" s="50" t="str">
        <f aca="false">01_Data!A21</f>
        <v>S16</v>
      </c>
      <c r="B133" s="51" t="n">
        <f aca="false">01_Data!F21</f>
        <v>1.2</v>
      </c>
      <c r="C133" s="51" t="n">
        <f aca="false">01_Data!G21</f>
        <v>1</v>
      </c>
      <c r="D133" s="51" t="n">
        <f aca="false">01_Data!D21</f>
        <v>1</v>
      </c>
      <c r="E133" s="52" t="n">
        <f aca="false">$D$116 + $F$116*B133 + $H$116*C133</f>
        <v>1.02381741067869</v>
      </c>
      <c r="F133" s="52" t="n">
        <f aca="false">1/(1+EXP(-E133))</f>
        <v>0.735715517500227</v>
      </c>
      <c r="G133" s="52" t="n">
        <f aca="false">F133-D133</f>
        <v>-0.264284482499773</v>
      </c>
      <c r="H133" s="52" t="n">
        <f aca="false">G133</f>
        <v>-0.264284482499773</v>
      </c>
      <c r="I133" s="52" t="n">
        <f aca="false">G133*B133</f>
        <v>-0.317141378999728</v>
      </c>
      <c r="J133" s="52" t="n">
        <f aca="false">G133*C133</f>
        <v>-0.264284482499773</v>
      </c>
      <c r="K133" s="52" t="n">
        <f aca="false">-D133*LN(F133)-(1-D133)*LN(1-F133)</f>
        <v>0.306911760108918</v>
      </c>
    </row>
    <row r="134" customFormat="false" ht="15" hidden="false" customHeight="true" outlineLevel="0" collapsed="false">
      <c r="A134" s="50" t="str">
        <f aca="false">01_Data!A22</f>
        <v>S17</v>
      </c>
      <c r="B134" s="51" t="n">
        <f aca="false">01_Data!F22</f>
        <v>1.6</v>
      </c>
      <c r="C134" s="51" t="n">
        <f aca="false">01_Data!G22</f>
        <v>1.4</v>
      </c>
      <c r="D134" s="51" t="n">
        <f aca="false">01_Data!D22</f>
        <v>1</v>
      </c>
      <c r="E134" s="52" t="n">
        <f aca="false">$D$116 + $F$116*B134 + $H$116*C134</f>
        <v>1.37240993477288</v>
      </c>
      <c r="F134" s="52" t="n">
        <f aca="false">1/(1+EXP(-E134))</f>
        <v>0.797769235756538</v>
      </c>
      <c r="G134" s="52" t="n">
        <f aca="false">F134-D134</f>
        <v>-0.202230764243463</v>
      </c>
      <c r="H134" s="52" t="n">
        <f aca="false">G134</f>
        <v>-0.202230764243463</v>
      </c>
      <c r="I134" s="52" t="n">
        <f aca="false">G134*B134</f>
        <v>-0.32356922278954</v>
      </c>
      <c r="J134" s="52" t="n">
        <f aca="false">G134*C134</f>
        <v>-0.283123069940848</v>
      </c>
      <c r="K134" s="52" t="n">
        <f aca="false">-D134*LN(F134)-(1-D134)*LN(1-F134)</f>
        <v>0.225935901602374</v>
      </c>
    </row>
    <row r="135" customFormat="false" ht="15" hidden="false" customHeight="true" outlineLevel="0" collapsed="false">
      <c r="A135" s="50" t="str">
        <f aca="false">01_Data!A23</f>
        <v>S18</v>
      </c>
      <c r="B135" s="51" t="n">
        <f aca="false">01_Data!F23</f>
        <v>-0.6</v>
      </c>
      <c r="C135" s="51" t="n">
        <f aca="false">01_Data!G23</f>
        <v>0.866666666666667</v>
      </c>
      <c r="D135" s="51" t="n">
        <f aca="false">01_Data!D23</f>
        <v>1</v>
      </c>
      <c r="E135" s="52" t="n">
        <f aca="false">$D$116 + $F$116*B135 + $H$116*C135</f>
        <v>0.217997725484523</v>
      </c>
      <c r="F135" s="52" t="n">
        <f aca="false">1/(1+EXP(-E135))</f>
        <v>0.554284620747256</v>
      </c>
      <c r="G135" s="52" t="n">
        <f aca="false">F135-D135</f>
        <v>-0.445715379252744</v>
      </c>
      <c r="H135" s="52" t="n">
        <f aca="false">G135</f>
        <v>-0.445715379252744</v>
      </c>
      <c r="I135" s="52" t="n">
        <f aca="false">G135*B135</f>
        <v>0.267429227551647</v>
      </c>
      <c r="J135" s="52" t="n">
        <f aca="false">G135*C135</f>
        <v>-0.386286662019045</v>
      </c>
      <c r="K135" s="52" t="n">
        <f aca="false">-D135*LN(F135)-(1-D135)*LN(1-F135)</f>
        <v>0.59007696830074</v>
      </c>
    </row>
    <row r="136" customFormat="false" ht="15" hidden="false" customHeight="true" outlineLevel="0" collapsed="false">
      <c r="A136" s="50" t="str">
        <f aca="false">01_Data!A24</f>
        <v>S19</v>
      </c>
      <c r="B136" s="51" t="n">
        <f aca="false">01_Data!F24</f>
        <v>0.6</v>
      </c>
      <c r="C136" s="51" t="n">
        <f aca="false">01_Data!G24</f>
        <v>-0.866666666666667</v>
      </c>
      <c r="D136" s="51" t="n">
        <f aca="false">01_Data!D24</f>
        <v>0</v>
      </c>
      <c r="E136" s="52" t="n">
        <f aca="false">$D$116 + $F$116*B136 + $H$116*C136</f>
        <v>-0.078834847117151</v>
      </c>
      <c r="F136" s="52" t="n">
        <f aca="false">1/(1+EXP(-E136))</f>
        <v>0.480301489241359</v>
      </c>
      <c r="G136" s="52" t="n">
        <f aca="false">F136-D136</f>
        <v>0.480301489241359</v>
      </c>
      <c r="H136" s="52" t="n">
        <f aca="false">G136</f>
        <v>0.480301489241359</v>
      </c>
      <c r="I136" s="52" t="n">
        <f aca="false">G136*B136</f>
        <v>0.288180893544815</v>
      </c>
      <c r="J136" s="52" t="n">
        <f aca="false">G136*C136</f>
        <v>-0.416261290675844</v>
      </c>
      <c r="K136" s="52" t="n">
        <f aca="false">-D136*LN(F136)-(1-D136)*LN(1-F136)</f>
        <v>0.654506422550755</v>
      </c>
    </row>
    <row r="137" customFormat="false" ht="15" hidden="false" customHeight="true" outlineLevel="0" collapsed="false">
      <c r="A137" s="50" t="str">
        <f aca="false">01_Data!A25</f>
        <v>S20</v>
      </c>
      <c r="B137" s="51" t="n">
        <f aca="false">01_Data!F25</f>
        <v>1.4</v>
      </c>
      <c r="C137" s="51" t="n">
        <f aca="false">01_Data!G25</f>
        <v>-0.333333333333333</v>
      </c>
      <c r="D137" s="51" t="n">
        <f aca="false">01_Data!D25</f>
        <v>1</v>
      </c>
      <c r="E137" s="52" t="n">
        <f aca="false">$D$116 + $F$116*B137 + $H$116*C137</f>
        <v>0.496294733354479</v>
      </c>
      <c r="F137" s="52" t="n">
        <f aca="false">1/(1+EXP(-E137))</f>
        <v>0.621588185504576</v>
      </c>
      <c r="G137" s="52" t="n">
        <f aca="false">F137-D137</f>
        <v>-0.378411814495424</v>
      </c>
      <c r="H137" s="52" t="n">
        <f aca="false">G137</f>
        <v>-0.378411814495424</v>
      </c>
      <c r="I137" s="52" t="n">
        <f aca="false">G137*B137</f>
        <v>-0.529776540293593</v>
      </c>
      <c r="J137" s="52" t="n">
        <f aca="false">G137*C137</f>
        <v>0.126137271498475</v>
      </c>
      <c r="K137" s="52" t="n">
        <f aca="false">-D137*LN(F137)-(1-D137)*LN(1-F137)</f>
        <v>0.475477486697847</v>
      </c>
    </row>
    <row r="138" customFormat="false" ht="15" hidden="false" customHeight="true" outlineLevel="0" collapsed="false">
      <c r="A138" s="53" t="s">
        <v>138</v>
      </c>
      <c r="B138" s="53"/>
      <c r="C138" s="53"/>
      <c r="D138" s="53"/>
      <c r="E138" s="53"/>
      <c r="F138" s="53"/>
      <c r="G138" s="53" t="s">
        <v>139</v>
      </c>
      <c r="H138" s="54" t="n">
        <f aca="false">AVERAGE(H118:H137)</f>
        <v>-0.0342794092885921</v>
      </c>
      <c r="I138" s="54" t="n">
        <f aca="false">AVERAGE(I118:I137)</f>
        <v>-0.179985515174365</v>
      </c>
      <c r="J138" s="54" t="n">
        <f aca="false">AVERAGE(J118:J137)</f>
        <v>-0.214609103146082</v>
      </c>
      <c r="K138" s="54" t="n">
        <f aca="false">AVERAGE(K118:K137)</f>
        <v>0.46203398711501</v>
      </c>
    </row>
    <row r="139" customFormat="false" ht="21.75" hidden="false" customHeight="true" outlineLevel="0" collapsed="false">
      <c r="A139" s="47" t="s">
        <v>140</v>
      </c>
      <c r="B139" s="47"/>
      <c r="C139" s="47" t="s">
        <v>141</v>
      </c>
      <c r="D139" s="55" t="n">
        <f aca="false">$D$116 - $B$4*H138</f>
        <v>0.0832932028991226</v>
      </c>
      <c r="E139" s="47" t="s">
        <v>142</v>
      </c>
      <c r="F139" s="55" t="n">
        <f aca="false">$F$116 - $B$4*I138</f>
        <v>0.48576751236741</v>
      </c>
      <c r="G139" s="47" t="s">
        <v>143</v>
      </c>
      <c r="H139" s="55" t="n">
        <f aca="false">$H$116 - $B$4*J138</f>
        <v>0.543551645196243</v>
      </c>
      <c r="I139" s="48" t="s">
        <v>144</v>
      </c>
      <c r="J139" s="48"/>
      <c r="K139" s="48"/>
    </row>
    <row r="141" customFormat="false" ht="22.5" hidden="false" customHeight="true" outlineLevel="0" collapsed="false">
      <c r="A141" s="56" t="s">
        <v>149</v>
      </c>
      <c r="B141" s="56"/>
      <c r="C141" s="56"/>
      <c r="D141" s="56"/>
      <c r="E141" s="56"/>
      <c r="F141" s="56"/>
      <c r="G141" s="56"/>
      <c r="H141" s="56"/>
      <c r="I141" s="56"/>
      <c r="J141" s="56"/>
      <c r="K141" s="56"/>
    </row>
    <row r="142" customFormat="false" ht="15" hidden="false" customHeight="true" outlineLevel="0" collapsed="false">
      <c r="A142" s="47" t="s">
        <v>123</v>
      </c>
      <c r="B142" s="48" t="n">
        <v>6</v>
      </c>
      <c r="C142" s="47" t="s">
        <v>124</v>
      </c>
      <c r="D142" s="57" t="n">
        <f aca="false">IF(D139="","",D139)</f>
        <v>0.0832932028991226</v>
      </c>
      <c r="E142" s="47" t="s">
        <v>125</v>
      </c>
      <c r="F142" s="57" t="n">
        <f aca="false">IF(F139="","",F139)</f>
        <v>0.48576751236741</v>
      </c>
      <c r="G142" s="47" t="s">
        <v>126</v>
      </c>
      <c r="H142" s="57" t="n">
        <f aca="false">IF(H139="","",H139)</f>
        <v>0.543551645196243</v>
      </c>
      <c r="I142" s="48" t="s">
        <v>127</v>
      </c>
      <c r="J142" s="48"/>
      <c r="K142" s="48"/>
    </row>
    <row r="143" customFormat="false" ht="33.75" hidden="false" customHeight="true" outlineLevel="0" collapsed="false">
      <c r="A143" s="18" t="s">
        <v>128</v>
      </c>
      <c r="B143" s="18" t="s">
        <v>129</v>
      </c>
      <c r="C143" s="18" t="s">
        <v>130</v>
      </c>
      <c r="D143" s="18" t="s">
        <v>131</v>
      </c>
      <c r="E143" s="18" t="s">
        <v>132</v>
      </c>
      <c r="F143" s="18" t="s">
        <v>133</v>
      </c>
      <c r="G143" s="18" t="s">
        <v>134</v>
      </c>
      <c r="H143" s="18" t="s">
        <v>135</v>
      </c>
      <c r="I143" s="18" t="s">
        <v>136</v>
      </c>
      <c r="J143" s="18" t="s">
        <v>137</v>
      </c>
      <c r="K143" s="18" t="s">
        <v>33</v>
      </c>
    </row>
    <row r="144" customFormat="false" ht="15" hidden="false" customHeight="true" outlineLevel="0" collapsed="false">
      <c r="A144" s="50" t="str">
        <f aca="false">01_Data!A6</f>
        <v>S01</v>
      </c>
      <c r="B144" s="51" t="n">
        <f aca="false">01_Data!F6</f>
        <v>-1.6</v>
      </c>
      <c r="C144" s="51" t="n">
        <f aca="false">01_Data!G6</f>
        <v>-1.66666666666667</v>
      </c>
      <c r="D144" s="51" t="n">
        <f aca="false">01_Data!D6</f>
        <v>0</v>
      </c>
      <c r="E144" s="52" t="n">
        <f aca="false">$D$142 + $F$142*B144 + $H$142*C144</f>
        <v>-1.59985422554914</v>
      </c>
      <c r="F144" s="52" t="n">
        <f aca="false">1/(1+EXP(-E144))</f>
        <v>0.168001989842204</v>
      </c>
      <c r="G144" s="52" t="n">
        <f aca="false">F144-D144</f>
        <v>0.168001989842204</v>
      </c>
      <c r="H144" s="52" t="n">
        <f aca="false">G144</f>
        <v>0.168001989842204</v>
      </c>
      <c r="I144" s="52" t="n">
        <f aca="false">G144*B144</f>
        <v>-0.268803183747526</v>
      </c>
      <c r="J144" s="52" t="n">
        <f aca="false">G144*C144</f>
        <v>-0.280003316403673</v>
      </c>
      <c r="K144" s="52" t="n">
        <f aca="false">-D144*LN(F144)-(1-D144)*LN(1-F144)</f>
        <v>0.183925229801052</v>
      </c>
    </row>
    <row r="145" customFormat="false" ht="15" hidden="false" customHeight="true" outlineLevel="0" collapsed="false">
      <c r="A145" s="50" t="str">
        <f aca="false">01_Data!A7</f>
        <v>S02</v>
      </c>
      <c r="B145" s="51" t="n">
        <f aca="false">01_Data!F7</f>
        <v>-1.2</v>
      </c>
      <c r="C145" s="51" t="n">
        <f aca="false">01_Data!G7</f>
        <v>-1.33333333333333</v>
      </c>
      <c r="D145" s="51" t="n">
        <f aca="false">01_Data!D7</f>
        <v>0</v>
      </c>
      <c r="E145" s="52" t="n">
        <f aca="false">$D$142 + $F$142*B145 + $H$142*C145</f>
        <v>-1.22436333887009</v>
      </c>
      <c r="F145" s="52" t="n">
        <f aca="false">1/(1+EXP(-E145))</f>
        <v>0.227169495653972</v>
      </c>
      <c r="G145" s="52" t="n">
        <f aca="false">F145-D145</f>
        <v>0.227169495653972</v>
      </c>
      <c r="H145" s="52" t="n">
        <f aca="false">G145</f>
        <v>0.227169495653972</v>
      </c>
      <c r="I145" s="52" t="n">
        <f aca="false">G145*B145</f>
        <v>-0.272603394784767</v>
      </c>
      <c r="J145" s="52" t="n">
        <f aca="false">G145*C145</f>
        <v>-0.302892660871963</v>
      </c>
      <c r="K145" s="52" t="n">
        <f aca="false">-D145*LN(F145)-(1-D145)*LN(1-F145)</f>
        <v>0.257695524365399</v>
      </c>
    </row>
    <row r="146" customFormat="false" ht="15" hidden="false" customHeight="true" outlineLevel="0" collapsed="false">
      <c r="A146" s="50" t="str">
        <f aca="false">01_Data!A8</f>
        <v>S03</v>
      </c>
      <c r="B146" s="51" t="n">
        <f aca="false">01_Data!F8</f>
        <v>-1.4</v>
      </c>
      <c r="C146" s="51" t="n">
        <f aca="false">01_Data!G8</f>
        <v>-0.666666666666667</v>
      </c>
      <c r="D146" s="51" t="n">
        <f aca="false">01_Data!D8</f>
        <v>0</v>
      </c>
      <c r="E146" s="52" t="n">
        <f aca="false">$D$142 + $F$142*B146 + $H$142*C146</f>
        <v>-0.959149077879413</v>
      </c>
      <c r="F146" s="52" t="n">
        <f aca="false">1/(1+EXP(-E146))</f>
        <v>0.277048596002534</v>
      </c>
      <c r="G146" s="52" t="n">
        <f aca="false">F146-D146</f>
        <v>0.277048596002534</v>
      </c>
      <c r="H146" s="52" t="n">
        <f aca="false">G146</f>
        <v>0.277048596002534</v>
      </c>
      <c r="I146" s="52" t="n">
        <f aca="false">G146*B146</f>
        <v>-0.387868034403547</v>
      </c>
      <c r="J146" s="52" t="n">
        <f aca="false">G146*C146</f>
        <v>-0.184699064001689</v>
      </c>
      <c r="K146" s="52" t="n">
        <f aca="false">-D146*LN(F146)-(1-D146)*LN(1-F146)</f>
        <v>0.324413273470374</v>
      </c>
    </row>
    <row r="147" customFormat="false" ht="15" hidden="false" customHeight="true" outlineLevel="0" collapsed="false">
      <c r="A147" s="50" t="str">
        <f aca="false">01_Data!A9</f>
        <v>S04</v>
      </c>
      <c r="B147" s="51" t="n">
        <f aca="false">01_Data!F9</f>
        <v>-1</v>
      </c>
      <c r="C147" s="51" t="n">
        <f aca="false">01_Data!G9</f>
        <v>-1</v>
      </c>
      <c r="D147" s="51" t="n">
        <f aca="false">01_Data!D9</f>
        <v>0</v>
      </c>
      <c r="E147" s="52" t="n">
        <f aca="false">$D$142 + $F$142*B147 + $H$142*C147</f>
        <v>-0.94602595466453</v>
      </c>
      <c r="F147" s="52" t="n">
        <f aca="false">1/(1+EXP(-E147))</f>
        <v>0.279684736446108</v>
      </c>
      <c r="G147" s="52" t="n">
        <f aca="false">F147-D147</f>
        <v>0.279684736446108</v>
      </c>
      <c r="H147" s="52" t="n">
        <f aca="false">G147</f>
        <v>0.279684736446108</v>
      </c>
      <c r="I147" s="52" t="n">
        <f aca="false">G147*B147</f>
        <v>-0.279684736446108</v>
      </c>
      <c r="J147" s="52" t="n">
        <f aca="false">G147*C147</f>
        <v>-0.279684736446108</v>
      </c>
      <c r="K147" s="52" t="n">
        <f aca="false">-D147*LN(F147)-(1-D147)*LN(1-F147)</f>
        <v>0.328066296760327</v>
      </c>
    </row>
    <row r="148" customFormat="false" ht="15" hidden="false" customHeight="true" outlineLevel="0" collapsed="false">
      <c r="A148" s="50" t="str">
        <f aca="false">01_Data!A10</f>
        <v>S05</v>
      </c>
      <c r="B148" s="51" t="n">
        <f aca="false">01_Data!F10</f>
        <v>-0.8</v>
      </c>
      <c r="C148" s="51" t="n">
        <f aca="false">01_Data!G10</f>
        <v>-0.333333333333333</v>
      </c>
      <c r="D148" s="51" t="n">
        <f aca="false">01_Data!D10</f>
        <v>0</v>
      </c>
      <c r="E148" s="52" t="n">
        <f aca="false">$D$142 + $F$142*B148 + $H$142*C148</f>
        <v>-0.486504688726886</v>
      </c>
      <c r="F148" s="52" t="n">
        <f aca="false">1/(1+EXP(-E148))</f>
        <v>0.380717318649583</v>
      </c>
      <c r="G148" s="52" t="n">
        <f aca="false">F148-D148</f>
        <v>0.380717318649583</v>
      </c>
      <c r="H148" s="52" t="n">
        <f aca="false">G148</f>
        <v>0.380717318649583</v>
      </c>
      <c r="I148" s="52" t="n">
        <f aca="false">G148*B148</f>
        <v>-0.304573854919666</v>
      </c>
      <c r="J148" s="52" t="n">
        <f aca="false">G148*C148</f>
        <v>-0.126905772883194</v>
      </c>
      <c r="K148" s="52" t="n">
        <f aca="false">-D148*LN(F148)-(1-D148)*LN(1-F148)</f>
        <v>0.479193436308175</v>
      </c>
    </row>
    <row r="149" customFormat="false" ht="15" hidden="false" customHeight="true" outlineLevel="0" collapsed="false">
      <c r="A149" s="50" t="str">
        <f aca="false">01_Data!A11</f>
        <v>S06</v>
      </c>
      <c r="B149" s="51" t="n">
        <f aca="false">01_Data!F11</f>
        <v>-0.6</v>
      </c>
      <c r="C149" s="51" t="n">
        <f aca="false">01_Data!G11</f>
        <v>-0.666666666666667</v>
      </c>
      <c r="D149" s="51" t="n">
        <f aca="false">01_Data!D11</f>
        <v>0</v>
      </c>
      <c r="E149" s="52" t="n">
        <f aca="false">$D$142 + $F$142*B149 + $H$142*C149</f>
        <v>-0.570535067985485</v>
      </c>
      <c r="F149" s="52" t="n">
        <f aca="false">1/(1+EXP(-E149))</f>
        <v>0.361113369875106</v>
      </c>
      <c r="G149" s="52" t="n">
        <f aca="false">F149-D149</f>
        <v>0.361113369875106</v>
      </c>
      <c r="H149" s="52" t="n">
        <f aca="false">G149</f>
        <v>0.361113369875106</v>
      </c>
      <c r="I149" s="52" t="n">
        <f aca="false">G149*B149</f>
        <v>-0.216668021925063</v>
      </c>
      <c r="J149" s="52" t="n">
        <f aca="false">G149*C149</f>
        <v>-0.240742246583404</v>
      </c>
      <c r="K149" s="52" t="n">
        <f aca="false">-D149*LN(F149)-(1-D149)*LN(1-F149)</f>
        <v>0.448028257989897</v>
      </c>
    </row>
    <row r="150" customFormat="false" ht="15" hidden="false" customHeight="true" outlineLevel="0" collapsed="false">
      <c r="A150" s="50" t="str">
        <f aca="false">01_Data!A12</f>
        <v>S07</v>
      </c>
      <c r="B150" s="51" t="n">
        <f aca="false">01_Data!F12</f>
        <v>-0.4</v>
      </c>
      <c r="C150" s="51" t="n">
        <f aca="false">01_Data!G12</f>
        <v>-0.2</v>
      </c>
      <c r="D150" s="51" t="n">
        <f aca="false">01_Data!D12</f>
        <v>0</v>
      </c>
      <c r="E150" s="52" t="n">
        <f aca="false">$D$142 + $F$142*B150 + $H$142*C150</f>
        <v>-0.21972413108709</v>
      </c>
      <c r="F150" s="52" t="n">
        <f aca="false">1/(1+EXP(-E150))</f>
        <v>0.445288905332644</v>
      </c>
      <c r="G150" s="52" t="n">
        <f aca="false">F150-D150</f>
        <v>0.445288905332644</v>
      </c>
      <c r="H150" s="52" t="n">
        <f aca="false">G150</f>
        <v>0.445288905332644</v>
      </c>
      <c r="I150" s="52" t="n">
        <f aca="false">G150*B150</f>
        <v>-0.178115562133057</v>
      </c>
      <c r="J150" s="52" t="n">
        <f aca="false">G150*C150</f>
        <v>-0.0890577810665287</v>
      </c>
      <c r="K150" s="52" t="n">
        <f aca="false">-D150*LN(F150)-(1-D150)*LN(1-F150)</f>
        <v>0.589307850917875</v>
      </c>
    </row>
    <row r="151" customFormat="false" ht="15" hidden="false" customHeight="true" outlineLevel="0" collapsed="false">
      <c r="A151" s="50" t="str">
        <f aca="false">01_Data!A13</f>
        <v>S08</v>
      </c>
      <c r="B151" s="51" t="n">
        <f aca="false">01_Data!F13</f>
        <v>-0.4</v>
      </c>
      <c r="C151" s="51" t="n">
        <f aca="false">01_Data!G13</f>
        <v>0.333333333333333</v>
      </c>
      <c r="D151" s="51" t="n">
        <f aca="false">01_Data!D13</f>
        <v>1</v>
      </c>
      <c r="E151" s="52" t="n">
        <f aca="false">$D$142 + $F$142*B151 + $H$142*C151</f>
        <v>0.0701700796842393</v>
      </c>
      <c r="F151" s="52" t="n">
        <f aca="false">1/(1+EXP(-E151))</f>
        <v>0.517535325416603</v>
      </c>
      <c r="G151" s="52" t="n">
        <f aca="false">F151-D151</f>
        <v>-0.482464674583397</v>
      </c>
      <c r="H151" s="52" t="n">
        <f aca="false">G151</f>
        <v>-0.482464674583397</v>
      </c>
      <c r="I151" s="52" t="n">
        <f aca="false">G151*B151</f>
        <v>0.192985869833359</v>
      </c>
      <c r="J151" s="52" t="n">
        <f aca="false">G151*C151</f>
        <v>-0.160821558194466</v>
      </c>
      <c r="K151" s="52" t="n">
        <f aca="false">-D151*LN(F151)-(1-D151)*LN(1-F151)</f>
        <v>0.65867749449774</v>
      </c>
    </row>
    <row r="152" customFormat="false" ht="15" hidden="false" customHeight="true" outlineLevel="0" collapsed="false">
      <c r="A152" s="50" t="str">
        <f aca="false">01_Data!A14</f>
        <v>S09</v>
      </c>
      <c r="B152" s="51" t="n">
        <f aca="false">01_Data!F14</f>
        <v>-0.2</v>
      </c>
      <c r="C152" s="51" t="n">
        <f aca="false">01_Data!G14</f>
        <v>0</v>
      </c>
      <c r="D152" s="51" t="n">
        <f aca="false">01_Data!D14</f>
        <v>0</v>
      </c>
      <c r="E152" s="52" t="n">
        <f aca="false">$D$142 + $F$142*B152 + $H$142*C152</f>
        <v>-0.0138602995743595</v>
      </c>
      <c r="F152" s="52" t="n">
        <f aca="false">1/(1+EXP(-E152))</f>
        <v>0.496534980577701</v>
      </c>
      <c r="G152" s="52" t="n">
        <f aca="false">F152-D152</f>
        <v>0.496534980577701</v>
      </c>
      <c r="H152" s="52" t="n">
        <f aca="false">G152</f>
        <v>0.496534980577701</v>
      </c>
      <c r="I152" s="52" t="n">
        <f aca="false">G152*B152</f>
        <v>-0.0993069961155402</v>
      </c>
      <c r="J152" s="52" t="n">
        <f aca="false">G152*C152</f>
        <v>0</v>
      </c>
      <c r="K152" s="52" t="n">
        <f aca="false">-D152*LN(F152)-(1-D152)*LN(1-F152)</f>
        <v>0.686241044068589</v>
      </c>
    </row>
    <row r="153" customFormat="false" ht="15" hidden="false" customHeight="true" outlineLevel="0" collapsed="false">
      <c r="A153" s="50" t="str">
        <f aca="false">01_Data!A15</f>
        <v>S10</v>
      </c>
      <c r="B153" s="51" t="n">
        <f aca="false">01_Data!F15</f>
        <v>0</v>
      </c>
      <c r="C153" s="51" t="n">
        <f aca="false">01_Data!G15</f>
        <v>0.2</v>
      </c>
      <c r="D153" s="51" t="n">
        <f aca="false">01_Data!D15</f>
        <v>1</v>
      </c>
      <c r="E153" s="52" t="n">
        <f aca="false">$D$142 + $F$142*B153 + $H$142*C153</f>
        <v>0.192003531938371</v>
      </c>
      <c r="F153" s="52" t="n">
        <f aca="false">1/(1+EXP(-E153))</f>
        <v>0.547853960458224</v>
      </c>
      <c r="G153" s="52" t="n">
        <f aca="false">F153-D153</f>
        <v>-0.452146039541776</v>
      </c>
      <c r="H153" s="52" t="n">
        <f aca="false">G153</f>
        <v>-0.452146039541776</v>
      </c>
      <c r="I153" s="52" t="n">
        <f aca="false">G153*B153</f>
        <v>-0</v>
      </c>
      <c r="J153" s="52" t="n">
        <f aca="false">G153*C153</f>
        <v>-0.0904292079083552</v>
      </c>
      <c r="K153" s="52" t="n">
        <f aca="false">-D153*LN(F153)-(1-D153)*LN(1-F153)</f>
        <v>0.601746523064551</v>
      </c>
    </row>
    <row r="154" customFormat="false" ht="15" hidden="false" customHeight="true" outlineLevel="0" collapsed="false">
      <c r="A154" s="50" t="str">
        <f aca="false">01_Data!A16</f>
        <v>S11</v>
      </c>
      <c r="B154" s="51" t="n">
        <f aca="false">01_Data!F16</f>
        <v>0.2</v>
      </c>
      <c r="C154" s="51" t="n">
        <f aca="false">01_Data!G16</f>
        <v>0.466666666666667</v>
      </c>
      <c r="D154" s="51" t="n">
        <f aca="false">01_Data!D16</f>
        <v>1</v>
      </c>
      <c r="E154" s="52" t="n">
        <f aca="false">$D$142 + $F$142*B154 + $H$142*C154</f>
        <v>0.434104139797518</v>
      </c>
      <c r="F154" s="52" t="n">
        <f aca="false">1/(1+EXP(-E154))</f>
        <v>0.606853272086404</v>
      </c>
      <c r="G154" s="52" t="n">
        <f aca="false">F154-D154</f>
        <v>-0.393146727913596</v>
      </c>
      <c r="H154" s="52" t="n">
        <f aca="false">G154</f>
        <v>-0.393146727913596</v>
      </c>
      <c r="I154" s="52" t="n">
        <f aca="false">G154*B154</f>
        <v>-0.0786293455827192</v>
      </c>
      <c r="J154" s="52" t="n">
        <f aca="false">G154*C154</f>
        <v>-0.183468473026345</v>
      </c>
      <c r="K154" s="52" t="n">
        <f aca="false">-D154*LN(F154)-(1-D154)*LN(1-F154)</f>
        <v>0.499468243524712</v>
      </c>
    </row>
    <row r="155" customFormat="false" ht="15" hidden="false" customHeight="true" outlineLevel="0" collapsed="false">
      <c r="A155" s="50" t="str">
        <f aca="false">01_Data!A17</f>
        <v>S12</v>
      </c>
      <c r="B155" s="51" t="n">
        <f aca="false">01_Data!F17</f>
        <v>0.4</v>
      </c>
      <c r="C155" s="51" t="n">
        <f aca="false">01_Data!G17</f>
        <v>0.333333333333333</v>
      </c>
      <c r="D155" s="51" t="n">
        <f aca="false">01_Data!D17</f>
        <v>1</v>
      </c>
      <c r="E155" s="52" t="n">
        <f aca="false">$D$142 + $F$142*B155 + $H$142*C155</f>
        <v>0.458784089578167</v>
      </c>
      <c r="F155" s="52" t="n">
        <f aca="false">1/(1+EXP(-E155))</f>
        <v>0.61272568878286</v>
      </c>
      <c r="G155" s="52" t="n">
        <f aca="false">F155-D155</f>
        <v>-0.38727431121714</v>
      </c>
      <c r="H155" s="52" t="n">
        <f aca="false">G155</f>
        <v>-0.38727431121714</v>
      </c>
      <c r="I155" s="52" t="n">
        <f aca="false">G155*B155</f>
        <v>-0.154909724486856</v>
      </c>
      <c r="J155" s="52" t="n">
        <f aca="false">G155*C155</f>
        <v>-0.12909143707238</v>
      </c>
      <c r="K155" s="52" t="n">
        <f aca="false">-D155*LN(F155)-(1-D155)*LN(1-F155)</f>
        <v>0.489837932949979</v>
      </c>
    </row>
    <row r="156" customFormat="false" ht="15" hidden="false" customHeight="true" outlineLevel="0" collapsed="false">
      <c r="A156" s="50" t="str">
        <f aca="false">01_Data!A18</f>
        <v>S13</v>
      </c>
      <c r="B156" s="51" t="n">
        <f aca="false">01_Data!F18</f>
        <v>0.6</v>
      </c>
      <c r="C156" s="51" t="n">
        <f aca="false">01_Data!G18</f>
        <v>0.666666666666667</v>
      </c>
      <c r="D156" s="51" t="n">
        <f aca="false">01_Data!D18</f>
        <v>1</v>
      </c>
      <c r="E156" s="52" t="n">
        <f aca="false">$D$142 + $F$142*B156 + $H$142*C156</f>
        <v>0.73712147378373</v>
      </c>
      <c r="F156" s="52" t="n">
        <f aca="false">1/(1+EXP(-E156))</f>
        <v>0.676366081382468</v>
      </c>
      <c r="G156" s="52" t="n">
        <f aca="false">F156-D156</f>
        <v>-0.323633918617532</v>
      </c>
      <c r="H156" s="52" t="n">
        <f aca="false">G156</f>
        <v>-0.323633918617532</v>
      </c>
      <c r="I156" s="52" t="n">
        <f aca="false">G156*B156</f>
        <v>-0.194180351170519</v>
      </c>
      <c r="J156" s="52" t="n">
        <f aca="false">G156*C156</f>
        <v>-0.215755945745021</v>
      </c>
      <c r="K156" s="52" t="n">
        <f aca="false">-D156*LN(F156)-(1-D156)*LN(1-F156)</f>
        <v>0.391020809012707</v>
      </c>
    </row>
    <row r="157" customFormat="false" ht="15" hidden="false" customHeight="true" outlineLevel="0" collapsed="false">
      <c r="A157" s="50" t="str">
        <f aca="false">01_Data!A19</f>
        <v>S14</v>
      </c>
      <c r="B157" s="51" t="n">
        <f aca="false">01_Data!F19</f>
        <v>0.8</v>
      </c>
      <c r="C157" s="51" t="n">
        <f aca="false">01_Data!G19</f>
        <v>0.866666666666667</v>
      </c>
      <c r="D157" s="51" t="n">
        <f aca="false">01_Data!D19</f>
        <v>1</v>
      </c>
      <c r="E157" s="52" t="n">
        <f aca="false">$D$142 + $F$142*B157 + $H$142*C157</f>
        <v>0.942985305296461</v>
      </c>
      <c r="F157" s="52" t="n">
        <f aca="false">1/(1+EXP(-E157))</f>
        <v>0.719702280564187</v>
      </c>
      <c r="G157" s="52" t="n">
        <f aca="false">F157-D157</f>
        <v>-0.280297719435813</v>
      </c>
      <c r="H157" s="52" t="n">
        <f aca="false">G157</f>
        <v>-0.280297719435813</v>
      </c>
      <c r="I157" s="52" t="n">
        <f aca="false">G157*B157</f>
        <v>-0.224238175548651</v>
      </c>
      <c r="J157" s="52" t="n">
        <f aca="false">G157*C157</f>
        <v>-0.242924690177705</v>
      </c>
      <c r="K157" s="52" t="n">
        <f aca="false">-D157*LN(F157)-(1-D157)*LN(1-F157)</f>
        <v>0.328917651702819</v>
      </c>
    </row>
    <row r="158" customFormat="false" ht="15" hidden="false" customHeight="true" outlineLevel="0" collapsed="false">
      <c r="A158" s="50" t="str">
        <f aca="false">01_Data!A20</f>
        <v>S15</v>
      </c>
      <c r="B158" s="51" t="n">
        <f aca="false">01_Data!F20</f>
        <v>1</v>
      </c>
      <c r="C158" s="51" t="n">
        <f aca="false">01_Data!G20</f>
        <v>1.13333333333333</v>
      </c>
      <c r="D158" s="51" t="n">
        <f aca="false">01_Data!D20</f>
        <v>1</v>
      </c>
      <c r="E158" s="52" t="n">
        <f aca="false">$D$142 + $F$142*B158 + $H$142*C158</f>
        <v>1.18508591315561</v>
      </c>
      <c r="F158" s="52" t="n">
        <f aca="false">1/(1+EXP(-E158))</f>
        <v>0.765861031939329</v>
      </c>
      <c r="G158" s="52" t="n">
        <f aca="false">F158-D158</f>
        <v>-0.234138968060671</v>
      </c>
      <c r="H158" s="52" t="n">
        <f aca="false">G158</f>
        <v>-0.234138968060671</v>
      </c>
      <c r="I158" s="52" t="n">
        <f aca="false">G158*B158</f>
        <v>-0.234138968060671</v>
      </c>
      <c r="J158" s="52" t="n">
        <f aca="false">G158*C158</f>
        <v>-0.265357497135427</v>
      </c>
      <c r="K158" s="52" t="n">
        <f aca="false">-D158*LN(F158)-(1-D158)*LN(1-F158)</f>
        <v>0.266754546144966</v>
      </c>
    </row>
    <row r="159" customFormat="false" ht="15" hidden="false" customHeight="true" outlineLevel="0" collapsed="false">
      <c r="A159" s="50" t="str">
        <f aca="false">01_Data!A21</f>
        <v>S16</v>
      </c>
      <c r="B159" s="51" t="n">
        <f aca="false">01_Data!F21</f>
        <v>1.2</v>
      </c>
      <c r="C159" s="51" t="n">
        <f aca="false">01_Data!G21</f>
        <v>1</v>
      </c>
      <c r="D159" s="51" t="n">
        <f aca="false">01_Data!D21</f>
        <v>1</v>
      </c>
      <c r="E159" s="52" t="n">
        <f aca="false">$D$142 + $F$142*B159 + $H$142*C159</f>
        <v>1.20976586293626</v>
      </c>
      <c r="F159" s="52" t="n">
        <f aca="false">1/(1+EXP(-E159))</f>
        <v>0.770257518569045</v>
      </c>
      <c r="G159" s="52" t="n">
        <f aca="false">F159-D159</f>
        <v>-0.229742481430955</v>
      </c>
      <c r="H159" s="52" t="n">
        <f aca="false">G159</f>
        <v>-0.229742481430955</v>
      </c>
      <c r="I159" s="52" t="n">
        <f aca="false">G159*B159</f>
        <v>-0.275690977717146</v>
      </c>
      <c r="J159" s="52" t="n">
        <f aca="false">G159*C159</f>
        <v>-0.229742481430955</v>
      </c>
      <c r="K159" s="52" t="n">
        <f aca="false">-D159*LN(F159)-(1-D159)*LN(1-F159)</f>
        <v>0.26103038034684</v>
      </c>
    </row>
    <row r="160" customFormat="false" ht="15" hidden="false" customHeight="true" outlineLevel="0" collapsed="false">
      <c r="A160" s="50" t="str">
        <f aca="false">01_Data!A22</f>
        <v>S17</v>
      </c>
      <c r="B160" s="51" t="n">
        <f aca="false">01_Data!F22</f>
        <v>1.6</v>
      </c>
      <c r="C160" s="51" t="n">
        <f aca="false">01_Data!G22</f>
        <v>1.4</v>
      </c>
      <c r="D160" s="51" t="n">
        <f aca="false">01_Data!D22</f>
        <v>1</v>
      </c>
      <c r="E160" s="52" t="n">
        <f aca="false">$D$142 + $F$142*B160 + $H$142*C160</f>
        <v>1.62149352596172</v>
      </c>
      <c r="F160" s="52" t="n">
        <f aca="false">1/(1+EXP(-E160))</f>
        <v>0.835001002312259</v>
      </c>
      <c r="G160" s="52" t="n">
        <f aca="false">F160-D160</f>
        <v>-0.164998997687741</v>
      </c>
      <c r="H160" s="52" t="n">
        <f aca="false">G160</f>
        <v>-0.164998997687741</v>
      </c>
      <c r="I160" s="52" t="n">
        <f aca="false">G160*B160</f>
        <v>-0.263998396300386</v>
      </c>
      <c r="J160" s="52" t="n">
        <f aca="false">G160*C160</f>
        <v>-0.230998596762838</v>
      </c>
      <c r="K160" s="52" t="n">
        <f aca="false">-D160*LN(F160)-(1-D160)*LN(1-F160)</f>
        <v>0.180322353758039</v>
      </c>
    </row>
    <row r="161" customFormat="false" ht="15" hidden="false" customHeight="true" outlineLevel="0" collapsed="false">
      <c r="A161" s="50" t="str">
        <f aca="false">01_Data!A23</f>
        <v>S18</v>
      </c>
      <c r="B161" s="51" t="n">
        <f aca="false">01_Data!F23</f>
        <v>-0.6</v>
      </c>
      <c r="C161" s="51" t="n">
        <f aca="false">01_Data!G23</f>
        <v>0.866666666666667</v>
      </c>
      <c r="D161" s="51" t="n">
        <f aca="false">01_Data!D23</f>
        <v>1</v>
      </c>
      <c r="E161" s="52" t="n">
        <f aca="false">$D$142 + $F$142*B161 + $H$142*C161</f>
        <v>0.262910787982087</v>
      </c>
      <c r="F161" s="52" t="n">
        <f aca="false">1/(1+EXP(-E161))</f>
        <v>0.565351692859858</v>
      </c>
      <c r="G161" s="52" t="n">
        <f aca="false">F161-D161</f>
        <v>-0.434648307140142</v>
      </c>
      <c r="H161" s="52" t="n">
        <f aca="false">G161</f>
        <v>-0.434648307140142</v>
      </c>
      <c r="I161" s="52" t="n">
        <f aca="false">G161*B161</f>
        <v>0.260788984284085</v>
      </c>
      <c r="J161" s="52" t="n">
        <f aca="false">G161*C161</f>
        <v>-0.376695199521456</v>
      </c>
      <c r="K161" s="52" t="n">
        <f aca="false">-D161*LN(F161)-(1-D161)*LN(1-F161)</f>
        <v>0.570307276248139</v>
      </c>
    </row>
    <row r="162" customFormat="false" ht="15" hidden="false" customHeight="true" outlineLevel="0" collapsed="false">
      <c r="A162" s="50" t="str">
        <f aca="false">01_Data!A24</f>
        <v>S19</v>
      </c>
      <c r="B162" s="51" t="n">
        <f aca="false">01_Data!F24</f>
        <v>0.6</v>
      </c>
      <c r="C162" s="51" t="n">
        <f aca="false">01_Data!G24</f>
        <v>-0.866666666666667</v>
      </c>
      <c r="D162" s="51" t="n">
        <f aca="false">01_Data!D24</f>
        <v>0</v>
      </c>
      <c r="E162" s="52" t="n">
        <f aca="false">$D$142 + $F$142*B162 + $H$142*C162</f>
        <v>-0.0963243821838415</v>
      </c>
      <c r="F162" s="52" t="n">
        <f aca="false">1/(1+EXP(-E162))</f>
        <v>0.475937506670566</v>
      </c>
      <c r="G162" s="52" t="n">
        <f aca="false">F162-D162</f>
        <v>0.475937506670566</v>
      </c>
      <c r="H162" s="52" t="n">
        <f aca="false">G162</f>
        <v>0.475937506670566</v>
      </c>
      <c r="I162" s="52" t="n">
        <f aca="false">G162*B162</f>
        <v>0.28556250400234</v>
      </c>
      <c r="J162" s="52" t="n">
        <f aca="false">G162*C162</f>
        <v>-0.412479172447824</v>
      </c>
      <c r="K162" s="52" t="n">
        <f aca="false">-D162*LN(F162)-(1-D162)*LN(1-F162)</f>
        <v>0.64614433969318</v>
      </c>
    </row>
    <row r="163" customFormat="false" ht="15" hidden="false" customHeight="true" outlineLevel="0" collapsed="false">
      <c r="A163" s="50" t="str">
        <f aca="false">01_Data!A25</f>
        <v>S20</v>
      </c>
      <c r="B163" s="51" t="n">
        <f aca="false">01_Data!F25</f>
        <v>1.4</v>
      </c>
      <c r="C163" s="51" t="n">
        <f aca="false">01_Data!G25</f>
        <v>-0.333333333333333</v>
      </c>
      <c r="D163" s="51" t="n">
        <f aca="false">01_Data!D25</f>
        <v>1</v>
      </c>
      <c r="E163" s="52" t="n">
        <f aca="false">$D$142 + $F$142*B163 + $H$142*C163</f>
        <v>0.582183838481416</v>
      </c>
      <c r="F163" s="52" t="n">
        <f aca="false">1/(1+EXP(-E163))</f>
        <v>0.64156975258405</v>
      </c>
      <c r="G163" s="52" t="n">
        <f aca="false">F163-D163</f>
        <v>-0.358430247415951</v>
      </c>
      <c r="H163" s="52" t="n">
        <f aca="false">G163</f>
        <v>-0.358430247415951</v>
      </c>
      <c r="I163" s="52" t="n">
        <f aca="false">G163*B163</f>
        <v>-0.501802346382331</v>
      </c>
      <c r="J163" s="52" t="n">
        <f aca="false">G163*C163</f>
        <v>0.11947674913865</v>
      </c>
      <c r="K163" s="52" t="n">
        <f aca="false">-D163*LN(F163)-(1-D163)*LN(1-F163)</f>
        <v>0.443837367269235</v>
      </c>
    </row>
    <row r="164" customFormat="false" ht="15" hidden="false" customHeight="true" outlineLevel="0" collapsed="false">
      <c r="A164" s="53" t="s">
        <v>138</v>
      </c>
      <c r="B164" s="53"/>
      <c r="C164" s="53"/>
      <c r="D164" s="53"/>
      <c r="E164" s="53"/>
      <c r="F164" s="53"/>
      <c r="G164" s="53" t="s">
        <v>139</v>
      </c>
      <c r="H164" s="54" t="n">
        <f aca="false">AVERAGE(H144:H163)</f>
        <v>-0.0314712746997149</v>
      </c>
      <c r="I164" s="54" t="n">
        <f aca="false">AVERAGE(I144:I163)</f>
        <v>-0.159793735580239</v>
      </c>
      <c r="J164" s="54" t="n">
        <f aca="false">AVERAGE(J144:J163)</f>
        <v>-0.196113654427034</v>
      </c>
      <c r="K164" s="54" t="n">
        <f aca="false">AVERAGE(K144:K163)</f>
        <v>0.43174679159473</v>
      </c>
    </row>
    <row r="165" customFormat="false" ht="21.75" hidden="false" customHeight="true" outlineLevel="0" collapsed="false">
      <c r="A165" s="47" t="s">
        <v>140</v>
      </c>
      <c r="B165" s="47"/>
      <c r="C165" s="47" t="s">
        <v>141</v>
      </c>
      <c r="D165" s="55" t="n">
        <f aca="false">$D$142 - $B$4*H164</f>
        <v>0.0958817127790086</v>
      </c>
      <c r="E165" s="47" t="s">
        <v>142</v>
      </c>
      <c r="F165" s="55" t="n">
        <f aca="false">$F$142 - $B$4*I164</f>
        <v>0.549685006599506</v>
      </c>
      <c r="G165" s="47" t="s">
        <v>143</v>
      </c>
      <c r="H165" s="55" t="n">
        <f aca="false">$H$142 - $B$4*J164</f>
        <v>0.621997106967056</v>
      </c>
      <c r="I165" s="48" t="s">
        <v>144</v>
      </c>
      <c r="J165" s="48"/>
      <c r="K165" s="48"/>
    </row>
    <row r="167" customFormat="false" ht="22.5" hidden="false" customHeight="true" outlineLevel="0" collapsed="false">
      <c r="A167" s="4" t="s">
        <v>150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customFormat="false" ht="15" hidden="false" customHeight="true" outlineLevel="0" collapsed="false">
      <c r="A168" s="47" t="s">
        <v>123</v>
      </c>
      <c r="B168" s="48" t="n">
        <v>7</v>
      </c>
      <c r="C168" s="47" t="s">
        <v>124</v>
      </c>
      <c r="D168" s="57" t="n">
        <f aca="false">IF(D165="","",D165)</f>
        <v>0.0958817127790086</v>
      </c>
      <c r="E168" s="47" t="s">
        <v>125</v>
      </c>
      <c r="F168" s="57" t="n">
        <f aca="false">IF(F165="","",F165)</f>
        <v>0.549685006599506</v>
      </c>
      <c r="G168" s="47" t="s">
        <v>126</v>
      </c>
      <c r="H168" s="57" t="n">
        <f aca="false">IF(H165="","",H165)</f>
        <v>0.621997106967056</v>
      </c>
      <c r="I168" s="48" t="s">
        <v>127</v>
      </c>
      <c r="J168" s="48"/>
      <c r="K168" s="48"/>
    </row>
    <row r="169" customFormat="false" ht="33.75" hidden="false" customHeight="true" outlineLevel="0" collapsed="false">
      <c r="A169" s="18" t="s">
        <v>128</v>
      </c>
      <c r="B169" s="18" t="s">
        <v>129</v>
      </c>
      <c r="C169" s="18" t="s">
        <v>130</v>
      </c>
      <c r="D169" s="18" t="s">
        <v>131</v>
      </c>
      <c r="E169" s="18" t="s">
        <v>132</v>
      </c>
      <c r="F169" s="18" t="s">
        <v>133</v>
      </c>
      <c r="G169" s="18" t="s">
        <v>134</v>
      </c>
      <c r="H169" s="18" t="s">
        <v>135</v>
      </c>
      <c r="I169" s="18" t="s">
        <v>136</v>
      </c>
      <c r="J169" s="18" t="s">
        <v>137</v>
      </c>
      <c r="K169" s="18" t="s">
        <v>33</v>
      </c>
    </row>
    <row r="170" customFormat="false" ht="15" hidden="false" customHeight="true" outlineLevel="0" collapsed="false">
      <c r="A170" s="50" t="str">
        <f aca="false">01_Data!A6</f>
        <v>S01</v>
      </c>
      <c r="B170" s="51" t="n">
        <f aca="false">01_Data!F6</f>
        <v>-1.6</v>
      </c>
      <c r="C170" s="51" t="n">
        <f aca="false">01_Data!G6</f>
        <v>-1.66666666666667</v>
      </c>
      <c r="D170" s="51" t="n">
        <f aca="false">01_Data!D6</f>
        <v>0</v>
      </c>
      <c r="E170" s="52" t="n">
        <f aca="false">$D$168 + $F$168*B170 + $H$168*C170</f>
        <v>-1.82027614272529</v>
      </c>
      <c r="F170" s="52" t="n">
        <f aca="false">1/(1+EXP(-E170))</f>
        <v>0.139400741324022</v>
      </c>
      <c r="G170" s="52" t="n">
        <f aca="false">F170-D170</f>
        <v>0.139400741324022</v>
      </c>
      <c r="H170" s="52" t="n">
        <f aca="false">G170</f>
        <v>0.139400741324022</v>
      </c>
      <c r="I170" s="52" t="n">
        <f aca="false">G170*B170</f>
        <v>-0.223041186118435</v>
      </c>
      <c r="J170" s="52" t="n">
        <f aca="false">G170*C170</f>
        <v>-0.23233456887337</v>
      </c>
      <c r="K170" s="52" t="n">
        <f aca="false">-D170*LN(F170)-(1-D170)*LN(1-F170)</f>
        <v>0.150126319981706</v>
      </c>
    </row>
    <row r="171" customFormat="false" ht="15" hidden="false" customHeight="true" outlineLevel="0" collapsed="false">
      <c r="A171" s="50" t="str">
        <f aca="false">01_Data!A7</f>
        <v>S02</v>
      </c>
      <c r="B171" s="51" t="n">
        <f aca="false">01_Data!F7</f>
        <v>-1.2</v>
      </c>
      <c r="C171" s="51" t="n">
        <f aca="false">01_Data!G7</f>
        <v>-1.33333333333333</v>
      </c>
      <c r="D171" s="51" t="n">
        <f aca="false">01_Data!D7</f>
        <v>0</v>
      </c>
      <c r="E171" s="52" t="n">
        <f aca="false">$D$168 + $F$168*B171 + $H$168*C171</f>
        <v>-1.39306977109647</v>
      </c>
      <c r="F171" s="52" t="n">
        <f aca="false">1/(1+EXP(-E171))</f>
        <v>0.198918137560894</v>
      </c>
      <c r="G171" s="52" t="n">
        <f aca="false">F171-D171</f>
        <v>0.198918137560894</v>
      </c>
      <c r="H171" s="52" t="n">
        <f aca="false">G171</f>
        <v>0.198918137560894</v>
      </c>
      <c r="I171" s="52" t="n">
        <f aca="false">G171*B171</f>
        <v>-0.238701765073072</v>
      </c>
      <c r="J171" s="52" t="n">
        <f aca="false">G171*C171</f>
        <v>-0.265224183414525</v>
      </c>
      <c r="K171" s="52" t="n">
        <f aca="false">-D171*LN(F171)-(1-D171)*LN(1-F171)</f>
        <v>0.221792136837363</v>
      </c>
    </row>
    <row r="172" customFormat="false" ht="15" hidden="false" customHeight="true" outlineLevel="0" collapsed="false">
      <c r="A172" s="50" t="str">
        <f aca="false">01_Data!A8</f>
        <v>S03</v>
      </c>
      <c r="B172" s="51" t="n">
        <f aca="false">01_Data!F8</f>
        <v>-1.4</v>
      </c>
      <c r="C172" s="51" t="n">
        <f aca="false">01_Data!G8</f>
        <v>-0.666666666666667</v>
      </c>
      <c r="D172" s="51" t="n">
        <f aca="false">01_Data!D8</f>
        <v>0</v>
      </c>
      <c r="E172" s="52" t="n">
        <f aca="false">$D$168 + $F$168*B172 + $H$168*C172</f>
        <v>-1.08834203443834</v>
      </c>
      <c r="F172" s="52" t="n">
        <f aca="false">1/(1+EXP(-E172))</f>
        <v>0.251930612669062</v>
      </c>
      <c r="G172" s="52" t="n">
        <f aca="false">F172-D172</f>
        <v>0.251930612669062</v>
      </c>
      <c r="H172" s="52" t="n">
        <f aca="false">G172</f>
        <v>0.251930612669062</v>
      </c>
      <c r="I172" s="52" t="n">
        <f aca="false">G172*B172</f>
        <v>-0.352702857736686</v>
      </c>
      <c r="J172" s="52" t="n">
        <f aca="false">G172*C172</f>
        <v>-0.167953741779374</v>
      </c>
      <c r="K172" s="52" t="n">
        <f aca="false">-D172*LN(F172)-(1-D172)*LN(1-F172)</f>
        <v>0.290259541498541</v>
      </c>
    </row>
    <row r="173" customFormat="false" ht="15" hidden="false" customHeight="true" outlineLevel="0" collapsed="false">
      <c r="A173" s="50" t="str">
        <f aca="false">01_Data!A9</f>
        <v>S04</v>
      </c>
      <c r="B173" s="51" t="n">
        <f aca="false">01_Data!F9</f>
        <v>-1</v>
      </c>
      <c r="C173" s="51" t="n">
        <f aca="false">01_Data!G9</f>
        <v>-1</v>
      </c>
      <c r="D173" s="51" t="n">
        <f aca="false">01_Data!D9</f>
        <v>0</v>
      </c>
      <c r="E173" s="52" t="n">
        <f aca="false">$D$168 + $F$168*B173 + $H$168*C173</f>
        <v>-1.07580040078755</v>
      </c>
      <c r="F173" s="52" t="n">
        <f aca="false">1/(1+EXP(-E173))</f>
        <v>0.254301574197735</v>
      </c>
      <c r="G173" s="52" t="n">
        <f aca="false">F173-D173</f>
        <v>0.254301574197735</v>
      </c>
      <c r="H173" s="52" t="n">
        <f aca="false">G173</f>
        <v>0.254301574197735</v>
      </c>
      <c r="I173" s="52" t="n">
        <f aca="false">G173*B173</f>
        <v>-0.254301574197735</v>
      </c>
      <c r="J173" s="52" t="n">
        <f aca="false">G173*C173</f>
        <v>-0.254301574197735</v>
      </c>
      <c r="K173" s="52" t="n">
        <f aca="false">-D173*LN(F173)-(1-D173)*LN(1-F173)</f>
        <v>0.293434015468189</v>
      </c>
    </row>
    <row r="174" customFormat="false" ht="15" hidden="false" customHeight="true" outlineLevel="0" collapsed="false">
      <c r="A174" s="50" t="str">
        <f aca="false">01_Data!A10</f>
        <v>S05</v>
      </c>
      <c r="B174" s="51" t="n">
        <f aca="false">01_Data!F10</f>
        <v>-0.8</v>
      </c>
      <c r="C174" s="51" t="n">
        <f aca="false">01_Data!G10</f>
        <v>-0.333333333333333</v>
      </c>
      <c r="D174" s="51" t="n">
        <f aca="false">01_Data!D10</f>
        <v>0</v>
      </c>
      <c r="E174" s="52" t="n">
        <f aca="false">$D$168 + $F$168*B174 + $H$168*C174</f>
        <v>-0.551198661489615</v>
      </c>
      <c r="F174" s="52" t="n">
        <f aca="false">1/(1+EXP(-E174))</f>
        <v>0.365586355101647</v>
      </c>
      <c r="G174" s="52" t="n">
        <f aca="false">F174-D174</f>
        <v>0.365586355101647</v>
      </c>
      <c r="H174" s="52" t="n">
        <f aca="false">G174</f>
        <v>0.365586355101647</v>
      </c>
      <c r="I174" s="52" t="n">
        <f aca="false">G174*B174</f>
        <v>-0.292469084081318</v>
      </c>
      <c r="J174" s="52" t="n">
        <f aca="false">G174*C174</f>
        <v>-0.121862118367216</v>
      </c>
      <c r="K174" s="52" t="n">
        <f aca="false">-D174*LN(F174)-(1-D174)*LN(1-F174)</f>
        <v>0.455054100541046</v>
      </c>
    </row>
    <row r="175" customFormat="false" ht="15" hidden="false" customHeight="true" outlineLevel="0" collapsed="false">
      <c r="A175" s="50" t="str">
        <f aca="false">01_Data!A11</f>
        <v>S06</v>
      </c>
      <c r="B175" s="51" t="n">
        <f aca="false">01_Data!F11</f>
        <v>-0.6</v>
      </c>
      <c r="C175" s="51" t="n">
        <f aca="false">01_Data!G11</f>
        <v>-0.666666666666667</v>
      </c>
      <c r="D175" s="51" t="n">
        <f aca="false">01_Data!D11</f>
        <v>0</v>
      </c>
      <c r="E175" s="52" t="n">
        <f aca="false">$D$168 + $F$168*B175 + $H$168*C175</f>
        <v>-0.648594029158732</v>
      </c>
      <c r="F175" s="52" t="n">
        <f aca="false">1/(1+EXP(-E175))</f>
        <v>0.343306439547028</v>
      </c>
      <c r="G175" s="52" t="n">
        <f aca="false">F175-D175</f>
        <v>0.343306439547028</v>
      </c>
      <c r="H175" s="52" t="n">
        <f aca="false">G175</f>
        <v>0.343306439547028</v>
      </c>
      <c r="I175" s="52" t="n">
        <f aca="false">G175*B175</f>
        <v>-0.205983863728217</v>
      </c>
      <c r="J175" s="52" t="n">
        <f aca="false">G175*C175</f>
        <v>-0.228870959698019</v>
      </c>
      <c r="K175" s="52" t="n">
        <f aca="false">-D175*LN(F175)-(1-D175)*LN(1-F175)</f>
        <v>0.420537791752321</v>
      </c>
    </row>
    <row r="176" customFormat="false" ht="15" hidden="false" customHeight="true" outlineLevel="0" collapsed="false">
      <c r="A176" s="50" t="str">
        <f aca="false">01_Data!A12</f>
        <v>S07</v>
      </c>
      <c r="B176" s="51" t="n">
        <f aca="false">01_Data!F12</f>
        <v>-0.4</v>
      </c>
      <c r="C176" s="51" t="n">
        <f aca="false">01_Data!G12</f>
        <v>-0.2</v>
      </c>
      <c r="D176" s="51" t="n">
        <f aca="false">01_Data!D12</f>
        <v>0</v>
      </c>
      <c r="E176" s="52" t="n">
        <f aca="false">$D$168 + $F$168*B176 + $H$168*C176</f>
        <v>-0.248391711254205</v>
      </c>
      <c r="F176" s="52" t="n">
        <f aca="false">1/(1+EXP(-E176))</f>
        <v>0.438219393292624</v>
      </c>
      <c r="G176" s="52" t="n">
        <f aca="false">F176-D176</f>
        <v>0.438219393292624</v>
      </c>
      <c r="H176" s="52" t="n">
        <f aca="false">G176</f>
        <v>0.438219393292624</v>
      </c>
      <c r="I176" s="52" t="n">
        <f aca="false">G176*B176</f>
        <v>-0.17528775731705</v>
      </c>
      <c r="J176" s="52" t="n">
        <f aca="false">G176*C176</f>
        <v>-0.0876438786585249</v>
      </c>
      <c r="K176" s="52" t="n">
        <f aca="false">-D176*LN(F176)-(1-D176)*LN(1-F176)</f>
        <v>0.576643884830612</v>
      </c>
    </row>
    <row r="177" customFormat="false" ht="15" hidden="false" customHeight="true" outlineLevel="0" collapsed="false">
      <c r="A177" s="50" t="str">
        <f aca="false">01_Data!A13</f>
        <v>S08</v>
      </c>
      <c r="B177" s="51" t="n">
        <f aca="false">01_Data!F13</f>
        <v>-0.4</v>
      </c>
      <c r="C177" s="51" t="n">
        <f aca="false">01_Data!G13</f>
        <v>0.333333333333333</v>
      </c>
      <c r="D177" s="51" t="n">
        <f aca="false">01_Data!D13</f>
        <v>1</v>
      </c>
      <c r="E177" s="52" t="n">
        <f aca="false">$D$168 + $F$168*B177 + $H$168*C177</f>
        <v>0.083340079128225</v>
      </c>
      <c r="F177" s="52" t="n">
        <f aca="false">1/(1+EXP(-E177))</f>
        <v>0.520822968896753</v>
      </c>
      <c r="G177" s="52" t="n">
        <f aca="false">F177-D177</f>
        <v>-0.479177031103248</v>
      </c>
      <c r="H177" s="52" t="n">
        <f aca="false">G177</f>
        <v>-0.479177031103248</v>
      </c>
      <c r="I177" s="52" t="n">
        <f aca="false">G177*B177</f>
        <v>0.191670812441299</v>
      </c>
      <c r="J177" s="52" t="n">
        <f aca="false">G177*C177</f>
        <v>-0.159725677034416</v>
      </c>
      <c r="K177" s="52" t="n">
        <f aca="false">-D177*LN(F177)-(1-D177)*LN(1-F177)</f>
        <v>0.652345085955927</v>
      </c>
    </row>
    <row r="178" customFormat="false" ht="15" hidden="false" customHeight="true" outlineLevel="0" collapsed="false">
      <c r="A178" s="50" t="str">
        <f aca="false">01_Data!A14</f>
        <v>S09</v>
      </c>
      <c r="B178" s="51" t="n">
        <f aca="false">01_Data!F14</f>
        <v>-0.2</v>
      </c>
      <c r="C178" s="51" t="n">
        <f aca="false">01_Data!G14</f>
        <v>0</v>
      </c>
      <c r="D178" s="51" t="n">
        <f aca="false">01_Data!D14</f>
        <v>0</v>
      </c>
      <c r="E178" s="52" t="n">
        <f aca="false">$D$168 + $F$168*B178 + $H$168*C178</f>
        <v>-0.0140552885408926</v>
      </c>
      <c r="F178" s="52" t="n">
        <f aca="false">1/(1+EXP(-E178))</f>
        <v>0.496486235710264</v>
      </c>
      <c r="G178" s="52" t="n">
        <f aca="false">F178-D178</f>
        <v>0.496486235710264</v>
      </c>
      <c r="H178" s="52" t="n">
        <f aca="false">G178</f>
        <v>0.496486235710264</v>
      </c>
      <c r="I178" s="52" t="n">
        <f aca="false">G178*B178</f>
        <v>-0.0992972471420527</v>
      </c>
      <c r="J178" s="52" t="n">
        <f aca="false">G178*C178</f>
        <v>0</v>
      </c>
      <c r="K178" s="52" t="n">
        <f aca="false">-D178*LN(F178)-(1-D178)*LN(1-F178)</f>
        <v>0.686144229978235</v>
      </c>
    </row>
    <row r="179" customFormat="false" ht="15" hidden="false" customHeight="true" outlineLevel="0" collapsed="false">
      <c r="A179" s="50" t="str">
        <f aca="false">01_Data!A15</f>
        <v>S10</v>
      </c>
      <c r="B179" s="51" t="n">
        <f aca="false">01_Data!F15</f>
        <v>0</v>
      </c>
      <c r="C179" s="51" t="n">
        <f aca="false">01_Data!G15</f>
        <v>0.2</v>
      </c>
      <c r="D179" s="51" t="n">
        <f aca="false">01_Data!D15</f>
        <v>1</v>
      </c>
      <c r="E179" s="52" t="n">
        <f aca="false">$D$168 + $F$168*B179 + $H$168*C179</f>
        <v>0.22028113417242</v>
      </c>
      <c r="F179" s="52" t="n">
        <f aca="false">1/(1+EXP(-E179))</f>
        <v>0.55484867396301</v>
      </c>
      <c r="G179" s="52" t="n">
        <f aca="false">F179-D179</f>
        <v>-0.44515132603699</v>
      </c>
      <c r="H179" s="52" t="n">
        <f aca="false">G179</f>
        <v>-0.44515132603699</v>
      </c>
      <c r="I179" s="52" t="n">
        <f aca="false">G179*B179</f>
        <v>-0</v>
      </c>
      <c r="J179" s="52" t="n">
        <f aca="false">G179*C179</f>
        <v>-0.089030265207398</v>
      </c>
      <c r="K179" s="52" t="n">
        <f aca="false">-D179*LN(F179)-(1-D179)*LN(1-F179)</f>
        <v>0.589059861940178</v>
      </c>
    </row>
    <row r="180" customFormat="false" ht="15" hidden="false" customHeight="true" outlineLevel="0" collapsed="false">
      <c r="A180" s="50" t="str">
        <f aca="false">01_Data!A16</f>
        <v>S11</v>
      </c>
      <c r="B180" s="51" t="n">
        <f aca="false">01_Data!F16</f>
        <v>0.2</v>
      </c>
      <c r="C180" s="51" t="n">
        <f aca="false">01_Data!G16</f>
        <v>0.466666666666667</v>
      </c>
      <c r="D180" s="51" t="n">
        <f aca="false">01_Data!D16</f>
        <v>1</v>
      </c>
      <c r="E180" s="52" t="n">
        <f aca="false">$D$168 + $F$168*B180 + $H$168*C180</f>
        <v>0.496084030683536</v>
      </c>
      <c r="F180" s="52" t="n">
        <f aca="false">1/(1+EXP(-E180))</f>
        <v>0.621538623529604</v>
      </c>
      <c r="G180" s="52" t="n">
        <f aca="false">F180-D180</f>
        <v>-0.378461376470396</v>
      </c>
      <c r="H180" s="52" t="n">
        <f aca="false">G180</f>
        <v>-0.378461376470396</v>
      </c>
      <c r="I180" s="52" t="n">
        <f aca="false">G180*B180</f>
        <v>-0.0756922752940792</v>
      </c>
      <c r="J180" s="52" t="n">
        <f aca="false">G180*C180</f>
        <v>-0.176615309019518</v>
      </c>
      <c r="K180" s="52" t="n">
        <f aca="false">-D180*LN(F180)-(1-D180)*LN(1-F180)</f>
        <v>0.475557224299253</v>
      </c>
    </row>
    <row r="181" customFormat="false" ht="15" hidden="false" customHeight="true" outlineLevel="0" collapsed="false">
      <c r="A181" s="50" t="str">
        <f aca="false">01_Data!A17</f>
        <v>S12</v>
      </c>
      <c r="B181" s="51" t="n">
        <f aca="false">01_Data!F17</f>
        <v>0.4</v>
      </c>
      <c r="C181" s="51" t="n">
        <f aca="false">01_Data!G17</f>
        <v>0.333333333333333</v>
      </c>
      <c r="D181" s="51" t="n">
        <f aca="false">01_Data!D17</f>
        <v>1</v>
      </c>
      <c r="E181" s="52" t="n">
        <f aca="false">$D$168 + $F$168*B181 + $H$168*C181</f>
        <v>0.52308808440783</v>
      </c>
      <c r="F181" s="52" t="n">
        <f aca="false">1/(1+EXP(-E181))</f>
        <v>0.627869579741708</v>
      </c>
      <c r="G181" s="52" t="n">
        <f aca="false">F181-D181</f>
        <v>-0.372130420258292</v>
      </c>
      <c r="H181" s="52" t="n">
        <f aca="false">G181</f>
        <v>-0.372130420258292</v>
      </c>
      <c r="I181" s="52" t="n">
        <f aca="false">G181*B181</f>
        <v>-0.148852168103317</v>
      </c>
      <c r="J181" s="52" t="n">
        <f aca="false">G181*C181</f>
        <v>-0.124043473419431</v>
      </c>
      <c r="K181" s="52" t="n">
        <f aca="false">-D181*LN(F181)-(1-D181)*LN(1-F181)</f>
        <v>0.465422809652025</v>
      </c>
    </row>
    <row r="182" customFormat="false" ht="15" hidden="false" customHeight="true" outlineLevel="0" collapsed="false">
      <c r="A182" s="50" t="str">
        <f aca="false">01_Data!A18</f>
        <v>S13</v>
      </c>
      <c r="B182" s="51" t="n">
        <f aca="false">01_Data!F18</f>
        <v>0.6</v>
      </c>
      <c r="C182" s="51" t="n">
        <f aca="false">01_Data!G18</f>
        <v>0.666666666666667</v>
      </c>
      <c r="D182" s="51" t="n">
        <f aca="false">01_Data!D18</f>
        <v>1</v>
      </c>
      <c r="E182" s="52" t="n">
        <f aca="false">$D$168 + $F$168*B182 + $H$168*C182</f>
        <v>0.840357454716749</v>
      </c>
      <c r="F182" s="52" t="n">
        <f aca="false">1/(1+EXP(-E182))</f>
        <v>0.69854049475611</v>
      </c>
      <c r="G182" s="52" t="n">
        <f aca="false">F182-D182</f>
        <v>-0.301459505243891</v>
      </c>
      <c r="H182" s="52" t="n">
        <f aca="false">G182</f>
        <v>-0.301459505243891</v>
      </c>
      <c r="I182" s="52" t="n">
        <f aca="false">G182*B182</f>
        <v>-0.180875703146334</v>
      </c>
      <c r="J182" s="52" t="n">
        <f aca="false">G182*C182</f>
        <v>-0.200973003495927</v>
      </c>
      <c r="K182" s="52" t="n">
        <f aca="false">-D182*LN(F182)-(1-D182)*LN(1-F182)</f>
        <v>0.35876212808421</v>
      </c>
    </row>
    <row r="183" customFormat="false" ht="15" hidden="false" customHeight="true" outlineLevel="0" collapsed="false">
      <c r="A183" s="50" t="str">
        <f aca="false">01_Data!A19</f>
        <v>S14</v>
      </c>
      <c r="B183" s="51" t="n">
        <f aca="false">01_Data!F19</f>
        <v>0.8</v>
      </c>
      <c r="C183" s="51" t="n">
        <f aca="false">01_Data!G19</f>
        <v>0.866666666666667</v>
      </c>
      <c r="D183" s="51" t="n">
        <f aca="false">01_Data!D19</f>
        <v>1</v>
      </c>
      <c r="E183" s="52" t="n">
        <f aca="false">$D$168 + $F$168*B183 + $H$168*C183</f>
        <v>1.07469387743006</v>
      </c>
      <c r="F183" s="52" t="n">
        <f aca="false">1/(1+EXP(-E183))</f>
        <v>0.745488536209685</v>
      </c>
      <c r="G183" s="52" t="n">
        <f aca="false">F183-D183</f>
        <v>-0.254511463790315</v>
      </c>
      <c r="H183" s="52" t="n">
        <f aca="false">G183</f>
        <v>-0.254511463790315</v>
      </c>
      <c r="I183" s="52" t="n">
        <f aca="false">G183*B183</f>
        <v>-0.203609171032252</v>
      </c>
      <c r="J183" s="52" t="n">
        <f aca="false">G183*C183</f>
        <v>-0.220576601951606</v>
      </c>
      <c r="K183" s="52" t="n">
        <f aca="false">-D183*LN(F183)-(1-D183)*LN(1-F183)</f>
        <v>0.293715522213235</v>
      </c>
    </row>
    <row r="184" customFormat="false" ht="15" hidden="false" customHeight="true" outlineLevel="0" collapsed="false">
      <c r="A184" s="50" t="str">
        <f aca="false">01_Data!A20</f>
        <v>S15</v>
      </c>
      <c r="B184" s="51" t="n">
        <f aca="false">01_Data!F20</f>
        <v>1</v>
      </c>
      <c r="C184" s="51" t="n">
        <f aca="false">01_Data!G20</f>
        <v>1.13333333333333</v>
      </c>
      <c r="D184" s="51" t="n">
        <f aca="false">01_Data!D20</f>
        <v>1</v>
      </c>
      <c r="E184" s="52" t="n">
        <f aca="false">$D$168 + $F$168*B184 + $H$168*C184</f>
        <v>1.35049677394118</v>
      </c>
      <c r="F184" s="52" t="n">
        <f aca="false">1/(1+EXP(-E184))</f>
        <v>0.794210832791869</v>
      </c>
      <c r="G184" s="52" t="n">
        <f aca="false">F184-D184</f>
        <v>-0.205789167208131</v>
      </c>
      <c r="H184" s="52" t="n">
        <f aca="false">G184</f>
        <v>-0.205789167208131</v>
      </c>
      <c r="I184" s="52" t="n">
        <f aca="false">G184*B184</f>
        <v>-0.205789167208131</v>
      </c>
      <c r="J184" s="52" t="n">
        <f aca="false">G184*C184</f>
        <v>-0.233227722835882</v>
      </c>
      <c r="K184" s="52" t="n">
        <f aca="false">-D184*LN(F184)-(1-D184)*LN(1-F184)</f>
        <v>0.230406320499049</v>
      </c>
    </row>
    <row r="185" customFormat="false" ht="15" hidden="false" customHeight="true" outlineLevel="0" collapsed="false">
      <c r="A185" s="50" t="str">
        <f aca="false">01_Data!A21</f>
        <v>S16</v>
      </c>
      <c r="B185" s="51" t="n">
        <f aca="false">01_Data!F21</f>
        <v>1.2</v>
      </c>
      <c r="C185" s="51" t="n">
        <f aca="false">01_Data!G21</f>
        <v>1</v>
      </c>
      <c r="D185" s="51" t="n">
        <f aca="false">01_Data!D21</f>
        <v>1</v>
      </c>
      <c r="E185" s="52" t="n">
        <f aca="false">$D$168 + $F$168*B185 + $H$168*C185</f>
        <v>1.37750082766547</v>
      </c>
      <c r="F185" s="52" t="n">
        <f aca="false">1/(1+EXP(-E185))</f>
        <v>0.798589322284976</v>
      </c>
      <c r="G185" s="52" t="n">
        <f aca="false">F185-D185</f>
        <v>-0.201410677715024</v>
      </c>
      <c r="H185" s="52" t="n">
        <f aca="false">G185</f>
        <v>-0.201410677715024</v>
      </c>
      <c r="I185" s="52" t="n">
        <f aca="false">G185*B185</f>
        <v>-0.241692813258029</v>
      </c>
      <c r="J185" s="52" t="n">
        <f aca="false">G185*C185</f>
        <v>-0.201410677715024</v>
      </c>
      <c r="K185" s="52" t="n">
        <f aca="false">-D185*LN(F185)-(1-D185)*LN(1-F185)</f>
        <v>0.224908454984631</v>
      </c>
    </row>
    <row r="186" customFormat="false" ht="15" hidden="false" customHeight="true" outlineLevel="0" collapsed="false">
      <c r="A186" s="50" t="str">
        <f aca="false">01_Data!A22</f>
        <v>S17</v>
      </c>
      <c r="B186" s="51" t="n">
        <f aca="false">01_Data!F22</f>
        <v>1.6</v>
      </c>
      <c r="C186" s="51" t="n">
        <f aca="false">01_Data!G22</f>
        <v>1.4</v>
      </c>
      <c r="D186" s="51" t="n">
        <f aca="false">01_Data!D22</f>
        <v>1</v>
      </c>
      <c r="E186" s="52" t="n">
        <f aca="false">$D$168 + $F$168*B186 + $H$168*C186</f>
        <v>1.8461736730921</v>
      </c>
      <c r="F186" s="52" t="n">
        <f aca="false">1/(1+EXP(-E186))</f>
        <v>0.863677222133184</v>
      </c>
      <c r="G186" s="52" t="n">
        <f aca="false">F186-D186</f>
        <v>-0.136322777866816</v>
      </c>
      <c r="H186" s="52" t="n">
        <f aca="false">G186</f>
        <v>-0.136322777866816</v>
      </c>
      <c r="I186" s="52" t="n">
        <f aca="false">G186*B186</f>
        <v>-0.218116444586905</v>
      </c>
      <c r="J186" s="52" t="n">
        <f aca="false">G186*C186</f>
        <v>-0.190851889013542</v>
      </c>
      <c r="K186" s="52" t="n">
        <f aca="false">-D186*LN(F186)-(1-D186)*LN(1-F186)</f>
        <v>0.146556165472527</v>
      </c>
    </row>
    <row r="187" customFormat="false" ht="15" hidden="false" customHeight="true" outlineLevel="0" collapsed="false">
      <c r="A187" s="50" t="str">
        <f aca="false">01_Data!A23</f>
        <v>S18</v>
      </c>
      <c r="B187" s="51" t="n">
        <f aca="false">01_Data!F23</f>
        <v>-0.6</v>
      </c>
      <c r="C187" s="51" t="n">
        <f aca="false">01_Data!G23</f>
        <v>0.866666666666667</v>
      </c>
      <c r="D187" s="51" t="n">
        <f aca="false">01_Data!D23</f>
        <v>1</v>
      </c>
      <c r="E187" s="52" t="n">
        <f aca="false">$D$168 + $F$168*B187 + $H$168*C187</f>
        <v>0.305134868190754</v>
      </c>
      <c r="F187" s="52" t="n">
        <f aca="false">1/(1+EXP(-E187))</f>
        <v>0.575697295620926</v>
      </c>
      <c r="G187" s="52" t="n">
        <f aca="false">F187-D187</f>
        <v>-0.424302704379074</v>
      </c>
      <c r="H187" s="52" t="n">
        <f aca="false">G187</f>
        <v>-0.424302704379074</v>
      </c>
      <c r="I187" s="52" t="n">
        <f aca="false">G187*B187</f>
        <v>0.254581622627445</v>
      </c>
      <c r="J187" s="52" t="n">
        <f aca="false">G187*C187</f>
        <v>-0.367729010461864</v>
      </c>
      <c r="K187" s="52" t="n">
        <f aca="false">-D187*LN(F187)-(1-D187)*LN(1-F187)</f>
        <v>0.552173284860606</v>
      </c>
    </row>
    <row r="188" customFormat="false" ht="15" hidden="false" customHeight="true" outlineLevel="0" collapsed="false">
      <c r="A188" s="50" t="str">
        <f aca="false">01_Data!A24</f>
        <v>S19</v>
      </c>
      <c r="B188" s="51" t="n">
        <f aca="false">01_Data!F24</f>
        <v>0.6</v>
      </c>
      <c r="C188" s="51" t="n">
        <f aca="false">01_Data!G24</f>
        <v>-0.866666666666667</v>
      </c>
      <c r="D188" s="51" t="n">
        <f aca="false">01_Data!D24</f>
        <v>0</v>
      </c>
      <c r="E188" s="52" t="n">
        <f aca="false">$D$168 + $F$168*B188 + $H$168*C188</f>
        <v>-0.113371442632737</v>
      </c>
      <c r="F188" s="52" t="n">
        <f aca="false">1/(1+EXP(-E188))</f>
        <v>0.47168745813749</v>
      </c>
      <c r="G188" s="52" t="n">
        <f aca="false">F188-D188</f>
        <v>0.47168745813749</v>
      </c>
      <c r="H188" s="52" t="n">
        <f aca="false">G188</f>
        <v>0.47168745813749</v>
      </c>
      <c r="I188" s="52" t="n">
        <f aca="false">G188*B188</f>
        <v>0.283012474882494</v>
      </c>
      <c r="J188" s="52" t="n">
        <f aca="false">G188*C188</f>
        <v>-0.408795797052492</v>
      </c>
      <c r="K188" s="52" t="n">
        <f aca="false">-D188*LN(F188)-(1-D188)*LN(1-F188)</f>
        <v>0.638067235054835</v>
      </c>
    </row>
    <row r="189" customFormat="false" ht="15" hidden="false" customHeight="true" outlineLevel="0" collapsed="false">
      <c r="A189" s="50" t="str">
        <f aca="false">01_Data!A25</f>
        <v>S20</v>
      </c>
      <c r="B189" s="51" t="n">
        <f aca="false">01_Data!F25</f>
        <v>1.4</v>
      </c>
      <c r="C189" s="51" t="n">
        <f aca="false">01_Data!G25</f>
        <v>-0.333333333333333</v>
      </c>
      <c r="D189" s="51" t="n">
        <f aca="false">01_Data!D25</f>
        <v>1</v>
      </c>
      <c r="E189" s="52" t="n">
        <f aca="false">$D$168 + $F$168*B189 + $H$168*C189</f>
        <v>0.658108353029298</v>
      </c>
      <c r="F189" s="52" t="n">
        <f aca="false">1/(1+EXP(-E189))</f>
        <v>0.658835328270313</v>
      </c>
      <c r="G189" s="52" t="n">
        <f aca="false">F189-D189</f>
        <v>-0.341164671729687</v>
      </c>
      <c r="H189" s="52" t="n">
        <f aca="false">G189</f>
        <v>-0.341164671729687</v>
      </c>
      <c r="I189" s="52" t="n">
        <f aca="false">G189*B189</f>
        <v>-0.477630540421562</v>
      </c>
      <c r="J189" s="52" t="n">
        <f aca="false">G189*C189</f>
        <v>0.113721557243229</v>
      </c>
      <c r="K189" s="52" t="n">
        <f aca="false">-D189*LN(F189)-(1-D189)*LN(1-F189)</f>
        <v>0.417281656933807</v>
      </c>
    </row>
    <row r="190" customFormat="false" ht="15" hidden="false" customHeight="true" outlineLevel="0" collapsed="false">
      <c r="A190" s="53" t="s">
        <v>138</v>
      </c>
      <c r="B190" s="53"/>
      <c r="C190" s="53"/>
      <c r="D190" s="53"/>
      <c r="E190" s="53"/>
      <c r="F190" s="53"/>
      <c r="G190" s="53" t="s">
        <v>139</v>
      </c>
      <c r="H190" s="54" t="n">
        <f aca="false">AVERAGE(H170:H189)</f>
        <v>-0.0290022087130548</v>
      </c>
      <c r="I190" s="54" t="n">
        <f aca="false">AVERAGE(I170:I189)</f>
        <v>-0.143238935424697</v>
      </c>
      <c r="J190" s="54" t="n">
        <f aca="false">AVERAGE(J170:J189)</f>
        <v>-0.180872444747632</v>
      </c>
      <c r="K190" s="54" t="n">
        <f aca="false">AVERAGE(K170:K189)</f>
        <v>0.406912388541915</v>
      </c>
    </row>
    <row r="191" customFormat="false" ht="21.75" hidden="false" customHeight="true" outlineLevel="0" collapsed="false">
      <c r="A191" s="47" t="s">
        <v>140</v>
      </c>
      <c r="B191" s="47"/>
      <c r="C191" s="47" t="s">
        <v>141</v>
      </c>
      <c r="D191" s="55" t="n">
        <f aca="false">$D$168 - $B$4*H190</f>
        <v>0.10748259626423</v>
      </c>
      <c r="E191" s="47" t="s">
        <v>142</v>
      </c>
      <c r="F191" s="55" t="n">
        <f aca="false">$F$168 - $B$4*I190</f>
        <v>0.606980580769384</v>
      </c>
      <c r="G191" s="47" t="s">
        <v>143</v>
      </c>
      <c r="H191" s="55" t="n">
        <f aca="false">$H$168 - $B$4*J190</f>
        <v>0.694346084866109</v>
      </c>
      <c r="I191" s="48" t="s">
        <v>144</v>
      </c>
      <c r="J191" s="48"/>
      <c r="K191" s="48"/>
    </row>
    <row r="193" customFormat="false" ht="22.5" hidden="false" customHeight="true" outlineLevel="0" collapsed="false">
      <c r="A193" s="56" t="s">
        <v>151</v>
      </c>
      <c r="B193" s="56"/>
      <c r="C193" s="56"/>
      <c r="D193" s="56"/>
      <c r="E193" s="56"/>
      <c r="F193" s="56"/>
      <c r="G193" s="56"/>
      <c r="H193" s="56"/>
      <c r="I193" s="56"/>
      <c r="J193" s="56"/>
      <c r="K193" s="56"/>
    </row>
    <row r="194" customFormat="false" ht="15" hidden="false" customHeight="true" outlineLevel="0" collapsed="false">
      <c r="A194" s="47" t="s">
        <v>123</v>
      </c>
      <c r="B194" s="48" t="n">
        <v>8</v>
      </c>
      <c r="C194" s="47" t="s">
        <v>124</v>
      </c>
      <c r="D194" s="57" t="n">
        <f aca="false">IF(D191="","",D191)</f>
        <v>0.10748259626423</v>
      </c>
      <c r="E194" s="47" t="s">
        <v>125</v>
      </c>
      <c r="F194" s="57" t="n">
        <f aca="false">IF(F191="","",F191)</f>
        <v>0.606980580769384</v>
      </c>
      <c r="G194" s="47" t="s">
        <v>126</v>
      </c>
      <c r="H194" s="57" t="n">
        <f aca="false">IF(H191="","",H191)</f>
        <v>0.694346084866109</v>
      </c>
      <c r="I194" s="48" t="s">
        <v>127</v>
      </c>
      <c r="J194" s="48"/>
      <c r="K194" s="48"/>
    </row>
    <row r="195" customFormat="false" ht="33.75" hidden="false" customHeight="true" outlineLevel="0" collapsed="false">
      <c r="A195" s="18" t="s">
        <v>128</v>
      </c>
      <c r="B195" s="18" t="s">
        <v>129</v>
      </c>
      <c r="C195" s="18" t="s">
        <v>130</v>
      </c>
      <c r="D195" s="18" t="s">
        <v>131</v>
      </c>
      <c r="E195" s="18" t="s">
        <v>132</v>
      </c>
      <c r="F195" s="18" t="s">
        <v>133</v>
      </c>
      <c r="G195" s="18" t="s">
        <v>134</v>
      </c>
      <c r="H195" s="18" t="s">
        <v>135</v>
      </c>
      <c r="I195" s="18" t="s">
        <v>136</v>
      </c>
      <c r="J195" s="18" t="s">
        <v>137</v>
      </c>
      <c r="K195" s="18" t="s">
        <v>33</v>
      </c>
    </row>
    <row r="196" customFormat="false" ht="15" hidden="false" customHeight="true" outlineLevel="0" collapsed="false">
      <c r="A196" s="50" t="str">
        <f aca="false">01_Data!A6</f>
        <v>S01</v>
      </c>
      <c r="B196" s="51" t="n">
        <f aca="false">01_Data!F6</f>
        <v>-1.6</v>
      </c>
      <c r="C196" s="51" t="n">
        <f aca="false">01_Data!G6</f>
        <v>-1.66666666666667</v>
      </c>
      <c r="D196" s="51" t="n">
        <f aca="false">01_Data!D6</f>
        <v>0</v>
      </c>
      <c r="E196" s="52" t="n">
        <f aca="false">$D$194 + $F$194*B196 + $H$194*C196</f>
        <v>-2.02092980774363</v>
      </c>
      <c r="F196" s="52" t="n">
        <f aca="false">1/(1+EXP(-E196))</f>
        <v>0.117022880994539</v>
      </c>
      <c r="G196" s="52" t="n">
        <f aca="false">F196-D196</f>
        <v>0.117022880994539</v>
      </c>
      <c r="H196" s="52" t="n">
        <f aca="false">G196</f>
        <v>0.117022880994539</v>
      </c>
      <c r="I196" s="52" t="n">
        <f aca="false">G196*B196</f>
        <v>-0.187236609591262</v>
      </c>
      <c r="J196" s="52" t="n">
        <f aca="false">G196*C196</f>
        <v>-0.195038134990898</v>
      </c>
      <c r="K196" s="52" t="n">
        <f aca="false">-D196*LN(F196)-(1-D196)*LN(1-F196)</f>
        <v>0.124455991505017</v>
      </c>
    </row>
    <row r="197" customFormat="false" ht="15" hidden="false" customHeight="true" outlineLevel="0" collapsed="false">
      <c r="A197" s="50" t="str">
        <f aca="false">01_Data!A7</f>
        <v>S02</v>
      </c>
      <c r="B197" s="51" t="n">
        <f aca="false">01_Data!F7</f>
        <v>-1.2</v>
      </c>
      <c r="C197" s="51" t="n">
        <f aca="false">01_Data!G7</f>
        <v>-1.33333333333333</v>
      </c>
      <c r="D197" s="51" t="n">
        <f aca="false">01_Data!D7</f>
        <v>0</v>
      </c>
      <c r="E197" s="52" t="n">
        <f aca="false">$D$194 + $F$194*B197 + $H$194*C197</f>
        <v>-1.54668888048051</v>
      </c>
      <c r="F197" s="52" t="n">
        <f aca="false">1/(1+EXP(-E197))</f>
        <v>0.175565011296726</v>
      </c>
      <c r="G197" s="52" t="n">
        <f aca="false">F197-D197</f>
        <v>0.175565011296726</v>
      </c>
      <c r="H197" s="52" t="n">
        <f aca="false">G197</f>
        <v>0.175565011296726</v>
      </c>
      <c r="I197" s="52" t="n">
        <f aca="false">G197*B197</f>
        <v>-0.210678013556071</v>
      </c>
      <c r="J197" s="52" t="n">
        <f aca="false">G197*C197</f>
        <v>-0.234086681728968</v>
      </c>
      <c r="K197" s="52" t="n">
        <f aca="false">-D197*LN(F197)-(1-D197)*LN(1-F197)</f>
        <v>0.193056989450537</v>
      </c>
    </row>
    <row r="198" customFormat="false" ht="15" hidden="false" customHeight="true" outlineLevel="0" collapsed="false">
      <c r="A198" s="50" t="str">
        <f aca="false">01_Data!A8</f>
        <v>S03</v>
      </c>
      <c r="B198" s="51" t="n">
        <f aca="false">01_Data!F8</f>
        <v>-1.4</v>
      </c>
      <c r="C198" s="51" t="n">
        <f aca="false">01_Data!G8</f>
        <v>-0.666666666666667</v>
      </c>
      <c r="D198" s="51" t="n">
        <f aca="false">01_Data!D8</f>
        <v>0</v>
      </c>
      <c r="E198" s="52" t="n">
        <f aca="false">$D$194 + $F$194*B198 + $H$194*C198</f>
        <v>-1.20518760672365</v>
      </c>
      <c r="F198" s="52" t="n">
        <f aca="false">1/(1+EXP(-E198))</f>
        <v>0.230553655906084</v>
      </c>
      <c r="G198" s="52" t="n">
        <f aca="false">F198-D198</f>
        <v>0.230553655906084</v>
      </c>
      <c r="H198" s="52" t="n">
        <f aca="false">G198</f>
        <v>0.230553655906084</v>
      </c>
      <c r="I198" s="52" t="n">
        <f aca="false">G198*B198</f>
        <v>-0.322775118268518</v>
      </c>
      <c r="J198" s="52" t="n">
        <f aca="false">G198*C198</f>
        <v>-0.153702437270723</v>
      </c>
      <c r="K198" s="52" t="n">
        <f aca="false">-D198*LN(F198)-(1-D198)*LN(1-F198)</f>
        <v>0.262084056407346</v>
      </c>
    </row>
    <row r="199" customFormat="false" ht="15" hidden="false" customHeight="true" outlineLevel="0" collapsed="false">
      <c r="A199" s="50" t="str">
        <f aca="false">01_Data!A9</f>
        <v>S04</v>
      </c>
      <c r="B199" s="51" t="n">
        <f aca="false">01_Data!F9</f>
        <v>-1</v>
      </c>
      <c r="C199" s="51" t="n">
        <f aca="false">01_Data!G9</f>
        <v>-1</v>
      </c>
      <c r="D199" s="51" t="n">
        <f aca="false">01_Data!D9</f>
        <v>0</v>
      </c>
      <c r="E199" s="52" t="n">
        <f aca="false">$D$194 + $F$194*B199 + $H$194*C199</f>
        <v>-1.19384406937126</v>
      </c>
      <c r="F199" s="52" t="n">
        <f aca="false">1/(1+EXP(-E199))</f>
        <v>0.232572132096183</v>
      </c>
      <c r="G199" s="52" t="n">
        <f aca="false">F199-D199</f>
        <v>0.232572132096183</v>
      </c>
      <c r="H199" s="52" t="n">
        <f aca="false">G199</f>
        <v>0.232572132096183</v>
      </c>
      <c r="I199" s="52" t="n">
        <f aca="false">G199*B199</f>
        <v>-0.232572132096183</v>
      </c>
      <c r="J199" s="52" t="n">
        <f aca="false">G199*C199</f>
        <v>-0.232572132096183</v>
      </c>
      <c r="K199" s="52" t="n">
        <f aca="false">-D199*LN(F199)-(1-D199)*LN(1-F199)</f>
        <v>0.26471078712469</v>
      </c>
    </row>
    <row r="200" customFormat="false" ht="15" hidden="false" customHeight="true" outlineLevel="0" collapsed="false">
      <c r="A200" s="50" t="str">
        <f aca="false">01_Data!A10</f>
        <v>S05</v>
      </c>
      <c r="B200" s="51" t="n">
        <f aca="false">01_Data!F10</f>
        <v>-0.8</v>
      </c>
      <c r="C200" s="51" t="n">
        <f aca="false">01_Data!G10</f>
        <v>-0.333333333333333</v>
      </c>
      <c r="D200" s="51" t="n">
        <f aca="false">01_Data!D10</f>
        <v>0</v>
      </c>
      <c r="E200" s="52" t="n">
        <f aca="false">$D$194 + $F$194*B200 + $H$194*C200</f>
        <v>-0.609550563306647</v>
      </c>
      <c r="F200" s="52" t="n">
        <f aca="false">1/(1+EXP(-E200))</f>
        <v>0.352161727320531</v>
      </c>
      <c r="G200" s="52" t="n">
        <f aca="false">F200-D200</f>
        <v>0.352161727320531</v>
      </c>
      <c r="H200" s="52" t="n">
        <f aca="false">G200</f>
        <v>0.352161727320531</v>
      </c>
      <c r="I200" s="52" t="n">
        <f aca="false">G200*B200</f>
        <v>-0.281729381856425</v>
      </c>
      <c r="J200" s="52" t="n">
        <f aca="false">G200*C200</f>
        <v>-0.117387242440177</v>
      </c>
      <c r="K200" s="52" t="n">
        <f aca="false">-D200*LN(F200)-(1-D200)*LN(1-F200)</f>
        <v>0.434114192978283</v>
      </c>
    </row>
    <row r="201" customFormat="false" ht="15" hidden="false" customHeight="true" outlineLevel="0" collapsed="false">
      <c r="A201" s="50" t="str">
        <f aca="false">01_Data!A11</f>
        <v>S06</v>
      </c>
      <c r="B201" s="51" t="n">
        <f aca="false">01_Data!F11</f>
        <v>-0.6</v>
      </c>
      <c r="C201" s="51" t="n">
        <f aca="false">01_Data!G11</f>
        <v>-0.666666666666667</v>
      </c>
      <c r="D201" s="51" t="n">
        <f aca="false">01_Data!D11</f>
        <v>0</v>
      </c>
      <c r="E201" s="52" t="n">
        <f aca="false">$D$194 + $F$194*B201 + $H$194*C201</f>
        <v>-0.719603142108139</v>
      </c>
      <c r="F201" s="52" t="n">
        <f aca="false">1/(1+EXP(-E201))</f>
        <v>0.327480379731243</v>
      </c>
      <c r="G201" s="52" t="n">
        <f aca="false">F201-D201</f>
        <v>0.327480379731243</v>
      </c>
      <c r="H201" s="52" t="n">
        <f aca="false">G201</f>
        <v>0.327480379731243</v>
      </c>
      <c r="I201" s="52" t="n">
        <f aca="false">G201*B201</f>
        <v>-0.196488227838746</v>
      </c>
      <c r="J201" s="52" t="n">
        <f aca="false">G201*C201</f>
        <v>-0.218320253154162</v>
      </c>
      <c r="K201" s="52" t="n">
        <f aca="false">-D201*LN(F201)-(1-D201)*LN(1-F201)</f>
        <v>0.3967239928109</v>
      </c>
    </row>
    <row r="202" customFormat="false" ht="15" hidden="false" customHeight="true" outlineLevel="0" collapsed="false">
      <c r="A202" s="50" t="str">
        <f aca="false">01_Data!A12</f>
        <v>S07</v>
      </c>
      <c r="B202" s="51" t="n">
        <f aca="false">01_Data!F12</f>
        <v>-0.4</v>
      </c>
      <c r="C202" s="51" t="n">
        <f aca="false">01_Data!G12</f>
        <v>-0.2</v>
      </c>
      <c r="D202" s="51" t="n">
        <f aca="false">01_Data!D12</f>
        <v>0</v>
      </c>
      <c r="E202" s="52" t="n">
        <f aca="false">$D$194 + $F$194*B202 + $H$194*C202</f>
        <v>-0.274178853016745</v>
      </c>
      <c r="F202" s="52" t="n">
        <f aca="false">1/(1+EXP(-E202))</f>
        <v>0.431881481756397</v>
      </c>
      <c r="G202" s="52" t="n">
        <f aca="false">F202-D202</f>
        <v>0.431881481756397</v>
      </c>
      <c r="H202" s="52" t="n">
        <f aca="false">G202</f>
        <v>0.431881481756397</v>
      </c>
      <c r="I202" s="52" t="n">
        <f aca="false">G202*B202</f>
        <v>-0.172752592702559</v>
      </c>
      <c r="J202" s="52" t="n">
        <f aca="false">G202*C202</f>
        <v>-0.0863762963512794</v>
      </c>
      <c r="K202" s="52" t="n">
        <f aca="false">-D202*LN(F202)-(1-D202)*LN(1-F202)</f>
        <v>0.565425223147639</v>
      </c>
    </row>
    <row r="203" customFormat="false" ht="15" hidden="false" customHeight="true" outlineLevel="0" collapsed="false">
      <c r="A203" s="50" t="str">
        <f aca="false">01_Data!A13</f>
        <v>S08</v>
      </c>
      <c r="B203" s="51" t="n">
        <f aca="false">01_Data!F13</f>
        <v>-0.4</v>
      </c>
      <c r="C203" s="51" t="n">
        <f aca="false">01_Data!G13</f>
        <v>0.333333333333333</v>
      </c>
      <c r="D203" s="51" t="n">
        <f aca="false">01_Data!D13</f>
        <v>1</v>
      </c>
      <c r="E203" s="52" t="n">
        <f aca="false">$D$194 + $F$194*B203 + $H$194*C203</f>
        <v>0.0961390589118464</v>
      </c>
      <c r="F203" s="52" t="n">
        <f aca="false">1/(1+EXP(-E203))</f>
        <v>0.524016269608279</v>
      </c>
      <c r="G203" s="52" t="n">
        <f aca="false">F203-D203</f>
        <v>-0.475983730391721</v>
      </c>
      <c r="H203" s="52" t="n">
        <f aca="false">G203</f>
        <v>-0.475983730391721</v>
      </c>
      <c r="I203" s="52" t="n">
        <f aca="false">G203*B203</f>
        <v>0.190393492156689</v>
      </c>
      <c r="J203" s="52" t="n">
        <f aca="false">G203*C203</f>
        <v>-0.158661243463907</v>
      </c>
      <c r="K203" s="52" t="n">
        <f aca="false">-D203*LN(F203)-(1-D203)*LN(1-F203)</f>
        <v>0.64623254627234</v>
      </c>
    </row>
    <row r="204" customFormat="false" ht="15" hidden="false" customHeight="true" outlineLevel="0" collapsed="false">
      <c r="A204" s="50" t="str">
        <f aca="false">01_Data!A14</f>
        <v>S09</v>
      </c>
      <c r="B204" s="51" t="n">
        <f aca="false">01_Data!F14</f>
        <v>-0.2</v>
      </c>
      <c r="C204" s="51" t="n">
        <f aca="false">01_Data!G14</f>
        <v>0</v>
      </c>
      <c r="D204" s="51" t="n">
        <f aca="false">01_Data!D14</f>
        <v>0</v>
      </c>
      <c r="E204" s="52" t="n">
        <f aca="false">$D$194 + $F$194*B204 + $H$194*C204</f>
        <v>-0.0139135198896464</v>
      </c>
      <c r="F204" s="52" t="n">
        <f aca="false">1/(1+EXP(-E204))</f>
        <v>0.496521676140318</v>
      </c>
      <c r="G204" s="52" t="n">
        <f aca="false">F204-D204</f>
        <v>0.496521676140318</v>
      </c>
      <c r="H204" s="52" t="n">
        <f aca="false">G204</f>
        <v>0.496521676140318</v>
      </c>
      <c r="I204" s="52" t="n">
        <f aca="false">G204*B204</f>
        <v>-0.0993043352280636</v>
      </c>
      <c r="J204" s="52" t="n">
        <f aca="false">G204*C204</f>
        <v>0</v>
      </c>
      <c r="K204" s="52" t="n">
        <f aca="false">-D204*LN(F204)-(1-D204)*LN(1-F204)</f>
        <v>0.686214618674405</v>
      </c>
    </row>
    <row r="205" customFormat="false" ht="15" hidden="false" customHeight="true" outlineLevel="0" collapsed="false">
      <c r="A205" s="50" t="str">
        <f aca="false">01_Data!A15</f>
        <v>S10</v>
      </c>
      <c r="B205" s="51" t="n">
        <f aca="false">01_Data!F15</f>
        <v>0</v>
      </c>
      <c r="C205" s="51" t="n">
        <f aca="false">01_Data!G15</f>
        <v>0.2</v>
      </c>
      <c r="D205" s="51" t="n">
        <f aca="false">01_Data!D15</f>
        <v>1</v>
      </c>
      <c r="E205" s="52" t="n">
        <f aca="false">$D$194 + $F$194*B205 + $H$194*C205</f>
        <v>0.246351813237452</v>
      </c>
      <c r="F205" s="52" t="n">
        <f aca="false">1/(1+EXP(-E205))</f>
        <v>0.561278355051726</v>
      </c>
      <c r="G205" s="52" t="n">
        <f aca="false">F205-D205</f>
        <v>-0.438721644948274</v>
      </c>
      <c r="H205" s="52" t="n">
        <f aca="false">G205</f>
        <v>-0.438721644948274</v>
      </c>
      <c r="I205" s="52" t="n">
        <f aca="false">G205*B205</f>
        <v>-0</v>
      </c>
      <c r="J205" s="52" t="n">
        <f aca="false">G205*C205</f>
        <v>-0.0877443289896549</v>
      </c>
      <c r="K205" s="52" t="n">
        <f aca="false">-D205*LN(F205)-(1-D205)*LN(1-F205)</f>
        <v>0.577538319951538</v>
      </c>
    </row>
    <row r="206" customFormat="false" ht="15" hidden="false" customHeight="true" outlineLevel="0" collapsed="false">
      <c r="A206" s="50" t="str">
        <f aca="false">01_Data!A16</f>
        <v>S11</v>
      </c>
      <c r="B206" s="51" t="n">
        <f aca="false">01_Data!F16</f>
        <v>0.2</v>
      </c>
      <c r="C206" s="51" t="n">
        <f aca="false">01_Data!G16</f>
        <v>0.466666666666667</v>
      </c>
      <c r="D206" s="51" t="n">
        <f aca="false">01_Data!D16</f>
        <v>1</v>
      </c>
      <c r="E206" s="52" t="n">
        <f aca="false">$D$194 + $F$194*B206 + $H$194*C206</f>
        <v>0.552906885355625</v>
      </c>
      <c r="F206" s="52" t="n">
        <f aca="false">1/(1+EXP(-E206))</f>
        <v>0.634809747291715</v>
      </c>
      <c r="G206" s="52" t="n">
        <f aca="false">F206-D206</f>
        <v>-0.365190252708285</v>
      </c>
      <c r="H206" s="52" t="n">
        <f aca="false">G206</f>
        <v>-0.365190252708285</v>
      </c>
      <c r="I206" s="52" t="n">
        <f aca="false">G206*B206</f>
        <v>-0.073038050541657</v>
      </c>
      <c r="J206" s="52" t="n">
        <f aca="false">G206*C206</f>
        <v>-0.170422117930533</v>
      </c>
      <c r="K206" s="52" t="n">
        <f aca="false">-D206*LN(F206)-(1-D206)*LN(1-F206)</f>
        <v>0.454429935545886</v>
      </c>
    </row>
    <row r="207" customFormat="false" ht="15" hidden="false" customHeight="true" outlineLevel="0" collapsed="false">
      <c r="A207" s="50" t="str">
        <f aca="false">01_Data!A17</f>
        <v>S12</v>
      </c>
      <c r="B207" s="51" t="n">
        <f aca="false">01_Data!F17</f>
        <v>0.4</v>
      </c>
      <c r="C207" s="51" t="n">
        <f aca="false">01_Data!G17</f>
        <v>0.333333333333333</v>
      </c>
      <c r="D207" s="51" t="n">
        <f aca="false">01_Data!D17</f>
        <v>1</v>
      </c>
      <c r="E207" s="52" t="n">
        <f aca="false">$D$194 + $F$194*B207 + $H$194*C207</f>
        <v>0.581723523527354</v>
      </c>
      <c r="F207" s="52" t="n">
        <f aca="false">1/(1+EXP(-E207))</f>
        <v>0.641463892578796</v>
      </c>
      <c r="G207" s="52" t="n">
        <f aca="false">F207-D207</f>
        <v>-0.358536107421204</v>
      </c>
      <c r="H207" s="52" t="n">
        <f aca="false">G207</f>
        <v>-0.358536107421204</v>
      </c>
      <c r="I207" s="52" t="n">
        <f aca="false">G207*B207</f>
        <v>-0.143414442968482</v>
      </c>
      <c r="J207" s="52" t="n">
        <f aca="false">G207*C207</f>
        <v>-0.119512035807068</v>
      </c>
      <c r="K207" s="52" t="n">
        <f aca="false">-D207*LN(F207)-(1-D207)*LN(1-F207)</f>
        <v>0.444002382436052</v>
      </c>
    </row>
    <row r="208" customFormat="false" ht="15" hidden="false" customHeight="true" outlineLevel="0" collapsed="false">
      <c r="A208" s="50" t="str">
        <f aca="false">01_Data!A18</f>
        <v>S13</v>
      </c>
      <c r="B208" s="51" t="n">
        <f aca="false">01_Data!F18</f>
        <v>0.6</v>
      </c>
      <c r="C208" s="51" t="n">
        <f aca="false">01_Data!G18</f>
        <v>0.666666666666667</v>
      </c>
      <c r="D208" s="51" t="n">
        <f aca="false">01_Data!D18</f>
        <v>1</v>
      </c>
      <c r="E208" s="52" t="n">
        <f aca="false">$D$194 + $F$194*B208 + $H$194*C208</f>
        <v>0.9345683346366</v>
      </c>
      <c r="F208" s="52" t="n">
        <f aca="false">1/(1+EXP(-E208))</f>
        <v>0.718001181755034</v>
      </c>
      <c r="G208" s="52" t="n">
        <f aca="false">F208-D208</f>
        <v>-0.281998818244966</v>
      </c>
      <c r="H208" s="52" t="n">
        <f aca="false">G208</f>
        <v>-0.281998818244966</v>
      </c>
      <c r="I208" s="52" t="n">
        <f aca="false">G208*B208</f>
        <v>-0.16919929094698</v>
      </c>
      <c r="J208" s="52" t="n">
        <f aca="false">G208*C208</f>
        <v>-0.187999212163311</v>
      </c>
      <c r="K208" s="52" t="n">
        <f aca="false">-D208*LN(F208)-(1-D208)*LN(1-F208)</f>
        <v>0.331284064036891</v>
      </c>
    </row>
    <row r="209" customFormat="false" ht="15" hidden="false" customHeight="true" outlineLevel="0" collapsed="false">
      <c r="A209" s="50" t="str">
        <f aca="false">01_Data!A19</f>
        <v>S14</v>
      </c>
      <c r="B209" s="51" t="n">
        <f aca="false">01_Data!F19</f>
        <v>0.8</v>
      </c>
      <c r="C209" s="51" t="n">
        <f aca="false">01_Data!G19</f>
        <v>0.866666666666667</v>
      </c>
      <c r="D209" s="51" t="n">
        <f aca="false">01_Data!D19</f>
        <v>1</v>
      </c>
      <c r="E209" s="52" t="n">
        <f aca="false">$D$194 + $F$194*B209 + $H$194*C209</f>
        <v>1.1948336677637</v>
      </c>
      <c r="F209" s="52" t="n">
        <f aca="false">1/(1+EXP(-E209))</f>
        <v>0.767604446990682</v>
      </c>
      <c r="G209" s="52" t="n">
        <f aca="false">F209-D209</f>
        <v>-0.232395553009318</v>
      </c>
      <c r="H209" s="52" t="n">
        <f aca="false">G209</f>
        <v>-0.232395553009318</v>
      </c>
      <c r="I209" s="52" t="n">
        <f aca="false">G209*B209</f>
        <v>-0.185916442407454</v>
      </c>
      <c r="J209" s="52" t="n">
        <f aca="false">G209*C209</f>
        <v>-0.201409479274742</v>
      </c>
      <c r="K209" s="52" t="n">
        <f aca="false">-D209*LN(F209)-(1-D209)*LN(1-F209)</f>
        <v>0.264480721495543</v>
      </c>
    </row>
    <row r="210" customFormat="false" ht="15" hidden="false" customHeight="true" outlineLevel="0" collapsed="false">
      <c r="A210" s="50" t="str">
        <f aca="false">01_Data!A20</f>
        <v>S15</v>
      </c>
      <c r="B210" s="51" t="n">
        <f aca="false">01_Data!F20</f>
        <v>1</v>
      </c>
      <c r="C210" s="51" t="n">
        <f aca="false">01_Data!G20</f>
        <v>1.13333333333333</v>
      </c>
      <c r="D210" s="51" t="n">
        <f aca="false">01_Data!D20</f>
        <v>1</v>
      </c>
      <c r="E210" s="52" t="n">
        <f aca="false">$D$194 + $F$194*B210 + $H$194*C210</f>
        <v>1.50138873988187</v>
      </c>
      <c r="F210" s="52" t="n">
        <f aca="false">1/(1+EXP(-E210))</f>
        <v>0.817781510478613</v>
      </c>
      <c r="G210" s="52" t="n">
        <f aca="false">F210-D210</f>
        <v>-0.182218489521388</v>
      </c>
      <c r="H210" s="52" t="n">
        <f aca="false">G210</f>
        <v>-0.182218489521388</v>
      </c>
      <c r="I210" s="52" t="n">
        <f aca="false">G210*B210</f>
        <v>-0.182218489521388</v>
      </c>
      <c r="J210" s="52" t="n">
        <f aca="false">G210*C210</f>
        <v>-0.206514288124239</v>
      </c>
      <c r="K210" s="52" t="n">
        <f aca="false">-D210*LN(F210)-(1-D210)*LN(1-F210)</f>
        <v>0.201160080161896</v>
      </c>
    </row>
    <row r="211" customFormat="false" ht="15" hidden="false" customHeight="true" outlineLevel="0" collapsed="false">
      <c r="A211" s="50" t="str">
        <f aca="false">01_Data!A21</f>
        <v>S16</v>
      </c>
      <c r="B211" s="51" t="n">
        <f aca="false">01_Data!F21</f>
        <v>1.2</v>
      </c>
      <c r="C211" s="51" t="n">
        <f aca="false">01_Data!G21</f>
        <v>1</v>
      </c>
      <c r="D211" s="51" t="n">
        <f aca="false">01_Data!D21</f>
        <v>1</v>
      </c>
      <c r="E211" s="52" t="n">
        <f aca="false">$D$194 + $F$194*B211 + $H$194*C211</f>
        <v>1.5302053780536</v>
      </c>
      <c r="F211" s="52" t="n">
        <f aca="false">1/(1+EXP(-E211))</f>
        <v>0.822036361486673</v>
      </c>
      <c r="G211" s="52" t="n">
        <f aca="false">F211-D211</f>
        <v>-0.177963638513327</v>
      </c>
      <c r="H211" s="52" t="n">
        <f aca="false">G211</f>
        <v>-0.177963638513327</v>
      </c>
      <c r="I211" s="52" t="n">
        <f aca="false">G211*B211</f>
        <v>-0.213556366215992</v>
      </c>
      <c r="J211" s="52" t="n">
        <f aca="false">G211*C211</f>
        <v>-0.177963638513327</v>
      </c>
      <c r="K211" s="52" t="n">
        <f aca="false">-D211*LN(F211)-(1-D211)*LN(1-F211)</f>
        <v>0.195970649519066</v>
      </c>
    </row>
    <row r="212" customFormat="false" ht="15" hidden="false" customHeight="true" outlineLevel="0" collapsed="false">
      <c r="A212" s="50" t="str">
        <f aca="false">01_Data!A22</f>
        <v>S17</v>
      </c>
      <c r="B212" s="51" t="n">
        <f aca="false">01_Data!F22</f>
        <v>1.6</v>
      </c>
      <c r="C212" s="51" t="n">
        <f aca="false">01_Data!G22</f>
        <v>1.4</v>
      </c>
      <c r="D212" s="51" t="n">
        <f aca="false">01_Data!D22</f>
        <v>1</v>
      </c>
      <c r="E212" s="52" t="n">
        <f aca="false">$D$194 + $F$194*B212 + $H$194*C212</f>
        <v>2.0507360443078</v>
      </c>
      <c r="F212" s="52" t="n">
        <f aca="false">1/(1+EXP(-E212))</f>
        <v>0.886021970776987</v>
      </c>
      <c r="G212" s="52" t="n">
        <f aca="false">F212-D212</f>
        <v>-0.113978029223013</v>
      </c>
      <c r="H212" s="52" t="n">
        <f aca="false">G212</f>
        <v>-0.113978029223013</v>
      </c>
      <c r="I212" s="52" t="n">
        <f aca="false">G212*B212</f>
        <v>-0.182364846756821</v>
      </c>
      <c r="J212" s="52" t="n">
        <f aca="false">G212*C212</f>
        <v>-0.159569240912219</v>
      </c>
      <c r="K212" s="52" t="n">
        <f aca="false">-D212*LN(F212)-(1-D212)*LN(1-F212)</f>
        <v>0.121013530967825</v>
      </c>
    </row>
    <row r="213" customFormat="false" ht="15" hidden="false" customHeight="true" outlineLevel="0" collapsed="false">
      <c r="A213" s="50" t="str">
        <f aca="false">01_Data!A23</f>
        <v>S18</v>
      </c>
      <c r="B213" s="51" t="n">
        <f aca="false">01_Data!F23</f>
        <v>-0.6</v>
      </c>
      <c r="C213" s="51" t="n">
        <f aca="false">01_Data!G23</f>
        <v>0.866666666666667</v>
      </c>
      <c r="D213" s="51" t="n">
        <f aca="false">01_Data!D23</f>
        <v>1</v>
      </c>
      <c r="E213" s="52" t="n">
        <f aca="false">$D$194 + $F$194*B213 + $H$194*C213</f>
        <v>0.345060854686561</v>
      </c>
      <c r="F213" s="52" t="n">
        <f aca="false">1/(1+EXP(-E213))</f>
        <v>0.58541933885388</v>
      </c>
      <c r="G213" s="52" t="n">
        <f aca="false">F213-D213</f>
        <v>-0.41458066114612</v>
      </c>
      <c r="H213" s="52" t="n">
        <f aca="false">G213</f>
        <v>-0.41458066114612</v>
      </c>
      <c r="I213" s="52" t="n">
        <f aca="false">G213*B213</f>
        <v>0.248748396687672</v>
      </c>
      <c r="J213" s="52" t="n">
        <f aca="false">G213*C213</f>
        <v>-0.359303239659971</v>
      </c>
      <c r="K213" s="52" t="n">
        <f aca="false">-D213*LN(F213)-(1-D213)*LN(1-F213)</f>
        <v>0.535426869988351</v>
      </c>
    </row>
    <row r="214" customFormat="false" ht="15" hidden="false" customHeight="true" outlineLevel="0" collapsed="false">
      <c r="A214" s="50" t="str">
        <f aca="false">01_Data!A24</f>
        <v>S19</v>
      </c>
      <c r="B214" s="51" t="n">
        <f aca="false">01_Data!F24</f>
        <v>0.6</v>
      </c>
      <c r="C214" s="51" t="n">
        <f aca="false">01_Data!G24</f>
        <v>-0.866666666666667</v>
      </c>
      <c r="D214" s="51" t="n">
        <f aca="false">01_Data!D24</f>
        <v>0</v>
      </c>
      <c r="E214" s="52" t="n">
        <f aca="false">$D$194 + $F$194*B214 + $H$194*C214</f>
        <v>-0.1300956621581</v>
      </c>
      <c r="F214" s="52" t="n">
        <f aca="false">1/(1+EXP(-E214))</f>
        <v>0.46752187890634</v>
      </c>
      <c r="G214" s="52" t="n">
        <f aca="false">F214-D214</f>
        <v>0.46752187890634</v>
      </c>
      <c r="H214" s="52" t="n">
        <f aca="false">G214</f>
        <v>0.46752187890634</v>
      </c>
      <c r="I214" s="52" t="n">
        <f aca="false">G214*B214</f>
        <v>0.280513127343804</v>
      </c>
      <c r="J214" s="52" t="n">
        <f aca="false">G214*C214</f>
        <v>-0.405185628385495</v>
      </c>
      <c r="K214" s="52" t="n">
        <f aca="false">-D214*LN(F214)-(1-D214)*LN(1-F214)</f>
        <v>0.630213469390714</v>
      </c>
    </row>
    <row r="215" customFormat="false" ht="15" hidden="false" customHeight="true" outlineLevel="0" collapsed="false">
      <c r="A215" s="50" t="str">
        <f aca="false">01_Data!A25</f>
        <v>S20</v>
      </c>
      <c r="B215" s="51" t="n">
        <f aca="false">01_Data!F25</f>
        <v>1.4</v>
      </c>
      <c r="C215" s="51" t="n">
        <f aca="false">01_Data!G25</f>
        <v>-0.333333333333333</v>
      </c>
      <c r="D215" s="51" t="n">
        <f aca="false">01_Data!D25</f>
        <v>1</v>
      </c>
      <c r="E215" s="52" t="n">
        <f aca="false">$D$194 + $F$194*B215 + $H$194*C215</f>
        <v>0.725806714385999</v>
      </c>
      <c r="F215" s="52" t="n">
        <f aca="false">1/(1+EXP(-E215))</f>
        <v>0.673884411268289</v>
      </c>
      <c r="G215" s="52" t="n">
        <f aca="false">F215-D215</f>
        <v>-0.326115588731711</v>
      </c>
      <c r="H215" s="52" t="n">
        <f aca="false">G215</f>
        <v>-0.326115588731711</v>
      </c>
      <c r="I215" s="52" t="n">
        <f aca="false">G215*B215</f>
        <v>-0.456561824224395</v>
      </c>
      <c r="J215" s="52" t="n">
        <f aca="false">G215*C215</f>
        <v>0.108705196243904</v>
      </c>
      <c r="K215" s="52" t="n">
        <f aca="false">-D215*LN(F215)-(1-D215)*LN(1-F215)</f>
        <v>0.394696679411645</v>
      </c>
    </row>
    <row r="216" customFormat="false" ht="15" hidden="false" customHeight="true" outlineLevel="0" collapsed="false">
      <c r="A216" s="53" t="s">
        <v>138</v>
      </c>
      <c r="B216" s="53"/>
      <c r="C216" s="53"/>
      <c r="D216" s="53"/>
      <c r="E216" s="53"/>
      <c r="F216" s="53"/>
      <c r="G216" s="53" t="s">
        <v>139</v>
      </c>
      <c r="H216" s="54" t="n">
        <f aca="false">AVERAGE(H196:H215)</f>
        <v>-0.0268200844855483</v>
      </c>
      <c r="I216" s="54" t="n">
        <f aca="false">AVERAGE(I196:I215)</f>
        <v>-0.129507557426642</v>
      </c>
      <c r="J216" s="54" t="n">
        <f aca="false">AVERAGE(J196:J215)</f>
        <v>-0.168153121750648</v>
      </c>
      <c r="K216" s="54" t="n">
        <f aca="false">AVERAGE(K196:K215)</f>
        <v>0.386161755063828</v>
      </c>
    </row>
    <row r="217" customFormat="false" ht="21.75" hidden="false" customHeight="true" outlineLevel="0" collapsed="false">
      <c r="A217" s="47" t="s">
        <v>140</v>
      </c>
      <c r="B217" s="47"/>
      <c r="C217" s="47" t="s">
        <v>141</v>
      </c>
      <c r="D217" s="55" t="n">
        <f aca="false">$D$194 - $B$4*H216</f>
        <v>0.11821063005845</v>
      </c>
      <c r="E217" s="47" t="s">
        <v>142</v>
      </c>
      <c r="F217" s="55" t="n">
        <f aca="false">$F$194 - $B$4*I216</f>
        <v>0.658783603740041</v>
      </c>
      <c r="G217" s="47" t="s">
        <v>143</v>
      </c>
      <c r="H217" s="55" t="n">
        <f aca="false">$H$194 - $B$4*J216</f>
        <v>0.761607333566368</v>
      </c>
      <c r="I217" s="48" t="s">
        <v>144</v>
      </c>
      <c r="J217" s="48"/>
      <c r="K217" s="48"/>
    </row>
    <row r="219" customFormat="false" ht="22.5" hidden="false" customHeight="true" outlineLevel="0" collapsed="false">
      <c r="A219" s="4" t="s">
        <v>152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customFormat="false" ht="15" hidden="false" customHeight="true" outlineLevel="0" collapsed="false">
      <c r="A220" s="47" t="s">
        <v>123</v>
      </c>
      <c r="B220" s="48" t="n">
        <v>9</v>
      </c>
      <c r="C220" s="47" t="s">
        <v>124</v>
      </c>
      <c r="D220" s="57" t="n">
        <f aca="false">IF(D217="","",D217)</f>
        <v>0.11821063005845</v>
      </c>
      <c r="E220" s="47" t="s">
        <v>125</v>
      </c>
      <c r="F220" s="57" t="n">
        <f aca="false">IF(F217="","",F217)</f>
        <v>0.658783603740041</v>
      </c>
      <c r="G220" s="47" t="s">
        <v>126</v>
      </c>
      <c r="H220" s="57" t="n">
        <f aca="false">IF(H217="","",H217)</f>
        <v>0.761607333566368</v>
      </c>
      <c r="I220" s="48" t="s">
        <v>127</v>
      </c>
      <c r="J220" s="48"/>
      <c r="K220" s="48"/>
    </row>
    <row r="221" customFormat="false" ht="33.75" hidden="false" customHeight="true" outlineLevel="0" collapsed="false">
      <c r="A221" s="18" t="s">
        <v>128</v>
      </c>
      <c r="B221" s="18" t="s">
        <v>129</v>
      </c>
      <c r="C221" s="18" t="s">
        <v>130</v>
      </c>
      <c r="D221" s="18" t="s">
        <v>131</v>
      </c>
      <c r="E221" s="18" t="s">
        <v>132</v>
      </c>
      <c r="F221" s="18" t="s">
        <v>133</v>
      </c>
      <c r="G221" s="18" t="s">
        <v>134</v>
      </c>
      <c r="H221" s="18" t="s">
        <v>135</v>
      </c>
      <c r="I221" s="18" t="s">
        <v>136</v>
      </c>
      <c r="J221" s="18" t="s">
        <v>137</v>
      </c>
      <c r="K221" s="18" t="s">
        <v>33</v>
      </c>
    </row>
    <row r="222" customFormat="false" ht="15" hidden="false" customHeight="true" outlineLevel="0" collapsed="false">
      <c r="A222" s="50" t="str">
        <f aca="false">01_Data!A6</f>
        <v>S01</v>
      </c>
      <c r="B222" s="51" t="n">
        <f aca="false">01_Data!F6</f>
        <v>-1.6</v>
      </c>
      <c r="C222" s="51" t="n">
        <f aca="false">01_Data!G6</f>
        <v>-1.66666666666667</v>
      </c>
      <c r="D222" s="51" t="n">
        <f aca="false">01_Data!D6</f>
        <v>0</v>
      </c>
      <c r="E222" s="52" t="n">
        <f aca="false">$D$220 + $F$220*B222 + $H$220*C222</f>
        <v>-2.20518869186956</v>
      </c>
      <c r="F222" s="52" t="n">
        <f aca="false">1/(1+EXP(-E222))</f>
        <v>0.09928550958191</v>
      </c>
      <c r="G222" s="52" t="n">
        <f aca="false">F222-D222</f>
        <v>0.09928550958191</v>
      </c>
      <c r="H222" s="52" t="n">
        <f aca="false">G222</f>
        <v>0.09928550958191</v>
      </c>
      <c r="I222" s="52" t="n">
        <f aca="false">G222*B222</f>
        <v>-0.158856815331056</v>
      </c>
      <c r="J222" s="52" t="n">
        <f aca="false">G222*C222</f>
        <v>-0.165475849303183</v>
      </c>
      <c r="K222" s="52" t="n">
        <f aca="false">-D222*LN(F222)-(1-D222)*LN(1-F222)</f>
        <v>0.104566952370156</v>
      </c>
    </row>
    <row r="223" customFormat="false" ht="15" hidden="false" customHeight="true" outlineLevel="0" collapsed="false">
      <c r="A223" s="50" t="str">
        <f aca="false">01_Data!A7</f>
        <v>S02</v>
      </c>
      <c r="B223" s="51" t="n">
        <f aca="false">01_Data!F7</f>
        <v>-1.2</v>
      </c>
      <c r="C223" s="51" t="n">
        <f aca="false">01_Data!G7</f>
        <v>-1.33333333333333</v>
      </c>
      <c r="D223" s="51" t="n">
        <f aca="false">01_Data!D7</f>
        <v>0</v>
      </c>
      <c r="E223" s="52" t="n">
        <f aca="false">$D$220 + $F$220*B223 + $H$220*C223</f>
        <v>-1.68780613918476</v>
      </c>
      <c r="F223" s="52" t="n">
        <f aca="false">1/(1+EXP(-E223))</f>
        <v>0.156064572091069</v>
      </c>
      <c r="G223" s="52" t="n">
        <f aca="false">F223-D223</f>
        <v>0.156064572091069</v>
      </c>
      <c r="H223" s="52" t="n">
        <f aca="false">G223</f>
        <v>0.156064572091069</v>
      </c>
      <c r="I223" s="52" t="n">
        <f aca="false">G223*B223</f>
        <v>-0.187277486509283</v>
      </c>
      <c r="J223" s="52" t="n">
        <f aca="false">G223*C223</f>
        <v>-0.208086096121425</v>
      </c>
      <c r="K223" s="52" t="n">
        <f aca="false">-D223*LN(F223)-(1-D223)*LN(1-F223)</f>
        <v>0.169679294529912</v>
      </c>
    </row>
    <row r="224" customFormat="false" ht="15" hidden="false" customHeight="true" outlineLevel="0" collapsed="false">
      <c r="A224" s="50" t="str">
        <f aca="false">01_Data!A8</f>
        <v>S03</v>
      </c>
      <c r="B224" s="51" t="n">
        <f aca="false">01_Data!F8</f>
        <v>-1.4</v>
      </c>
      <c r="C224" s="51" t="n">
        <f aca="false">01_Data!G8</f>
        <v>-0.666666666666667</v>
      </c>
      <c r="D224" s="51" t="n">
        <f aca="false">01_Data!D8</f>
        <v>0</v>
      </c>
      <c r="E224" s="52" t="n">
        <f aca="false">$D$220 + $F$220*B224 + $H$220*C224</f>
        <v>-1.31182463755519</v>
      </c>
      <c r="F224" s="52" t="n">
        <f aca="false">1/(1+EXP(-E224))</f>
        <v>0.212181676412562</v>
      </c>
      <c r="G224" s="52" t="n">
        <f aca="false">F224-D224</f>
        <v>0.212181676412562</v>
      </c>
      <c r="H224" s="52" t="n">
        <f aca="false">G224</f>
        <v>0.212181676412562</v>
      </c>
      <c r="I224" s="52" t="n">
        <f aca="false">G224*B224</f>
        <v>-0.297054346977586</v>
      </c>
      <c r="J224" s="52" t="n">
        <f aca="false">G224*C224</f>
        <v>-0.141454450941708</v>
      </c>
      <c r="K224" s="52" t="n">
        <f aca="false">-D224*LN(F224)-(1-D224)*LN(1-F224)</f>
        <v>0.238487769528924</v>
      </c>
    </row>
    <row r="225" customFormat="false" ht="15" hidden="false" customHeight="true" outlineLevel="0" collapsed="false">
      <c r="A225" s="50" t="str">
        <f aca="false">01_Data!A9</f>
        <v>S04</v>
      </c>
      <c r="B225" s="51" t="n">
        <f aca="false">01_Data!F9</f>
        <v>-1</v>
      </c>
      <c r="C225" s="51" t="n">
        <f aca="false">01_Data!G9</f>
        <v>-1</v>
      </c>
      <c r="D225" s="51" t="n">
        <f aca="false">01_Data!D9</f>
        <v>0</v>
      </c>
      <c r="E225" s="52" t="n">
        <f aca="false">$D$220 + $F$220*B225 + $H$220*C225</f>
        <v>-1.30218030724796</v>
      </c>
      <c r="F225" s="52" t="n">
        <f aca="false">1/(1+EXP(-E225))</f>
        <v>0.213798303501993</v>
      </c>
      <c r="G225" s="52" t="n">
        <f aca="false">F225-D225</f>
        <v>0.213798303501993</v>
      </c>
      <c r="H225" s="52" t="n">
        <f aca="false">G225</f>
        <v>0.213798303501993</v>
      </c>
      <c r="I225" s="52" t="n">
        <f aca="false">G225*B225</f>
        <v>-0.213798303501993</v>
      </c>
      <c r="J225" s="52" t="n">
        <f aca="false">G225*C225</f>
        <v>-0.213798303501993</v>
      </c>
      <c r="K225" s="52" t="n">
        <f aca="false">-D225*LN(F225)-(1-D225)*LN(1-F225)</f>
        <v>0.240541908151364</v>
      </c>
    </row>
    <row r="226" customFormat="false" ht="15" hidden="false" customHeight="true" outlineLevel="0" collapsed="false">
      <c r="A226" s="50" t="str">
        <f aca="false">01_Data!A10</f>
        <v>S05</v>
      </c>
      <c r="B226" s="51" t="n">
        <f aca="false">01_Data!F10</f>
        <v>-0.8</v>
      </c>
      <c r="C226" s="51" t="n">
        <f aca="false">01_Data!G10</f>
        <v>-0.333333333333333</v>
      </c>
      <c r="D226" s="51" t="n">
        <f aca="false">01_Data!D10</f>
        <v>0</v>
      </c>
      <c r="E226" s="52" t="n">
        <f aca="false">$D$220 + $F$220*B226 + $H$220*C226</f>
        <v>-0.662685364122372</v>
      </c>
      <c r="F226" s="52" t="n">
        <f aca="false">1/(1+EXP(-E226))</f>
        <v>0.340136639984575</v>
      </c>
      <c r="G226" s="52" t="n">
        <f aca="false">F226-D226</f>
        <v>0.340136639984575</v>
      </c>
      <c r="H226" s="52" t="n">
        <f aca="false">G226</f>
        <v>0.340136639984575</v>
      </c>
      <c r="I226" s="52" t="n">
        <f aca="false">G226*B226</f>
        <v>-0.27210931198766</v>
      </c>
      <c r="J226" s="52" t="n">
        <f aca="false">G226*C226</f>
        <v>-0.113378879994858</v>
      </c>
      <c r="K226" s="52" t="n">
        <f aca="false">-D226*LN(F226)-(1-D226)*LN(1-F226)</f>
        <v>0.415722495675051</v>
      </c>
    </row>
    <row r="227" customFormat="false" ht="15" hidden="false" customHeight="true" outlineLevel="0" collapsed="false">
      <c r="A227" s="50" t="str">
        <f aca="false">01_Data!A11</f>
        <v>S06</v>
      </c>
      <c r="B227" s="51" t="n">
        <f aca="false">01_Data!F11</f>
        <v>-0.6</v>
      </c>
      <c r="C227" s="51" t="n">
        <f aca="false">01_Data!G11</f>
        <v>-0.666666666666667</v>
      </c>
      <c r="D227" s="51" t="n">
        <f aca="false">01_Data!D11</f>
        <v>0</v>
      </c>
      <c r="E227" s="52" t="n">
        <f aca="false">$D$220 + $F$220*B227 + $H$220*C227</f>
        <v>-0.784797754563153</v>
      </c>
      <c r="F227" s="52" t="n">
        <f aca="false">1/(1+EXP(-E227))</f>
        <v>0.313286782427026</v>
      </c>
      <c r="G227" s="52" t="n">
        <f aca="false">F227-D227</f>
        <v>0.313286782427026</v>
      </c>
      <c r="H227" s="52" t="n">
        <f aca="false">G227</f>
        <v>0.313286782427026</v>
      </c>
      <c r="I227" s="52" t="n">
        <f aca="false">G227*B227</f>
        <v>-0.187972069456215</v>
      </c>
      <c r="J227" s="52" t="n">
        <f aca="false">G227*C227</f>
        <v>-0.20885785495135</v>
      </c>
      <c r="K227" s="52" t="n">
        <f aca="false">-D227*LN(F227)-(1-D227)*LN(1-F227)</f>
        <v>0.375838515582432</v>
      </c>
    </row>
    <row r="228" customFormat="false" ht="15" hidden="false" customHeight="true" outlineLevel="0" collapsed="false">
      <c r="A228" s="50" t="str">
        <f aca="false">01_Data!A12</f>
        <v>S07</v>
      </c>
      <c r="B228" s="51" t="n">
        <f aca="false">01_Data!F12</f>
        <v>-0.4</v>
      </c>
      <c r="C228" s="51" t="n">
        <f aca="false">01_Data!G12</f>
        <v>-0.2</v>
      </c>
      <c r="D228" s="51" t="n">
        <f aca="false">01_Data!D12</f>
        <v>0</v>
      </c>
      <c r="E228" s="52" t="n">
        <f aca="false">$D$220 + $F$220*B228 + $H$220*C228</f>
        <v>-0.29762427815084</v>
      </c>
      <c r="F228" s="52" t="n">
        <f aca="false">1/(1+EXP(-E228))</f>
        <v>0.426138350596569</v>
      </c>
      <c r="G228" s="52" t="n">
        <f aca="false">F228-D228</f>
        <v>0.426138350596569</v>
      </c>
      <c r="H228" s="52" t="n">
        <f aca="false">G228</f>
        <v>0.426138350596569</v>
      </c>
      <c r="I228" s="52" t="n">
        <f aca="false">G228*B228</f>
        <v>-0.170455340238628</v>
      </c>
      <c r="J228" s="52" t="n">
        <f aca="false">G228*C228</f>
        <v>-0.0852276701193138</v>
      </c>
      <c r="K228" s="52" t="n">
        <f aca="false">-D228*LN(F228)-(1-D228)*LN(1-F228)</f>
        <v>0.555366940628591</v>
      </c>
    </row>
    <row r="229" customFormat="false" ht="15" hidden="false" customHeight="true" outlineLevel="0" collapsed="false">
      <c r="A229" s="50" t="str">
        <f aca="false">01_Data!A13</f>
        <v>S08</v>
      </c>
      <c r="B229" s="51" t="n">
        <f aca="false">01_Data!F13</f>
        <v>-0.4</v>
      </c>
      <c r="C229" s="51" t="n">
        <f aca="false">01_Data!G13</f>
        <v>0.333333333333333</v>
      </c>
      <c r="D229" s="51" t="n">
        <f aca="false">01_Data!D13</f>
        <v>1</v>
      </c>
      <c r="E229" s="52" t="n">
        <f aca="false">$D$220 + $F$220*B229 + $H$220*C229</f>
        <v>0.108566299751223</v>
      </c>
      <c r="F229" s="52" t="n">
        <f aca="false">1/(1+EXP(-E229))</f>
        <v>0.527114947321386</v>
      </c>
      <c r="G229" s="52" t="n">
        <f aca="false">F229-D229</f>
        <v>-0.472885052678614</v>
      </c>
      <c r="H229" s="52" t="n">
        <f aca="false">G229</f>
        <v>-0.472885052678614</v>
      </c>
      <c r="I229" s="52" t="n">
        <f aca="false">G229*B229</f>
        <v>0.189154021071446</v>
      </c>
      <c r="J229" s="52" t="n">
        <f aca="false">G229*C229</f>
        <v>-0.157628350892871</v>
      </c>
      <c r="K229" s="52" t="n">
        <f aca="false">-D229*LN(F229)-(1-D229)*LN(1-F229)</f>
        <v>0.640336637865324</v>
      </c>
    </row>
    <row r="230" customFormat="false" ht="15" hidden="false" customHeight="true" outlineLevel="0" collapsed="false">
      <c r="A230" s="50" t="str">
        <f aca="false">01_Data!A14</f>
        <v>S09</v>
      </c>
      <c r="B230" s="51" t="n">
        <f aca="false">01_Data!F14</f>
        <v>-0.2</v>
      </c>
      <c r="C230" s="51" t="n">
        <f aca="false">01_Data!G14</f>
        <v>0</v>
      </c>
      <c r="D230" s="51" t="n">
        <f aca="false">01_Data!D14</f>
        <v>0</v>
      </c>
      <c r="E230" s="52" t="n">
        <f aca="false">$D$220 + $F$220*B230 + $H$220*C230</f>
        <v>-0.0135460906895584</v>
      </c>
      <c r="F230" s="52" t="n">
        <f aca="false">1/(1+EXP(-E230))</f>
        <v>0.496613529111269</v>
      </c>
      <c r="G230" s="52" t="n">
        <f aca="false">F230-D230</f>
        <v>0.496613529111269</v>
      </c>
      <c r="H230" s="52" t="n">
        <f aca="false">G230</f>
        <v>0.496613529111269</v>
      </c>
      <c r="I230" s="52" t="n">
        <f aca="false">G230*B230</f>
        <v>-0.0993227058222538</v>
      </c>
      <c r="J230" s="52" t="n">
        <f aca="false">G230*C230</f>
        <v>0</v>
      </c>
      <c r="K230" s="52" t="n">
        <f aca="false">-D230*LN(F230)-(1-D230)*LN(1-F230)</f>
        <v>0.68639707211142</v>
      </c>
    </row>
    <row r="231" customFormat="false" ht="15" hidden="false" customHeight="true" outlineLevel="0" collapsed="false">
      <c r="A231" s="50" t="str">
        <f aca="false">01_Data!A15</f>
        <v>S10</v>
      </c>
      <c r="B231" s="51" t="n">
        <f aca="false">01_Data!F15</f>
        <v>0</v>
      </c>
      <c r="C231" s="51" t="n">
        <f aca="false">01_Data!G15</f>
        <v>0.2</v>
      </c>
      <c r="D231" s="51" t="n">
        <f aca="false">01_Data!D15</f>
        <v>1</v>
      </c>
      <c r="E231" s="52" t="n">
        <f aca="false">$D$220 + $F$220*B231 + $H$220*C231</f>
        <v>0.270532096771723</v>
      </c>
      <c r="F231" s="52" t="n">
        <f aca="false">1/(1+EXP(-E231))</f>
        <v>0.567223529280811</v>
      </c>
      <c r="G231" s="52" t="n">
        <f aca="false">F231-D231</f>
        <v>-0.432776470719189</v>
      </c>
      <c r="H231" s="52" t="n">
        <f aca="false">G231</f>
        <v>-0.432776470719189</v>
      </c>
      <c r="I231" s="52" t="n">
        <f aca="false">G231*B231</f>
        <v>-0</v>
      </c>
      <c r="J231" s="52" t="n">
        <f aca="false">G231*C231</f>
        <v>-0.0865552941438378</v>
      </c>
      <c r="K231" s="52" t="n">
        <f aca="false">-D231*LN(F231)-(1-D231)*LN(1-F231)</f>
        <v>0.567001821407397</v>
      </c>
    </row>
    <row r="232" customFormat="false" ht="15" hidden="false" customHeight="true" outlineLevel="0" collapsed="false">
      <c r="A232" s="50" t="str">
        <f aca="false">01_Data!A16</f>
        <v>S11</v>
      </c>
      <c r="B232" s="51" t="n">
        <f aca="false">01_Data!F16</f>
        <v>0.2</v>
      </c>
      <c r="C232" s="51" t="n">
        <f aca="false">01_Data!G16</f>
        <v>0.466666666666667</v>
      </c>
      <c r="D232" s="51" t="n">
        <f aca="false">01_Data!D16</f>
        <v>1</v>
      </c>
      <c r="E232" s="52" t="n">
        <f aca="false">$D$220 + $F$220*B232 + $H$220*C232</f>
        <v>0.605384106470763</v>
      </c>
      <c r="F232" s="52" t="n">
        <f aca="false">1/(1+EXP(-E232))</f>
        <v>0.646887136708876</v>
      </c>
      <c r="G232" s="52" t="n">
        <f aca="false">F232-D232</f>
        <v>-0.353112863291124</v>
      </c>
      <c r="H232" s="52" t="n">
        <f aca="false">G232</f>
        <v>-0.353112863291124</v>
      </c>
      <c r="I232" s="52" t="n">
        <f aca="false">G232*B232</f>
        <v>-0.0706225726582247</v>
      </c>
      <c r="J232" s="52" t="n">
        <f aca="false">G232*C232</f>
        <v>-0.164786002869191</v>
      </c>
      <c r="K232" s="52" t="n">
        <f aca="false">-D232*LN(F232)-(1-D232)*LN(1-F232)</f>
        <v>0.435583440642377</v>
      </c>
    </row>
    <row r="233" customFormat="false" ht="15" hidden="false" customHeight="true" outlineLevel="0" collapsed="false">
      <c r="A233" s="50" t="str">
        <f aca="false">01_Data!A17</f>
        <v>S12</v>
      </c>
      <c r="B233" s="51" t="n">
        <f aca="false">01_Data!F17</f>
        <v>0.4</v>
      </c>
      <c r="C233" s="51" t="n">
        <f aca="false">01_Data!G17</f>
        <v>0.333333333333333</v>
      </c>
      <c r="D233" s="51" t="n">
        <f aca="false">01_Data!D17</f>
        <v>1</v>
      </c>
      <c r="E233" s="52" t="n">
        <f aca="false">$D$220 + $F$220*B233 + $H$220*C233</f>
        <v>0.635593182743256</v>
      </c>
      <c r="F233" s="52" t="n">
        <f aca="false">1/(1+EXP(-E233))</f>
        <v>0.653756615338266</v>
      </c>
      <c r="G233" s="52" t="n">
        <f aca="false">F233-D233</f>
        <v>-0.346243384661734</v>
      </c>
      <c r="H233" s="52" t="n">
        <f aca="false">G233</f>
        <v>-0.346243384661734</v>
      </c>
      <c r="I233" s="52" t="n">
        <f aca="false">G233*B233</f>
        <v>-0.138497353864694</v>
      </c>
      <c r="J233" s="52" t="n">
        <f aca="false">G233*C233</f>
        <v>-0.115414461553911</v>
      </c>
      <c r="K233" s="52" t="n">
        <f aca="false">-D233*LN(F233)-(1-D233)*LN(1-F233)</f>
        <v>0.425020144589932</v>
      </c>
    </row>
    <row r="234" customFormat="false" ht="15" hidden="false" customHeight="true" outlineLevel="0" collapsed="false">
      <c r="A234" s="50" t="str">
        <f aca="false">01_Data!A18</f>
        <v>S13</v>
      </c>
      <c r="B234" s="51" t="n">
        <f aca="false">01_Data!F18</f>
        <v>0.6</v>
      </c>
      <c r="C234" s="51" t="n">
        <f aca="false">01_Data!G18</f>
        <v>0.666666666666667</v>
      </c>
      <c r="D234" s="51" t="n">
        <f aca="false">01_Data!D18</f>
        <v>1</v>
      </c>
      <c r="E234" s="52" t="n">
        <f aca="false">$D$220 + $F$220*B234 + $H$220*C234</f>
        <v>1.02121901468005</v>
      </c>
      <c r="F234" s="52" t="n">
        <f aca="false">1/(1+EXP(-E234))</f>
        <v>0.73520998072498</v>
      </c>
      <c r="G234" s="52" t="n">
        <f aca="false">F234-D234</f>
        <v>-0.26479001927502</v>
      </c>
      <c r="H234" s="52" t="n">
        <f aca="false">G234</f>
        <v>-0.26479001927502</v>
      </c>
      <c r="I234" s="52" t="n">
        <f aca="false">G234*B234</f>
        <v>-0.158874011565012</v>
      </c>
      <c r="J234" s="52" t="n">
        <f aca="false">G234*C234</f>
        <v>-0.17652667951668</v>
      </c>
      <c r="K234" s="52" t="n">
        <f aca="false">-D234*LN(F234)-(1-D234)*LN(1-F234)</f>
        <v>0.307599132509167</v>
      </c>
    </row>
    <row r="235" customFormat="false" ht="15" hidden="false" customHeight="true" outlineLevel="0" collapsed="false">
      <c r="A235" s="50" t="str">
        <f aca="false">01_Data!A19</f>
        <v>S14</v>
      </c>
      <c r="B235" s="51" t="n">
        <f aca="false">01_Data!F19</f>
        <v>0.8</v>
      </c>
      <c r="C235" s="51" t="n">
        <f aca="false">01_Data!G19</f>
        <v>0.866666666666667</v>
      </c>
      <c r="D235" s="51" t="n">
        <f aca="false">01_Data!D19</f>
        <v>1</v>
      </c>
      <c r="E235" s="52" t="n">
        <f aca="false">$D$220 + $F$220*B235 + $H$220*C235</f>
        <v>1.30529720214134</v>
      </c>
      <c r="F235" s="52" t="n">
        <f aca="false">1/(1+EXP(-E235))</f>
        <v>0.786725143592145</v>
      </c>
      <c r="G235" s="52" t="n">
        <f aca="false">F235-D235</f>
        <v>-0.213274856407855</v>
      </c>
      <c r="H235" s="52" t="n">
        <f aca="false">G235</f>
        <v>-0.213274856407855</v>
      </c>
      <c r="I235" s="52" t="n">
        <f aca="false">G235*B235</f>
        <v>-0.170619885126284</v>
      </c>
      <c r="J235" s="52" t="n">
        <f aca="false">G235*C235</f>
        <v>-0.184838208886808</v>
      </c>
      <c r="K235" s="52" t="n">
        <f aca="false">-D235*LN(F235)-(1-D235)*LN(1-F235)</f>
        <v>0.239876337318546</v>
      </c>
    </row>
    <row r="236" customFormat="false" ht="15" hidden="false" customHeight="true" outlineLevel="0" collapsed="false">
      <c r="A236" s="50" t="str">
        <f aca="false">01_Data!A20</f>
        <v>S15</v>
      </c>
      <c r="B236" s="51" t="n">
        <f aca="false">01_Data!F20</f>
        <v>1</v>
      </c>
      <c r="C236" s="51" t="n">
        <f aca="false">01_Data!G20</f>
        <v>1.13333333333333</v>
      </c>
      <c r="D236" s="51" t="n">
        <f aca="false">01_Data!D20</f>
        <v>1</v>
      </c>
      <c r="E236" s="52" t="n">
        <f aca="false">$D$220 + $F$220*B236 + $H$220*C236</f>
        <v>1.64014921184037</v>
      </c>
      <c r="F236" s="52" t="n">
        <f aca="false">1/(1+EXP(-E236))</f>
        <v>0.837555239676651</v>
      </c>
      <c r="G236" s="52" t="n">
        <f aca="false">F236-D236</f>
        <v>-0.162444760323349</v>
      </c>
      <c r="H236" s="52" t="n">
        <f aca="false">G236</f>
        <v>-0.162444760323349</v>
      </c>
      <c r="I236" s="52" t="n">
        <f aca="false">G236*B236</f>
        <v>-0.162444760323349</v>
      </c>
      <c r="J236" s="52" t="n">
        <f aca="false">G236*C236</f>
        <v>-0.184104061699795</v>
      </c>
      <c r="K236" s="52" t="n">
        <f aca="false">-D236*LN(F236)-(1-D236)*LN(1-F236)</f>
        <v>0.17726805963517</v>
      </c>
    </row>
    <row r="237" customFormat="false" ht="15" hidden="false" customHeight="true" outlineLevel="0" collapsed="false">
      <c r="A237" s="50" t="str">
        <f aca="false">01_Data!A21</f>
        <v>S16</v>
      </c>
      <c r="B237" s="51" t="n">
        <f aca="false">01_Data!F21</f>
        <v>1.2</v>
      </c>
      <c r="C237" s="51" t="n">
        <f aca="false">01_Data!G21</f>
        <v>1</v>
      </c>
      <c r="D237" s="51" t="n">
        <f aca="false">01_Data!D21</f>
        <v>1</v>
      </c>
      <c r="E237" s="52" t="n">
        <f aca="false">$D$220 + $F$220*B237 + $H$220*C237</f>
        <v>1.67035828811287</v>
      </c>
      <c r="F237" s="52" t="n">
        <f aca="false">1/(1+EXP(-E237))</f>
        <v>0.841623584415175</v>
      </c>
      <c r="G237" s="52" t="n">
        <f aca="false">F237-D237</f>
        <v>-0.158376415584825</v>
      </c>
      <c r="H237" s="52" t="n">
        <f aca="false">G237</f>
        <v>-0.158376415584825</v>
      </c>
      <c r="I237" s="52" t="n">
        <f aca="false">G237*B237</f>
        <v>-0.19005169870179</v>
      </c>
      <c r="J237" s="52" t="n">
        <f aca="false">G237*C237</f>
        <v>-0.158376415584825</v>
      </c>
      <c r="K237" s="52" t="n">
        <f aca="false">-D237*LN(F237)-(1-D237)*LN(1-F237)</f>
        <v>0.172422414084332</v>
      </c>
    </row>
    <row r="238" customFormat="false" ht="15" hidden="false" customHeight="true" outlineLevel="0" collapsed="false">
      <c r="A238" s="50" t="str">
        <f aca="false">01_Data!A22</f>
        <v>S17</v>
      </c>
      <c r="B238" s="51" t="n">
        <f aca="false">01_Data!F22</f>
        <v>1.6</v>
      </c>
      <c r="C238" s="51" t="n">
        <f aca="false">01_Data!G22</f>
        <v>1.4</v>
      </c>
      <c r="D238" s="51" t="n">
        <f aca="false">01_Data!D22</f>
        <v>1</v>
      </c>
      <c r="E238" s="52" t="n">
        <f aca="false">$D$220 + $F$220*B238 + $H$220*C238</f>
        <v>2.23851466303543</v>
      </c>
      <c r="F238" s="52" t="n">
        <f aca="false">1/(1+EXP(-E238))</f>
        <v>0.903655218703854</v>
      </c>
      <c r="G238" s="52" t="n">
        <f aca="false">F238-D238</f>
        <v>-0.0963447812961462</v>
      </c>
      <c r="H238" s="52" t="n">
        <f aca="false">G238</f>
        <v>-0.0963447812961462</v>
      </c>
      <c r="I238" s="52" t="n">
        <f aca="false">G238*B238</f>
        <v>-0.154151650073834</v>
      </c>
      <c r="J238" s="52" t="n">
        <f aca="false">G238*C238</f>
        <v>-0.134882693814605</v>
      </c>
      <c r="K238" s="52" t="n">
        <f aca="false">-D238*LN(F238)-(1-D238)*LN(1-F238)</f>
        <v>0.101307386578723</v>
      </c>
    </row>
    <row r="239" customFormat="false" ht="15" hidden="false" customHeight="true" outlineLevel="0" collapsed="false">
      <c r="A239" s="50" t="str">
        <f aca="false">01_Data!A23</f>
        <v>S18</v>
      </c>
      <c r="B239" s="51" t="n">
        <f aca="false">01_Data!F23</f>
        <v>-0.6</v>
      </c>
      <c r="C239" s="51" t="n">
        <f aca="false">01_Data!G23</f>
        <v>0.866666666666667</v>
      </c>
      <c r="D239" s="51" t="n">
        <f aca="false">01_Data!D23</f>
        <v>1</v>
      </c>
      <c r="E239" s="52" t="n">
        <f aca="false">$D$220 + $F$220*B239 + $H$220*C239</f>
        <v>0.383000156905278</v>
      </c>
      <c r="F239" s="52" t="n">
        <f aca="false">1/(1+EXP(-E239))</f>
        <v>0.594596500023576</v>
      </c>
      <c r="G239" s="52" t="n">
        <f aca="false">F239-D239</f>
        <v>-0.405403499976424</v>
      </c>
      <c r="H239" s="52" t="n">
        <f aca="false">G239</f>
        <v>-0.405403499976424</v>
      </c>
      <c r="I239" s="52" t="n">
        <f aca="false">G239*B239</f>
        <v>0.243242099985854</v>
      </c>
      <c r="J239" s="52" t="n">
        <f aca="false">G239*C239</f>
        <v>-0.351349699979567</v>
      </c>
      <c r="K239" s="52" t="n">
        <f aca="false">-D239*LN(F239)-(1-D239)*LN(1-F239)</f>
        <v>0.519872254705938</v>
      </c>
    </row>
    <row r="240" customFormat="false" ht="15" hidden="false" customHeight="true" outlineLevel="0" collapsed="false">
      <c r="A240" s="50" t="str">
        <f aca="false">01_Data!A24</f>
        <v>S19</v>
      </c>
      <c r="B240" s="51" t="n">
        <f aca="false">01_Data!F24</f>
        <v>0.6</v>
      </c>
      <c r="C240" s="51" t="n">
        <f aca="false">01_Data!G24</f>
        <v>-0.866666666666667</v>
      </c>
      <c r="D240" s="51" t="n">
        <f aca="false">01_Data!D24</f>
        <v>0</v>
      </c>
      <c r="E240" s="52" t="n">
        <f aca="false">$D$220 + $F$220*B240 + $H$220*C240</f>
        <v>-0.146578896788378</v>
      </c>
      <c r="F240" s="52" t="n">
        <f aca="false">1/(1+EXP(-E240))</f>
        <v>0.463420745606127</v>
      </c>
      <c r="G240" s="52" t="n">
        <f aca="false">F240-D240</f>
        <v>0.463420745606127</v>
      </c>
      <c r="H240" s="52" t="n">
        <f aca="false">G240</f>
        <v>0.463420745606127</v>
      </c>
      <c r="I240" s="52" t="n">
        <f aca="false">G240*B240</f>
        <v>0.278052447363676</v>
      </c>
      <c r="J240" s="52" t="n">
        <f aca="false">G240*C240</f>
        <v>-0.401631312858643</v>
      </c>
      <c r="K240" s="52" t="n">
        <f aca="false">-D240*LN(F240)-(1-D240)*LN(1-F240)</f>
        <v>0.622541002949544</v>
      </c>
    </row>
    <row r="241" customFormat="false" ht="15" hidden="false" customHeight="true" outlineLevel="0" collapsed="false">
      <c r="A241" s="50" t="str">
        <f aca="false">01_Data!A25</f>
        <v>S20</v>
      </c>
      <c r="B241" s="51" t="n">
        <f aca="false">01_Data!F25</f>
        <v>1.4</v>
      </c>
      <c r="C241" s="51" t="n">
        <f aca="false">01_Data!G25</f>
        <v>-0.333333333333333</v>
      </c>
      <c r="D241" s="51" t="n">
        <f aca="false">01_Data!D25</f>
        <v>1</v>
      </c>
      <c r="E241" s="52" t="n">
        <f aca="false">$D$220 + $F$220*B241 + $H$220*C241</f>
        <v>0.786638564105718</v>
      </c>
      <c r="F241" s="52" t="n">
        <f aca="false">1/(1+EXP(-E241))</f>
        <v>0.687109109796025</v>
      </c>
      <c r="G241" s="52" t="n">
        <f aca="false">F241-D241</f>
        <v>-0.312890890203975</v>
      </c>
      <c r="H241" s="52" t="n">
        <f aca="false">G241</f>
        <v>-0.312890890203975</v>
      </c>
      <c r="I241" s="52" t="n">
        <f aca="false">G241*B241</f>
        <v>-0.438047246285565</v>
      </c>
      <c r="J241" s="52" t="n">
        <f aca="false">G241*C241</f>
        <v>0.104296963401325</v>
      </c>
      <c r="K241" s="52" t="n">
        <f aca="false">-D241*LN(F241)-(1-D241)*LN(1-F241)</f>
        <v>0.375262178706662</v>
      </c>
    </row>
    <row r="242" customFormat="false" ht="15" hidden="false" customHeight="true" outlineLevel="0" collapsed="false">
      <c r="A242" s="53" t="s">
        <v>138</v>
      </c>
      <c r="B242" s="53"/>
      <c r="C242" s="53"/>
      <c r="D242" s="53"/>
      <c r="E242" s="53"/>
      <c r="F242" s="53"/>
      <c r="G242" s="53" t="s">
        <v>139</v>
      </c>
      <c r="H242" s="54" t="n">
        <f aca="false">AVERAGE(H222:H241)</f>
        <v>-0.0248808442552578</v>
      </c>
      <c r="I242" s="54" t="n">
        <f aca="false">AVERAGE(I222:I241)</f>
        <v>-0.117985349500122</v>
      </c>
      <c r="J242" s="54" t="n">
        <f aca="false">AVERAGE(J222:J241)</f>
        <v>-0.157403766166662</v>
      </c>
      <c r="K242" s="54" t="n">
        <f aca="false">AVERAGE(K222:K241)</f>
        <v>0.368534587978548</v>
      </c>
    </row>
    <row r="243" customFormat="false" ht="21.75" hidden="false" customHeight="true" outlineLevel="0" collapsed="false">
      <c r="A243" s="47" t="s">
        <v>140</v>
      </c>
      <c r="B243" s="47"/>
      <c r="C243" s="47" t="s">
        <v>141</v>
      </c>
      <c r="D243" s="55" t="n">
        <f aca="false">$D$220 - $B$4*H242</f>
        <v>0.128162967760553</v>
      </c>
      <c r="E243" s="47" t="s">
        <v>142</v>
      </c>
      <c r="F243" s="55" t="n">
        <f aca="false">$F$220 - $B$4*I242</f>
        <v>0.70597774354009</v>
      </c>
      <c r="G243" s="47" t="s">
        <v>143</v>
      </c>
      <c r="H243" s="55" t="n">
        <f aca="false">$H$220 - $B$4*J242</f>
        <v>0.824568840033033</v>
      </c>
      <c r="I243" s="48" t="s">
        <v>144</v>
      </c>
      <c r="J243" s="48"/>
      <c r="K243" s="48"/>
    </row>
    <row r="245" customFormat="false" ht="22.5" hidden="false" customHeight="true" outlineLevel="0" collapsed="false">
      <c r="A245" s="56" t="s">
        <v>153</v>
      </c>
      <c r="B245" s="56"/>
      <c r="C245" s="56"/>
      <c r="D245" s="56"/>
      <c r="E245" s="56"/>
      <c r="F245" s="56"/>
      <c r="G245" s="56"/>
      <c r="H245" s="56"/>
      <c r="I245" s="56"/>
      <c r="J245" s="56"/>
      <c r="K245" s="56"/>
    </row>
    <row r="246" customFormat="false" ht="15" hidden="false" customHeight="true" outlineLevel="0" collapsed="false">
      <c r="A246" s="47" t="s">
        <v>123</v>
      </c>
      <c r="B246" s="48" t="n">
        <v>10</v>
      </c>
      <c r="C246" s="47" t="s">
        <v>124</v>
      </c>
      <c r="D246" s="57" t="n">
        <f aca="false">IF(D243="","",D243)</f>
        <v>0.128162967760553</v>
      </c>
      <c r="E246" s="47" t="s">
        <v>125</v>
      </c>
      <c r="F246" s="57" t="n">
        <f aca="false">IF(F243="","",F243)</f>
        <v>0.70597774354009</v>
      </c>
      <c r="G246" s="47" t="s">
        <v>126</v>
      </c>
      <c r="H246" s="57" t="n">
        <f aca="false">IF(H243="","",H243)</f>
        <v>0.824568840033033</v>
      </c>
      <c r="I246" s="48" t="s">
        <v>127</v>
      </c>
      <c r="J246" s="48"/>
      <c r="K246" s="48"/>
    </row>
    <row r="247" customFormat="false" ht="33.75" hidden="false" customHeight="true" outlineLevel="0" collapsed="false">
      <c r="A247" s="18" t="s">
        <v>128</v>
      </c>
      <c r="B247" s="18" t="s">
        <v>129</v>
      </c>
      <c r="C247" s="18" t="s">
        <v>130</v>
      </c>
      <c r="D247" s="18" t="s">
        <v>131</v>
      </c>
      <c r="E247" s="18" t="s">
        <v>132</v>
      </c>
      <c r="F247" s="18" t="s">
        <v>133</v>
      </c>
      <c r="G247" s="18" t="s">
        <v>134</v>
      </c>
      <c r="H247" s="18" t="s">
        <v>135</v>
      </c>
      <c r="I247" s="18" t="s">
        <v>136</v>
      </c>
      <c r="J247" s="18" t="s">
        <v>137</v>
      </c>
      <c r="K247" s="18" t="s">
        <v>33</v>
      </c>
    </row>
    <row r="248" customFormat="false" ht="15" hidden="false" customHeight="true" outlineLevel="0" collapsed="false">
      <c r="A248" s="50" t="str">
        <f aca="false">01_Data!A6</f>
        <v>S01</v>
      </c>
      <c r="B248" s="51" t="n">
        <f aca="false">01_Data!F6</f>
        <v>-1.6</v>
      </c>
      <c r="C248" s="51" t="n">
        <f aca="false">01_Data!G6</f>
        <v>-1.66666666666667</v>
      </c>
      <c r="D248" s="51" t="n">
        <f aca="false">01_Data!D6</f>
        <v>0</v>
      </c>
      <c r="E248" s="52" t="n">
        <f aca="false">$D$246 + $F$246*B248 + $H$246*C248</f>
        <v>-2.37568282195865</v>
      </c>
      <c r="F248" s="52" t="n">
        <f aca="false">1/(1+EXP(-E248))</f>
        <v>0.0850458974618469</v>
      </c>
      <c r="G248" s="52" t="n">
        <f aca="false">F248-D248</f>
        <v>0.0850458974618469</v>
      </c>
      <c r="H248" s="52" t="n">
        <f aca="false">G248</f>
        <v>0.0850458974618469</v>
      </c>
      <c r="I248" s="52" t="n">
        <f aca="false">G248*B248</f>
        <v>-0.136073435938955</v>
      </c>
      <c r="J248" s="52" t="n">
        <f aca="false">G248*C248</f>
        <v>-0.141743162436412</v>
      </c>
      <c r="K248" s="52" t="n">
        <f aca="false">-D248*LN(F248)-(1-D248)*LN(1-F248)</f>
        <v>0.0888813761252172</v>
      </c>
    </row>
    <row r="249" customFormat="false" ht="15" hidden="false" customHeight="true" outlineLevel="0" collapsed="false">
      <c r="A249" s="50" t="str">
        <f aca="false">01_Data!A7</f>
        <v>S02</v>
      </c>
      <c r="B249" s="51" t="n">
        <f aca="false">01_Data!F7</f>
        <v>-1.2</v>
      </c>
      <c r="C249" s="51" t="n">
        <f aca="false">01_Data!G7</f>
        <v>-1.33333333333333</v>
      </c>
      <c r="D249" s="51" t="n">
        <f aca="false">01_Data!D7</f>
        <v>0</v>
      </c>
      <c r="E249" s="52" t="n">
        <f aca="false">$D$246 + $F$246*B249 + $H$246*C249</f>
        <v>-1.8184354445316</v>
      </c>
      <c r="F249" s="52" t="n">
        <f aca="false">1/(1+EXP(-E249))</f>
        <v>0.139621713135009</v>
      </c>
      <c r="G249" s="52" t="n">
        <f aca="false">F249-D249</f>
        <v>0.139621713135009</v>
      </c>
      <c r="H249" s="52" t="n">
        <f aca="false">G249</f>
        <v>0.139621713135009</v>
      </c>
      <c r="I249" s="52" t="n">
        <f aca="false">G249*B249</f>
        <v>-0.167546055762011</v>
      </c>
      <c r="J249" s="52" t="n">
        <f aca="false">G249*C249</f>
        <v>-0.186162284180012</v>
      </c>
      <c r="K249" s="52" t="n">
        <f aca="false">-D249*LN(F249)-(1-D249)*LN(1-F249)</f>
        <v>0.150383118000685</v>
      </c>
    </row>
    <row r="250" customFormat="false" ht="15" hidden="false" customHeight="true" outlineLevel="0" collapsed="false">
      <c r="A250" s="50" t="str">
        <f aca="false">01_Data!A8</f>
        <v>S03</v>
      </c>
      <c r="B250" s="51" t="n">
        <f aca="false">01_Data!F8</f>
        <v>-1.4</v>
      </c>
      <c r="C250" s="51" t="n">
        <f aca="false">01_Data!G8</f>
        <v>-0.666666666666667</v>
      </c>
      <c r="D250" s="51" t="n">
        <f aca="false">01_Data!D8</f>
        <v>0</v>
      </c>
      <c r="E250" s="52" t="n">
        <f aca="false">$D$246 + $F$246*B250 + $H$246*C250</f>
        <v>-1.4099184332176</v>
      </c>
      <c r="F250" s="52" t="n">
        <f aca="false">1/(1+EXP(-E250))</f>
        <v>0.196246921907379</v>
      </c>
      <c r="G250" s="52" t="n">
        <f aca="false">F250-D250</f>
        <v>0.196246921907379</v>
      </c>
      <c r="H250" s="52" t="n">
        <f aca="false">G250</f>
        <v>0.196246921907379</v>
      </c>
      <c r="I250" s="52" t="n">
        <f aca="false">G250*B250</f>
        <v>-0.27474569067033</v>
      </c>
      <c r="J250" s="52" t="n">
        <f aca="false">G250*C250</f>
        <v>-0.130831281271586</v>
      </c>
      <c r="K250" s="52" t="n">
        <f aca="false">-D250*LN(F250)-(1-D250)*LN(1-F250)</f>
        <v>0.218463173773416</v>
      </c>
    </row>
    <row r="251" customFormat="false" ht="15" hidden="false" customHeight="true" outlineLevel="0" collapsed="false">
      <c r="A251" s="50" t="str">
        <f aca="false">01_Data!A9</f>
        <v>S04</v>
      </c>
      <c r="B251" s="51" t="n">
        <f aca="false">01_Data!F9</f>
        <v>-1</v>
      </c>
      <c r="C251" s="51" t="n">
        <f aca="false">01_Data!G9</f>
        <v>-1</v>
      </c>
      <c r="D251" s="51" t="n">
        <f aca="false">01_Data!D9</f>
        <v>0</v>
      </c>
      <c r="E251" s="52" t="n">
        <f aca="false">$D$246 + $F$246*B251 + $H$246*C251</f>
        <v>-1.40238361581257</v>
      </c>
      <c r="F251" s="52" t="n">
        <f aca="false">1/(1+EXP(-E251))</f>
        <v>0.197438140038623</v>
      </c>
      <c r="G251" s="52" t="n">
        <f aca="false">F251-D251</f>
        <v>0.197438140038623</v>
      </c>
      <c r="H251" s="52" t="n">
        <f aca="false">G251</f>
        <v>0.197438140038623</v>
      </c>
      <c r="I251" s="52" t="n">
        <f aca="false">G251*B251</f>
        <v>-0.197438140038623</v>
      </c>
      <c r="J251" s="52" t="n">
        <f aca="false">G251*C251</f>
        <v>-0.197438140038623</v>
      </c>
      <c r="K251" s="52" t="n">
        <f aca="false">-D251*LN(F251)-(1-D251)*LN(1-F251)</f>
        <v>0.219946342884768</v>
      </c>
    </row>
    <row r="252" customFormat="false" ht="15" hidden="false" customHeight="true" outlineLevel="0" collapsed="false">
      <c r="A252" s="50" t="str">
        <f aca="false">01_Data!A10</f>
        <v>S05</v>
      </c>
      <c r="B252" s="51" t="n">
        <f aca="false">01_Data!F10</f>
        <v>-0.8</v>
      </c>
      <c r="C252" s="51" t="n">
        <f aca="false">01_Data!G10</f>
        <v>-0.333333333333333</v>
      </c>
      <c r="D252" s="51" t="n">
        <f aca="false">01_Data!D10</f>
        <v>0</v>
      </c>
      <c r="E252" s="52" t="n">
        <f aca="false">$D$246 + $F$246*B252 + $H$246*C252</f>
        <v>-0.71147550708253</v>
      </c>
      <c r="F252" s="52" t="n">
        <f aca="false">1/(1+EXP(-E252))</f>
        <v>0.329272889075855</v>
      </c>
      <c r="G252" s="52" t="n">
        <f aca="false">F252-D252</f>
        <v>0.329272889075855</v>
      </c>
      <c r="H252" s="52" t="n">
        <f aca="false">G252</f>
        <v>0.329272889075855</v>
      </c>
      <c r="I252" s="52" t="n">
        <f aca="false">G252*B252</f>
        <v>-0.263418311260684</v>
      </c>
      <c r="J252" s="52" t="n">
        <f aca="false">G252*C252</f>
        <v>-0.109757629691952</v>
      </c>
      <c r="K252" s="52" t="n">
        <f aca="false">-D252*LN(F252)-(1-D252)*LN(1-F252)</f>
        <v>0.399392914859265</v>
      </c>
    </row>
    <row r="253" customFormat="false" ht="15" hidden="false" customHeight="true" outlineLevel="0" collapsed="false">
      <c r="A253" s="50" t="str">
        <f aca="false">01_Data!A11</f>
        <v>S06</v>
      </c>
      <c r="B253" s="51" t="n">
        <f aca="false">01_Data!F11</f>
        <v>-0.6</v>
      </c>
      <c r="C253" s="51" t="n">
        <f aca="false">01_Data!G11</f>
        <v>-0.666666666666667</v>
      </c>
      <c r="D253" s="51" t="n">
        <f aca="false">01_Data!D11</f>
        <v>0</v>
      </c>
      <c r="E253" s="52" t="n">
        <f aca="false">$D$246 + $F$246*B253 + $H$246*C253</f>
        <v>-0.845136238385523</v>
      </c>
      <c r="F253" s="52" t="n">
        <f aca="false">1/(1+EXP(-E253))</f>
        <v>0.30045413677793</v>
      </c>
      <c r="G253" s="52" t="n">
        <f aca="false">F253-D253</f>
        <v>0.30045413677793</v>
      </c>
      <c r="H253" s="52" t="n">
        <f aca="false">G253</f>
        <v>0.30045413677793</v>
      </c>
      <c r="I253" s="52" t="n">
        <f aca="false">G253*B253</f>
        <v>-0.180272482066758</v>
      </c>
      <c r="J253" s="52" t="n">
        <f aca="false">G253*C253</f>
        <v>-0.200302757851953</v>
      </c>
      <c r="K253" s="52" t="n">
        <f aca="false">-D253*LN(F253)-(1-D253)*LN(1-F253)</f>
        <v>0.357323921304609</v>
      </c>
    </row>
    <row r="254" customFormat="false" ht="15" hidden="false" customHeight="true" outlineLevel="0" collapsed="false">
      <c r="A254" s="50" t="str">
        <f aca="false">01_Data!A12</f>
        <v>S07</v>
      </c>
      <c r="B254" s="51" t="n">
        <f aca="false">01_Data!F12</f>
        <v>-0.4</v>
      </c>
      <c r="C254" s="51" t="n">
        <f aca="false">01_Data!G12</f>
        <v>-0.2</v>
      </c>
      <c r="D254" s="51" t="n">
        <f aca="false">01_Data!D12</f>
        <v>0</v>
      </c>
      <c r="E254" s="52" t="n">
        <f aca="false">$D$246 + $F$246*B254 + $H$246*C254</f>
        <v>-0.31914189766209</v>
      </c>
      <c r="F254" s="52" t="n">
        <f aca="false">1/(1+EXP(-E254))</f>
        <v>0.420884888189655</v>
      </c>
      <c r="G254" s="52" t="n">
        <f aca="false">F254-D254</f>
        <v>0.420884888189655</v>
      </c>
      <c r="H254" s="52" t="n">
        <f aca="false">G254</f>
        <v>0.420884888189655</v>
      </c>
      <c r="I254" s="52" t="n">
        <f aca="false">G254*B254</f>
        <v>-0.168353955275862</v>
      </c>
      <c r="J254" s="52" t="n">
        <f aca="false">G254*C254</f>
        <v>-0.084176977637931</v>
      </c>
      <c r="K254" s="52" t="n">
        <f aca="false">-D254*LN(F254)-(1-D254)*LN(1-F254)</f>
        <v>0.546254009752682</v>
      </c>
    </row>
    <row r="255" customFormat="false" ht="15" hidden="false" customHeight="true" outlineLevel="0" collapsed="false">
      <c r="A255" s="50" t="str">
        <f aca="false">01_Data!A13</f>
        <v>S08</v>
      </c>
      <c r="B255" s="51" t="n">
        <f aca="false">01_Data!F13</f>
        <v>-0.4</v>
      </c>
      <c r="C255" s="51" t="n">
        <f aca="false">01_Data!G13</f>
        <v>0.333333333333333</v>
      </c>
      <c r="D255" s="51" t="n">
        <f aca="false">01_Data!D13</f>
        <v>1</v>
      </c>
      <c r="E255" s="52" t="n">
        <f aca="false">$D$246 + $F$246*B255 + $H$246*C255</f>
        <v>0.120628150355528</v>
      </c>
      <c r="F255" s="52" t="n">
        <f aca="false">1/(1+EXP(-E255))</f>
        <v>0.530120522421951</v>
      </c>
      <c r="G255" s="52" t="n">
        <f aca="false">F255-D255</f>
        <v>-0.469879477578049</v>
      </c>
      <c r="H255" s="52" t="n">
        <f aca="false">G255</f>
        <v>-0.469879477578049</v>
      </c>
      <c r="I255" s="52" t="n">
        <f aca="false">G255*B255</f>
        <v>0.18795179103122</v>
      </c>
      <c r="J255" s="52" t="n">
        <f aca="false">G255*C255</f>
        <v>-0.156626492526016</v>
      </c>
      <c r="K255" s="52" t="n">
        <f aca="false">-D255*LN(F255)-(1-D255)*LN(1-F255)</f>
        <v>0.634650897491477</v>
      </c>
    </row>
    <row r="256" customFormat="false" ht="15" hidden="false" customHeight="true" outlineLevel="0" collapsed="false">
      <c r="A256" s="50" t="str">
        <f aca="false">01_Data!A14</f>
        <v>S09</v>
      </c>
      <c r="B256" s="51" t="n">
        <f aca="false">01_Data!F14</f>
        <v>-0.2</v>
      </c>
      <c r="C256" s="51" t="n">
        <f aca="false">01_Data!G14</f>
        <v>0</v>
      </c>
      <c r="D256" s="51" t="n">
        <f aca="false">01_Data!D14</f>
        <v>0</v>
      </c>
      <c r="E256" s="52" t="n">
        <f aca="false">$D$246 + $F$246*B256 + $H$246*C256</f>
        <v>-0.0130325809474651</v>
      </c>
      <c r="F256" s="52" t="n">
        <f aca="false">1/(1+EXP(-E256))</f>
        <v>0.496741900878183</v>
      </c>
      <c r="G256" s="52" t="n">
        <f aca="false">F256-D256</f>
        <v>0.496741900878183</v>
      </c>
      <c r="H256" s="52" t="n">
        <f aca="false">G256</f>
        <v>0.496741900878183</v>
      </c>
      <c r="I256" s="52" t="n">
        <f aca="false">G256*B256</f>
        <v>-0.0993483801756367</v>
      </c>
      <c r="J256" s="52" t="n">
        <f aca="false">G256*C256</f>
        <v>0</v>
      </c>
      <c r="K256" s="52" t="n">
        <f aca="false">-D256*LN(F256)-(1-D256)*LN(1-F256)</f>
        <v>0.686652120956731</v>
      </c>
    </row>
    <row r="257" customFormat="false" ht="15" hidden="false" customHeight="true" outlineLevel="0" collapsed="false">
      <c r="A257" s="50" t="str">
        <f aca="false">01_Data!A15</f>
        <v>S10</v>
      </c>
      <c r="B257" s="51" t="n">
        <f aca="false">01_Data!F15</f>
        <v>0</v>
      </c>
      <c r="C257" s="51" t="n">
        <f aca="false">01_Data!G15</f>
        <v>0.2</v>
      </c>
      <c r="D257" s="51" t="n">
        <f aca="false">01_Data!D15</f>
        <v>1</v>
      </c>
      <c r="E257" s="52" t="n">
        <f aca="false">$D$246 + $F$246*B257 + $H$246*C257</f>
        <v>0.29307673576716</v>
      </c>
      <c r="F257" s="52" t="n">
        <f aca="false">1/(1+EXP(-E257))</f>
        <v>0.572749201379776</v>
      </c>
      <c r="G257" s="52" t="n">
        <f aca="false">F257-D257</f>
        <v>-0.427250798620224</v>
      </c>
      <c r="H257" s="52" t="n">
        <f aca="false">G257</f>
        <v>-0.427250798620224</v>
      </c>
      <c r="I257" s="52" t="n">
        <f aca="false">G257*B257</f>
        <v>-0</v>
      </c>
      <c r="J257" s="52" t="n">
        <f aca="false">G257*C257</f>
        <v>-0.0854501597240448</v>
      </c>
      <c r="K257" s="52" t="n">
        <f aca="false">-D257*LN(F257)-(1-D257)*LN(1-F257)</f>
        <v>0.557307352010436</v>
      </c>
    </row>
    <row r="258" customFormat="false" ht="15" hidden="false" customHeight="true" outlineLevel="0" collapsed="false">
      <c r="A258" s="50" t="str">
        <f aca="false">01_Data!A16</f>
        <v>S11</v>
      </c>
      <c r="B258" s="51" t="n">
        <f aca="false">01_Data!F16</f>
        <v>0.2</v>
      </c>
      <c r="C258" s="51" t="n">
        <f aca="false">01_Data!G16</f>
        <v>0.466666666666667</v>
      </c>
      <c r="D258" s="51" t="n">
        <f aca="false">01_Data!D16</f>
        <v>1</v>
      </c>
      <c r="E258" s="52" t="n">
        <f aca="false">$D$246 + $F$246*B258 + $H$246*C258</f>
        <v>0.654157308483986</v>
      </c>
      <c r="F258" s="52" t="n">
        <f aca="false">1/(1+EXP(-E258))</f>
        <v>0.657946690176871</v>
      </c>
      <c r="G258" s="52" t="n">
        <f aca="false">F258-D258</f>
        <v>-0.34205330982313</v>
      </c>
      <c r="H258" s="52" t="n">
        <f aca="false">G258</f>
        <v>-0.34205330982313</v>
      </c>
      <c r="I258" s="52" t="n">
        <f aca="false">G258*B258</f>
        <v>-0.0684106619646259</v>
      </c>
      <c r="J258" s="52" t="n">
        <f aca="false">G258*C258</f>
        <v>-0.15962487791746</v>
      </c>
      <c r="K258" s="52" t="n">
        <f aca="false">-D258*LN(F258)-(1-D258)*LN(1-F258)</f>
        <v>0.418631368907235</v>
      </c>
    </row>
    <row r="259" customFormat="false" ht="15" hidden="false" customHeight="true" outlineLevel="0" collapsed="false">
      <c r="A259" s="50" t="str">
        <f aca="false">01_Data!A17</f>
        <v>S12</v>
      </c>
      <c r="B259" s="51" t="n">
        <f aca="false">01_Data!F17</f>
        <v>0.4</v>
      </c>
      <c r="C259" s="51" t="n">
        <f aca="false">01_Data!G17</f>
        <v>0.333333333333333</v>
      </c>
      <c r="D259" s="51" t="n">
        <f aca="false">01_Data!D17</f>
        <v>1</v>
      </c>
      <c r="E259" s="52" t="n">
        <f aca="false">$D$246 + $F$246*B259 + $H$246*C259</f>
        <v>0.6854103451876</v>
      </c>
      <c r="F259" s="52" t="n">
        <f aca="false">1/(1+EXP(-E259))</f>
        <v>0.664945158667175</v>
      </c>
      <c r="G259" s="52" t="n">
        <f aca="false">F259-D259</f>
        <v>-0.335054841332825</v>
      </c>
      <c r="H259" s="52" t="n">
        <f aca="false">G259</f>
        <v>-0.335054841332825</v>
      </c>
      <c r="I259" s="52" t="n">
        <f aca="false">G259*B259</f>
        <v>-0.13402193653313</v>
      </c>
      <c r="J259" s="52" t="n">
        <f aca="false">G259*C259</f>
        <v>-0.111684947110942</v>
      </c>
      <c r="K259" s="52" t="n">
        <f aca="false">-D259*LN(F259)-(1-D259)*LN(1-F259)</f>
        <v>0.408050709896631</v>
      </c>
    </row>
    <row r="260" customFormat="false" ht="15" hidden="false" customHeight="true" outlineLevel="0" collapsed="false">
      <c r="A260" s="50" t="str">
        <f aca="false">01_Data!A18</f>
        <v>S13</v>
      </c>
      <c r="B260" s="51" t="n">
        <f aca="false">01_Data!F18</f>
        <v>0.6</v>
      </c>
      <c r="C260" s="51" t="n">
        <f aca="false">01_Data!G18</f>
        <v>0.666666666666667</v>
      </c>
      <c r="D260" s="51" t="n">
        <f aca="false">01_Data!D18</f>
        <v>1</v>
      </c>
      <c r="E260" s="52" t="n">
        <f aca="false">$D$246 + $F$246*B260 + $H$246*C260</f>
        <v>1.10146217390663</v>
      </c>
      <c r="F260" s="52" t="n">
        <f aca="false">1/(1+EXP(-E260))</f>
        <v>0.750533972680604</v>
      </c>
      <c r="G260" s="52" t="n">
        <f aca="false">F260-D260</f>
        <v>-0.249466027319396</v>
      </c>
      <c r="H260" s="52" t="n">
        <f aca="false">G260</f>
        <v>-0.249466027319396</v>
      </c>
      <c r="I260" s="52" t="n">
        <f aca="false">G260*B260</f>
        <v>-0.149679616391638</v>
      </c>
      <c r="J260" s="52" t="n">
        <f aca="false">G260*C260</f>
        <v>-0.166310684879598</v>
      </c>
      <c r="K260" s="52" t="n">
        <f aca="false">-D260*LN(F260)-(1-D260)*LN(1-F260)</f>
        <v>0.286970362203476</v>
      </c>
    </row>
    <row r="261" customFormat="false" ht="15" hidden="false" customHeight="true" outlineLevel="0" collapsed="false">
      <c r="A261" s="50" t="str">
        <f aca="false">01_Data!A19</f>
        <v>S14</v>
      </c>
      <c r="B261" s="51" t="n">
        <f aca="false">01_Data!F19</f>
        <v>0.8</v>
      </c>
      <c r="C261" s="51" t="n">
        <f aca="false">01_Data!G19</f>
        <v>0.866666666666667</v>
      </c>
      <c r="D261" s="51" t="n">
        <f aca="false">01_Data!D19</f>
        <v>1</v>
      </c>
      <c r="E261" s="52" t="n">
        <f aca="false">$D$246 + $F$246*B261 + $H$246*C261</f>
        <v>1.40757149062125</v>
      </c>
      <c r="F261" s="52" t="n">
        <f aca="false">1/(1+EXP(-E261))</f>
        <v>0.803382621365359</v>
      </c>
      <c r="G261" s="52" t="n">
        <f aca="false">F261-D261</f>
        <v>-0.196617378634641</v>
      </c>
      <c r="H261" s="52" t="n">
        <f aca="false">G261</f>
        <v>-0.196617378634641</v>
      </c>
      <c r="I261" s="52" t="n">
        <f aca="false">G261*B261</f>
        <v>-0.157293902907713</v>
      </c>
      <c r="J261" s="52" t="n">
        <f aca="false">G261*C261</f>
        <v>-0.170401728150023</v>
      </c>
      <c r="K261" s="52" t="n">
        <f aca="false">-D261*LN(F261)-(1-D261)*LN(1-F261)</f>
        <v>0.218924188650938</v>
      </c>
    </row>
    <row r="262" customFormat="false" ht="15" hidden="false" customHeight="true" outlineLevel="0" collapsed="false">
      <c r="A262" s="50" t="str">
        <f aca="false">01_Data!A20</f>
        <v>S15</v>
      </c>
      <c r="B262" s="51" t="n">
        <f aca="false">01_Data!F20</f>
        <v>1</v>
      </c>
      <c r="C262" s="51" t="n">
        <f aca="false">01_Data!G20</f>
        <v>1.13333333333333</v>
      </c>
      <c r="D262" s="51" t="n">
        <f aca="false">01_Data!D20</f>
        <v>1</v>
      </c>
      <c r="E262" s="52" t="n">
        <f aca="false">$D$246 + $F$246*B262 + $H$246*C262</f>
        <v>1.76865206333808</v>
      </c>
      <c r="F262" s="52" t="n">
        <f aca="false">1/(1+EXP(-E262))</f>
        <v>0.85428996188025</v>
      </c>
      <c r="G262" s="52" t="n">
        <f aca="false">F262-D262</f>
        <v>-0.14571003811975</v>
      </c>
      <c r="H262" s="52" t="n">
        <f aca="false">G262</f>
        <v>-0.14571003811975</v>
      </c>
      <c r="I262" s="52" t="n">
        <f aca="false">G262*B262</f>
        <v>-0.14571003811975</v>
      </c>
      <c r="J262" s="52" t="n">
        <f aca="false">G262*C262</f>
        <v>-0.165138043202383</v>
      </c>
      <c r="K262" s="52" t="n">
        <f aca="false">-D262*LN(F262)-(1-D262)*LN(1-F262)</f>
        <v>0.157484609004507</v>
      </c>
    </row>
    <row r="263" customFormat="false" ht="15" hidden="false" customHeight="true" outlineLevel="0" collapsed="false">
      <c r="A263" s="50" t="str">
        <f aca="false">01_Data!A21</f>
        <v>S16</v>
      </c>
      <c r="B263" s="51" t="n">
        <f aca="false">01_Data!F21</f>
        <v>1.2</v>
      </c>
      <c r="C263" s="51" t="n">
        <f aca="false">01_Data!G21</f>
        <v>1</v>
      </c>
      <c r="D263" s="51" t="n">
        <f aca="false">01_Data!D21</f>
        <v>1</v>
      </c>
      <c r="E263" s="52" t="n">
        <f aca="false">$D$246 + $F$246*B263 + $H$246*C263</f>
        <v>1.79990510004169</v>
      </c>
      <c r="F263" s="52" t="n">
        <f aca="false">1/(1+EXP(-E263))</f>
        <v>0.858137382597553</v>
      </c>
      <c r="G263" s="52" t="n">
        <f aca="false">F263-D263</f>
        <v>-0.141862617402447</v>
      </c>
      <c r="H263" s="52" t="n">
        <f aca="false">G263</f>
        <v>-0.141862617402447</v>
      </c>
      <c r="I263" s="52" t="n">
        <f aca="false">G263*B263</f>
        <v>-0.170235140882937</v>
      </c>
      <c r="J263" s="52" t="n">
        <f aca="false">G263*C263</f>
        <v>-0.141862617402447</v>
      </c>
      <c r="K263" s="52" t="n">
        <f aca="false">-D263*LN(F263)-(1-D263)*LN(1-F263)</f>
        <v>0.152991072734379</v>
      </c>
    </row>
    <row r="264" customFormat="false" ht="15" hidden="false" customHeight="true" outlineLevel="0" collapsed="false">
      <c r="A264" s="50" t="str">
        <f aca="false">01_Data!A22</f>
        <v>S17</v>
      </c>
      <c r="B264" s="51" t="n">
        <f aca="false">01_Data!F22</f>
        <v>1.6</v>
      </c>
      <c r="C264" s="51" t="n">
        <f aca="false">01_Data!G22</f>
        <v>1.4</v>
      </c>
      <c r="D264" s="51" t="n">
        <f aca="false">01_Data!D22</f>
        <v>1</v>
      </c>
      <c r="E264" s="52" t="n">
        <f aca="false">$D$246 + $F$246*B264 + $H$246*C264</f>
        <v>2.41212373347094</v>
      </c>
      <c r="F264" s="52" t="n">
        <f aca="false">1/(1+EXP(-E264))</f>
        <v>0.917747139131394</v>
      </c>
      <c r="G264" s="52" t="n">
        <f aca="false">F264-D264</f>
        <v>-0.0822528608686056</v>
      </c>
      <c r="H264" s="52" t="n">
        <f aca="false">G264</f>
        <v>-0.0822528608686056</v>
      </c>
      <c r="I264" s="52" t="n">
        <f aca="false">G264*B264</f>
        <v>-0.131604577389769</v>
      </c>
      <c r="J264" s="52" t="n">
        <f aca="false">G264*C264</f>
        <v>-0.115154005216048</v>
      </c>
      <c r="K264" s="52" t="n">
        <f aca="false">-D264*LN(F264)-(1-D264)*LN(1-F264)</f>
        <v>0.0858333738735831</v>
      </c>
    </row>
    <row r="265" customFormat="false" ht="15" hidden="false" customHeight="true" outlineLevel="0" collapsed="false">
      <c r="A265" s="50" t="str">
        <f aca="false">01_Data!A23</f>
        <v>S18</v>
      </c>
      <c r="B265" s="51" t="n">
        <f aca="false">01_Data!F23</f>
        <v>-0.6</v>
      </c>
      <c r="C265" s="51" t="n">
        <f aca="false">01_Data!G23</f>
        <v>0.866666666666667</v>
      </c>
      <c r="D265" s="51" t="n">
        <f aca="false">01_Data!D23</f>
        <v>1</v>
      </c>
      <c r="E265" s="52" t="n">
        <f aca="false">$D$246 + $F$246*B265 + $H$246*C265</f>
        <v>0.419202649665127</v>
      </c>
      <c r="F265" s="52" t="n">
        <f aca="false">1/(1+EXP(-E265))</f>
        <v>0.603292435198254</v>
      </c>
      <c r="G265" s="52" t="n">
        <f aca="false">F265-D265</f>
        <v>-0.396707564801746</v>
      </c>
      <c r="H265" s="52" t="n">
        <f aca="false">G265</f>
        <v>-0.396707564801746</v>
      </c>
      <c r="I265" s="52" t="n">
        <f aca="false">G265*B265</f>
        <v>0.238024538881048</v>
      </c>
      <c r="J265" s="52" t="n">
        <f aca="false">G265*C265</f>
        <v>-0.34381322282818</v>
      </c>
      <c r="K265" s="52" t="n">
        <f aca="false">-D265*LN(F265)-(1-D265)*LN(1-F265)</f>
        <v>0.505353232652235</v>
      </c>
    </row>
    <row r="266" customFormat="false" ht="15" hidden="false" customHeight="true" outlineLevel="0" collapsed="false">
      <c r="A266" s="50" t="str">
        <f aca="false">01_Data!A24</f>
        <v>S19</v>
      </c>
      <c r="B266" s="51" t="n">
        <f aca="false">01_Data!F24</f>
        <v>0.6</v>
      </c>
      <c r="C266" s="51" t="n">
        <f aca="false">01_Data!G24</f>
        <v>-0.866666666666667</v>
      </c>
      <c r="D266" s="51" t="n">
        <f aca="false">01_Data!D24</f>
        <v>0</v>
      </c>
      <c r="E266" s="52" t="n">
        <f aca="false">$D$246 + $F$246*B266 + $H$246*C266</f>
        <v>-0.162876714144022</v>
      </c>
      <c r="F266" s="52" t="n">
        <f aca="false">1/(1+EXP(-E266))</f>
        <v>0.459370602619436</v>
      </c>
      <c r="G266" s="52" t="n">
        <f aca="false">F266-D266</f>
        <v>0.459370602619436</v>
      </c>
      <c r="H266" s="52" t="n">
        <f aca="false">G266</f>
        <v>0.459370602619436</v>
      </c>
      <c r="I266" s="52" t="n">
        <f aca="false">G266*B266</f>
        <v>0.275622361571662</v>
      </c>
      <c r="J266" s="52" t="n">
        <f aca="false">G266*C266</f>
        <v>-0.398121188936845</v>
      </c>
      <c r="K266" s="52" t="n">
        <f aca="false">-D266*LN(F266)-(1-D266)*LN(1-F266)</f>
        <v>0.61502126744595</v>
      </c>
    </row>
    <row r="267" customFormat="false" ht="15" hidden="false" customHeight="true" outlineLevel="0" collapsed="false">
      <c r="A267" s="50" t="str">
        <f aca="false">01_Data!A25</f>
        <v>S20</v>
      </c>
      <c r="B267" s="51" t="n">
        <f aca="false">01_Data!F25</f>
        <v>1.4</v>
      </c>
      <c r="C267" s="51" t="n">
        <f aca="false">01_Data!G25</f>
        <v>-0.333333333333333</v>
      </c>
      <c r="D267" s="51" t="n">
        <f aca="false">01_Data!D25</f>
        <v>1</v>
      </c>
      <c r="E267" s="52" t="n">
        <f aca="false">$D$246 + $F$246*B267 + $H$246*C267</f>
        <v>0.841675528705668</v>
      </c>
      <c r="F267" s="52" t="n">
        <f aca="false">1/(1+EXP(-E267))</f>
        <v>0.698817984323726</v>
      </c>
      <c r="G267" s="52" t="n">
        <f aca="false">F267-D267</f>
        <v>-0.301182015676274</v>
      </c>
      <c r="H267" s="52" t="n">
        <f aca="false">G267</f>
        <v>-0.301182015676274</v>
      </c>
      <c r="I267" s="52" t="n">
        <f aca="false">G267*B267</f>
        <v>-0.421654821946784</v>
      </c>
      <c r="J267" s="52" t="n">
        <f aca="false">G267*C267</f>
        <v>0.100394005225425</v>
      </c>
      <c r="K267" s="52" t="n">
        <f aca="false">-D267*LN(F267)-(1-D267)*LN(1-F267)</f>
        <v>0.35836496504349</v>
      </c>
    </row>
    <row r="268" customFormat="false" ht="15" hidden="false" customHeight="true" outlineLevel="0" collapsed="false">
      <c r="A268" s="53" t="s">
        <v>138</v>
      </c>
      <c r="B268" s="53"/>
      <c r="C268" s="53"/>
      <c r="D268" s="53"/>
      <c r="E268" s="53"/>
      <c r="F268" s="53"/>
      <c r="G268" s="53" t="s">
        <v>139</v>
      </c>
      <c r="H268" s="54" t="n">
        <f aca="false">AVERAGE(H248:H267)</f>
        <v>-0.0231479920046586</v>
      </c>
      <c r="I268" s="54" t="n">
        <f aca="false">AVERAGE(I248:I267)</f>
        <v>-0.108210422792064</v>
      </c>
      <c r="J268" s="54" t="n">
        <f aca="false">AVERAGE(J248:J267)</f>
        <v>-0.148210309788851</v>
      </c>
      <c r="K268" s="54" t="n">
        <f aca="false">AVERAGE(K248:K267)</f>
        <v>0.353344018878586</v>
      </c>
    </row>
    <row r="269" customFormat="false" ht="21.75" hidden="false" customHeight="true" outlineLevel="0" collapsed="false">
      <c r="A269" s="47" t="s">
        <v>140</v>
      </c>
      <c r="B269" s="47"/>
      <c r="C269" s="47" t="s">
        <v>141</v>
      </c>
      <c r="D269" s="55" t="n">
        <f aca="false">$D$246 - $B$4*H268</f>
        <v>0.137422164562416</v>
      </c>
      <c r="E269" s="47" t="s">
        <v>142</v>
      </c>
      <c r="F269" s="55" t="n">
        <f aca="false">$F$246 - $B$4*I268</f>
        <v>0.749261912656916</v>
      </c>
      <c r="G269" s="47" t="s">
        <v>143</v>
      </c>
      <c r="H269" s="55" t="n">
        <f aca="false">$H$246 - $B$4*J268</f>
        <v>0.883852963948573</v>
      </c>
      <c r="I269" s="48" t="s">
        <v>144</v>
      </c>
      <c r="J269" s="48"/>
      <c r="K269" s="48"/>
    </row>
    <row r="271" customFormat="false" ht="22.5" hidden="false" customHeight="true" outlineLevel="0" collapsed="false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</row>
    <row r="272" customFormat="false" ht="15" hidden="false" customHeight="true" outlineLevel="0" collapsed="false">
      <c r="I272" s="58"/>
      <c r="J272" s="58"/>
      <c r="K272" s="58"/>
    </row>
    <row r="273" customFormat="false" ht="33.75" hidden="false" customHeight="true" outlineLevel="0" collapsed="false"/>
    <row r="294" customFormat="false" ht="15" hidden="false" customHeight="true" outlineLevel="0" collapsed="false">
      <c r="A294" s="58"/>
      <c r="B294" s="58"/>
      <c r="C294" s="58"/>
      <c r="D294" s="58"/>
      <c r="E294" s="58"/>
      <c r="F294" s="58"/>
    </row>
    <row r="295" customFormat="false" ht="21.75" hidden="false" customHeight="true" outlineLevel="0" collapsed="false">
      <c r="A295" s="58"/>
      <c r="B295" s="58"/>
      <c r="I295" s="58"/>
      <c r="J295" s="58"/>
      <c r="K295" s="58"/>
    </row>
    <row r="297" customFormat="false" ht="22.5" hidden="false" customHeight="true" outlineLevel="0" collapsed="false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</row>
    <row r="298" customFormat="false" ht="15" hidden="false" customHeight="true" outlineLevel="0" collapsed="false">
      <c r="I298" s="58"/>
      <c r="J298" s="58"/>
      <c r="K298" s="58"/>
    </row>
    <row r="299" customFormat="false" ht="33.75" hidden="false" customHeight="true" outlineLevel="0" collapsed="false"/>
    <row r="320" customFormat="false" ht="15" hidden="false" customHeight="true" outlineLevel="0" collapsed="false">
      <c r="A320" s="58"/>
      <c r="B320" s="58"/>
      <c r="C320" s="58"/>
      <c r="D320" s="58"/>
      <c r="E320" s="58"/>
      <c r="F320" s="58"/>
    </row>
    <row r="321" customFormat="false" ht="21.75" hidden="false" customHeight="true" outlineLevel="0" collapsed="false">
      <c r="A321" s="58"/>
      <c r="B321" s="58"/>
      <c r="I321" s="58"/>
      <c r="J321" s="58"/>
      <c r="K321" s="58"/>
    </row>
    <row r="323" customFormat="false" ht="22.5" hidden="false" customHeight="true" outlineLevel="0" collapsed="false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</row>
    <row r="324" customFormat="false" ht="15" hidden="false" customHeight="true" outlineLevel="0" collapsed="false">
      <c r="I324" s="58"/>
      <c r="J324" s="58"/>
      <c r="K324" s="58"/>
    </row>
    <row r="325" customFormat="false" ht="33.75" hidden="false" customHeight="true" outlineLevel="0" collapsed="false"/>
    <row r="346" customFormat="false" ht="15" hidden="false" customHeight="true" outlineLevel="0" collapsed="false">
      <c r="A346" s="58"/>
      <c r="B346" s="58"/>
      <c r="C346" s="58"/>
      <c r="D346" s="58"/>
      <c r="E346" s="58"/>
      <c r="F346" s="58"/>
    </row>
    <row r="347" customFormat="false" ht="21.75" hidden="false" customHeight="true" outlineLevel="0" collapsed="false">
      <c r="A347" s="58"/>
      <c r="B347" s="58"/>
      <c r="I347" s="58"/>
      <c r="J347" s="58"/>
      <c r="K347" s="58"/>
    </row>
    <row r="349" customFormat="false" ht="22.5" hidden="false" customHeight="true" outlineLevel="0" collapsed="false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</row>
    <row r="350" customFormat="false" ht="15" hidden="false" customHeight="true" outlineLevel="0" collapsed="false">
      <c r="I350" s="58"/>
      <c r="J350" s="58"/>
      <c r="K350" s="58"/>
    </row>
    <row r="351" customFormat="false" ht="33.75" hidden="false" customHeight="true" outlineLevel="0" collapsed="false"/>
    <row r="372" customFormat="false" ht="15" hidden="false" customHeight="true" outlineLevel="0" collapsed="false">
      <c r="A372" s="58"/>
      <c r="B372" s="58"/>
      <c r="C372" s="58"/>
      <c r="D372" s="58"/>
      <c r="E372" s="58"/>
      <c r="F372" s="58"/>
    </row>
    <row r="373" customFormat="false" ht="21.75" hidden="false" customHeight="true" outlineLevel="0" collapsed="false">
      <c r="A373" s="58"/>
      <c r="B373" s="58"/>
      <c r="I373" s="58"/>
      <c r="J373" s="58"/>
      <c r="K373" s="58"/>
    </row>
    <row r="375" customFormat="false" ht="22.5" hidden="false" customHeight="true" outlineLevel="0" collapsed="false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</row>
    <row r="376" customFormat="false" ht="15" hidden="false" customHeight="true" outlineLevel="0" collapsed="false">
      <c r="I376" s="58"/>
      <c r="J376" s="58"/>
      <c r="K376" s="58"/>
    </row>
    <row r="377" customFormat="false" ht="33.75" hidden="false" customHeight="true" outlineLevel="0" collapsed="false"/>
    <row r="398" customFormat="false" ht="15" hidden="false" customHeight="true" outlineLevel="0" collapsed="false">
      <c r="A398" s="58"/>
      <c r="B398" s="58"/>
      <c r="C398" s="58"/>
      <c r="D398" s="58"/>
      <c r="E398" s="58"/>
      <c r="F398" s="58"/>
    </row>
    <row r="399" customFormat="false" ht="21.75" hidden="false" customHeight="true" outlineLevel="0" collapsed="false">
      <c r="A399" s="58"/>
      <c r="B399" s="58"/>
      <c r="I399" s="58"/>
      <c r="J399" s="58"/>
      <c r="K399" s="58"/>
    </row>
    <row r="401" customFormat="false" ht="22.5" hidden="false" customHeight="true" outlineLevel="0" collapsed="false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</row>
    <row r="402" customFormat="false" ht="15" hidden="false" customHeight="true" outlineLevel="0" collapsed="false">
      <c r="I402" s="58"/>
      <c r="J402" s="58"/>
      <c r="K402" s="58"/>
    </row>
    <row r="403" customFormat="false" ht="33.75" hidden="false" customHeight="true" outlineLevel="0" collapsed="false"/>
    <row r="424" customFormat="false" ht="15" hidden="false" customHeight="true" outlineLevel="0" collapsed="false">
      <c r="A424" s="58"/>
      <c r="B424" s="58"/>
      <c r="C424" s="58"/>
      <c r="D424" s="58"/>
      <c r="E424" s="58"/>
      <c r="F424" s="58"/>
    </row>
    <row r="425" customFormat="false" ht="21.75" hidden="false" customHeight="true" outlineLevel="0" collapsed="false">
      <c r="A425" s="58"/>
      <c r="B425" s="58"/>
      <c r="I425" s="58"/>
      <c r="J425" s="58"/>
      <c r="K425" s="58"/>
    </row>
    <row r="427" customFormat="false" ht="22.5" hidden="false" customHeight="true" outlineLevel="0" collapsed="false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</row>
    <row r="428" customFormat="false" ht="15" hidden="false" customHeight="true" outlineLevel="0" collapsed="false">
      <c r="I428" s="58"/>
      <c r="J428" s="58"/>
      <c r="K428" s="58"/>
    </row>
    <row r="429" customFormat="false" ht="33.75" hidden="false" customHeight="true" outlineLevel="0" collapsed="false"/>
    <row r="450" customFormat="false" ht="15" hidden="false" customHeight="true" outlineLevel="0" collapsed="false">
      <c r="A450" s="58"/>
      <c r="B450" s="58"/>
      <c r="C450" s="58"/>
      <c r="D450" s="58"/>
      <c r="E450" s="58"/>
      <c r="F450" s="58"/>
    </row>
    <row r="451" customFormat="false" ht="21.75" hidden="false" customHeight="true" outlineLevel="0" collapsed="false">
      <c r="A451" s="58"/>
      <c r="B451" s="58"/>
      <c r="I451" s="58"/>
      <c r="J451" s="58"/>
      <c r="K451" s="58"/>
    </row>
    <row r="453" customFormat="false" ht="22.5" hidden="false" customHeight="true" outlineLevel="0" collapsed="false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</row>
    <row r="454" customFormat="false" ht="15" hidden="false" customHeight="true" outlineLevel="0" collapsed="false">
      <c r="I454" s="58"/>
      <c r="J454" s="58"/>
      <c r="K454" s="58"/>
    </row>
    <row r="455" customFormat="false" ht="33.75" hidden="false" customHeight="true" outlineLevel="0" collapsed="false"/>
    <row r="476" customFormat="false" ht="15" hidden="false" customHeight="true" outlineLevel="0" collapsed="false">
      <c r="A476" s="58"/>
      <c r="B476" s="58"/>
      <c r="C476" s="58"/>
      <c r="D476" s="58"/>
      <c r="E476" s="58"/>
      <c r="F476" s="58"/>
    </row>
    <row r="477" customFormat="false" ht="21.75" hidden="false" customHeight="true" outlineLevel="0" collapsed="false">
      <c r="A477" s="58"/>
      <c r="B477" s="58"/>
      <c r="I477" s="58"/>
      <c r="J477" s="58"/>
      <c r="K477" s="58"/>
    </row>
    <row r="479" customFormat="false" ht="22.5" hidden="false" customHeight="true" outlineLevel="0" collapsed="false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</row>
    <row r="480" customFormat="false" ht="15" hidden="false" customHeight="true" outlineLevel="0" collapsed="false">
      <c r="I480" s="58"/>
      <c r="J480" s="58"/>
      <c r="K480" s="58"/>
    </row>
    <row r="481" customFormat="false" ht="33.75" hidden="false" customHeight="true" outlineLevel="0" collapsed="false"/>
    <row r="502" customFormat="false" ht="15" hidden="false" customHeight="true" outlineLevel="0" collapsed="false">
      <c r="A502" s="58"/>
      <c r="B502" s="58"/>
      <c r="C502" s="58"/>
      <c r="D502" s="58"/>
      <c r="E502" s="58"/>
      <c r="F502" s="58"/>
    </row>
    <row r="503" customFormat="false" ht="21.75" hidden="false" customHeight="true" outlineLevel="0" collapsed="false">
      <c r="A503" s="58"/>
      <c r="B503" s="58"/>
      <c r="I503" s="58"/>
      <c r="J503" s="58"/>
      <c r="K503" s="58"/>
    </row>
    <row r="505" customFormat="false" ht="22.5" hidden="false" customHeight="true" outlineLevel="0" collapsed="false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</row>
    <row r="506" customFormat="false" ht="15" hidden="false" customHeight="true" outlineLevel="0" collapsed="false">
      <c r="I506" s="58"/>
      <c r="J506" s="58"/>
      <c r="K506" s="58"/>
    </row>
    <row r="507" customFormat="false" ht="33.75" hidden="false" customHeight="true" outlineLevel="0" collapsed="false"/>
    <row r="528" customFormat="false" ht="15" hidden="false" customHeight="true" outlineLevel="0" collapsed="false">
      <c r="A528" s="58"/>
      <c r="B528" s="58"/>
      <c r="C528" s="58"/>
      <c r="D528" s="58"/>
      <c r="E528" s="58"/>
      <c r="F528" s="58"/>
    </row>
    <row r="529" customFormat="false" ht="21.75" hidden="false" customHeight="true" outlineLevel="0" collapsed="false">
      <c r="A529" s="58"/>
      <c r="B529" s="58"/>
      <c r="I529" s="58"/>
      <c r="J529" s="58"/>
      <c r="K529" s="58"/>
    </row>
  </sheetData>
  <mergeCells count="104">
    <mergeCell ref="A1:K1"/>
    <mergeCell ref="A2:K2"/>
    <mergeCell ref="A3:F3"/>
    <mergeCell ref="A9:K10"/>
    <mergeCell ref="A11:K11"/>
    <mergeCell ref="I12:K12"/>
    <mergeCell ref="A34:F34"/>
    <mergeCell ref="A35:B35"/>
    <mergeCell ref="I35:K35"/>
    <mergeCell ref="A37:K37"/>
    <mergeCell ref="I38:K38"/>
    <mergeCell ref="A60:F60"/>
    <mergeCell ref="A61:B61"/>
    <mergeCell ref="I61:K61"/>
    <mergeCell ref="A63:K63"/>
    <mergeCell ref="I64:K64"/>
    <mergeCell ref="A86:F86"/>
    <mergeCell ref="A87:B87"/>
    <mergeCell ref="I87:K87"/>
    <mergeCell ref="A89:K89"/>
    <mergeCell ref="I90:K90"/>
    <mergeCell ref="A112:F112"/>
    <mergeCell ref="A113:B113"/>
    <mergeCell ref="I113:K113"/>
    <mergeCell ref="A115:K115"/>
    <mergeCell ref="I116:K116"/>
    <mergeCell ref="A138:F138"/>
    <mergeCell ref="A139:B139"/>
    <mergeCell ref="I139:K139"/>
    <mergeCell ref="A141:K141"/>
    <mergeCell ref="I142:K142"/>
    <mergeCell ref="A164:F164"/>
    <mergeCell ref="A165:B165"/>
    <mergeCell ref="I165:K165"/>
    <mergeCell ref="A167:K167"/>
    <mergeCell ref="I168:K168"/>
    <mergeCell ref="A190:F190"/>
    <mergeCell ref="A191:B191"/>
    <mergeCell ref="I191:K191"/>
    <mergeCell ref="A193:K193"/>
    <mergeCell ref="I194:K194"/>
    <mergeCell ref="A216:F216"/>
    <mergeCell ref="A217:B217"/>
    <mergeCell ref="I217:K217"/>
    <mergeCell ref="A219:K219"/>
    <mergeCell ref="I220:K220"/>
    <mergeCell ref="A242:F242"/>
    <mergeCell ref="A243:B243"/>
    <mergeCell ref="I243:K243"/>
    <mergeCell ref="A245:K245"/>
    <mergeCell ref="I246:K246"/>
    <mergeCell ref="A268:F268"/>
    <mergeCell ref="A269:B269"/>
    <mergeCell ref="I269:K269"/>
    <mergeCell ref="A271:K271"/>
    <mergeCell ref="I272:K272"/>
    <mergeCell ref="A294:F294"/>
    <mergeCell ref="A295:B295"/>
    <mergeCell ref="I295:K295"/>
    <mergeCell ref="A297:K297"/>
    <mergeCell ref="I298:K298"/>
    <mergeCell ref="A320:F320"/>
    <mergeCell ref="A321:B321"/>
    <mergeCell ref="I321:K321"/>
    <mergeCell ref="A323:K323"/>
    <mergeCell ref="I324:K324"/>
    <mergeCell ref="A346:F346"/>
    <mergeCell ref="A347:B347"/>
    <mergeCell ref="I347:K347"/>
    <mergeCell ref="A349:K349"/>
    <mergeCell ref="I350:K350"/>
    <mergeCell ref="A372:F372"/>
    <mergeCell ref="A373:B373"/>
    <mergeCell ref="I373:K373"/>
    <mergeCell ref="A375:K375"/>
    <mergeCell ref="I376:K376"/>
    <mergeCell ref="A398:F398"/>
    <mergeCell ref="A399:B399"/>
    <mergeCell ref="I399:K399"/>
    <mergeCell ref="A401:K401"/>
    <mergeCell ref="I402:K402"/>
    <mergeCell ref="A424:F424"/>
    <mergeCell ref="A425:B425"/>
    <mergeCell ref="I425:K425"/>
    <mergeCell ref="A427:K427"/>
    <mergeCell ref="I428:K428"/>
    <mergeCell ref="A450:F450"/>
    <mergeCell ref="A451:B451"/>
    <mergeCell ref="I451:K451"/>
    <mergeCell ref="A453:K453"/>
    <mergeCell ref="I454:K454"/>
    <mergeCell ref="A476:F476"/>
    <mergeCell ref="A477:B477"/>
    <mergeCell ref="I477:K477"/>
    <mergeCell ref="A479:K479"/>
    <mergeCell ref="I480:K480"/>
    <mergeCell ref="A502:F502"/>
    <mergeCell ref="A503:B503"/>
    <mergeCell ref="I503:K503"/>
    <mergeCell ref="A505:K505"/>
    <mergeCell ref="I506:K506"/>
    <mergeCell ref="A528:F528"/>
    <mergeCell ref="A529:B529"/>
    <mergeCell ref="I529:K529"/>
  </mergeCells>
  <dataValidations count="1">
    <dataValidation allowBlank="false" error="Learning rate ต้องอยู่ระหว่าง 0.01 ถึง 1.00" errorStyle="stop" errorTitle="ค่าที่กรอกไม่ถูกต้อง" operator="between" prompt="กรอกค่าระหว่าง 0.01 ถึง 1.00" promptTitle="Learning rate" showDropDown="false" showErrorMessage="true" showInputMessage="false" sqref="B4" type="decimal">
      <formula1>0.01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1" width="13"/>
  </cols>
  <sheetData>
    <row r="1" customFormat="false" ht="33.75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4.7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33.75" hidden="false" customHeight="true" outlineLevel="0" collapsed="false">
      <c r="A5" s="18" t="s">
        <v>123</v>
      </c>
      <c r="B5" s="18" t="s">
        <v>156</v>
      </c>
      <c r="C5" s="18" t="s">
        <v>157</v>
      </c>
      <c r="D5" s="18" t="s">
        <v>158</v>
      </c>
      <c r="E5" s="18" t="s">
        <v>159</v>
      </c>
      <c r="F5" s="18" t="s">
        <v>160</v>
      </c>
      <c r="G5" s="18" t="s">
        <v>161</v>
      </c>
      <c r="H5" s="18" t="s">
        <v>162</v>
      </c>
      <c r="I5" s="18" t="s">
        <v>163</v>
      </c>
      <c r="J5" s="18" t="s">
        <v>164</v>
      </c>
      <c r="K5" s="18" t="s">
        <v>165</v>
      </c>
    </row>
    <row r="6" customFormat="false" ht="22.5" hidden="false" customHeight="true" outlineLevel="0" collapsed="false">
      <c r="A6" s="59" t="n">
        <v>1</v>
      </c>
      <c r="B6" s="51" t="n">
        <f aca="false">IF(02_Training_Detail!D12="","",02_Training_Detail!D12)</f>
        <v>0</v>
      </c>
      <c r="C6" s="51" t="n">
        <f aca="false">IF(02_Training_Detail!F12="","",02_Training_Detail!F12)</f>
        <v>0</v>
      </c>
      <c r="D6" s="51" t="n">
        <f aca="false">IF(02_Training_Detail!H12="","",02_Training_Detail!H12)</f>
        <v>0</v>
      </c>
      <c r="E6" s="51" t="n">
        <f aca="false">IF(02_Training_Detail!K34="","",02_Training_Detail!K34)</f>
        <v>0.693147180559945</v>
      </c>
      <c r="F6" s="51" t="n">
        <f aca="false">IF(02_Training_Detail!H34="","",02_Training_Detail!H34)</f>
        <v>-0.05</v>
      </c>
      <c r="G6" s="51" t="n">
        <f aca="false">IF(02_Training_Detail!I34="","",02_Training_Detail!I34)</f>
        <v>-0.32</v>
      </c>
      <c r="H6" s="51" t="n">
        <f aca="false">IF(02_Training_Detail!J34="","",02_Training_Detail!J34)</f>
        <v>-0.341666666666667</v>
      </c>
      <c r="I6" s="51" t="n">
        <f aca="false">IF(02_Training_Detail!D35="","",02_Training_Detail!D35)</f>
        <v>0.02</v>
      </c>
      <c r="J6" s="51" t="n">
        <f aca="false">IF(02_Training_Detail!F35="","",02_Training_Detail!F35)</f>
        <v>0.128</v>
      </c>
      <c r="K6" s="51" t="n">
        <f aca="false">IF(02_Training_Detail!H35="","",02_Training_Detail!H35)</f>
        <v>0.136666666666667</v>
      </c>
    </row>
    <row r="7" customFormat="false" ht="22.5" hidden="false" customHeight="true" outlineLevel="0" collapsed="false">
      <c r="A7" s="60" t="n">
        <v>2</v>
      </c>
      <c r="B7" s="61" t="n">
        <f aca="false">IF(02_Training_Detail!D38="","",02_Training_Detail!D38)</f>
        <v>0.02</v>
      </c>
      <c r="C7" s="61" t="n">
        <f aca="false">IF(02_Training_Detail!F38="","",02_Training_Detail!F38)</f>
        <v>0.128</v>
      </c>
      <c r="D7" s="61" t="n">
        <f aca="false">IF(02_Training_Detail!H38="","",02_Training_Detail!H38)</f>
        <v>0.136666666666667</v>
      </c>
      <c r="E7" s="61" t="n">
        <f aca="false">IF(02_Training_Detail!K60="","",02_Training_Detail!K60)</f>
        <v>0.610370559193259</v>
      </c>
      <c r="F7" s="61" t="n">
        <f aca="false">IF(02_Training_Detail!H60="","",02_Training_Detail!H60)</f>
        <v>-0.0453185332818504</v>
      </c>
      <c r="G7" s="61" t="n">
        <f aca="false">IF(02_Training_Detail!I60="","",02_Training_Detail!I60)</f>
        <v>-0.273847966946252</v>
      </c>
      <c r="H7" s="61" t="n">
        <f aca="false">IF(02_Training_Detail!J60="","",02_Training_Detail!J60)</f>
        <v>-0.299935947029398</v>
      </c>
      <c r="I7" s="61" t="n">
        <f aca="false">IF(02_Training_Detail!D61="","",02_Training_Detail!D61)</f>
        <v>0.0381274133127402</v>
      </c>
      <c r="J7" s="61" t="n">
        <f aca="false">IF(02_Training_Detail!F61="","",02_Training_Detail!F61)</f>
        <v>0.237539186778501</v>
      </c>
      <c r="K7" s="61" t="n">
        <f aca="false">IF(02_Training_Detail!H61="","",02_Training_Detail!H61)</f>
        <v>0.256641045478426</v>
      </c>
    </row>
    <row r="8" customFormat="false" ht="22.5" hidden="false" customHeight="true" outlineLevel="0" collapsed="false">
      <c r="A8" s="59" t="n">
        <v>3</v>
      </c>
      <c r="B8" s="51" t="n">
        <f aca="false">IF(02_Training_Detail!D64="","",02_Training_Detail!D64)</f>
        <v>0.0381274133127402</v>
      </c>
      <c r="C8" s="51" t="n">
        <f aca="false">IF(02_Training_Detail!F64="","",02_Training_Detail!F64)</f>
        <v>0.237539186778501</v>
      </c>
      <c r="D8" s="51" t="n">
        <f aca="false">IF(02_Training_Detail!H64="","",02_Training_Detail!H64)</f>
        <v>0.256641045478426</v>
      </c>
      <c r="E8" s="51" t="n">
        <f aca="false">IF(02_Training_Detail!K86="","",02_Training_Detail!K86)</f>
        <v>0.547812041491201</v>
      </c>
      <c r="F8" s="51" t="n">
        <f aca="false">IF(02_Training_Detail!H86="","",02_Training_Detail!H86)</f>
        <v>-0.0411495608873272</v>
      </c>
      <c r="G8" s="51" t="n">
        <f aca="false">IF(02_Training_Detail!I86="","",02_Training_Detail!I86)</f>
        <v>-0.235717886556906</v>
      </c>
      <c r="H8" s="51" t="n">
        <f aca="false">IF(02_Training_Detail!J86="","",02_Training_Detail!J86)</f>
        <v>-0.265359733671239</v>
      </c>
      <c r="I8" s="51" t="n">
        <f aca="false">IF(02_Training_Detail!D87="","",02_Training_Detail!D87)</f>
        <v>0.0545872376676711</v>
      </c>
      <c r="J8" s="51" t="n">
        <f aca="false">IF(02_Training_Detail!F87="","",02_Training_Detail!F87)</f>
        <v>0.331826341401263</v>
      </c>
      <c r="K8" s="51" t="n">
        <f aca="false">IF(02_Training_Detail!H87="","",02_Training_Detail!H87)</f>
        <v>0.362784938946922</v>
      </c>
    </row>
    <row r="9" customFormat="false" ht="22.5" hidden="false" customHeight="true" outlineLevel="0" collapsed="false">
      <c r="A9" s="60" t="n">
        <v>4</v>
      </c>
      <c r="B9" s="61" t="n">
        <f aca="false">IF(02_Training_Detail!D90="","",02_Training_Detail!D90)</f>
        <v>0.0545872376676711</v>
      </c>
      <c r="C9" s="61" t="n">
        <f aca="false">IF(02_Training_Detail!F90="","",02_Training_Detail!F90)</f>
        <v>0.331826341401263</v>
      </c>
      <c r="D9" s="61" t="n">
        <f aca="false">IF(02_Training_Detail!H90="","",02_Training_Detail!H90)</f>
        <v>0.362784938946922</v>
      </c>
      <c r="E9" s="61" t="n">
        <f aca="false">IF(02_Training_Detail!K112="","",02_Training_Detail!K112)</f>
        <v>0.499757479635012</v>
      </c>
      <c r="F9" s="61" t="n">
        <f aca="false">IF(02_Training_Detail!H112="","",02_Training_Detail!H112)</f>
        <v>-0.0374855037900367</v>
      </c>
      <c r="G9" s="61" t="n">
        <f aca="false">IF(02_Training_Detail!I112="","",02_Training_Detail!I112)</f>
        <v>-0.204867412241002</v>
      </c>
      <c r="H9" s="61" t="n">
        <f aca="false">IF(02_Training_Detail!J112="","",02_Training_Detail!J112)</f>
        <v>-0.23730766247722</v>
      </c>
      <c r="I9" s="61" t="n">
        <f aca="false">IF(02_Training_Detail!D113="","",02_Training_Detail!D113)</f>
        <v>0.0695814391836857</v>
      </c>
      <c r="J9" s="61" t="n">
        <f aca="false">IF(02_Training_Detail!F113="","",02_Training_Detail!F113)</f>
        <v>0.413773306297664</v>
      </c>
      <c r="K9" s="61" t="n">
        <f aca="false">IF(02_Training_Detail!H113="","",02_Training_Detail!H113)</f>
        <v>0.45770800393781</v>
      </c>
    </row>
    <row r="10" customFormat="false" ht="22.5" hidden="false" customHeight="true" outlineLevel="0" collapsed="false">
      <c r="A10" s="59" t="n">
        <v>5</v>
      </c>
      <c r="B10" s="51" t="n">
        <f aca="false">IF(02_Training_Detail!D116="","",02_Training_Detail!D116)</f>
        <v>0.0695814391836857</v>
      </c>
      <c r="C10" s="51" t="n">
        <f aca="false">IF(02_Training_Detail!F116="","",02_Training_Detail!F116)</f>
        <v>0.413773306297664</v>
      </c>
      <c r="D10" s="51" t="n">
        <f aca="false">IF(02_Training_Detail!H116="","",02_Training_Detail!H116)</f>
        <v>0.45770800393781</v>
      </c>
      <c r="E10" s="51" t="n">
        <f aca="false">IF(02_Training_Detail!K138="","",02_Training_Detail!K138)</f>
        <v>0.46203398711501</v>
      </c>
      <c r="F10" s="51" t="n">
        <f aca="false">IF(02_Training_Detail!H138="","",02_Training_Detail!H138)</f>
        <v>-0.0342794092885921</v>
      </c>
      <c r="G10" s="51" t="n">
        <f aca="false">IF(02_Training_Detail!I138="","",02_Training_Detail!I138)</f>
        <v>-0.179985515174365</v>
      </c>
      <c r="H10" s="51" t="n">
        <f aca="false">IF(02_Training_Detail!J138="","",02_Training_Detail!J138)</f>
        <v>-0.214609103146082</v>
      </c>
      <c r="I10" s="51" t="n">
        <f aca="false">IF(02_Training_Detail!D139="","",02_Training_Detail!D139)</f>
        <v>0.0832932028991226</v>
      </c>
      <c r="J10" s="51" t="n">
        <f aca="false">IF(02_Training_Detail!F139="","",02_Training_Detail!F139)</f>
        <v>0.48576751236741</v>
      </c>
      <c r="K10" s="51" t="n">
        <f aca="false">IF(02_Training_Detail!H139="","",02_Training_Detail!H139)</f>
        <v>0.543551645196243</v>
      </c>
    </row>
    <row r="11" customFormat="false" ht="22.5" hidden="false" customHeight="true" outlineLevel="0" collapsed="false">
      <c r="A11" s="60" t="n">
        <v>6</v>
      </c>
      <c r="B11" s="61" t="n">
        <f aca="false">IF(02_Training_Detail!D142="","",02_Training_Detail!D142)</f>
        <v>0.0832932028991226</v>
      </c>
      <c r="C11" s="61" t="n">
        <f aca="false">IF(02_Training_Detail!F142="","",02_Training_Detail!F142)</f>
        <v>0.48576751236741</v>
      </c>
      <c r="D11" s="61" t="n">
        <f aca="false">IF(02_Training_Detail!H142="","",02_Training_Detail!H142)</f>
        <v>0.543551645196243</v>
      </c>
      <c r="E11" s="61" t="n">
        <f aca="false">IF(02_Training_Detail!K164="","",02_Training_Detail!K164)</f>
        <v>0.43174679159473</v>
      </c>
      <c r="F11" s="61" t="n">
        <f aca="false">IF(02_Training_Detail!H164="","",02_Training_Detail!H164)</f>
        <v>-0.0314712746997149</v>
      </c>
      <c r="G11" s="61" t="n">
        <f aca="false">IF(02_Training_Detail!I164="","",02_Training_Detail!I164)</f>
        <v>-0.159793735580239</v>
      </c>
      <c r="H11" s="61" t="n">
        <f aca="false">IF(02_Training_Detail!J164="","",02_Training_Detail!J164)</f>
        <v>-0.196113654427034</v>
      </c>
      <c r="I11" s="61" t="n">
        <f aca="false">IF(02_Training_Detail!D165="","",02_Training_Detail!D165)</f>
        <v>0.0958817127790086</v>
      </c>
      <c r="J11" s="61" t="n">
        <f aca="false">IF(02_Training_Detail!F165="","",02_Training_Detail!F165)</f>
        <v>0.549685006599506</v>
      </c>
      <c r="K11" s="61" t="n">
        <f aca="false">IF(02_Training_Detail!H165="","",02_Training_Detail!H165)</f>
        <v>0.621997106967056</v>
      </c>
    </row>
    <row r="12" customFormat="false" ht="22.5" hidden="false" customHeight="true" outlineLevel="0" collapsed="false">
      <c r="A12" s="59" t="n">
        <v>7</v>
      </c>
      <c r="B12" s="51" t="n">
        <f aca="false">IF(02_Training_Detail!D168="","",02_Training_Detail!D168)</f>
        <v>0.0958817127790086</v>
      </c>
      <c r="C12" s="51" t="n">
        <f aca="false">IF(02_Training_Detail!F168="","",02_Training_Detail!F168)</f>
        <v>0.549685006599506</v>
      </c>
      <c r="D12" s="51" t="n">
        <f aca="false">IF(02_Training_Detail!H168="","",02_Training_Detail!H168)</f>
        <v>0.621997106967056</v>
      </c>
      <c r="E12" s="51" t="n">
        <f aca="false">IF(02_Training_Detail!K190="","",02_Training_Detail!K190)</f>
        <v>0.406912388541915</v>
      </c>
      <c r="F12" s="51" t="n">
        <f aca="false">IF(02_Training_Detail!H190="","",02_Training_Detail!H190)</f>
        <v>-0.0290022087130548</v>
      </c>
      <c r="G12" s="51" t="n">
        <f aca="false">IF(02_Training_Detail!I190="","",02_Training_Detail!I190)</f>
        <v>-0.143238935424697</v>
      </c>
      <c r="H12" s="51" t="n">
        <f aca="false">IF(02_Training_Detail!J190="","",02_Training_Detail!J190)</f>
        <v>-0.180872444747632</v>
      </c>
      <c r="I12" s="51" t="n">
        <f aca="false">IF(02_Training_Detail!D191="","",02_Training_Detail!D191)</f>
        <v>0.10748259626423</v>
      </c>
      <c r="J12" s="51" t="n">
        <f aca="false">IF(02_Training_Detail!F191="","",02_Training_Detail!F191)</f>
        <v>0.606980580769384</v>
      </c>
      <c r="K12" s="51" t="n">
        <f aca="false">IF(02_Training_Detail!H191="","",02_Training_Detail!H191)</f>
        <v>0.694346084866109</v>
      </c>
    </row>
    <row r="13" customFormat="false" ht="22.5" hidden="false" customHeight="true" outlineLevel="0" collapsed="false">
      <c r="A13" s="60" t="n">
        <v>8</v>
      </c>
      <c r="B13" s="61" t="n">
        <f aca="false">IF(02_Training_Detail!D194="","",02_Training_Detail!D194)</f>
        <v>0.10748259626423</v>
      </c>
      <c r="C13" s="61" t="n">
        <f aca="false">IF(02_Training_Detail!F194="","",02_Training_Detail!F194)</f>
        <v>0.606980580769384</v>
      </c>
      <c r="D13" s="61" t="n">
        <f aca="false">IF(02_Training_Detail!H194="","",02_Training_Detail!H194)</f>
        <v>0.694346084866109</v>
      </c>
      <c r="E13" s="61" t="n">
        <f aca="false">IF(02_Training_Detail!K216="","",02_Training_Detail!K216)</f>
        <v>0.386161755063828</v>
      </c>
      <c r="F13" s="61" t="n">
        <f aca="false">IF(02_Training_Detail!H216="","",02_Training_Detail!H216)</f>
        <v>-0.0268200844855483</v>
      </c>
      <c r="G13" s="61" t="n">
        <f aca="false">IF(02_Training_Detail!I216="","",02_Training_Detail!I216)</f>
        <v>-0.129507557426642</v>
      </c>
      <c r="H13" s="61" t="n">
        <f aca="false">IF(02_Training_Detail!J216="","",02_Training_Detail!J216)</f>
        <v>-0.168153121750648</v>
      </c>
      <c r="I13" s="61" t="n">
        <f aca="false">IF(02_Training_Detail!D217="","",02_Training_Detail!D217)</f>
        <v>0.11821063005845</v>
      </c>
      <c r="J13" s="61" t="n">
        <f aca="false">IF(02_Training_Detail!F217="","",02_Training_Detail!F217)</f>
        <v>0.658783603740041</v>
      </c>
      <c r="K13" s="61" t="n">
        <f aca="false">IF(02_Training_Detail!H217="","",02_Training_Detail!H217)</f>
        <v>0.761607333566368</v>
      </c>
    </row>
    <row r="14" customFormat="false" ht="22.5" hidden="false" customHeight="true" outlineLevel="0" collapsed="false">
      <c r="A14" s="59" t="n">
        <v>9</v>
      </c>
      <c r="B14" s="51" t="n">
        <f aca="false">IF(02_Training_Detail!D220="","",02_Training_Detail!D220)</f>
        <v>0.11821063005845</v>
      </c>
      <c r="C14" s="51" t="n">
        <f aca="false">IF(02_Training_Detail!F220="","",02_Training_Detail!F220)</f>
        <v>0.658783603740041</v>
      </c>
      <c r="D14" s="51" t="n">
        <f aca="false">IF(02_Training_Detail!H220="","",02_Training_Detail!H220)</f>
        <v>0.761607333566368</v>
      </c>
      <c r="E14" s="51" t="n">
        <f aca="false">IF(02_Training_Detail!K242="","",02_Training_Detail!K242)</f>
        <v>0.368534587978548</v>
      </c>
      <c r="F14" s="51" t="n">
        <f aca="false">IF(02_Training_Detail!H242="","",02_Training_Detail!H242)</f>
        <v>-0.0248808442552578</v>
      </c>
      <c r="G14" s="51" t="n">
        <f aca="false">IF(02_Training_Detail!I242="","",02_Training_Detail!I242)</f>
        <v>-0.117985349500122</v>
      </c>
      <c r="H14" s="51" t="n">
        <f aca="false">IF(02_Training_Detail!J242="","",02_Training_Detail!J242)</f>
        <v>-0.157403766166662</v>
      </c>
      <c r="I14" s="51" t="n">
        <f aca="false">IF(02_Training_Detail!D243="","",02_Training_Detail!D243)</f>
        <v>0.128162967760553</v>
      </c>
      <c r="J14" s="51" t="n">
        <f aca="false">IF(02_Training_Detail!F243="","",02_Training_Detail!F243)</f>
        <v>0.70597774354009</v>
      </c>
      <c r="K14" s="51" t="n">
        <f aca="false">IF(02_Training_Detail!H243="","",02_Training_Detail!H243)</f>
        <v>0.824568840033033</v>
      </c>
    </row>
    <row r="15" customFormat="false" ht="22.5" hidden="false" customHeight="true" outlineLevel="0" collapsed="false">
      <c r="A15" s="60" t="n">
        <v>10</v>
      </c>
      <c r="B15" s="61" t="n">
        <f aca="false">IF(02_Training_Detail!D246="","",02_Training_Detail!D246)</f>
        <v>0.128162967760553</v>
      </c>
      <c r="C15" s="61" t="n">
        <f aca="false">IF(02_Training_Detail!F246="","",02_Training_Detail!F246)</f>
        <v>0.70597774354009</v>
      </c>
      <c r="D15" s="61" t="n">
        <f aca="false">IF(02_Training_Detail!H246="","",02_Training_Detail!H246)</f>
        <v>0.824568840033033</v>
      </c>
      <c r="E15" s="61" t="n">
        <f aca="false">IF(02_Training_Detail!K268="","",02_Training_Detail!K268)</f>
        <v>0.353344018878586</v>
      </c>
      <c r="F15" s="61" t="n">
        <f aca="false">IF(02_Training_Detail!H268="","",02_Training_Detail!H268)</f>
        <v>-0.0231479920046586</v>
      </c>
      <c r="G15" s="61" t="n">
        <f aca="false">IF(02_Training_Detail!I268="","",02_Training_Detail!I268)</f>
        <v>-0.108210422792064</v>
      </c>
      <c r="H15" s="61" t="n">
        <f aca="false">IF(02_Training_Detail!J268="","",02_Training_Detail!J268)</f>
        <v>-0.148210309788851</v>
      </c>
      <c r="I15" s="61" t="n">
        <f aca="false">IF(02_Training_Detail!D269="","",02_Training_Detail!D269)</f>
        <v>0.137422164562416</v>
      </c>
      <c r="J15" s="61" t="n">
        <f aca="false">IF(02_Training_Detail!F269="","",02_Training_Detail!F269)</f>
        <v>0.749261912656916</v>
      </c>
      <c r="K15" s="61" t="n">
        <f aca="false">IF(02_Training_Detail!H269="","",02_Training_Detail!H269)</f>
        <v>0.883852963948573</v>
      </c>
    </row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>
      <c r="A18" s="62" t="s">
        <v>166</v>
      </c>
    </row>
    <row r="19" customFormat="false" ht="22.5" hidden="false" customHeight="true" outlineLevel="0" collapsed="false">
      <c r="A19" s="9" t="s">
        <v>167</v>
      </c>
      <c r="B19" s="63" t="n">
        <f aca="false">I15</f>
        <v>0.137422164562416</v>
      </c>
      <c r="D19" s="64" t="s">
        <v>168</v>
      </c>
      <c r="E19" s="65"/>
      <c r="F19" s="65"/>
      <c r="G19" s="65"/>
      <c r="H19" s="65"/>
      <c r="I19" s="65"/>
      <c r="J19" s="65"/>
      <c r="K19" s="65"/>
    </row>
    <row r="20" customFormat="false" ht="22.5" hidden="false" customHeight="true" outlineLevel="0" collapsed="false">
      <c r="A20" s="9" t="s">
        <v>169</v>
      </c>
      <c r="B20" s="63" t="n">
        <f aca="false">J15</f>
        <v>0.749261912656916</v>
      </c>
      <c r="D20" s="64" t="s">
        <v>170</v>
      </c>
      <c r="E20" s="65"/>
      <c r="F20" s="65"/>
      <c r="G20" s="65"/>
      <c r="H20" s="65"/>
      <c r="I20" s="65"/>
      <c r="J20" s="65"/>
      <c r="K20" s="65"/>
    </row>
    <row r="21" customFormat="false" ht="22.5" hidden="false" customHeight="true" outlineLevel="0" collapsed="false">
      <c r="A21" s="9" t="s">
        <v>171</v>
      </c>
      <c r="B21" s="63" t="n">
        <f aca="false">K15</f>
        <v>0.883852963948573</v>
      </c>
      <c r="D21" s="66" t="s">
        <v>172</v>
      </c>
      <c r="E21" s="65"/>
      <c r="F21" s="65"/>
      <c r="G21" s="65"/>
      <c r="H21" s="65"/>
      <c r="I21" s="65"/>
      <c r="J21" s="65"/>
      <c r="K21" s="65"/>
    </row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8" customFormat="false" ht="22.5" hidden="false" customHeight="true" outlineLevel="0" collapsed="false">
      <c r="A28" s="58"/>
      <c r="B28" s="58"/>
      <c r="C28" s="58"/>
      <c r="D28" s="58"/>
      <c r="E28" s="58"/>
    </row>
    <row r="29" customFormat="false" ht="15" hidden="false" customHeight="true" outlineLevel="0" collapsed="false">
      <c r="D29" s="58"/>
      <c r="E29" s="58"/>
      <c r="F29" s="58"/>
      <c r="G29" s="58"/>
      <c r="H29" s="58"/>
      <c r="I29" s="58"/>
      <c r="J29" s="58"/>
      <c r="K29" s="58"/>
    </row>
    <row r="30" customFormat="false" ht="15" hidden="false" customHeight="true" outlineLevel="0" collapsed="false">
      <c r="D30" s="58"/>
      <c r="E30" s="58"/>
      <c r="F30" s="58"/>
      <c r="G30" s="58"/>
      <c r="H30" s="58"/>
      <c r="I30" s="58"/>
      <c r="J30" s="58"/>
      <c r="K30" s="58"/>
    </row>
    <row r="31" customFormat="false" ht="15" hidden="false" customHeight="true" outlineLevel="0" collapsed="false">
      <c r="D31" s="58"/>
      <c r="E31" s="58"/>
      <c r="F31" s="58"/>
      <c r="G31" s="58"/>
      <c r="H31" s="58"/>
      <c r="I31" s="58"/>
      <c r="J31" s="58"/>
      <c r="K31" s="58"/>
    </row>
  </sheetData>
  <mergeCells count="6">
    <mergeCell ref="A1:T1"/>
    <mergeCell ref="A2:T2"/>
    <mergeCell ref="A28:E28"/>
    <mergeCell ref="D29:K29"/>
    <mergeCell ref="D30:K30"/>
    <mergeCell ref="D31:K31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7" min="3" style="1" width="11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4" min="13" style="1" width="11"/>
    <col collapsed="false" customWidth="true" hidden="false" outlineLevel="0" max="15" min="15" style="1" width="12"/>
  </cols>
  <sheetData>
    <row r="1" customFormat="false" ht="33.75" hidden="false" customHeight="true" outlineLevel="0" collapsed="false">
      <c r="A1" s="2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24.75" hidden="false" customHeight="true" outlineLevel="0" collapsed="false">
      <c r="A2" s="3" t="s">
        <v>174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15" hidden="false" customHeight="true" outlineLevel="0" collapsed="false">
      <c r="A4" s="9" t="s">
        <v>175</v>
      </c>
      <c r="B4" s="67" t="n">
        <v>0.5</v>
      </c>
      <c r="D4" s="9" t="s">
        <v>167</v>
      </c>
      <c r="E4" s="68" t="n">
        <f aca="false">IF(03_Model_Path!B19="","",03_Model_Path!B19)</f>
        <v>0.137422164562416</v>
      </c>
      <c r="G4" s="9" t="s">
        <v>169</v>
      </c>
      <c r="H4" s="68" t="n">
        <f aca="false">IF(03_Model_Path!B20="","",03_Model_Path!B20)</f>
        <v>0.749261912656916</v>
      </c>
      <c r="J4" s="9" t="s">
        <v>171</v>
      </c>
      <c r="K4" s="68" t="n">
        <f aca="false">IF(03_Model_Path!B21="","",03_Model_Path!B21)</f>
        <v>0.883852963948573</v>
      </c>
    </row>
    <row r="7" customFormat="false" ht="33.75" hidden="false" customHeight="true" outlineLevel="0" collapsed="false">
      <c r="A7" s="18" t="s">
        <v>128</v>
      </c>
      <c r="B7" s="18" t="s">
        <v>176</v>
      </c>
      <c r="C7" s="18" t="s">
        <v>177</v>
      </c>
      <c r="D7" s="18" t="s">
        <v>129</v>
      </c>
      <c r="E7" s="18" t="s">
        <v>130</v>
      </c>
      <c r="F7" s="18" t="s">
        <v>178</v>
      </c>
      <c r="G7" s="18" t="s">
        <v>124</v>
      </c>
      <c r="H7" s="18" t="s">
        <v>179</v>
      </c>
      <c r="I7" s="18" t="s">
        <v>180</v>
      </c>
      <c r="J7" s="18" t="s">
        <v>132</v>
      </c>
      <c r="K7" s="18" t="s">
        <v>181</v>
      </c>
      <c r="L7" s="18" t="s">
        <v>182</v>
      </c>
      <c r="M7" s="18" t="s">
        <v>183</v>
      </c>
      <c r="N7" s="18" t="s">
        <v>184</v>
      </c>
      <c r="O7" s="18" t="s">
        <v>175</v>
      </c>
    </row>
    <row r="8" customFormat="false" ht="25.5" hidden="false" customHeight="true" outlineLevel="0" collapsed="false">
      <c r="A8" s="69" t="str">
        <f aca="false">01_Data!A26</f>
        <v>T01</v>
      </c>
      <c r="B8" s="69" t="n">
        <f aca="false">01_Data!B26</f>
        <v>1.5</v>
      </c>
      <c r="C8" s="70" t="n">
        <f aca="false">01_Data!C26</f>
        <v>52</v>
      </c>
      <c r="D8" s="71" t="n">
        <f aca="false">01_Data!F26</f>
        <v>-1.4</v>
      </c>
      <c r="E8" s="71" t="n">
        <f aca="false">01_Data!G26</f>
        <v>-1.53333333333333</v>
      </c>
      <c r="F8" s="71" t="n">
        <f aca="false">01_Data!D26</f>
        <v>0</v>
      </c>
      <c r="G8" s="72" t="n">
        <f aca="false">IF($E$4="","",$E$4)</f>
        <v>0.137422164562416</v>
      </c>
      <c r="H8" s="72" t="n">
        <f aca="false">IF($H$4="","",$H$4*D8)</f>
        <v>-1.04896667771968</v>
      </c>
      <c r="I8" s="72" t="n">
        <f aca="false">IF($K$4="","",$K$4*E8)</f>
        <v>-1.35524121138781</v>
      </c>
      <c r="J8" s="72" t="n">
        <f aca="false">IF(COUNT(G8:I8)&lt;3,"",SUM(G8:I8))</f>
        <v>-2.26678572454508</v>
      </c>
      <c r="K8" s="72" t="n">
        <f aca="false">IF(J8="","",1/(1+EXP(-J8)))</f>
        <v>0.0939113646540516</v>
      </c>
      <c r="L8" s="73" t="n">
        <f aca="false">IF(K8="","",IF(K8&gt;=$B$4,1,0))</f>
        <v>0</v>
      </c>
      <c r="M8" s="73" t="str">
        <f aca="false">IF(L8="","",IF(AND(F8=1,L8=1),"TP",IF(AND(F8=0,L8=1),"FP",IF(AND(F8=1,L8=0),"FN","TN"))))</f>
        <v>TN</v>
      </c>
      <c r="N8" s="74" t="b">
        <f aca="false">IF(L8="","",--(F8=L8))</f>
        <v>1</v>
      </c>
      <c r="O8" s="75" t="n">
        <f aca="false">$B$4</f>
        <v>0.5</v>
      </c>
    </row>
    <row r="9" customFormat="false" ht="25.5" hidden="false" customHeight="true" outlineLevel="0" collapsed="false">
      <c r="A9" s="69" t="str">
        <f aca="false">01_Data!A27</f>
        <v>T02</v>
      </c>
      <c r="B9" s="69" t="n">
        <f aca="false">01_Data!B27</f>
        <v>3</v>
      </c>
      <c r="C9" s="70" t="n">
        <f aca="false">01_Data!C27</f>
        <v>78</v>
      </c>
      <c r="D9" s="71" t="n">
        <f aca="false">01_Data!F27</f>
        <v>-0.8</v>
      </c>
      <c r="E9" s="71" t="n">
        <f aca="false">01_Data!G27</f>
        <v>0.2</v>
      </c>
      <c r="F9" s="71" t="n">
        <f aca="false">01_Data!D27</f>
        <v>0</v>
      </c>
      <c r="G9" s="72" t="n">
        <f aca="false">IF($E$4="","",$E$4)</f>
        <v>0.137422164562416</v>
      </c>
      <c r="H9" s="72" t="n">
        <f aca="false">IF($H$4="","",$H$4*D9)</f>
        <v>-0.599409530125532</v>
      </c>
      <c r="I9" s="72" t="n">
        <f aca="false">IF($K$4="","",$K$4*E9)</f>
        <v>0.176770592789715</v>
      </c>
      <c r="J9" s="72" t="n">
        <f aca="false">IF(COUNT(G9:I9)&lt;3,"",SUM(G9:I9))</f>
        <v>-0.285216772773401</v>
      </c>
      <c r="K9" s="72" t="n">
        <f aca="false">IF(J9="","",1/(1+EXP(-J9)))</f>
        <v>0.42917528145977</v>
      </c>
      <c r="L9" s="73" t="n">
        <f aca="false">IF(K9="","",IF(K9&gt;=$B$4,1,0))</f>
        <v>0</v>
      </c>
      <c r="M9" s="73" t="str">
        <f aca="false">IF(L9="","",IF(AND(F9=1,L9=1),"TP",IF(AND(F9=0,L9=1),"FP",IF(AND(F9=1,L9=0),"FN","TN"))))</f>
        <v>TN</v>
      </c>
      <c r="N9" s="74" t="b">
        <f aca="false">IF(L9="","",--(F9=L9))</f>
        <v>1</v>
      </c>
      <c r="O9" s="75" t="n">
        <f aca="false">$B$4</f>
        <v>0.5</v>
      </c>
    </row>
    <row r="10" customFormat="false" ht="25.5" hidden="false" customHeight="true" outlineLevel="0" collapsed="false">
      <c r="A10" s="69" t="str">
        <f aca="false">01_Data!A28</f>
        <v>T03</v>
      </c>
      <c r="B10" s="69" t="n">
        <f aca="false">01_Data!B28</f>
        <v>4.5</v>
      </c>
      <c r="C10" s="70" t="n">
        <f aca="false">01_Data!C28</f>
        <v>85</v>
      </c>
      <c r="D10" s="71" t="n">
        <f aca="false">01_Data!F28</f>
        <v>-0.2</v>
      </c>
      <c r="E10" s="71" t="n">
        <f aca="false">01_Data!G28</f>
        <v>0.666666666666667</v>
      </c>
      <c r="F10" s="71" t="n">
        <f aca="false">01_Data!D28</f>
        <v>1</v>
      </c>
      <c r="G10" s="72" t="n">
        <f aca="false">IF($E$4="","",$E$4)</f>
        <v>0.137422164562416</v>
      </c>
      <c r="H10" s="72" t="n">
        <f aca="false">IF($H$4="","",$H$4*D10)</f>
        <v>-0.149852382531383</v>
      </c>
      <c r="I10" s="72" t="n">
        <f aca="false">IF($K$4="","",$K$4*E10)</f>
        <v>0.589235309299049</v>
      </c>
      <c r="J10" s="72" t="n">
        <f aca="false">IF(COUNT(G10:I10)&lt;3,"",SUM(G10:I10))</f>
        <v>0.576805091330082</v>
      </c>
      <c r="K10" s="72" t="n">
        <f aca="false">IF(J10="","",1/(1+EXP(-J10)))</f>
        <v>0.640331927038767</v>
      </c>
      <c r="L10" s="73" t="n">
        <f aca="false">IF(K10="","",IF(K10&gt;=$B$4,1,0))</f>
        <v>1</v>
      </c>
      <c r="M10" s="73" t="str">
        <f aca="false">IF(L10="","",IF(AND(F10=1,L10=1),"TP",IF(AND(F10=0,L10=1),"FP",IF(AND(F10=1,L10=0),"FN","TN"))))</f>
        <v>TP</v>
      </c>
      <c r="N10" s="74" t="b">
        <f aca="false">IF(L10="","",--(F10=L10))</f>
        <v>1</v>
      </c>
      <c r="O10" s="75" t="n">
        <f aca="false">$B$4</f>
        <v>0.5</v>
      </c>
    </row>
    <row r="11" customFormat="false" ht="25.5" hidden="false" customHeight="true" outlineLevel="0" collapsed="false">
      <c r="A11" s="69" t="str">
        <f aca="false">01_Data!A29</f>
        <v>T04</v>
      </c>
      <c r="B11" s="69" t="n">
        <f aca="false">01_Data!B29</f>
        <v>5</v>
      </c>
      <c r="C11" s="70" t="n">
        <f aca="false">01_Data!C29</f>
        <v>60</v>
      </c>
      <c r="D11" s="71" t="n">
        <f aca="false">01_Data!F29</f>
        <v>0</v>
      </c>
      <c r="E11" s="71" t="n">
        <f aca="false">01_Data!G29</f>
        <v>-1</v>
      </c>
      <c r="F11" s="71" t="n">
        <f aca="false">01_Data!D29</f>
        <v>0</v>
      </c>
      <c r="G11" s="72" t="n">
        <f aca="false">IF($E$4="","",$E$4)</f>
        <v>0.137422164562416</v>
      </c>
      <c r="H11" s="72" t="n">
        <f aca="false">IF($H$4="","",$H$4*D11)</f>
        <v>0</v>
      </c>
      <c r="I11" s="72" t="n">
        <f aca="false">IF($K$4="","",$K$4*E11)</f>
        <v>-0.883852963948573</v>
      </c>
      <c r="J11" s="72" t="n">
        <f aca="false">IF(COUNT(G11:I11)&lt;3,"",SUM(G11:I11))</f>
        <v>-0.746430799386157</v>
      </c>
      <c r="K11" s="72" t="n">
        <f aca="false">IF(J11="","",1/(1+EXP(-J11)))</f>
        <v>0.32159950862708</v>
      </c>
      <c r="L11" s="73" t="n">
        <f aca="false">IF(K11="","",IF(K11&gt;=$B$4,1,0))</f>
        <v>0</v>
      </c>
      <c r="M11" s="73" t="str">
        <f aca="false">IF(L11="","",IF(AND(F11=1,L11=1),"TP",IF(AND(F11=0,L11=1),"FP",IF(AND(F11=1,L11=0),"FN","TN"))))</f>
        <v>TN</v>
      </c>
      <c r="N11" s="74" t="b">
        <f aca="false">IF(L11="","",--(F11=L11))</f>
        <v>1</v>
      </c>
      <c r="O11" s="75" t="n">
        <f aca="false">$B$4</f>
        <v>0.5</v>
      </c>
    </row>
    <row r="12" customFormat="false" ht="25.5" hidden="false" customHeight="true" outlineLevel="0" collapsed="false">
      <c r="A12" s="69" t="str">
        <f aca="false">01_Data!A30</f>
        <v>T05</v>
      </c>
      <c r="B12" s="69" t="n">
        <f aca="false">01_Data!B30</f>
        <v>5.5</v>
      </c>
      <c r="C12" s="70" t="n">
        <f aca="false">01_Data!C30</f>
        <v>92</v>
      </c>
      <c r="D12" s="71" t="n">
        <f aca="false">01_Data!F30</f>
        <v>0.2</v>
      </c>
      <c r="E12" s="71" t="n">
        <f aca="false">01_Data!G30</f>
        <v>1.13333333333333</v>
      </c>
      <c r="F12" s="71" t="n">
        <f aca="false">01_Data!D30</f>
        <v>1</v>
      </c>
      <c r="G12" s="72" t="n">
        <f aca="false">IF($E$4="","",$E$4)</f>
        <v>0.137422164562416</v>
      </c>
      <c r="H12" s="72" t="n">
        <f aca="false">IF($H$4="","",$H$4*D12)</f>
        <v>0.149852382531383</v>
      </c>
      <c r="I12" s="72" t="n">
        <f aca="false">IF($K$4="","",$K$4*E12)</f>
        <v>1.00170002580838</v>
      </c>
      <c r="J12" s="72" t="n">
        <f aca="false">IF(COUNT(G12:I12)&lt;3,"",SUM(G12:I12))</f>
        <v>1.28897457290218</v>
      </c>
      <c r="K12" s="72" t="n">
        <f aca="false">IF(J12="","",1/(1+EXP(-J12)))</f>
        <v>0.783973574431192</v>
      </c>
      <c r="L12" s="73" t="n">
        <f aca="false">IF(K12="","",IF(K12&gt;=$B$4,1,0))</f>
        <v>1</v>
      </c>
      <c r="M12" s="73" t="str">
        <f aca="false">IF(L12="","",IF(AND(F12=1,L12=1),"TP",IF(AND(F12=0,L12=1),"FP",IF(AND(F12=1,L12=0),"FN","TN"))))</f>
        <v>TP</v>
      </c>
      <c r="N12" s="74" t="b">
        <f aca="false">IF(L12="","",--(F12=L12))</f>
        <v>1</v>
      </c>
      <c r="O12" s="75" t="n">
        <f aca="false">$B$4</f>
        <v>0.5</v>
      </c>
    </row>
    <row r="13" customFormat="false" ht="25.5" hidden="false" customHeight="true" outlineLevel="0" collapsed="false">
      <c r="A13" s="69" t="str">
        <f aca="false">01_Data!A31</f>
        <v>T06</v>
      </c>
      <c r="B13" s="69" t="n">
        <f aca="false">01_Data!B31</f>
        <v>6</v>
      </c>
      <c r="C13" s="70" t="n">
        <f aca="false">01_Data!C31</f>
        <v>70</v>
      </c>
      <c r="D13" s="71" t="n">
        <f aca="false">01_Data!F31</f>
        <v>0.4</v>
      </c>
      <c r="E13" s="71" t="n">
        <f aca="false">01_Data!G31</f>
        <v>-0.333333333333333</v>
      </c>
      <c r="F13" s="71" t="n">
        <f aca="false">01_Data!D31</f>
        <v>1</v>
      </c>
      <c r="G13" s="72" t="n">
        <f aca="false">IF($E$4="","",$E$4)</f>
        <v>0.137422164562416</v>
      </c>
      <c r="H13" s="72" t="n">
        <f aca="false">IF($H$4="","",$H$4*D13)</f>
        <v>0.299704765062766</v>
      </c>
      <c r="I13" s="72" t="n">
        <f aca="false">IF($K$4="","",$K$4*E13)</f>
        <v>-0.294617654649524</v>
      </c>
      <c r="J13" s="72" t="n">
        <f aca="false">IF(COUNT(G13:I13)&lt;3,"",SUM(G13:I13))</f>
        <v>0.142509274975658</v>
      </c>
      <c r="K13" s="72" t="n">
        <f aca="false">IF(J13="","",1/(1+EXP(-J13)))</f>
        <v>0.535567144995483</v>
      </c>
      <c r="L13" s="73" t="n">
        <f aca="false">IF(K13="","",IF(K13&gt;=$B$4,1,0))</f>
        <v>1</v>
      </c>
      <c r="M13" s="73" t="str">
        <f aca="false">IF(L13="","",IF(AND(F13=1,L13=1),"TP",IF(AND(F13=0,L13=1),"FP",IF(AND(F13=1,L13=0),"FN","TN"))))</f>
        <v>TP</v>
      </c>
      <c r="N13" s="74" t="b">
        <f aca="false">IF(L13="","",--(F13=L13))</f>
        <v>1</v>
      </c>
      <c r="O13" s="75" t="n">
        <f aca="false">$B$4</f>
        <v>0.5</v>
      </c>
    </row>
    <row r="14" customFormat="false" ht="25.5" hidden="false" customHeight="true" outlineLevel="0" collapsed="false">
      <c r="A14" s="69" t="str">
        <f aca="false">01_Data!A32</f>
        <v>T07</v>
      </c>
      <c r="B14" s="69" t="n">
        <f aca="false">01_Data!B32</f>
        <v>7</v>
      </c>
      <c r="C14" s="70" t="n">
        <f aca="false">01_Data!C32</f>
        <v>58</v>
      </c>
      <c r="D14" s="71" t="n">
        <f aca="false">01_Data!F32</f>
        <v>0.8</v>
      </c>
      <c r="E14" s="71" t="n">
        <f aca="false">01_Data!G32</f>
        <v>-1.13333333333333</v>
      </c>
      <c r="F14" s="71" t="n">
        <f aca="false">01_Data!D32</f>
        <v>0</v>
      </c>
      <c r="G14" s="72" t="n">
        <f aca="false">IF($E$4="","",$E$4)</f>
        <v>0.137422164562416</v>
      </c>
      <c r="H14" s="72" t="n">
        <f aca="false">IF($H$4="","",$H$4*D14)</f>
        <v>0.599409530125532</v>
      </c>
      <c r="I14" s="72" t="n">
        <f aca="false">IF($K$4="","",$K$4*E14)</f>
        <v>-1.00170002580838</v>
      </c>
      <c r="J14" s="72" t="n">
        <f aca="false">IF(COUNT(G14:I14)&lt;3,"",SUM(G14:I14))</f>
        <v>-0.264868331120434</v>
      </c>
      <c r="K14" s="72" t="n">
        <f aca="false">IF(J14="","",1/(1+EXP(-J14)))</f>
        <v>0.434167343399132</v>
      </c>
      <c r="L14" s="73" t="n">
        <f aca="false">IF(K14="","",IF(K14&gt;=$B$4,1,0))</f>
        <v>0</v>
      </c>
      <c r="M14" s="73" t="str">
        <f aca="false">IF(L14="","",IF(AND(F14=1,L14=1),"TP",IF(AND(F14=0,L14=1),"FP",IF(AND(F14=1,L14=0),"FN","TN"))))</f>
        <v>TN</v>
      </c>
      <c r="N14" s="74" t="b">
        <f aca="false">IF(L14="","",--(F14=L14))</f>
        <v>1</v>
      </c>
      <c r="O14" s="75" t="n">
        <f aca="false">$B$4</f>
        <v>0.5</v>
      </c>
    </row>
    <row r="15" customFormat="false" ht="25.5" hidden="false" customHeight="true" outlineLevel="0" collapsed="false">
      <c r="A15" s="69" t="str">
        <f aca="false">01_Data!A33</f>
        <v>T08</v>
      </c>
      <c r="B15" s="69" t="n">
        <f aca="false">01_Data!B33</f>
        <v>3</v>
      </c>
      <c r="C15" s="70" t="n">
        <f aca="false">01_Data!C33</f>
        <v>92</v>
      </c>
      <c r="D15" s="71" t="n">
        <f aca="false">01_Data!F33</f>
        <v>-0.8</v>
      </c>
      <c r="E15" s="71" t="n">
        <f aca="false">01_Data!G33</f>
        <v>1.13333333333333</v>
      </c>
      <c r="F15" s="71" t="n">
        <f aca="false">01_Data!D33</f>
        <v>1</v>
      </c>
      <c r="G15" s="72" t="n">
        <f aca="false">IF($E$4="","",$E$4)</f>
        <v>0.137422164562416</v>
      </c>
      <c r="H15" s="72" t="n">
        <f aca="false">IF($H$4="","",$H$4*D15)</f>
        <v>-0.599409530125532</v>
      </c>
      <c r="I15" s="72" t="n">
        <f aca="false">IF($K$4="","",$K$4*E15)</f>
        <v>1.00170002580838</v>
      </c>
      <c r="J15" s="72" t="n">
        <f aca="false">IF(COUNT(G15:I15)&lt;3,"",SUM(G15:I15))</f>
        <v>0.539712660245267</v>
      </c>
      <c r="K15" s="72" t="n">
        <f aca="false">IF(J15="","",1/(1+EXP(-J15)))</f>
        <v>0.631745572654563</v>
      </c>
      <c r="L15" s="73" t="n">
        <f aca="false">IF(K15="","",IF(K15&gt;=$B$4,1,0))</f>
        <v>1</v>
      </c>
      <c r="M15" s="73" t="str">
        <f aca="false">IF(L15="","",IF(AND(F15=1,L15=1),"TP",IF(AND(F15=0,L15=1),"FP",IF(AND(F15=1,L15=0),"FN","TN"))))</f>
        <v>TP</v>
      </c>
      <c r="N15" s="74" t="b">
        <f aca="false">IF(L15="","",--(F15=L15))</f>
        <v>1</v>
      </c>
      <c r="O15" s="75" t="n">
        <f aca="false">$B$4</f>
        <v>0.5</v>
      </c>
    </row>
    <row r="16" customFormat="false" ht="25.5" hidden="false" customHeight="true" outlineLevel="0" collapsed="false">
      <c r="A16" s="69" t="str">
        <f aca="false">01_Data!A34</f>
        <v>T09</v>
      </c>
      <c r="B16" s="69" t="n">
        <f aca="false">01_Data!B34</f>
        <v>8</v>
      </c>
      <c r="C16" s="70" t="n">
        <f aca="false">01_Data!C34</f>
        <v>82</v>
      </c>
      <c r="D16" s="71" t="n">
        <f aca="false">01_Data!F34</f>
        <v>1.2</v>
      </c>
      <c r="E16" s="71" t="n">
        <f aca="false">01_Data!G34</f>
        <v>0.466666666666667</v>
      </c>
      <c r="F16" s="71" t="n">
        <f aca="false">01_Data!D34</f>
        <v>1</v>
      </c>
      <c r="G16" s="72" t="n">
        <f aca="false">IF($E$4="","",$E$4)</f>
        <v>0.137422164562416</v>
      </c>
      <c r="H16" s="72" t="n">
        <f aca="false">IF($H$4="","",$H$4*D16)</f>
        <v>0.899114295188299</v>
      </c>
      <c r="I16" s="72" t="n">
        <f aca="false">IF($K$4="","",$K$4*E16)</f>
        <v>0.412464716509334</v>
      </c>
      <c r="J16" s="72" t="n">
        <f aca="false">IF(COUNT(G16:I16)&lt;3,"",SUM(G16:I16))</f>
        <v>1.44900117626005</v>
      </c>
      <c r="K16" s="72" t="n">
        <f aca="false">IF(J16="","",1/(1+EXP(-J16)))</f>
        <v>0.80984466644248</v>
      </c>
      <c r="L16" s="73" t="n">
        <f aca="false">IF(K16="","",IF(K16&gt;=$B$4,1,0))</f>
        <v>1</v>
      </c>
      <c r="M16" s="73" t="str">
        <f aca="false">IF(L16="","",IF(AND(F16=1,L16=1),"TP",IF(AND(F16=0,L16=1),"FP",IF(AND(F16=1,L16=0),"FN","TN"))))</f>
        <v>TP</v>
      </c>
      <c r="N16" s="74" t="b">
        <f aca="false">IF(L16="","",--(F16=L16))</f>
        <v>1</v>
      </c>
      <c r="O16" s="75" t="n">
        <f aca="false">$B$4</f>
        <v>0.5</v>
      </c>
    </row>
    <row r="17" customFormat="false" ht="25.5" hidden="false" customHeight="true" outlineLevel="0" collapsed="false">
      <c r="A17" s="69" t="str">
        <f aca="false">01_Data!A35</f>
        <v>T10</v>
      </c>
      <c r="B17" s="69" t="n">
        <f aca="false">01_Data!B35</f>
        <v>4</v>
      </c>
      <c r="C17" s="70" t="n">
        <f aca="false">01_Data!C35</f>
        <v>68</v>
      </c>
      <c r="D17" s="71" t="n">
        <f aca="false">01_Data!F35</f>
        <v>-0.4</v>
      </c>
      <c r="E17" s="71" t="n">
        <f aca="false">01_Data!G35</f>
        <v>-0.466666666666667</v>
      </c>
      <c r="F17" s="71" t="n">
        <f aca="false">01_Data!D35</f>
        <v>0</v>
      </c>
      <c r="G17" s="72" t="n">
        <f aca="false">IF($E$4="","",$E$4)</f>
        <v>0.137422164562416</v>
      </c>
      <c r="H17" s="72" t="n">
        <f aca="false">IF($H$4="","",$H$4*D17)</f>
        <v>-0.299704765062766</v>
      </c>
      <c r="I17" s="72" t="n">
        <f aca="false">IF($K$4="","",$K$4*E17)</f>
        <v>-0.412464716509334</v>
      </c>
      <c r="J17" s="72" t="n">
        <f aca="false">IF(COUNT(G17:I17)&lt;3,"",SUM(G17:I17))</f>
        <v>-0.574747317009684</v>
      </c>
      <c r="K17" s="72" t="n">
        <f aca="false">IF(J17="","",1/(1+EXP(-J17)))</f>
        <v>0.360142129415957</v>
      </c>
      <c r="L17" s="73" t="n">
        <f aca="false">IF(K17="","",IF(K17&gt;=$B$4,1,0))</f>
        <v>0</v>
      </c>
      <c r="M17" s="73" t="str">
        <f aca="false">IF(L17="","",IF(AND(F17=1,L17=1),"TP",IF(AND(F17=0,L17=1),"FP",IF(AND(F17=1,L17=0),"FN","TN"))))</f>
        <v>TN</v>
      </c>
      <c r="N17" s="74" t="b">
        <f aca="false">IF(L17="","",--(F17=L17))</f>
        <v>1</v>
      </c>
      <c r="O17" s="75" t="n">
        <f aca="false">$B$4</f>
        <v>0.5</v>
      </c>
    </row>
    <row r="20" customFormat="false" ht="24.75" hidden="false" customHeight="true" outlineLevel="0" collapsed="false">
      <c r="A20" s="76" t="s">
        <v>185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customFormat="false" ht="24.75" hidden="false" customHeight="true" outlineLevel="0" collapsed="false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</row>
  </sheetData>
  <autoFilter ref="A7:O17"/>
  <mergeCells count="3">
    <mergeCell ref="A1:W1"/>
    <mergeCell ref="A2:W2"/>
    <mergeCell ref="A20:O21"/>
  </mergeCells>
  <conditionalFormatting sqref="M8:M17">
    <cfRule type="expression" priority="2" aboveAverage="0" equalAverage="0" bottom="0" percent="0" rank="0" text="" dxfId="13">
      <formula>$M8="TP"</formula>
    </cfRule>
    <cfRule type="expression" priority="3" aboveAverage="0" equalAverage="0" bottom="0" percent="0" rank="0" text="" dxfId="13">
      <formula>$M8="TN"</formula>
    </cfRule>
    <cfRule type="expression" priority="4" aboveAverage="0" equalAverage="0" bottom="0" percent="0" rank="0" text="" dxfId="14">
      <formula>$M8="FP"</formula>
    </cfRule>
    <cfRule type="expression" priority="5" aboveAverage="0" equalAverage="0" bottom="0" percent="0" rank="0" text="" dxfId="14">
      <formula>$M8="FN"</formula>
    </cfRule>
  </conditionalFormatting>
  <conditionalFormatting sqref="N8:N17">
    <cfRule type="cellIs" priority="6" operator="equal" aboveAverage="0" equalAverage="0" bottom="0" percent="0" rank="0" text="" dxfId="9">
      <formula>1</formula>
    </cfRule>
    <cfRule type="cellIs" priority="7" operator="equal" aboveAverage="0" equalAverage="0" bottom="0" percent="0" rank="0" text="" dxfId="15">
      <formula>0</formula>
    </cfRule>
  </conditionalFormatting>
  <dataValidations count="1">
    <dataValidation allowBlank="false" error="Threshold ต้องอยู่ระหว่าง 0 และ 1" errorStyle="stop" operator="between" prompt="กรอกค่าระหว่าง 0 และ 1" promptTitle="Threshold" showDropDown="false" showErrorMessage="true" showInputMessage="false" sqref="B4" type="decimal">
      <formula1>0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20"/>
    <col collapsed="false" customWidth="true" hidden="false" outlineLevel="0" max="9" min="8" style="1" width="25"/>
    <col collapsed="false" customWidth="true" hidden="false" outlineLevel="0" max="10" min="10" style="1" width="4"/>
  </cols>
  <sheetData>
    <row r="1" customFormat="false" ht="33.75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B4" s="9" t="s">
        <v>188</v>
      </c>
      <c r="C4" s="77" t="n">
        <f aca="false">04_Test_Prediction!B4</f>
        <v>0.5</v>
      </c>
    </row>
    <row r="6" customFormat="false" ht="22.5" hidden="false" customHeight="true" outlineLevel="0" collapsed="false">
      <c r="B6" s="4" t="s">
        <v>189</v>
      </c>
      <c r="C6" s="4"/>
      <c r="D6" s="4"/>
      <c r="E6" s="4"/>
    </row>
    <row r="7" customFormat="false" ht="15" hidden="false" customHeight="true" outlineLevel="0" collapsed="false">
      <c r="B7" s="78" t="s">
        <v>190</v>
      </c>
      <c r="C7" s="78" t="s">
        <v>191</v>
      </c>
      <c r="D7" s="78" t="s">
        <v>192</v>
      </c>
      <c r="E7" s="78" t="s">
        <v>193</v>
      </c>
      <c r="G7" s="79" t="s">
        <v>194</v>
      </c>
      <c r="H7" s="79" t="s">
        <v>195</v>
      </c>
    </row>
    <row r="8" customFormat="false" ht="15" hidden="false" customHeight="true" outlineLevel="0" collapsed="false">
      <c r="B8" s="78" t="s">
        <v>196</v>
      </c>
      <c r="C8" s="80" t="n">
        <f aca="false">COUNTIFS(04_Test_Prediction!$F$8:$F$17,1,04_Test_Prediction!$L$8:$L$17,1)</f>
        <v>5</v>
      </c>
      <c r="D8" s="81" t="n">
        <f aca="false">COUNTIFS(04_Test_Prediction!$F$8:$F$17,1,04_Test_Prediction!$L$8:$L$17,0)</f>
        <v>0</v>
      </c>
      <c r="E8" s="82" t="n">
        <f aca="false">SUM(C8:D8)</f>
        <v>5</v>
      </c>
      <c r="G8" s="83" t="s">
        <v>197</v>
      </c>
      <c r="H8" s="84" t="s">
        <v>198</v>
      </c>
    </row>
    <row r="9" customFormat="false" ht="15" hidden="false" customHeight="true" outlineLevel="0" collapsed="false">
      <c r="B9" s="78" t="s">
        <v>199</v>
      </c>
      <c r="C9" s="81" t="n">
        <f aca="false">COUNTIFS(04_Test_Prediction!$F$8:$F$17,0,04_Test_Prediction!$L$8:$L$17,1)</f>
        <v>0</v>
      </c>
      <c r="D9" s="80" t="n">
        <f aca="false">COUNTIFS(04_Test_Prediction!$F$8:$F$17,0,04_Test_Prediction!$L$8:$L$17,0)</f>
        <v>5</v>
      </c>
      <c r="E9" s="82" t="n">
        <f aca="false">SUM(C9:D9)</f>
        <v>5</v>
      </c>
      <c r="G9" s="83" t="s">
        <v>200</v>
      </c>
      <c r="H9" s="84" t="s">
        <v>201</v>
      </c>
    </row>
    <row r="10" customFormat="false" ht="15" hidden="false" customHeight="true" outlineLevel="0" collapsed="false">
      <c r="B10" s="78" t="s">
        <v>202</v>
      </c>
      <c r="C10" s="82" t="n">
        <f aca="false">SUM(C8:C9)</f>
        <v>5</v>
      </c>
      <c r="D10" s="82" t="n">
        <f aca="false">SUM(D8:D9)</f>
        <v>5</v>
      </c>
      <c r="E10" s="82" t="n">
        <f aca="false">SUM(C8:D9)</f>
        <v>10</v>
      </c>
      <c r="G10" s="83" t="s">
        <v>203</v>
      </c>
      <c r="H10" s="84" t="s">
        <v>204</v>
      </c>
    </row>
    <row r="11" customFormat="false" ht="21.75" hidden="false" customHeight="true" outlineLevel="0" collapsed="false">
      <c r="G11" s="83" t="s">
        <v>205</v>
      </c>
      <c r="H11" s="84" t="s">
        <v>206</v>
      </c>
    </row>
    <row r="13" customFormat="false" ht="22.5" hidden="false" customHeight="true" outlineLevel="0" collapsed="false">
      <c r="B13" s="17" t="s">
        <v>207</v>
      </c>
      <c r="C13" s="17"/>
      <c r="D13" s="17"/>
      <c r="E13" s="17"/>
      <c r="F13" s="17"/>
      <c r="G13" s="17"/>
      <c r="H13" s="17"/>
      <c r="I13" s="17"/>
    </row>
    <row r="14" customFormat="false" ht="33.75" hidden="false" customHeight="true" outlineLevel="0" collapsed="false">
      <c r="B14" s="18" t="s">
        <v>208</v>
      </c>
      <c r="C14" s="18" t="s">
        <v>209</v>
      </c>
      <c r="D14" s="18" t="s">
        <v>210</v>
      </c>
      <c r="E14" s="18"/>
      <c r="F14" s="18"/>
      <c r="G14" s="18" t="s">
        <v>211</v>
      </c>
      <c r="H14" s="18"/>
      <c r="I14" s="18"/>
    </row>
    <row r="15" customFormat="false" ht="33.75" hidden="false" customHeight="true" outlineLevel="0" collapsed="false">
      <c r="B15" s="85" t="s">
        <v>212</v>
      </c>
      <c r="C15" s="86" t="n">
        <f aca="false">IFERROR((C8+D9)/SUM(C8:D9),0)</f>
        <v>1</v>
      </c>
      <c r="D15" s="87" t="s">
        <v>213</v>
      </c>
      <c r="E15" s="87"/>
      <c r="F15" s="87"/>
      <c r="G15" s="87" t="s">
        <v>214</v>
      </c>
      <c r="H15" s="87"/>
      <c r="I15" s="87"/>
    </row>
    <row r="16" customFormat="false" ht="33.75" hidden="false" customHeight="true" outlineLevel="0" collapsed="false">
      <c r="B16" s="88" t="s">
        <v>215</v>
      </c>
      <c r="C16" s="89" t="n">
        <f aca="false">IFERROR(C8/(C8+C9),0)</f>
        <v>1</v>
      </c>
      <c r="D16" s="90" t="s">
        <v>216</v>
      </c>
      <c r="E16" s="90"/>
      <c r="F16" s="90"/>
      <c r="G16" s="90" t="s">
        <v>217</v>
      </c>
      <c r="H16" s="90"/>
      <c r="I16" s="90"/>
    </row>
    <row r="17" customFormat="false" ht="33.75" hidden="false" customHeight="true" outlineLevel="0" collapsed="false">
      <c r="B17" s="85" t="s">
        <v>218</v>
      </c>
      <c r="C17" s="86" t="n">
        <f aca="false">IFERROR(C8/(C8+D8),0)</f>
        <v>1</v>
      </c>
      <c r="D17" s="87" t="s">
        <v>219</v>
      </c>
      <c r="E17" s="87"/>
      <c r="F17" s="87"/>
      <c r="G17" s="87" t="s">
        <v>220</v>
      </c>
      <c r="H17" s="87"/>
      <c r="I17" s="87"/>
    </row>
    <row r="18" customFormat="false" ht="33.75" hidden="false" customHeight="true" outlineLevel="0" collapsed="false">
      <c r="B18" s="88" t="s">
        <v>221</v>
      </c>
      <c r="C18" s="89" t="n">
        <f aca="false">IFERROR(2*C16*C17/(C16+C17),0)</f>
        <v>1</v>
      </c>
      <c r="D18" s="90" t="s">
        <v>222</v>
      </c>
      <c r="E18" s="90"/>
      <c r="F18" s="90"/>
      <c r="G18" s="90" t="s">
        <v>223</v>
      </c>
      <c r="H18" s="90"/>
      <c r="I18" s="90"/>
    </row>
    <row r="19" customFormat="false" ht="33.75" hidden="false" customHeight="true" outlineLevel="0" collapsed="false">
      <c r="B19" s="85" t="s">
        <v>224</v>
      </c>
      <c r="C19" s="86" t="n">
        <f aca="false">1-C15</f>
        <v>0</v>
      </c>
      <c r="D19" s="87" t="s">
        <v>225</v>
      </c>
      <c r="E19" s="87"/>
      <c r="F19" s="87"/>
      <c r="G19" s="87" t="s">
        <v>226</v>
      </c>
      <c r="H19" s="87"/>
      <c r="I19" s="87"/>
    </row>
    <row r="21" customFormat="false" ht="24.75" hidden="false" customHeight="true" outlineLevel="0" collapsed="false">
      <c r="B21" s="91" t="str">
        <f aca="false">"ที่ threshold "&amp;TEXT(C4,"0.00")&amp;" → Accuracy "&amp;TEXT(C15,"0.0%")&amp;" | Precision "&amp;TEXT(C16,"0.0%")&amp;" | Recall "&amp;TEXT(C17,"0.0%")&amp;" | F1 "&amp;TEXT(C18,"0.0%")</f>
        <v>ที่ threshold 0.50 → Accuracy 100.0% | Precision 100.0% | Recall 100.0% | F1 100.0%</v>
      </c>
      <c r="C21" s="91"/>
      <c r="D21" s="91"/>
      <c r="E21" s="91"/>
      <c r="F21" s="91"/>
      <c r="G21" s="91"/>
      <c r="H21" s="91"/>
      <c r="I21" s="91"/>
    </row>
    <row r="22" customFormat="false" ht="24.75" hidden="false" customHeight="true" outlineLevel="0" collapsed="false">
      <c r="B22" s="91"/>
      <c r="C22" s="91"/>
      <c r="D22" s="91"/>
      <c r="E22" s="91"/>
      <c r="F22" s="91"/>
      <c r="G22" s="91"/>
      <c r="H22" s="91"/>
      <c r="I22" s="91"/>
    </row>
  </sheetData>
  <mergeCells count="17">
    <mergeCell ref="A1:J1"/>
    <mergeCell ref="A2:J2"/>
    <mergeCell ref="B6:E6"/>
    <mergeCell ref="B13:I13"/>
    <mergeCell ref="D14:F14"/>
    <mergeCell ref="G14:I14"/>
    <mergeCell ref="D15:F15"/>
    <mergeCell ref="G15:I15"/>
    <mergeCell ref="D16:F16"/>
    <mergeCell ref="G16:I16"/>
    <mergeCell ref="D17:F17"/>
    <mergeCell ref="G17:I17"/>
    <mergeCell ref="D18:F18"/>
    <mergeCell ref="G18:I18"/>
    <mergeCell ref="D19:F19"/>
    <mergeCell ref="G19:I19"/>
    <mergeCell ref="B21:I2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7"/>
    <col collapsed="false" customWidth="true" hidden="false" outlineLevel="0" max="6" min="4" style="1" width="20"/>
    <col collapsed="false" customWidth="true" hidden="false" outlineLevel="0" max="10" min="7" style="1" width="21"/>
  </cols>
  <sheetData>
    <row r="1" customFormat="false" ht="33.7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228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/>
    <row r="4" customFormat="false" ht="24.75" hidden="false" customHeight="true" outlineLevel="0" collapsed="false">
      <c r="A4" s="76" t="s">
        <v>229</v>
      </c>
      <c r="B4" s="76"/>
      <c r="C4" s="76"/>
      <c r="D4" s="76"/>
      <c r="E4" s="76"/>
      <c r="F4" s="76"/>
      <c r="G4" s="76"/>
      <c r="H4" s="76"/>
      <c r="I4" s="76"/>
      <c r="J4" s="76"/>
    </row>
    <row r="5" customFormat="false" ht="24.75" hidden="false" customHeight="true" outlineLevel="0" collapsed="false">
      <c r="A5" s="76"/>
      <c r="B5" s="76"/>
      <c r="C5" s="76"/>
      <c r="D5" s="76"/>
      <c r="E5" s="76"/>
      <c r="F5" s="76"/>
      <c r="G5" s="76"/>
      <c r="H5" s="76"/>
      <c r="I5" s="76"/>
      <c r="J5" s="76"/>
    </row>
    <row r="6" customFormat="false" ht="15" hidden="false" customHeight="false" outlineLevel="0" collapsed="false"/>
    <row r="7" customFormat="false" ht="22.5" hidden="false" customHeight="true" outlineLevel="0" collapsed="false">
      <c r="A7" s="4" t="s">
        <v>230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33.75" hidden="false" customHeight="true" outlineLevel="0" collapsed="false">
      <c r="A8" s="18" t="s">
        <v>231</v>
      </c>
      <c r="B8" s="18" t="s">
        <v>232</v>
      </c>
      <c r="C8" s="18"/>
      <c r="D8" s="18" t="s">
        <v>195</v>
      </c>
      <c r="E8" s="18"/>
      <c r="F8" s="18"/>
      <c r="G8" s="18" t="s">
        <v>233</v>
      </c>
      <c r="H8" s="18"/>
      <c r="I8" s="18"/>
      <c r="J8" s="18"/>
    </row>
    <row r="9" customFormat="false" ht="51.75" hidden="false" customHeight="true" outlineLevel="0" collapsed="false">
      <c r="A9" s="92" t="s">
        <v>234</v>
      </c>
      <c r="B9" s="93" t="s">
        <v>235</v>
      </c>
      <c r="C9" s="93"/>
      <c r="D9" s="94" t="s">
        <v>236</v>
      </c>
      <c r="E9" s="94"/>
      <c r="F9" s="94"/>
      <c r="G9" s="94" t="s">
        <v>237</v>
      </c>
      <c r="H9" s="94"/>
      <c r="I9" s="94"/>
      <c r="J9" s="94"/>
    </row>
    <row r="10" customFormat="false" ht="51.75" hidden="false" customHeight="true" outlineLevel="0" collapsed="false">
      <c r="A10" s="95" t="s">
        <v>238</v>
      </c>
      <c r="B10" s="96" t="s">
        <v>239</v>
      </c>
      <c r="C10" s="96"/>
      <c r="D10" s="97" t="s">
        <v>240</v>
      </c>
      <c r="E10" s="97"/>
      <c r="F10" s="97"/>
      <c r="G10" s="97" t="s">
        <v>241</v>
      </c>
      <c r="H10" s="97"/>
      <c r="I10" s="97"/>
      <c r="J10" s="97"/>
    </row>
    <row r="11" customFormat="false" ht="51.75" hidden="false" customHeight="true" outlineLevel="0" collapsed="false">
      <c r="A11" s="92" t="s">
        <v>242</v>
      </c>
      <c r="B11" s="93" t="s">
        <v>243</v>
      </c>
      <c r="C11" s="93"/>
      <c r="D11" s="94" t="s">
        <v>244</v>
      </c>
      <c r="E11" s="94"/>
      <c r="F11" s="94"/>
      <c r="G11" s="94" t="s">
        <v>245</v>
      </c>
      <c r="H11" s="94"/>
      <c r="I11" s="94"/>
      <c r="J11" s="94"/>
    </row>
    <row r="12" customFormat="false" ht="51.75" hidden="false" customHeight="true" outlineLevel="0" collapsed="false">
      <c r="A12" s="95" t="s">
        <v>246</v>
      </c>
      <c r="B12" s="96" t="s">
        <v>247</v>
      </c>
      <c r="C12" s="96"/>
      <c r="D12" s="97" t="s">
        <v>248</v>
      </c>
      <c r="E12" s="97"/>
      <c r="F12" s="97"/>
      <c r="G12" s="97" t="s">
        <v>249</v>
      </c>
      <c r="H12" s="97"/>
      <c r="I12" s="97"/>
      <c r="J12" s="97"/>
    </row>
    <row r="13" customFormat="false" ht="51.75" hidden="false" customHeight="true" outlineLevel="0" collapsed="false">
      <c r="A13" s="92" t="s">
        <v>250</v>
      </c>
      <c r="B13" s="93" t="s">
        <v>251</v>
      </c>
      <c r="C13" s="93"/>
      <c r="D13" s="94" t="s">
        <v>252</v>
      </c>
      <c r="E13" s="94"/>
      <c r="F13" s="94"/>
      <c r="G13" s="94" t="s">
        <v>253</v>
      </c>
      <c r="H13" s="94"/>
      <c r="I13" s="94"/>
      <c r="J13" s="94"/>
    </row>
    <row r="14" customFormat="false" ht="51.75" hidden="false" customHeight="true" outlineLevel="0" collapsed="false">
      <c r="A14" s="95" t="s">
        <v>254</v>
      </c>
      <c r="B14" s="96" t="s">
        <v>25</v>
      </c>
      <c r="C14" s="96"/>
      <c r="D14" s="97" t="s">
        <v>255</v>
      </c>
      <c r="E14" s="97"/>
      <c r="F14" s="97"/>
      <c r="G14" s="97" t="s">
        <v>256</v>
      </c>
      <c r="H14" s="97"/>
      <c r="I14" s="97"/>
      <c r="J14" s="97"/>
    </row>
    <row r="15" customFormat="false" ht="51.75" hidden="false" customHeight="true" outlineLevel="0" collapsed="false">
      <c r="A15" s="92" t="s">
        <v>257</v>
      </c>
      <c r="B15" s="93" t="s">
        <v>33</v>
      </c>
      <c r="C15" s="93"/>
      <c r="D15" s="94" t="s">
        <v>258</v>
      </c>
      <c r="E15" s="94"/>
      <c r="F15" s="94"/>
      <c r="G15" s="94" t="s">
        <v>259</v>
      </c>
      <c r="H15" s="94"/>
      <c r="I15" s="94"/>
      <c r="J15" s="94"/>
    </row>
    <row r="16" customFormat="false" ht="51.75" hidden="false" customHeight="true" outlineLevel="0" collapsed="false">
      <c r="A16" s="95" t="s">
        <v>260</v>
      </c>
      <c r="B16" s="96" t="s">
        <v>29</v>
      </c>
      <c r="C16" s="96"/>
      <c r="D16" s="97" t="s">
        <v>261</v>
      </c>
      <c r="E16" s="97"/>
      <c r="F16" s="97"/>
      <c r="G16" s="97" t="s">
        <v>262</v>
      </c>
      <c r="H16" s="97"/>
      <c r="I16" s="97"/>
      <c r="J16" s="97"/>
    </row>
    <row r="17" customFormat="false" ht="51.75" hidden="false" customHeight="true" outlineLevel="0" collapsed="false">
      <c r="A17" s="92" t="s">
        <v>263</v>
      </c>
      <c r="B17" s="93" t="s">
        <v>264</v>
      </c>
      <c r="C17" s="93"/>
      <c r="D17" s="94" t="s">
        <v>265</v>
      </c>
      <c r="E17" s="94"/>
      <c r="F17" s="94"/>
      <c r="G17" s="94" t="s">
        <v>266</v>
      </c>
      <c r="H17" s="94"/>
      <c r="I17" s="94"/>
      <c r="J17" s="94"/>
    </row>
    <row r="18" customFormat="false" ht="51.75" hidden="false" customHeight="true" outlineLevel="0" collapsed="false">
      <c r="A18" s="95" t="s">
        <v>267</v>
      </c>
      <c r="B18" s="96" t="s">
        <v>175</v>
      </c>
      <c r="C18" s="96"/>
      <c r="D18" s="97" t="s">
        <v>268</v>
      </c>
      <c r="E18" s="97"/>
      <c r="F18" s="97"/>
      <c r="G18" s="97" t="s">
        <v>269</v>
      </c>
      <c r="H18" s="97"/>
      <c r="I18" s="97"/>
      <c r="J18" s="97"/>
    </row>
    <row r="19" customFormat="false" ht="51.75" hidden="false" customHeight="true" outlineLevel="0" collapsed="false">
      <c r="A19" s="92" t="s">
        <v>270</v>
      </c>
      <c r="B19" s="93" t="s">
        <v>189</v>
      </c>
      <c r="C19" s="93"/>
      <c r="D19" s="94" t="s">
        <v>271</v>
      </c>
      <c r="E19" s="94"/>
      <c r="F19" s="94"/>
      <c r="G19" s="94" t="s">
        <v>272</v>
      </c>
      <c r="H19" s="94"/>
      <c r="I19" s="94"/>
      <c r="J19" s="94"/>
    </row>
    <row r="20" customFormat="false" ht="51.75" hidden="false" customHeight="true" outlineLevel="0" collapsed="false">
      <c r="A20" s="95" t="s">
        <v>273</v>
      </c>
      <c r="B20" s="96" t="s">
        <v>212</v>
      </c>
      <c r="C20" s="96"/>
      <c r="D20" s="97" t="s">
        <v>274</v>
      </c>
      <c r="E20" s="97"/>
      <c r="F20" s="97"/>
      <c r="G20" s="97" t="s">
        <v>275</v>
      </c>
      <c r="H20" s="97"/>
      <c r="I20" s="97"/>
      <c r="J20" s="97"/>
    </row>
    <row r="21" customFormat="false" ht="51.75" hidden="false" customHeight="true" outlineLevel="0" collapsed="false">
      <c r="A21" s="92" t="s">
        <v>276</v>
      </c>
      <c r="B21" s="93" t="s">
        <v>215</v>
      </c>
      <c r="C21" s="93"/>
      <c r="D21" s="94" t="s">
        <v>277</v>
      </c>
      <c r="E21" s="94"/>
      <c r="F21" s="94"/>
      <c r="G21" s="94" t="s">
        <v>278</v>
      </c>
      <c r="H21" s="94"/>
      <c r="I21" s="94"/>
      <c r="J21" s="94"/>
    </row>
    <row r="22" customFormat="false" ht="51.75" hidden="false" customHeight="true" outlineLevel="0" collapsed="false">
      <c r="A22" s="95" t="s">
        <v>279</v>
      </c>
      <c r="B22" s="96" t="s">
        <v>218</v>
      </c>
      <c r="C22" s="96"/>
      <c r="D22" s="97" t="s">
        <v>280</v>
      </c>
      <c r="E22" s="97"/>
      <c r="F22" s="97"/>
      <c r="G22" s="97" t="s">
        <v>281</v>
      </c>
      <c r="H22" s="97"/>
      <c r="I22" s="97"/>
      <c r="J22" s="97"/>
    </row>
    <row r="23" customFormat="false" ht="51.75" hidden="false" customHeight="true" outlineLevel="0" collapsed="false">
      <c r="A23" s="92" t="s">
        <v>282</v>
      </c>
      <c r="B23" s="93" t="s">
        <v>221</v>
      </c>
      <c r="C23" s="93"/>
      <c r="D23" s="94" t="s">
        <v>283</v>
      </c>
      <c r="E23" s="94"/>
      <c r="F23" s="94"/>
      <c r="G23" s="94" t="s">
        <v>284</v>
      </c>
      <c r="H23" s="94"/>
      <c r="I23" s="94"/>
      <c r="J23" s="94"/>
    </row>
    <row r="24" customFormat="false" ht="22.5" hidden="false" customHeight="true" outlineLevel="0" collapsed="false">
      <c r="A24" s="17" t="s">
        <v>285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33.75" hidden="false" customHeight="true" outlineLevel="0" collapsed="false">
      <c r="A25" s="18" t="s">
        <v>286</v>
      </c>
      <c r="B25" s="18" t="s">
        <v>97</v>
      </c>
      <c r="C25" s="18" t="s">
        <v>287</v>
      </c>
      <c r="D25" s="18"/>
      <c r="E25" s="18"/>
      <c r="F25" s="18" t="s">
        <v>288</v>
      </c>
      <c r="G25" s="18"/>
      <c r="H25" s="18"/>
      <c r="I25" s="18"/>
      <c r="J25" s="18"/>
    </row>
    <row r="26" customFormat="false" ht="37.5" hidden="false" customHeight="true" outlineLevel="0" collapsed="false">
      <c r="A26" s="36" t="s">
        <v>58</v>
      </c>
      <c r="B26" s="37" t="n">
        <f aca="false">01_Data!K6</f>
        <v>5</v>
      </c>
      <c r="C26" s="98" t="str">
        <f aca="false">"ค่าเฉลี่ย Train = "&amp;TEXT(AVERAGE(01_Data!B6:B25),"0.00")</f>
        <v>ค่าเฉลี่ย Train = 4.95</v>
      </c>
      <c r="D26" s="98"/>
      <c r="E26" s="98"/>
      <c r="F26" s="38" t="s">
        <v>289</v>
      </c>
      <c r="G26" s="38"/>
      <c r="H26" s="38"/>
      <c r="I26" s="38"/>
      <c r="J26" s="38"/>
    </row>
    <row r="27" customFormat="false" ht="37.5" hidden="false" customHeight="true" outlineLevel="0" collapsed="false">
      <c r="A27" s="99" t="s">
        <v>60</v>
      </c>
      <c r="B27" s="100" t="n">
        <f aca="false">01_Data!K7</f>
        <v>2.5</v>
      </c>
      <c r="C27" s="101" t="str">
        <f aca="false">"Standard deviation จริง = "&amp;TEXT(STDEVP(01_Data!B6:B25),"0.00")&amp;" แล้วปัดเพื่อคำนวณง่าย"</f>
        <v>Standard deviation จริง = 2.32 แล้วปัดเพื่อคำนวณง่าย</v>
      </c>
      <c r="D27" s="101"/>
      <c r="E27" s="101"/>
      <c r="F27" s="102" t="s">
        <v>290</v>
      </c>
      <c r="G27" s="102"/>
      <c r="H27" s="102"/>
      <c r="I27" s="102"/>
      <c r="J27" s="102"/>
    </row>
    <row r="28" customFormat="false" ht="37.5" hidden="false" customHeight="true" outlineLevel="0" collapsed="false">
      <c r="A28" s="36" t="s">
        <v>62</v>
      </c>
      <c r="B28" s="37" t="n">
        <f aca="false">01_Data!K8</f>
        <v>75</v>
      </c>
      <c r="C28" s="98" t="str">
        <f aca="false">"ค่าเฉลี่ย Train = "&amp;TEXT(AVERAGE(01_Data!C6:C25),"0.00")&amp;" แล้วปัดเป็น 75"</f>
        <v>ค่าเฉลี่ย Train = 75.15 แล้วปัดเป็น 75</v>
      </c>
      <c r="D28" s="98"/>
      <c r="E28" s="98"/>
      <c r="F28" s="38" t="s">
        <v>291</v>
      </c>
      <c r="G28" s="38"/>
      <c r="H28" s="38"/>
      <c r="I28" s="38"/>
      <c r="J28" s="38"/>
    </row>
    <row r="29" customFormat="false" ht="37.5" hidden="false" customHeight="true" outlineLevel="0" collapsed="false">
      <c r="A29" s="99" t="s">
        <v>65</v>
      </c>
      <c r="B29" s="100" t="n">
        <f aca="false">01_Data!K9</f>
        <v>15</v>
      </c>
      <c r="C29" s="101" t="str">
        <f aca="false">"เลือก 15 จุดเปอร์เซ็นต์; standard deviation จริง = "&amp;TEXT(STDEVP(01_Data!C6:C25),"0.00")</f>
        <v>เลือก 15 จุดเปอร์เซ็นต์; standard deviation จริง = 12.61</v>
      </c>
      <c r="D29" s="101"/>
      <c r="E29" s="101"/>
      <c r="F29" s="102" t="s">
        <v>292</v>
      </c>
      <c r="G29" s="102"/>
      <c r="H29" s="102"/>
      <c r="I29" s="102"/>
      <c r="J29" s="102"/>
    </row>
    <row r="30" customFormat="false" ht="15" hidden="false" customHeight="false" outlineLevel="0" collapsed="false"/>
    <row r="31" customFormat="false" ht="24.75" hidden="false" customHeight="true" outlineLevel="0" collapsed="false">
      <c r="A31" s="103" t="s">
        <v>293</v>
      </c>
      <c r="B31" s="103"/>
      <c r="C31" s="103"/>
      <c r="D31" s="103"/>
      <c r="E31" s="103"/>
      <c r="F31" s="103"/>
      <c r="G31" s="103"/>
      <c r="H31" s="103"/>
      <c r="I31" s="103"/>
      <c r="J31" s="103"/>
    </row>
    <row r="32" customFormat="false" ht="24.7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</row>
  </sheetData>
  <mergeCells count="64">
    <mergeCell ref="A1:J1"/>
    <mergeCell ref="A2:J2"/>
    <mergeCell ref="A4:J5"/>
    <mergeCell ref="A7:J7"/>
    <mergeCell ref="B8:C8"/>
    <mergeCell ref="D8:F8"/>
    <mergeCell ref="G8:J8"/>
    <mergeCell ref="B9:C9"/>
    <mergeCell ref="D9:F9"/>
    <mergeCell ref="G9:J9"/>
    <mergeCell ref="B10:C10"/>
    <mergeCell ref="D10:F10"/>
    <mergeCell ref="G10:J10"/>
    <mergeCell ref="B11:C11"/>
    <mergeCell ref="D11:F11"/>
    <mergeCell ref="G11:J11"/>
    <mergeCell ref="B12:C12"/>
    <mergeCell ref="D12:F12"/>
    <mergeCell ref="G12:J12"/>
    <mergeCell ref="B13:C13"/>
    <mergeCell ref="D13:F13"/>
    <mergeCell ref="G13:J13"/>
    <mergeCell ref="B14:C14"/>
    <mergeCell ref="D14:F14"/>
    <mergeCell ref="G14:J14"/>
    <mergeCell ref="B15:C15"/>
    <mergeCell ref="D15:F15"/>
    <mergeCell ref="G15:J15"/>
    <mergeCell ref="B16:C16"/>
    <mergeCell ref="D16:F16"/>
    <mergeCell ref="G16:J16"/>
    <mergeCell ref="B17:C17"/>
    <mergeCell ref="D17:F17"/>
    <mergeCell ref="G17:J17"/>
    <mergeCell ref="B18:C18"/>
    <mergeCell ref="D18:F18"/>
    <mergeCell ref="G18:J18"/>
    <mergeCell ref="B19:C19"/>
    <mergeCell ref="D19:F19"/>
    <mergeCell ref="G19:J19"/>
    <mergeCell ref="B20:C20"/>
    <mergeCell ref="D20:F20"/>
    <mergeCell ref="G20:J20"/>
    <mergeCell ref="B21:C21"/>
    <mergeCell ref="D21:F21"/>
    <mergeCell ref="G21:J21"/>
    <mergeCell ref="B22:C22"/>
    <mergeCell ref="D22:F22"/>
    <mergeCell ref="G22:J22"/>
    <mergeCell ref="B23:C23"/>
    <mergeCell ref="D23:F23"/>
    <mergeCell ref="G23:J23"/>
    <mergeCell ref="A24:J24"/>
    <mergeCell ref="C25:E25"/>
    <mergeCell ref="F25:J25"/>
    <mergeCell ref="C26:E26"/>
    <mergeCell ref="F26:J26"/>
    <mergeCell ref="C27:E27"/>
    <mergeCell ref="F27:J27"/>
    <mergeCell ref="C28:E28"/>
    <mergeCell ref="F28:J28"/>
    <mergeCell ref="C29:E29"/>
    <mergeCell ref="F29:J29"/>
    <mergeCell ref="A31:J3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0"/>
    <col collapsed="false" customWidth="true" hidden="false" outlineLevel="0" max="9" min="6" style="1" width="15"/>
    <col collapsed="false" customWidth="true" hidden="false" outlineLevel="0" max="10" min="10" style="1" width="4"/>
    <col collapsed="false" customWidth="true" hidden="false" outlineLevel="0" max="11" min="11" style="1" width="24"/>
    <col collapsed="false" customWidth="true" hidden="false" outlineLevel="0" max="12" min="12" style="1" width="28"/>
  </cols>
  <sheetData>
    <row r="1" customFormat="false" ht="33.75" hidden="false" customHeight="true" outlineLevel="0" collapsed="false">
      <c r="A1" s="2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.75" hidden="false" customHeight="true" outlineLevel="0" collapsed="false">
      <c r="A2" s="3" t="s">
        <v>295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2.5" hidden="false" customHeight="true" outlineLevel="0" collapsed="false">
      <c r="A4" s="4" t="s">
        <v>296</v>
      </c>
      <c r="B4" s="4"/>
      <c r="C4" s="4"/>
      <c r="D4" s="4"/>
      <c r="E4" s="4"/>
      <c r="F4" s="4"/>
      <c r="G4" s="4"/>
      <c r="H4" s="4"/>
      <c r="I4" s="4"/>
    </row>
    <row r="5" customFormat="false" ht="33.75" hidden="false" customHeight="true" outlineLevel="0" collapsed="false">
      <c r="A5" s="18" t="s">
        <v>175</v>
      </c>
      <c r="B5" s="18" t="s">
        <v>197</v>
      </c>
      <c r="C5" s="18" t="s">
        <v>200</v>
      </c>
      <c r="D5" s="18" t="s">
        <v>203</v>
      </c>
      <c r="E5" s="18" t="s">
        <v>205</v>
      </c>
      <c r="F5" s="18" t="s">
        <v>212</v>
      </c>
      <c r="G5" s="18" t="s">
        <v>215</v>
      </c>
      <c r="H5" s="18" t="s">
        <v>218</v>
      </c>
      <c r="I5" s="18" t="s">
        <v>221</v>
      </c>
    </row>
    <row r="6" customFormat="false" ht="24.75" hidden="false" customHeight="true" outlineLevel="0" collapsed="false">
      <c r="A6" s="104" t="n">
        <v>0.3</v>
      </c>
      <c r="B6" s="105" t="n">
        <f aca="false">COUNTIFS(04_Test_Prediction!$F$8:$F$17,1,04_Test_Prediction!$K$8:$K$17,"&gt;="&amp;A6)</f>
        <v>5</v>
      </c>
      <c r="C6" s="105" t="n">
        <f aca="false">COUNTIFS(04_Test_Prediction!$F$8:$F$17,0,04_Test_Prediction!$K$8:$K$17,"&gt;="&amp;A6)</f>
        <v>4</v>
      </c>
      <c r="D6" s="105" t="n">
        <f aca="false">COUNTIFS(04_Test_Prediction!$F$8:$F$17,1,04_Test_Prediction!$K$8:$K$17,"&lt;"&amp;A6)</f>
        <v>0</v>
      </c>
      <c r="E6" s="105" t="n">
        <f aca="false">COUNTIFS(04_Test_Prediction!$F$8:$F$17,0,04_Test_Prediction!$K$8:$K$17,"&lt;"&amp;A6)</f>
        <v>1</v>
      </c>
      <c r="F6" s="106" t="n">
        <f aca="false">IFERROR((B6+E6)/SUM(B6:E6),0)</f>
        <v>0.6</v>
      </c>
      <c r="G6" s="106" t="n">
        <f aca="false">IFERROR(B6/(B6+C6),0)</f>
        <v>0.555555555555556</v>
      </c>
      <c r="H6" s="106" t="n">
        <f aca="false">IFERROR(B6/(B6+D6),0)</f>
        <v>1</v>
      </c>
      <c r="I6" s="106" t="n">
        <f aca="false">IFERROR(2*G6*H6/(G6+H6),0)</f>
        <v>0.714285714285714</v>
      </c>
    </row>
    <row r="7" customFormat="false" ht="24.75" hidden="false" customHeight="true" outlineLevel="0" collapsed="false">
      <c r="A7" s="104" t="n">
        <v>0.4</v>
      </c>
      <c r="B7" s="107" t="n">
        <f aca="false">COUNTIFS(04_Test_Prediction!$F$8:$F$17,1,04_Test_Prediction!$K$8:$K$17,"&gt;="&amp;A7)</f>
        <v>5</v>
      </c>
      <c r="C7" s="107" t="n">
        <f aca="false">COUNTIFS(04_Test_Prediction!$F$8:$F$17,0,04_Test_Prediction!$K$8:$K$17,"&gt;="&amp;A7)</f>
        <v>2</v>
      </c>
      <c r="D7" s="107" t="n">
        <f aca="false">COUNTIFS(04_Test_Prediction!$F$8:$F$17,1,04_Test_Prediction!$K$8:$K$17,"&lt;"&amp;A7)</f>
        <v>0</v>
      </c>
      <c r="E7" s="107" t="n">
        <f aca="false">COUNTIFS(04_Test_Prediction!$F$8:$F$17,0,04_Test_Prediction!$K$8:$K$17,"&lt;"&amp;A7)</f>
        <v>3</v>
      </c>
      <c r="F7" s="108" t="n">
        <f aca="false">IFERROR((B7+E7)/SUM(B7:E7),0)</f>
        <v>0.8</v>
      </c>
      <c r="G7" s="108" t="n">
        <f aca="false">IFERROR(B7/(B7+C7),0)</f>
        <v>0.714285714285714</v>
      </c>
      <c r="H7" s="108" t="n">
        <f aca="false">IFERROR(B7/(B7+D7),0)</f>
        <v>1</v>
      </c>
      <c r="I7" s="108" t="n">
        <f aca="false">IFERROR(2*G7*H7/(G7+H7),0)</f>
        <v>0.833333333333333</v>
      </c>
    </row>
    <row r="8" customFormat="false" ht="24.75" hidden="false" customHeight="true" outlineLevel="0" collapsed="false">
      <c r="A8" s="104" t="n">
        <v>0.5</v>
      </c>
      <c r="B8" s="105" t="n">
        <f aca="false">COUNTIFS(04_Test_Prediction!$F$8:$F$17,1,04_Test_Prediction!$K$8:$K$17,"&gt;="&amp;A8)</f>
        <v>5</v>
      </c>
      <c r="C8" s="105" t="n">
        <f aca="false">COUNTIFS(04_Test_Prediction!$F$8:$F$17,0,04_Test_Prediction!$K$8:$K$17,"&gt;="&amp;A8)</f>
        <v>0</v>
      </c>
      <c r="D8" s="105" t="n">
        <f aca="false">COUNTIFS(04_Test_Prediction!$F$8:$F$17,1,04_Test_Prediction!$K$8:$K$17,"&lt;"&amp;A8)</f>
        <v>0</v>
      </c>
      <c r="E8" s="105" t="n">
        <f aca="false">COUNTIFS(04_Test_Prediction!$F$8:$F$17,0,04_Test_Prediction!$K$8:$K$17,"&lt;"&amp;A8)</f>
        <v>5</v>
      </c>
      <c r="F8" s="106" t="n">
        <f aca="false">IFERROR((B8+E8)/SUM(B8:E8),0)</f>
        <v>1</v>
      </c>
      <c r="G8" s="106" t="n">
        <f aca="false">IFERROR(B8/(B8+C8),0)</f>
        <v>1</v>
      </c>
      <c r="H8" s="106" t="n">
        <f aca="false">IFERROR(B8/(B8+D8),0)</f>
        <v>1</v>
      </c>
      <c r="I8" s="106" t="n">
        <f aca="false">IFERROR(2*G8*H8/(G8+H8),0)</f>
        <v>1</v>
      </c>
    </row>
    <row r="9" customFormat="false" ht="24.75" hidden="false" customHeight="true" outlineLevel="0" collapsed="false">
      <c r="A9" s="104" t="n">
        <v>0.6</v>
      </c>
      <c r="B9" s="107" t="n">
        <f aca="false">COUNTIFS(04_Test_Prediction!$F$8:$F$17,1,04_Test_Prediction!$K$8:$K$17,"&gt;="&amp;A9)</f>
        <v>4</v>
      </c>
      <c r="C9" s="107" t="n">
        <f aca="false">COUNTIFS(04_Test_Prediction!$F$8:$F$17,0,04_Test_Prediction!$K$8:$K$17,"&gt;="&amp;A9)</f>
        <v>0</v>
      </c>
      <c r="D9" s="107" t="n">
        <f aca="false">COUNTIFS(04_Test_Prediction!$F$8:$F$17,1,04_Test_Prediction!$K$8:$K$17,"&lt;"&amp;A9)</f>
        <v>1</v>
      </c>
      <c r="E9" s="107" t="n">
        <f aca="false">COUNTIFS(04_Test_Prediction!$F$8:$F$17,0,04_Test_Prediction!$K$8:$K$17,"&lt;"&amp;A9)</f>
        <v>5</v>
      </c>
      <c r="F9" s="108" t="n">
        <f aca="false">IFERROR((B9+E9)/SUM(B9:E9),0)</f>
        <v>0.9</v>
      </c>
      <c r="G9" s="108" t="n">
        <f aca="false">IFERROR(B9/(B9+C9),0)</f>
        <v>1</v>
      </c>
      <c r="H9" s="108" t="n">
        <f aca="false">IFERROR(B9/(B9+D9),0)</f>
        <v>0.8</v>
      </c>
      <c r="I9" s="108" t="n">
        <f aca="false">IFERROR(2*G9*H9/(G9+H9),0)</f>
        <v>0.888888888888889</v>
      </c>
    </row>
    <row r="10" customFormat="false" ht="24.75" hidden="false" customHeight="true" outlineLevel="0" collapsed="false">
      <c r="A10" s="104" t="n">
        <v>0.7</v>
      </c>
      <c r="B10" s="105" t="n">
        <f aca="false">COUNTIFS(04_Test_Prediction!$F$8:$F$17,1,04_Test_Prediction!$K$8:$K$17,"&gt;="&amp;A10)</f>
        <v>2</v>
      </c>
      <c r="C10" s="105" t="n">
        <f aca="false">COUNTIFS(04_Test_Prediction!$F$8:$F$17,0,04_Test_Prediction!$K$8:$K$17,"&gt;="&amp;A10)</f>
        <v>0</v>
      </c>
      <c r="D10" s="105" t="n">
        <f aca="false">COUNTIFS(04_Test_Prediction!$F$8:$F$17,1,04_Test_Prediction!$K$8:$K$17,"&lt;"&amp;A10)</f>
        <v>3</v>
      </c>
      <c r="E10" s="105" t="n">
        <f aca="false">COUNTIFS(04_Test_Prediction!$F$8:$F$17,0,04_Test_Prediction!$K$8:$K$17,"&lt;"&amp;A10)</f>
        <v>5</v>
      </c>
      <c r="F10" s="106" t="n">
        <f aca="false">IFERROR((B10+E10)/SUM(B10:E10),0)</f>
        <v>0.7</v>
      </c>
      <c r="G10" s="106" t="n">
        <f aca="false">IFERROR(B10/(B10+C10),0)</f>
        <v>1</v>
      </c>
      <c r="H10" s="106" t="n">
        <f aca="false">IFERROR(B10/(B10+D10),0)</f>
        <v>0.4</v>
      </c>
      <c r="I10" s="106" t="n">
        <f aca="false">IFERROR(2*G10*H10/(G10+H10),0)</f>
        <v>0.571428571428572</v>
      </c>
    </row>
    <row r="12" customFormat="false" ht="22.5" hidden="false" customHeight="true" outlineLevel="0" collapsed="false">
      <c r="A12" s="17" t="s">
        <v>297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33.75" hidden="false" customHeight="true" outlineLevel="0" collapsed="false">
      <c r="A13" s="109" t="s">
        <v>298</v>
      </c>
      <c r="B13" s="109"/>
      <c r="C13" s="109"/>
      <c r="D13" s="109"/>
      <c r="E13" s="109"/>
      <c r="F13" s="109"/>
      <c r="G13" s="109"/>
      <c r="H13" s="109"/>
      <c r="I13" s="109"/>
      <c r="K13" s="110" t="s">
        <v>299</v>
      </c>
      <c r="L13" s="110"/>
    </row>
    <row r="14" customFormat="false" ht="33.75" hidden="false" customHeight="true" outlineLevel="0" collapsed="false">
      <c r="A14" s="111" t="s">
        <v>300</v>
      </c>
      <c r="B14" s="111"/>
      <c r="C14" s="111"/>
      <c r="D14" s="111"/>
      <c r="E14" s="111"/>
      <c r="F14" s="111"/>
      <c r="G14" s="111"/>
      <c r="H14" s="111"/>
      <c r="I14" s="111"/>
      <c r="K14" s="110" t="s">
        <v>299</v>
      </c>
      <c r="L14" s="110"/>
    </row>
    <row r="15" customFormat="false" ht="33.75" hidden="false" customHeight="true" outlineLevel="0" collapsed="false">
      <c r="A15" s="5" t="s">
        <v>301</v>
      </c>
      <c r="B15" s="5"/>
      <c r="C15" s="5"/>
      <c r="D15" s="5"/>
      <c r="E15" s="5"/>
      <c r="F15" s="5"/>
      <c r="G15" s="5"/>
      <c r="H15" s="5"/>
      <c r="I15" s="5"/>
      <c r="K15" s="110" t="s">
        <v>299</v>
      </c>
      <c r="L15" s="110"/>
    </row>
    <row r="16" customFormat="false" ht="33.75" hidden="false" customHeight="true" outlineLevel="0" collapsed="false">
      <c r="A16" s="111" t="s">
        <v>302</v>
      </c>
      <c r="B16" s="111"/>
      <c r="C16" s="111"/>
      <c r="D16" s="111"/>
      <c r="E16" s="111"/>
      <c r="F16" s="111"/>
      <c r="G16" s="111"/>
      <c r="H16" s="111"/>
      <c r="I16" s="111"/>
      <c r="K16" s="110" t="s">
        <v>299</v>
      </c>
      <c r="L16" s="110"/>
    </row>
    <row r="17" customFormat="false" ht="33.75" hidden="false" customHeight="true" outlineLevel="0" collapsed="false">
      <c r="A17" s="5" t="s">
        <v>303</v>
      </c>
      <c r="B17" s="5"/>
      <c r="C17" s="5"/>
      <c r="D17" s="5"/>
      <c r="E17" s="5"/>
      <c r="F17" s="5"/>
      <c r="G17" s="5"/>
      <c r="H17" s="5"/>
      <c r="I17" s="5"/>
      <c r="K17" s="110" t="s">
        <v>299</v>
      </c>
      <c r="L17" s="110"/>
    </row>
    <row r="20" customFormat="false" ht="24.75" hidden="false" customHeight="true" outlineLevel="0" collapsed="false">
      <c r="A20" s="103" t="s">
        <v>304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</row>
    <row r="21" customFormat="false" ht="24.75" hidden="false" customHeight="true" outlineLevel="0" collapsed="false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</sheetData>
  <mergeCells count="15">
    <mergeCell ref="A1:L1"/>
    <mergeCell ref="A2:L2"/>
    <mergeCell ref="A4:I4"/>
    <mergeCell ref="A12:L12"/>
    <mergeCell ref="A13:I13"/>
    <mergeCell ref="K13:L13"/>
    <mergeCell ref="A14:I14"/>
    <mergeCell ref="K14:L14"/>
    <mergeCell ref="A15:I15"/>
    <mergeCell ref="K15:L15"/>
    <mergeCell ref="A16:I16"/>
    <mergeCell ref="K16:L16"/>
    <mergeCell ref="A17:I17"/>
    <mergeCell ref="K17:L17"/>
    <mergeCell ref="A20:L21"/>
  </mergeCells>
  <conditionalFormatting sqref="I6:I10">
    <cfRule type="cellIs" priority="2" operator="equal" aboveAverage="0" equalAverage="0" bottom="0" percent="0" rank="0" text="" dxfId="9">
      <formula>MAX($I$6:$I$10)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2026-07-19T23:21:46Z</dcterms:created>
  <dc:creator>OpenAI</dc:creator>
  <dc:description>Thai pre-exam practice workbook with blank student calculation cells</dc:description>
  <dc:language>en-US</dc:language>
  <cp:lastModifiedBy/>
  <dcterms:modified xsi:type="dcterms:W3CDTF">2026-07-26T18:13:15Z</dcterms:modified>
  <cp:revision>2</cp:revision>
  <dc:subject>Excel-based Logistic Regression teaching workbook</dc:subject>
  <dc:title>Logistic Regression Practice - 20 Steps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