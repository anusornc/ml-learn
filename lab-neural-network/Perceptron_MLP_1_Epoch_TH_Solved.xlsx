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ide" sheetId="1" state="visible" r:id="rId3"/>
    <sheet name="01_Perceptron_AND" sheetId="2" state="visible" r:id="rId4"/>
    <sheet name="02_MLP_X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<sst xmlns="http://schemas.openxmlformats.org/spreadsheetml/2006/main" count="84" uniqueCount="62">
  <si>
    <t xml:space="preserve">ใบงาน 1 epoch — Perceptron (AND) และ MLP (XOR)</t>
  </si>
  <si>
    <t xml:space="preserve">ลำดับทำ: อ่าน 09-ML-NN.html → เปิด index.html (sandbox) → รัน perceptron.py / mlp_xor.py → ทำใบงานนี้</t>
  </si>
  <si>
    <t xml:space="preserve">เซลล์พื้นเหลือง + ตัวเลขน้ำเงิน = ค่าที่กำหนดให้ ห้ามแก้ตอนสอบ ยกเว้นอาจารย์จะเปลี่ยนโจทย์</t>
  </si>
  <si>
    <t xml:space="preserve">เซลล์พื้นเหลืองว่าง = ให้เติมสูตรเอง อย่าพิมพ์คำตอบลงไป</t>
  </si>
  <si>
    <t xml:space="preserve">Step(z) = 1 เมื่อ z ≥ 0 ไม่ใช่ z &gt; 0 — จุด z = 0 สำคัญในโจทย์ AND แถวแรก</t>
  </si>
  <si>
    <t xml:space="preserve">Backprop: คำนวณ delta ทุกชั้นจากน้ำหนักเดิม แล้วค่อยอัปเดต (อย่าใช้ w ใหม่ตอนย้อนกลับ)</t>
  </si>
  <si>
    <t xml:space="preserve">Loss ของ MLP: L = 0.5 * (ŷ − y)² แล้วเดินลงเกรเดียนต์ w ← w − η · ∂L/∂w</t>
  </si>
  <si>
    <t xml:space="preserve">ไฟล์เฉลยมีสูตรครบ ใช้ตรวจหลังทำโจทย์ ไม่ใช่ตอนสอบ</t>
  </si>
  <si>
    <t xml:space="preserve">AND หนึ่ง epoch ด้วย Perceptron (เริ่ม w=0, b=0, η=0.1)</t>
  </si>
  <si>
    <t xml:space="preserve">η</t>
  </si>
  <si>
    <t xml:space="preserve">ลำดับตัวอย่างคงที่: (0,0)→0, (0,1)→0, (1,0)→0, (1,1)→1 — แถวแรก z=0 จึง ŷ=1 และ error=−1 ทำให้ bias ติดลบ</t>
  </si>
  <si>
    <t xml:space="preserve">w1 เริ่ม</t>
  </si>
  <si>
    <t xml:space="preserve">w2 เริ่ม</t>
  </si>
  <si>
    <t xml:space="preserve">b เริ่ม</t>
  </si>
  <si>
    <t xml:space="preserve">ลำดับ</t>
  </si>
  <si>
    <t xml:space="preserve">x1</t>
  </si>
  <si>
    <t xml:space="preserve">x2</t>
  </si>
  <si>
    <t xml:space="preserve">y</t>
  </si>
  <si>
    <t xml:space="preserve">z</t>
  </si>
  <si>
    <t xml:space="preserve">ŷ = Step(z≥0)</t>
  </si>
  <si>
    <t xml:space="preserve">error = y−ŷ</t>
  </si>
  <si>
    <t xml:space="preserve">w1 ใหม่</t>
  </si>
  <si>
    <t xml:space="preserve">w2 ใหม่</t>
  </si>
  <si>
    <t xml:space="preserve">b ใหม่</t>
  </si>
  <si>
    <t xml:space="preserve">ตรวจ: หลังแถว 4 ต้องได้ w1=0.1, w2=0.1, b=0.0</t>
  </si>
  <si>
    <t xml:space="preserve">XOR หนึ่งตัวอย่าง [x1=1, x2=0, y=1] โครงข่าย 2-2-1, sigmoid, L=½(ŷ−y)², η=2.0</t>
  </si>
  <si>
    <t xml:space="preserve">W_h1,1</t>
  </si>
  <si>
    <t xml:space="preserve">W_h1,2</t>
  </si>
  <si>
    <t xml:space="preserve">b_h1</t>
  </si>
  <si>
    <t xml:space="preserve">W_h2,1</t>
  </si>
  <si>
    <t xml:space="preserve">W_h2,2</t>
  </si>
  <si>
    <t xml:space="preserve">b_h2</t>
  </si>
  <si>
    <t xml:space="preserve">W_o,1</t>
  </si>
  <si>
    <t xml:space="preserve">W_o,2</t>
  </si>
  <si>
    <t xml:space="preserve">b_o</t>
  </si>
  <si>
    <t xml:space="preserve">Forward — เติม z แล้วใช้ =1/(1+EXP(-z)) สำหรับ sigmoid</t>
  </si>
  <si>
    <t xml:space="preserve">ชั้น</t>
  </si>
  <si>
    <t xml:space="preserve">สูตร z</t>
  </si>
  <si>
    <t xml:space="preserve">activation</t>
  </si>
  <si>
    <t xml:space="preserve">L = 0.5*(ŷ−y)^2</t>
  </si>
  <si>
    <t xml:space="preserve">h1</t>
  </si>
  <si>
    <t xml:space="preserve">b_h1 + W_h1,1·x1 + W_h1,2·x2</t>
  </si>
  <si>
    <t xml:space="preserve">h2</t>
  </si>
  <si>
    <t xml:space="preserve">b_h2 + W_h2,1·x1 + W_h2,2·x2</t>
  </si>
  <si>
    <t xml:space="preserve">out</t>
  </si>
  <si>
    <t xml:space="preserve">b_o + W_o,1·a_h1 + W_o,2·a_h2</t>
  </si>
  <si>
    <t xml:space="preserve">Backward — ใช้ weight เดิมเท่านั้น แล้วย่อยไปอัปเดตด้านล่าง</t>
  </si>
  <si>
    <t xml:space="preserve">delta</t>
  </si>
  <si>
    <t xml:space="preserve">สูตร</t>
  </si>
  <si>
    <t xml:space="preserve">ค่า</t>
  </si>
  <si>
    <t xml:space="preserve">δ_out</t>
  </si>
  <si>
    <t xml:space="preserve">(ŷ−y) · ŷ · (1−ŷ)</t>
  </si>
  <si>
    <t xml:space="preserve">δ_h1</t>
  </si>
  <si>
    <t xml:space="preserve">(W_o,1 · δ_out) · a_h1 · (1−a_h1)</t>
  </si>
  <si>
    <t xml:space="preserve">δ_h2</t>
  </si>
  <si>
    <t xml:space="preserve">(W_o,2 · δ_out) · a_h2 · (1−a_h2)</t>
  </si>
  <si>
    <t xml:space="preserve">อัปเดต: พารามิเตอร์ใหม่ = ของเดิม − η · δ · activation ขาเข้า</t>
  </si>
  <si>
    <t xml:space="preserve">พารามิเตอร์</t>
  </si>
  <si>
    <t xml:space="preserve">สูตรอัปเดต</t>
  </si>
  <si>
    <t xml:space="preserve">ค่าใหม่</t>
  </si>
  <si>
    <t xml:space="preserve">ของเดิม − η·δ·ขาเข้า</t>
  </si>
  <si>
    <t xml:space="preserve">ตรวจคร่าว ๆ: z_h1 ต้องเป็น 0.5, z_h2 ต้องเป็น −0.5, z_out ต้องเป็น 0.5, ŷ ≈ 0.6225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</si>
</sst>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3341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BF"/>
        <bgColor rgb="FFFFFF99"/>
      </patternFill>
    </fill>
    <fill>
      <patternFill patternType="solid">
        <fgColor rgb="FF1E3A5F"/>
        <bgColor rgb="FF334155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3BF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0"/>
    <col collapsed="false" customWidth="true" hidden="false" outlineLevel="0" max="6" min="2" style="0" width="14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1.7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21.7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21.7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21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21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21.75" hidden="false" customHeight="true" outlineLevel="0" collapsed="false">
      <c r="A9" s="2" t="s">
        <v>7</v>
      </c>
      <c r="B9" s="2"/>
      <c r="C9" s="2"/>
      <c r="D9" s="2"/>
      <c r="E9" s="2"/>
      <c r="F9" s="2"/>
    </row>
  </sheetData>
  <mergeCells count="8">
    <mergeCell ref="A1:F1"/>
    <mergeCell ref="A3:F3"/>
    <mergeCell ref="A4:F4"/>
    <mergeCell ref="A5:F5"/>
    <mergeCell ref="A6:F6"/>
    <mergeCell ref="A7:F7"/>
    <mergeCell ref="A8:F8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10" min="7" style="0" width="16"/>
  </cols>
  <sheetData>
    <row r="1" customFormat="false" ht="17.15" hidden="false" customHeight="fals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true" outlineLevel="0" collapsed="false">
      <c r="A3" s="3" t="s">
        <v>9</v>
      </c>
      <c r="B3" s="4" t="n">
        <v>0.1</v>
      </c>
      <c r="D3" s="5" t="s">
        <v>10</v>
      </c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A4" s="3" t="s">
        <v>11</v>
      </c>
      <c r="B4" s="4" t="n">
        <v>0</v>
      </c>
      <c r="D4" s="5"/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3" t="s">
        <v>12</v>
      </c>
      <c r="B5" s="4" t="n">
        <v>0</v>
      </c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3" t="s">
        <v>13</v>
      </c>
      <c r="B6" s="4" t="n">
        <v>0</v>
      </c>
      <c r="D6" s="5"/>
      <c r="E6" s="5"/>
      <c r="F6" s="5"/>
      <c r="G6" s="5"/>
      <c r="H6" s="5"/>
      <c r="I6" s="5"/>
      <c r="J6" s="5"/>
    </row>
    <row r="8" customFormat="false" ht="15" hidden="false" customHeight="false" outlineLevel="0" collapsed="false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6" t="s">
        <v>23</v>
      </c>
    </row>
    <row r="9" customFormat="false" ht="15" hidden="false" customHeight="false" outlineLevel="0" collapsed="false">
      <c r="A9" s="7" t="n">
        <v>1</v>
      </c>
      <c r="B9" s="8" t="n">
        <v>0</v>
      </c>
      <c r="C9" s="8" t="n">
        <v>0</v>
      </c>
      <c r="D9" s="8" t="n">
        <v>0</v>
      </c>
      <c r="E9" s="9" t="n">
        <f aca="false">$B$6+$B$4*B9+$B$5*C9</f>
        <v>0</v>
      </c>
      <c r="F9" s="9" t="n">
        <f aca="false">IF(E9&gt;=0,1,0)</f>
        <v>1</v>
      </c>
      <c r="G9" s="9" t="n">
        <f aca="false">D9-F9</f>
        <v>-1</v>
      </c>
      <c r="H9" s="9" t="n">
        <f aca="false">$B$4+$B$3*G9*B9</f>
        <v>0</v>
      </c>
      <c r="I9" s="9" t="n">
        <f aca="false">$B$5+$B$3*G9*C9</f>
        <v>0</v>
      </c>
      <c r="J9" s="9" t="n">
        <f aca="false">$B$6+$B$3*G9</f>
        <v>-0.1</v>
      </c>
    </row>
    <row r="10" customFormat="false" ht="15" hidden="false" customHeight="false" outlineLevel="0" collapsed="false">
      <c r="A10" s="7" t="n">
        <v>2</v>
      </c>
      <c r="B10" s="8" t="n">
        <v>0</v>
      </c>
      <c r="C10" s="8" t="n">
        <v>1</v>
      </c>
      <c r="D10" s="8" t="n">
        <v>0</v>
      </c>
      <c r="E10" s="9" t="n">
        <f aca="false">J9+H9*B10+I9*C10</f>
        <v>-0.1</v>
      </c>
      <c r="F10" s="9" t="n">
        <f aca="false">IF(E10&gt;=0,1,0)</f>
        <v>0</v>
      </c>
      <c r="G10" s="9" t="n">
        <f aca="false">D10-F10</f>
        <v>0</v>
      </c>
      <c r="H10" s="9" t="n">
        <f aca="false">H9+$B$3*G10*B10</f>
        <v>0</v>
      </c>
      <c r="I10" s="9" t="n">
        <f aca="false">I9+$B$3*G10*C10</f>
        <v>0</v>
      </c>
      <c r="J10" s="9" t="n">
        <f aca="false">J9+$B$3*G10</f>
        <v>-0.1</v>
      </c>
    </row>
    <row r="11" customFormat="false" ht="15" hidden="false" customHeight="false" outlineLevel="0" collapsed="false">
      <c r="A11" s="7" t="n">
        <v>3</v>
      </c>
      <c r="B11" s="8" t="n">
        <v>1</v>
      </c>
      <c r="C11" s="8" t="n">
        <v>0</v>
      </c>
      <c r="D11" s="8" t="n">
        <v>0</v>
      </c>
      <c r="E11" s="9" t="n">
        <f aca="false">J10+H10*B11+I10*C11</f>
        <v>-0.1</v>
      </c>
      <c r="F11" s="9" t="n">
        <f aca="false">IF(E11&gt;=0,1,0)</f>
        <v>0</v>
      </c>
      <c r="G11" s="9" t="n">
        <f aca="false">D11-F11</f>
        <v>0</v>
      </c>
      <c r="H11" s="9" t="n">
        <f aca="false">H10+$B$3*G11*B11</f>
        <v>0</v>
      </c>
      <c r="I11" s="9" t="n">
        <f aca="false">I10+$B$3*G11*C11</f>
        <v>0</v>
      </c>
      <c r="J11" s="9" t="n">
        <f aca="false">J10+$B$3*G11</f>
        <v>-0.1</v>
      </c>
    </row>
    <row r="12" customFormat="false" ht="15" hidden="false" customHeight="false" outlineLevel="0" collapsed="false">
      <c r="A12" s="7" t="n">
        <v>4</v>
      </c>
      <c r="B12" s="8" t="n">
        <v>1</v>
      </c>
      <c r="C12" s="8" t="n">
        <v>1</v>
      </c>
      <c r="D12" s="8" t="n">
        <v>1</v>
      </c>
      <c r="E12" s="9" t="n">
        <f aca="false">J11+H11*B12+I11*C12</f>
        <v>-0.1</v>
      </c>
      <c r="F12" s="9" t="n">
        <f aca="false">IF(E12&gt;=0,1,0)</f>
        <v>0</v>
      </c>
      <c r="G12" s="9" t="n">
        <f aca="false">D12-F12</f>
        <v>1</v>
      </c>
      <c r="H12" s="9" t="n">
        <f aca="false">H11+$B$3*G12*B12</f>
        <v>0.1</v>
      </c>
      <c r="I12" s="9" t="n">
        <f aca="false">I11+$B$3*G12*C12</f>
        <v>0.1</v>
      </c>
      <c r="J12" s="9" t="n">
        <f aca="false">J11+$B$3*G12</f>
        <v>0</v>
      </c>
    </row>
    <row r="14" customFormat="false" ht="12.65" hidden="false" customHeight="false" outlineLevel="0" collapsed="false">
      <c r="A14" s="10" t="s">
        <v>24</v>
      </c>
      <c r="B14" s="10"/>
      <c r="C14" s="10"/>
      <c r="D14" s="10"/>
      <c r="E14" s="10"/>
      <c r="F14" s="10"/>
      <c r="G14" s="10"/>
      <c r="H14" s="10"/>
      <c r="I14" s="10"/>
      <c r="J14" s="10"/>
    </row>
  </sheetData>
  <mergeCells count="3">
    <mergeCell ref="A1:J1"/>
    <mergeCell ref="D3:J6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7.15" hidden="false" customHeight="false" outlineLevel="0" collapsed="false">
      <c r="A1" s="1" t="s">
        <v>25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15</v>
      </c>
      <c r="B3" s="4" t="n">
        <v>1</v>
      </c>
      <c r="C3" s="3" t="s">
        <v>16</v>
      </c>
      <c r="D3" s="4" t="n">
        <v>0</v>
      </c>
      <c r="E3" s="3" t="s">
        <v>17</v>
      </c>
      <c r="F3" s="4" t="n">
        <v>1</v>
      </c>
    </row>
    <row r="4" customFormat="false" ht="15" hidden="false" customHeight="false" outlineLevel="0" collapsed="false">
      <c r="A4" s="3" t="s">
        <v>9</v>
      </c>
      <c r="B4" s="4" t="n">
        <v>2</v>
      </c>
    </row>
    <row r="6" customFormat="false" ht="15" hidden="false" customHeight="false" outlineLevel="0" collapsed="false">
      <c r="A6" s="3" t="s">
        <v>26</v>
      </c>
      <c r="B6" s="4" t="n">
        <v>0.5</v>
      </c>
      <c r="C6" s="3" t="s">
        <v>27</v>
      </c>
      <c r="D6" s="4" t="n">
        <v>-0.5</v>
      </c>
      <c r="E6" s="3" t="s">
        <v>28</v>
      </c>
      <c r="F6" s="4" t="n">
        <v>0</v>
      </c>
    </row>
    <row r="7" customFormat="false" ht="15" hidden="false" customHeight="false" outlineLevel="0" collapsed="false">
      <c r="A7" s="3" t="s">
        <v>29</v>
      </c>
      <c r="B7" s="4" t="n">
        <v>-0.5</v>
      </c>
      <c r="C7" s="3" t="s">
        <v>30</v>
      </c>
      <c r="D7" s="4" t="n">
        <v>0.5</v>
      </c>
      <c r="E7" s="3" t="s">
        <v>31</v>
      </c>
      <c r="F7" s="4" t="n">
        <v>0</v>
      </c>
    </row>
    <row r="8" customFormat="false" ht="15" hidden="false" customHeight="false" outlineLevel="0" collapsed="false">
      <c r="A8" s="3" t="s">
        <v>32</v>
      </c>
      <c r="B8" s="4" t="n">
        <v>0.5</v>
      </c>
      <c r="C8" s="3" t="s">
        <v>33</v>
      </c>
      <c r="D8" s="4" t="n">
        <v>0.5</v>
      </c>
      <c r="E8" s="3" t="s">
        <v>34</v>
      </c>
      <c r="F8" s="4" t="n">
        <v>0</v>
      </c>
    </row>
    <row r="10" customFormat="false" ht="15" hidden="false" customHeight="false" outlineLevel="0" collapsed="false">
      <c r="A10" s="3" t="s">
        <v>35</v>
      </c>
    </row>
    <row r="11" customFormat="false" ht="15" hidden="false" customHeight="false" outlineLevel="0" collapsed="false">
      <c r="A11" s="11" t="s">
        <v>36</v>
      </c>
      <c r="B11" s="11" t="s">
        <v>37</v>
      </c>
      <c r="C11" s="11" t="s">
        <v>18</v>
      </c>
      <c r="D11" s="11" t="s">
        <v>38</v>
      </c>
      <c r="E11" s="11" t="s">
        <v>39</v>
      </c>
      <c r="F11" s="11"/>
    </row>
    <row r="12" customFormat="false" ht="15" hidden="false" customHeight="false" outlineLevel="0" collapsed="false">
      <c r="A12" s="12" t="s">
        <v>40</v>
      </c>
      <c r="B12" s="13" t="s">
        <v>41</v>
      </c>
      <c r="C12" s="9" t="n">
        <f aca="false">F6+B6*$B$3+D6*$D$3</f>
        <v>0.5</v>
      </c>
      <c r="D12" s="9" t="n">
        <f aca="false">1/(1+EXP(-C12))</f>
        <v>0.622459331201855</v>
      </c>
    </row>
    <row r="13" customFormat="false" ht="15" hidden="false" customHeight="false" outlineLevel="0" collapsed="false">
      <c r="A13" s="12" t="s">
        <v>42</v>
      </c>
      <c r="B13" s="13" t="s">
        <v>43</v>
      </c>
      <c r="C13" s="9" t="n">
        <f aca="false">F7+B7*$B$3+D7*$D$3</f>
        <v>-0.5</v>
      </c>
      <c r="D13" s="9" t="n">
        <f aca="false">1/(1+EXP(-C13))</f>
        <v>0.377540668798145</v>
      </c>
    </row>
    <row r="14" customFormat="false" ht="15" hidden="false" customHeight="false" outlineLevel="0" collapsed="false">
      <c r="A14" s="12" t="s">
        <v>44</v>
      </c>
      <c r="B14" s="13" t="s">
        <v>45</v>
      </c>
      <c r="C14" s="9" t="n">
        <f aca="false">F8+B8*D12+D8*D13</f>
        <v>0.5</v>
      </c>
      <c r="D14" s="9" t="n">
        <f aca="false">1/(1+EXP(-C14))</f>
        <v>0.622459331201855</v>
      </c>
      <c r="E14" s="9" t="n">
        <f aca="false">0.5*(D14-F3)^2</f>
        <v>0.0712684782982755</v>
      </c>
    </row>
    <row r="16" customFormat="false" ht="15" hidden="false" customHeight="false" outlineLevel="0" collapsed="false">
      <c r="A16" s="3" t="s">
        <v>46</v>
      </c>
    </row>
    <row r="17" customFormat="false" ht="15" hidden="false" customHeight="false" outlineLevel="0" collapsed="false">
      <c r="A17" s="11" t="s">
        <v>47</v>
      </c>
      <c r="B17" s="11" t="s">
        <v>48</v>
      </c>
      <c r="C17" s="11" t="s">
        <v>49</v>
      </c>
      <c r="D17" s="11"/>
      <c r="E17" s="11"/>
      <c r="F17" s="11"/>
    </row>
    <row r="18" customFormat="false" ht="15" hidden="false" customHeight="false" outlineLevel="0" collapsed="false">
      <c r="A18" s="12" t="s">
        <v>50</v>
      </c>
      <c r="B18" s="13" t="s">
        <v>51</v>
      </c>
      <c r="C18" s="9" t="n">
        <f aca="false">(D14-F3)*D14*(1-D14)</f>
        <v>-0.0887234586746369</v>
      </c>
    </row>
    <row r="19" customFormat="false" ht="15" hidden="false" customHeight="false" outlineLevel="0" collapsed="false">
      <c r="A19" s="12" t="s">
        <v>52</v>
      </c>
      <c r="B19" s="13" t="s">
        <v>53</v>
      </c>
      <c r="C19" s="9" t="n">
        <f aca="false">(B8*C18)*D12*(1-D12)</f>
        <v>-0.0104251710739522</v>
      </c>
    </row>
    <row r="20" customFormat="false" ht="15" hidden="false" customHeight="false" outlineLevel="0" collapsed="false">
      <c r="A20" s="12" t="s">
        <v>54</v>
      </c>
      <c r="B20" s="13" t="s">
        <v>55</v>
      </c>
      <c r="C20" s="9" t="n">
        <f aca="false">(D8*C18)*D13*(1-D13)</f>
        <v>-0.0104251710739522</v>
      </c>
    </row>
    <row r="22" customFormat="false" ht="15" hidden="false" customHeight="false" outlineLevel="0" collapsed="false">
      <c r="A22" s="3" t="s">
        <v>56</v>
      </c>
    </row>
    <row r="23" customFormat="false" ht="15" hidden="false" customHeight="false" outlineLevel="0" collapsed="false">
      <c r="A23" s="11" t="s">
        <v>57</v>
      </c>
      <c r="B23" s="11" t="s">
        <v>58</v>
      </c>
      <c r="C23" s="11" t="s">
        <v>59</v>
      </c>
      <c r="D23" s="11"/>
      <c r="E23" s="11"/>
      <c r="F23" s="11"/>
    </row>
    <row r="24" customFormat="false" ht="15" hidden="false" customHeight="false" outlineLevel="0" collapsed="false">
      <c r="A24" s="12" t="s">
        <v>32</v>
      </c>
      <c r="B24" s="13" t="s">
        <v>60</v>
      </c>
      <c r="C24" s="9" t="n">
        <f aca="false">B8-$B$4*C18*D12</f>
        <v>0.61045348949706</v>
      </c>
    </row>
    <row r="25" customFormat="false" ht="15" hidden="false" customHeight="false" outlineLevel="0" collapsed="false">
      <c r="A25" s="12" t="s">
        <v>33</v>
      </c>
      <c r="B25" s="13" t="s">
        <v>60</v>
      </c>
      <c r="C25" s="9" t="n">
        <f aca="false">D8-$B$4*C18*D13</f>
        <v>0.566993427852214</v>
      </c>
    </row>
    <row r="26" customFormat="false" ht="15" hidden="false" customHeight="false" outlineLevel="0" collapsed="false">
      <c r="A26" s="12" t="s">
        <v>34</v>
      </c>
      <c r="B26" s="13" t="s">
        <v>60</v>
      </c>
      <c r="C26" s="9" t="n">
        <f aca="false">F8-$B$4*C18</f>
        <v>0.177446917349274</v>
      </c>
    </row>
    <row r="27" customFormat="false" ht="15" hidden="false" customHeight="false" outlineLevel="0" collapsed="false">
      <c r="A27" s="12" t="s">
        <v>26</v>
      </c>
      <c r="B27" s="13" t="s">
        <v>60</v>
      </c>
      <c r="C27" s="9" t="n">
        <f aca="false">B6-$B$4*C19*$B$3</f>
        <v>0.520850342147904</v>
      </c>
    </row>
    <row r="28" customFormat="false" ht="15" hidden="false" customHeight="false" outlineLevel="0" collapsed="false">
      <c r="A28" s="12" t="s">
        <v>27</v>
      </c>
      <c r="B28" s="13" t="s">
        <v>60</v>
      </c>
      <c r="C28" s="9" t="n">
        <f aca="false">D6-$B$4*C19*$D$3</f>
        <v>-0.5</v>
      </c>
    </row>
    <row r="29" customFormat="false" ht="15" hidden="false" customHeight="false" outlineLevel="0" collapsed="false">
      <c r="A29" s="12" t="s">
        <v>28</v>
      </c>
      <c r="B29" s="13" t="s">
        <v>60</v>
      </c>
      <c r="C29" s="9" t="n">
        <f aca="false">F6-$B$4*C19</f>
        <v>0.0208503421479044</v>
      </c>
    </row>
    <row r="30" customFormat="false" ht="15" hidden="false" customHeight="false" outlineLevel="0" collapsed="false">
      <c r="A30" s="12" t="s">
        <v>29</v>
      </c>
      <c r="B30" s="13" t="s">
        <v>60</v>
      </c>
      <c r="C30" s="9" t="n">
        <f aca="false">B7-$B$4*C20*$B$3</f>
        <v>-0.479149657852096</v>
      </c>
    </row>
    <row r="31" customFormat="false" ht="15" hidden="false" customHeight="false" outlineLevel="0" collapsed="false">
      <c r="A31" s="12" t="s">
        <v>30</v>
      </c>
      <c r="B31" s="13" t="s">
        <v>60</v>
      </c>
      <c r="C31" s="9" t="n">
        <f aca="false">D7-$B$4*C20*$D$3</f>
        <v>0.5</v>
      </c>
    </row>
    <row r="32" customFormat="false" ht="15" hidden="false" customHeight="false" outlineLevel="0" collapsed="false">
      <c r="A32" s="12" t="s">
        <v>31</v>
      </c>
      <c r="B32" s="13" t="s">
        <v>60</v>
      </c>
      <c r="C32" s="9" t="n">
        <f aca="false">F7-$B$4*C20</f>
        <v>0.0208503421479044</v>
      </c>
    </row>
    <row r="34" customFormat="false" ht="12.65" hidden="false" customHeight="false" outlineLevel="0" collapsed="false">
      <c r="A34" s="10" t="s">
        <v>61</v>
      </c>
      <c r="B34" s="10"/>
      <c r="C34" s="10"/>
      <c r="D34" s="10"/>
      <c r="E34" s="10"/>
      <c r="F34" s="10"/>
    </row>
  </sheetData>
  <mergeCells count="2">
    <mergeCell ref="A1:F1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2026-08-13T03:40:05Z</dcterms:created>
  <dc:creator>openpyxl</dc:creator>
  <dc:description/>
  <dc:language>en-US</dc:language>
  <cp:lastModifiedBy/>
  <dcterms:modified xsi:type="dcterms:W3CDTF">2026-08-13T03:40:05Z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