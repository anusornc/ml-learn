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34ca8e01f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คู่มือ" sheetId="1" r:id="R78d13f37f3d342fc"/>
    <x:sheet xmlns:r="http://schemas.openxmlformats.org/officeDocument/2006/relationships" name="01_P_1รอบ" sheetId="2" r:id="Ra51a6455a90c4b3b"/>
    <x:sheet xmlns:r="http://schemas.openxmlformats.org/officeDocument/2006/relationships" name="02_P_AND" sheetId="3" r:id="Re235dc060d7e4627"/>
    <x:sheet xmlns:r="http://schemas.openxmlformats.org/officeDocument/2006/relationships" name="03_MLP_Forward" sheetId="4" r:id="R528d9a70630b4335"/>
    <x:sheet xmlns:r="http://schemas.openxmlformats.org/officeDocument/2006/relationships" name="04_MLP_Backprop" sheetId="5" r:id="R848d8040d9334cbd"/>
    <x:sheet xmlns:r="http://schemas.openxmlformats.org/officeDocument/2006/relationships" name="05_MLP_XOR_Log" sheetId="6" r:id="Ra53dcf815e8b47d1"/>
    <x:sheet xmlns:r="http://schemas.openxmlformats.org/officeDocument/2006/relationships" name="06_MLP_Summary" sheetId="7" r:id="R22308bec042a408c"/>
    <x:sheet xmlns:r="http://schemas.openxmlformats.org/officeDocument/2006/relationships" name="07_แบบฝึกหัด" sheetId="8" r:id="R38490ee629f8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000"/>
    <x:numFmt numFmtId="202" formatCode="0"/>
    <x:numFmt numFmtId="203" formatCode="0%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1F1F1F"/>
      <x:name val="Carlito"/>
    </x:font>
    <x:font>
      <x:b/>
      <x:sz val="12"/>
      <x:color rgb="FF1F1F1F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7FBFE"/>
      </x:patternFill>
    </x:fill>
    <x:fill>
      <x:patternFill patternType="solid">
        <x:fgColor rgb="FFFFF9E6"/>
      </x:patternFill>
    </x:fill>
    <x:fill>
      <x:patternFill patternType="solid">
        <x:fgColor rgb="FFE4DFEC"/>
      </x:patternFill>
    </x:fill>
  </x:fills>
  <x:borders count="32">
    <x:border/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</x:border>
    <x:border>
      <x:right style="thin">
        <x:color rgb="FFB7C9D6"/>
      </x:right>
    </x:border>
  </x:borders>
  <x:cellStyleXfs count="1">
    <x:xf numFmtId="0" fontId="0" fillId="0" borderId="0"/>
  </x:cellStyleXfs>
  <x:cellXfs count="2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20" xfId="0" applyNumberFormat="1" applyFont="1" applyFill="1" applyBorder="1" applyAlignment="1">
      <x:alignment horizontal="left" vertical="center" wrapText="1"/>
    </x:xf>
    <x:xf numFmtId="0" fontId="3" fillId="4" borderId="21" xfId="0" applyNumberFormat="1" applyFont="1" applyFill="1" applyBorder="1" applyAlignment="1">
      <x:alignment horizontal="left" vertical="center" wrapText="1"/>
    </x:xf>
    <x:xf numFmtId="0" fontId="3" fillId="4" borderId="22" xfId="0" applyNumberFormat="1" applyFont="1" applyFill="1" applyBorder="1" applyAlignment="1">
      <x:alignment horizontal="left" vertical="center" wrapText="1"/>
    </x:xf>
    <x:xf numFmtId="0" fontId="3" fillId="4" borderId="23" xfId="0" applyNumberFormat="1" applyFont="1" applyFill="1" applyBorder="1" applyAlignment="1">
      <x:alignment horizontal="left" vertical="center" wrapText="1"/>
    </x:xf>
    <x:xf numFmtId="0" fontId="3" fillId="4" borderId="24" xfId="0" applyNumberFormat="1" applyFont="1" applyFill="1" applyBorder="1" applyAlignment="1">
      <x:alignment horizontal="left" vertical="center" wrapText="1"/>
    </x:xf>
    <x:xf numFmtId="0" fontId="3" fillId="4" borderId="25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6" xfId="0" applyNumberFormat="1" applyFont="1" applyFill="1" applyBorder="1" applyAlignment="1">
      <x:alignment vertical="center" wrapText="1"/>
    </x:xf>
    <x:xf numFmtId="0" fontId="4" fillId="5" borderId="27" xfId="0" applyNumberFormat="1" applyFont="1" applyFill="1" applyBorder="1" applyAlignment="1">
      <x:alignment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6" borderId="26" xfId="0" applyNumberFormat="1" applyFont="1" applyFill="1" applyBorder="1" applyAlignment="1">
      <x:alignment vertical="center" wrapText="1"/>
    </x:xf>
    <x:xf numFmtId="0" fontId="4" fillId="6" borderId="27" xfId="0" applyNumberFormat="1" applyFont="1" applyFill="1" applyBorder="1" applyAlignment="1">
      <x:alignment vertical="center" wrapText="1"/>
    </x:xf>
    <x:xf numFmtId="0" fontId="4" fillId="7" borderId="26" xfId="0" applyNumberFormat="1" applyFont="1" applyFill="1" applyBorder="1" applyAlignment="1">
      <x:alignment vertical="center" wrapText="1"/>
    </x:xf>
    <x:xf numFmtId="0" fontId="4" fillId="7" borderId="27" xfId="0" applyNumberFormat="1" applyFont="1" applyFill="1" applyBorder="1" applyAlignment="1">
      <x:alignment vertical="center" wrapText="1"/>
    </x:xf>
    <x:xf numFmtId="0" fontId="4" fillId="8" borderId="26" xfId="0" applyNumberFormat="1" applyFont="1" applyFill="1" applyBorder="1" applyAlignment="1">
      <x:alignment vertical="center" wrapText="1"/>
    </x:xf>
    <x:xf numFmtId="0" fontId="4" fillId="8" borderId="27" xfId="0" applyNumberFormat="1" applyFont="1" applyFill="1" applyBorder="1" applyAlignment="1">
      <x:alignment vertical="center" wrapText="1"/>
    </x:xf>
    <x:xf numFmtId="0" fontId="4" fillId="9" borderId="26" xfId="0" applyNumberFormat="1" applyFont="1" applyFill="1" applyBorder="1" applyAlignment="1">
      <x:alignment vertical="center" wrapText="1"/>
    </x:xf>
    <x:xf numFmtId="0" fontId="4" fillId="9" borderId="27" xfId="0" applyNumberFormat="1" applyFont="1" applyFill="1" applyBorder="1" applyAlignment="1">
      <x:alignment vertical="center" wrapText="1"/>
    </x:xf>
    <x:xf numFmtId="0" fontId="4" fillId="10" borderId="26" xfId="0" applyNumberFormat="1" applyFont="1" applyFill="1" applyBorder="1" applyAlignment="1">
      <x:alignment vertical="center" wrapText="1"/>
    </x:xf>
    <x:xf numFmtId="0" fontId="4" fillId="10" borderId="27" xfId="0" applyNumberFormat="1" applyFont="1" applyFill="1" applyBorder="1" applyAlignment="1">
      <x:alignment vertical="center" wrapText="1"/>
    </x:xf>
    <x:xf numFmtId="0" fontId="5" fillId="6" borderId="26" xfId="0" applyNumberFormat="1" applyFont="1" applyFill="1" applyBorder="1" applyAlignment="1">
      <x:alignment vertical="center" wrapText="1"/>
    </x:xf>
    <x:xf numFmtId="0" fontId="5" fillId="7" borderId="26" xfId="0" applyNumberFormat="1" applyFont="1" applyFill="1" applyBorder="1" applyAlignment="1">
      <x:alignment vertical="center" wrapText="1"/>
    </x:xf>
    <x:xf numFmtId="0" fontId="5" fillId="8" borderId="26" xfId="0" applyNumberFormat="1" applyFont="1" applyFill="1" applyBorder="1" applyAlignment="1">
      <x:alignment vertical="center" wrapText="1"/>
    </x:xf>
    <x:xf numFmtId="0" fontId="5" fillId="9" borderId="26" xfId="0" applyNumberFormat="1" applyFont="1" applyFill="1" applyBorder="1" applyAlignment="1">
      <x:alignment vertical="center" wrapText="1"/>
    </x:xf>
    <x:xf numFmtId="0" fontId="5" fillId="10" borderId="26" xfId="0" applyNumberFormat="1" applyFont="1" applyFill="1" applyBorder="1" applyAlignment="1">
      <x:alignment vertical="center" wrapText="1"/>
    </x:xf>
    <x:xf numFmtId="0" fontId="5" fillId="6" borderId="27" xfId="0" applyNumberFormat="1" applyFont="1" applyFill="1" applyBorder="1" applyAlignment="1">
      <x:alignment vertical="center" wrapText="1"/>
    </x:xf>
    <x:xf numFmtId="0" fontId="5" fillId="7" borderId="27" xfId="0" applyNumberFormat="1" applyFont="1" applyFill="1" applyBorder="1" applyAlignment="1">
      <x:alignment vertical="center" wrapText="1"/>
    </x:xf>
    <x:xf numFmtId="0" fontId="5" fillId="8" borderId="27" xfId="0" applyNumberFormat="1" applyFont="1" applyFill="1" applyBorder="1" applyAlignment="1">
      <x:alignment vertical="center" wrapText="1"/>
    </x:xf>
    <x:xf numFmtId="0" fontId="5" fillId="9" borderId="27" xfId="0" applyNumberFormat="1" applyFont="1" applyFill="1" applyBorder="1" applyAlignment="1">
      <x:alignment vertical="center" wrapText="1"/>
    </x:xf>
    <x:xf numFmtId="0" fontId="5" fillId="10" borderId="27" xfId="0" applyNumberFormat="1" applyFont="1" applyFill="1" applyBorder="1" applyAlignment="1">
      <x:alignment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5" fillId="7" borderId="26" xfId="0" applyNumberFormat="1" applyFont="1" applyFill="1" applyBorder="1" applyAlignment="1">
      <x:alignment horizontal="center" vertical="center" wrapText="1"/>
    </x:xf>
    <x:xf numFmtId="0" fontId="5" fillId="8" borderId="26" xfId="0" applyNumberFormat="1" applyFont="1" applyFill="1" applyBorder="1" applyAlignment="1">
      <x:alignment horizontal="center" vertical="center" wrapText="1"/>
    </x:xf>
    <x:xf numFmtId="0" fontId="5" fillId="9" borderId="26" xfId="0" applyNumberFormat="1" applyFont="1" applyFill="1" applyBorder="1" applyAlignment="1">
      <x:alignment horizontal="center" vertical="center" wrapText="1"/>
    </x:xf>
    <x:xf numFmtId="0" fontId="5" fillId="10" borderId="26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5" fillId="7" borderId="27" xfId="0" applyNumberFormat="1" applyFont="1" applyFill="1" applyBorder="1" applyAlignment="1">
      <x:alignment horizontal="center" vertical="center" wrapText="1"/>
    </x:xf>
    <x:xf numFmtId="0" fontId="5" fillId="8" borderId="27" xfId="0" applyNumberFormat="1" applyFont="1" applyFill="1" applyBorder="1" applyAlignment="1">
      <x:alignment horizontal="center" vertical="center" wrapText="1"/>
    </x:xf>
    <x:xf numFmtId="0" fontId="5" fillId="9" borderId="27" xfId="0" applyNumberFormat="1" applyFont="1" applyFill="1" applyBorder="1" applyAlignment="1">
      <x:alignment horizontal="center" vertical="center" wrapText="1"/>
    </x:xf>
    <x:xf numFmtId="0" fontId="5" fillId="10" borderId="27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6" xfId="0" applyNumberFormat="1" applyFont="1" applyFill="1" applyBorder="1" applyAlignment="1">
      <x:alignment horizontal="center" vertical="center" wrapText="1"/>
    </x:xf>
    <x:xf numFmtId="0" fontId="6" fillId="2" borderId="2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5" fillId="0" borderId="26" xfId="0" applyNumberFormat="1" applyFont="1" applyFill="1" applyBorder="1" applyAlignment="1">
      <x:alignment horizontal="center" vertical="center" wrapText="1"/>
    </x:xf>
    <x:xf numFmtId="0" fontId="5" fillId="0" borderId="27" xfId="0" applyNumberFormat="1" applyFont="1" applyFill="1" applyBorder="1" applyAlignment="1">
      <x:alignment horizontal="center" vertical="center" wrapText="1"/>
    </x:xf>
    <x:xf numFmtId="0" fontId="5" fillId="4" borderId="26" xfId="0" applyNumberFormat="1" applyFont="1" applyFill="1" applyBorder="1" applyAlignment="1">
      <x:alignment horizontal="center" vertical="center" wrapText="1"/>
    </x:xf>
    <x:xf numFmtId="0" fontId="5" fillId="4" borderId="27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vertical="center" wrapText="1"/>
    </x:xf>
    <x:xf numFmtId="0" fontId="4" fillId="0" borderId="27" xfId="0" applyNumberFormat="1" applyFont="1" applyFill="1" applyBorder="1" applyAlignment="1">
      <x:alignment vertical="center" wrapText="1"/>
    </x:xf>
    <x:xf numFmtId="0" fontId="5" fillId="0" borderId="26" xfId="0" applyNumberFormat="1" applyFont="1" applyFill="1" applyBorder="1" applyAlignment="1">
      <x:alignment vertical="center" wrapText="1"/>
    </x:xf>
    <x:xf numFmtId="0" fontId="5" fillId="0" borderId="27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200" fontId="4" fillId="6" borderId="26" xfId="0" applyNumberFormat="1" applyFont="1" applyFill="1" applyBorder="1" applyAlignment="1">
      <x:alignment vertical="center" wrapText="1"/>
    </x:xf>
    <x:xf numFmtId="200" fontId="4" fillId="6" borderId="27" xfId="0" applyNumberFormat="1" applyFont="1" applyFill="1" applyBorder="1" applyAlignment="1">
      <x:alignment vertical="center" wrapText="1"/>
    </x:xf>
    <x:xf numFmtId="201" fontId="4" fillId="7" borderId="26" xfId="0" applyNumberFormat="1" applyFont="1" applyFill="1" applyBorder="1" applyAlignment="1">
      <x:alignment vertical="center" wrapText="1"/>
    </x:xf>
    <x:xf numFmtId="201" fontId="4" fillId="7" borderId="27" xfId="0" applyNumberFormat="1" applyFont="1" applyFill="1" applyBorder="1" applyAlignment="1">
      <x:alignment vertical="center" wrapText="1"/>
    </x:xf>
    <x:xf numFmtId="201" fontId="4" fillId="0" borderId="26" xfId="0" applyNumberFormat="1" applyFont="1" applyFill="1" applyBorder="1" applyAlignment="1">
      <x:alignment vertical="center" wrapText="1"/>
    </x:xf>
    <x:xf numFmtId="201" fontId="4" fillId="9" borderId="26" xfId="0" applyNumberFormat="1" applyFont="1" applyFill="1" applyBorder="1" applyAlignment="1">
      <x:alignment vertical="center" wrapText="1"/>
    </x:xf>
    <x:xf numFmtId="201" fontId="4" fillId="8" borderId="26" xfId="0" applyNumberFormat="1" applyFont="1" applyFill="1" applyBorder="1" applyAlignment="1">
      <x:alignment vertical="center" wrapText="1"/>
    </x:xf>
    <x:xf numFmtId="201" fontId="4" fillId="0" borderId="27" xfId="0" applyNumberFormat="1" applyFont="1" applyFill="1" applyBorder="1" applyAlignment="1">
      <x:alignment vertical="center" wrapText="1"/>
    </x:xf>
    <x:xf numFmtId="201" fontId="4" fillId="9" borderId="27" xfId="0" applyNumberFormat="1" applyFont="1" applyFill="1" applyBorder="1" applyAlignment="1">
      <x:alignment vertical="center" wrapText="1"/>
    </x:xf>
    <x:xf numFmtId="201" fontId="4" fillId="8" borderId="2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28" xfId="0" applyNumberFormat="1" applyFont="1" applyFill="1" applyBorder="1" applyAlignment="1">
      <x:alignment vertical="center" wrapText="1"/>
    </x:xf>
    <x:xf numFmtId="0" fontId="0" fillId="6" borderId="29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30" xfId="0" applyNumberFormat="1" applyFont="1" applyFill="1" applyBorder="1" applyAlignment="1">
      <x:alignment vertical="center" wrapText="1"/>
    </x:xf>
    <x:xf numFmtId="0" fontId="0" fillId="6" borderId="31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4" fillId="6" borderId="26" xfId="0" applyNumberFormat="1" applyFont="1" applyFill="1" applyBorder="1" applyAlignment="1">
      <x:alignment horizontal="center" vertical="center" wrapText="1"/>
    </x:xf>
    <x:xf numFmtId="0" fontId="4" fillId="6" borderId="27" xfId="0" applyNumberFormat="1" applyFont="1" applyFill="1" applyBorder="1" applyAlignment="1">
      <x:alignment horizontal="center" vertical="center" wrapText="1"/>
    </x:xf>
    <x:xf numFmtId="0" fontId="4" fillId="7" borderId="26" xfId="0" applyNumberFormat="1" applyFont="1" applyFill="1" applyBorder="1" applyAlignment="1">
      <x:alignment horizontal="center" vertical="center" wrapText="1"/>
    </x:xf>
    <x:xf numFmtId="0" fontId="4" fillId="7" borderId="27" xfId="0" applyNumberFormat="1" applyFont="1" applyFill="1" applyBorder="1" applyAlignment="1">
      <x:alignment horizontal="center" vertical="center" wrapText="1"/>
    </x:xf>
    <x:xf numFmtId="0" fontId="4" fillId="11" borderId="26" xfId="0" applyNumberFormat="1" applyFont="1" applyFill="1" applyBorder="1" applyAlignment="1">
      <x:alignment horizontal="center" vertical="center" wrapText="1"/>
    </x:xf>
    <x:xf numFmtId="0" fontId="4" fillId="11" borderId="27" xfId="0" applyNumberFormat="1" applyFont="1" applyFill="1" applyBorder="1" applyAlignment="1">
      <x:alignment horizontal="center" vertical="center" wrapText="1"/>
    </x:xf>
    <x:xf numFmtId="0" fontId="4" fillId="9" borderId="26" xfId="0" applyNumberFormat="1" applyFont="1" applyFill="1" applyBorder="1" applyAlignment="1">
      <x:alignment horizontal="center" vertical="center" wrapText="1"/>
    </x:xf>
    <x:xf numFmtId="0" fontId="4" fillId="9" borderId="27" xfId="0" applyNumberFormat="1" applyFont="1" applyFill="1" applyBorder="1" applyAlignment="1">
      <x:alignment horizontal="center" vertical="center" wrapText="1"/>
    </x:xf>
    <x:xf numFmtId="0" fontId="4" fillId="8" borderId="26" xfId="0" applyNumberFormat="1" applyFont="1" applyFill="1" applyBorder="1" applyAlignment="1">
      <x:alignment horizontal="center" vertical="center" wrapText="1"/>
    </x:xf>
    <x:xf numFmtId="0" fontId="4" fillId="8" borderId="27" xfId="0" applyNumberFormat="1" applyFont="1" applyFill="1" applyBorder="1" applyAlignment="1">
      <x:alignment horizontal="center" vertical="center" wrapText="1"/>
    </x:xf>
    <x:xf numFmtId="0" fontId="4" fillId="10" borderId="26" xfId="0" applyNumberFormat="1" applyFont="1" applyFill="1" applyBorder="1" applyAlignment="1">
      <x:alignment horizontal="center" vertical="center" wrapText="1"/>
    </x:xf>
    <x:xf numFmtId="0" fontId="4" fillId="10" borderId="27" xfId="0" applyNumberFormat="1" applyFont="1" applyFill="1" applyBorder="1" applyAlignment="1">
      <x:alignment horizontal="center" vertical="center" wrapText="1"/>
    </x:xf>
    <x:xf numFmtId="200" fontId="4" fillId="11" borderId="26" xfId="0" applyNumberFormat="1" applyFont="1" applyFill="1" applyBorder="1" applyAlignment="1">
      <x:alignment horizontal="center" vertical="center" wrapText="1"/>
    </x:xf>
    <x:xf numFmtId="200" fontId="4" fillId="9" borderId="26" xfId="0" applyNumberFormat="1" applyFont="1" applyFill="1" applyBorder="1" applyAlignment="1">
      <x:alignment horizontal="center" vertical="center" wrapText="1"/>
    </x:xf>
    <x:xf numFmtId="200" fontId="4" fillId="8" borderId="26" xfId="0" applyNumberFormat="1" applyFont="1" applyFill="1" applyBorder="1" applyAlignment="1">
      <x:alignment horizontal="center" vertical="center" wrapText="1"/>
    </x:xf>
    <x:xf numFmtId="200" fontId="4" fillId="11" borderId="27" xfId="0" applyNumberFormat="1" applyFont="1" applyFill="1" applyBorder="1" applyAlignment="1">
      <x:alignment horizontal="center" vertical="center" wrapText="1"/>
    </x:xf>
    <x:xf numFmtId="200" fontId="4" fillId="9" borderId="27" xfId="0" applyNumberFormat="1" applyFont="1" applyFill="1" applyBorder="1" applyAlignment="1">
      <x:alignment horizontal="center" vertical="center" wrapText="1"/>
    </x:xf>
    <x:xf numFmtId="200" fontId="4" fillId="8" borderId="27" xfId="0" applyNumberFormat="1" applyFont="1" applyFill="1" applyBorder="1" applyAlignment="1">
      <x:alignment horizontal="center" vertical="center" wrapText="1"/>
    </x:xf>
    <x:xf numFmtId="202" fontId="4" fillId="10" borderId="26" xfId="0" applyNumberFormat="1" applyFont="1" applyFill="1" applyBorder="1" applyAlignment="1">
      <x:alignment horizontal="center" vertical="center" wrapText="1"/>
    </x:xf>
    <x:xf numFmtId="202" fontId="4" fillId="10" borderId="27" xfId="0" applyNumberFormat="1" applyFont="1" applyFill="1" applyBorder="1" applyAlignment="1">
      <x:alignment horizontal="center" vertical="center" wrapText="1"/>
    </x:xf>
    <x:xf numFmtId="203" fontId="4" fillId="8" borderId="26" xfId="0" applyNumberFormat="1" applyFont="1" applyFill="1" applyBorder="1" applyAlignment="1">
      <x:alignment horizontal="center" vertical="center" wrapText="1"/>
    </x:xf>
    <x:xf numFmtId="203" fontId="4" fillId="8" borderId="27" xfId="0" applyNumberFormat="1" applyFont="1" applyFill="1" applyBorder="1" applyAlignment="1">
      <x:alignment horizontal="center" vertical="center" wrapText="1"/>
    </x:xf>
    <x:xf numFmtId="200" fontId="4" fillId="0" borderId="26" xfId="0" applyNumberFormat="1" applyFont="1" applyFill="1" applyBorder="1" applyAlignment="1">
      <x:alignment horizontal="center" vertical="center" wrapText="1"/>
    </x:xf>
    <x:xf numFmtId="200" fontId="4" fillId="0" borderId="27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200" fontId="4" fillId="6" borderId="26" xfId="0" applyNumberFormat="1" applyFont="1" applyFill="1" applyBorder="1" applyAlignment="1">
      <x:alignment horizontal="center" vertical="center" wrapText="1"/>
    </x:xf>
    <x:xf numFmtId="200" fontId="4" fillId="6" borderId="2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 applyAlignment="1">
      <x:alignment vertical="center" wrapText="1"/>
    </x:xf>
    <x:xf numFmtId="0" fontId="0" fillId="8" borderId="28" xfId="0" applyNumberFormat="1" applyFont="1" applyFill="1" applyBorder="1" applyAlignment="1">
      <x:alignment vertical="center" wrapText="1"/>
    </x:xf>
    <x:xf numFmtId="0" fontId="0" fillId="8" borderId="29" xfId="0" applyNumberFormat="1" applyFont="1" applyFill="1" applyBorder="1" applyAlignment="1">
      <x:alignment vertical="center" wrapText="1"/>
    </x:xf>
    <x:xf numFmtId="0" fontId="0" fillId="8" borderId="11" xfId="0" applyNumberFormat="1" applyFont="1" applyFill="1" applyBorder="1" applyAlignment="1">
      <x:alignment vertical="center" wrapText="1"/>
    </x:xf>
    <x:xf numFmtId="0" fontId="0" fillId="8" borderId="12" xfId="0" applyNumberFormat="1" applyFont="1" applyFill="1" applyBorder="1" applyAlignment="1">
      <x:alignment vertical="center" wrapText="1"/>
    </x:xf>
    <x:xf numFmtId="0" fontId="0" fillId="8" borderId="13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 wrapText="1"/>
    </x:xf>
    <x:xf numFmtId="0" fontId="0" fillId="8" borderId="15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</x:xf>
    <x:xf numFmtId="0" fontId="0" fillId="8" borderId="30" xfId="0" applyNumberFormat="1" applyFont="1" applyFill="1" applyBorder="1" applyAlignment="1">
      <x:alignment vertical="center" wrapText="1"/>
    </x:xf>
    <x:xf numFmtId="0" fontId="0" fillId="8" borderId="31" xfId="0" applyNumberFormat="1" applyFont="1" applyFill="1" applyBorder="1" applyAlignment="1">
      <x:alignment vertical="center" wrapText="1"/>
    </x:xf>
    <x:xf numFmtId="0" fontId="0" fillId="8" borderId="17" xfId="0" applyNumberFormat="1" applyFont="1" applyFill="1" applyBorder="1" applyAlignment="1">
      <x:alignment vertical="center" wrapText="1"/>
    </x:xf>
    <x:xf numFmtId="0" fontId="0" fillId="8" borderId="18" xfId="0" applyNumberFormat="1" applyFont="1" applyFill="1" applyBorder="1" applyAlignment="1">
      <x:alignment vertical="center" wrapText="1"/>
    </x:xf>
    <x:xf numFmtId="0" fontId="0" fillId="8" borderId="19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0" fontId="8" fillId="6" borderId="28" xfId="0" applyNumberFormat="1" applyFont="1" applyFill="1" applyBorder="1" applyAlignment="1">
      <x:alignment horizontal="center" vertical="center" wrapText="1"/>
    </x:xf>
    <x:xf numFmtId="0" fontId="8" fillId="6" borderId="29" xfId="0" applyNumberFormat="1" applyFont="1" applyFill="1" applyBorder="1" applyAlignment="1">
      <x:alignment horizontal="center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8" fillId="6" borderId="13" xfId="0" applyNumberFormat="1" applyFont="1" applyFill="1" applyBorder="1" applyAlignment="1">
      <x:alignment horizontal="center" vertical="center" wrapText="1"/>
    </x:xf>
    <x:xf numFmtId="0" fontId="8" fillId="6" borderId="14" xfId="0" applyNumberFormat="1" applyFont="1" applyFill="1" applyBorder="1" applyAlignment="1">
      <x:alignment horizontal="center" vertical="center" wrapText="1"/>
    </x:xf>
    <x:xf numFmtId="0" fontId="8" fillId="6" borderId="15" xfId="0" applyNumberFormat="1" applyFont="1" applyFill="1" applyBorder="1" applyAlignment="1">
      <x:alignment horizontal="center" vertical="center" wrapText="1"/>
    </x:xf>
    <x:xf numFmtId="0" fontId="8" fillId="6" borderId="16" xfId="0" applyNumberFormat="1" applyFont="1" applyFill="1" applyBorder="1" applyAlignment="1">
      <x:alignment horizontal="center" vertical="center" wrapText="1"/>
    </x:xf>
    <x:xf numFmtId="0" fontId="8" fillId="6" borderId="30" xfId="0" applyNumberFormat="1" applyFont="1" applyFill="1" applyBorder="1" applyAlignment="1">
      <x:alignment horizontal="center" vertical="center" wrapText="1"/>
    </x:xf>
    <x:xf numFmtId="0" fontId="8" fillId="6" borderId="31" xfId="0" applyNumberFormat="1" applyFont="1" applyFill="1" applyBorder="1" applyAlignment="1">
      <x:alignment horizontal="center" vertical="center" wrapText="1"/>
    </x:xf>
    <x:xf numFmtId="0" fontId="8" fillId="6" borderId="17" xfId="0" applyNumberFormat="1" applyFont="1" applyFill="1" applyBorder="1" applyAlignment="1">
      <x:alignment horizontal="center" vertical="center" wrapText="1"/>
    </x:xf>
    <x:xf numFmtId="0" fontId="8" fillId="6" borderId="18" xfId="0" applyNumberFormat="1" applyFont="1" applyFill="1" applyBorder="1" applyAlignment="1">
      <x:alignment horizontal="center" vertical="center" wrapText="1"/>
    </x:xf>
    <x:xf numFmtId="0" fontId="8" fillId="6" borderId="19" xfId="0" applyNumberFormat="1" applyFont="1" applyFill="1" applyBorder="1" applyAlignment="1">
      <x:alignment horizontal="center" vertical="center" wrapText="1"/>
    </x:xf>
    <x:xf numFmtId="0" fontId="4" fillId="12" borderId="26" xfId="0" applyNumberFormat="1" applyFont="1" applyFill="1" applyBorder="1" applyAlignment="1">
      <x:alignment horizontal="center" vertical="center" wrapText="1"/>
    </x:xf>
    <x:xf numFmtId="0" fontId="4" fillId="12" borderId="27" xfId="0" applyNumberFormat="1" applyFont="1" applyFill="1" applyBorder="1" applyAlignment="1">
      <x:alignment horizontal="center" vertical="center" wrapText="1"/>
    </x:xf>
    <x:xf numFmtId="0" fontId="4" fillId="13" borderId="26" xfId="0" applyNumberFormat="1" applyFont="1" applyFill="1" applyBorder="1" applyAlignment="1">
      <x:alignment horizontal="center" vertical="center" wrapText="1"/>
    </x:xf>
    <x:xf numFmtId="0" fontId="4" fillId="13" borderId="27" xfId="0" applyNumberFormat="1" applyFont="1" applyFill="1" applyBorder="1" applyAlignment="1">
      <x:alignment horizontal="center" vertical="center" wrapText="1"/>
    </x:xf>
    <x:xf numFmtId="201" fontId="4" fillId="12" borderId="26" xfId="0" applyNumberFormat="1" applyFont="1" applyFill="1" applyBorder="1" applyAlignment="1">
      <x:alignment horizontal="center" vertical="center" wrapText="1"/>
    </x:xf>
    <x:xf numFmtId="201" fontId="4" fillId="7" borderId="26" xfId="0" applyNumberFormat="1" applyFont="1" applyFill="1" applyBorder="1" applyAlignment="1">
      <x:alignment horizontal="center" vertical="center" wrapText="1"/>
    </x:xf>
    <x:xf numFmtId="201" fontId="4" fillId="9" borderId="26" xfId="0" applyNumberFormat="1" applyFont="1" applyFill="1" applyBorder="1" applyAlignment="1">
      <x:alignment horizontal="center" vertical="center" wrapText="1"/>
    </x:xf>
    <x:xf numFmtId="201" fontId="4" fillId="13" borderId="26" xfId="0" applyNumberFormat="1" applyFont="1" applyFill="1" applyBorder="1" applyAlignment="1">
      <x:alignment horizontal="center" vertical="center" wrapText="1"/>
    </x:xf>
    <x:xf numFmtId="201" fontId="4" fillId="8" borderId="26" xfId="0" applyNumberFormat="1" applyFont="1" applyFill="1" applyBorder="1" applyAlignment="1">
      <x:alignment horizontal="center" vertical="center" wrapText="1"/>
    </x:xf>
    <x:xf numFmtId="201" fontId="4" fillId="12" borderId="27" xfId="0" applyNumberFormat="1" applyFont="1" applyFill="1" applyBorder="1" applyAlignment="1">
      <x:alignment horizontal="center" vertical="center" wrapText="1"/>
    </x:xf>
    <x:xf numFmtId="201" fontId="4" fillId="7" borderId="27" xfId="0" applyNumberFormat="1" applyFont="1" applyFill="1" applyBorder="1" applyAlignment="1">
      <x:alignment horizontal="center" vertical="center" wrapText="1"/>
    </x:xf>
    <x:xf numFmtId="201" fontId="4" fillId="9" borderId="27" xfId="0" applyNumberFormat="1" applyFont="1" applyFill="1" applyBorder="1" applyAlignment="1">
      <x:alignment horizontal="center" vertical="center" wrapText="1"/>
    </x:xf>
    <x:xf numFmtId="201" fontId="4" fillId="13" borderId="27" xfId="0" applyNumberFormat="1" applyFont="1" applyFill="1" applyBorder="1" applyAlignment="1">
      <x:alignment horizontal="center" vertical="center" wrapText="1"/>
    </x:xf>
    <x:xf numFmtId="201" fontId="4" fillId="8" borderId="27" xfId="0" applyNumberFormat="1" applyFont="1" applyFill="1" applyBorder="1" applyAlignment="1">
      <x:alignment horizontal="center" vertical="center" wrapText="1"/>
    </x:xf>
    <x:xf numFmtId="201" fontId="4" fillId="10" borderId="26" xfId="0" applyNumberFormat="1" applyFont="1" applyFill="1" applyBorder="1" applyAlignment="1">
      <x:alignment horizontal="center" vertical="center" wrapText="1"/>
    </x:xf>
    <x:xf numFmtId="201" fontId="4" fillId="10" borderId="27" xfId="0" applyNumberFormat="1" applyFont="1" applyFill="1" applyBorder="1" applyAlignment="1">
      <x:alignment horizontal="center" vertical="center" wrapText="1"/>
    </x:xf>
    <x:xf numFmtId="203" fontId="4" fillId="8" borderId="26" xfId="0" applyNumberFormat="1" applyFont="1" applyFill="1" applyBorder="1" applyAlignment="1">
      <x:alignment vertical="center" wrapText="1"/>
    </x:xf>
    <x:xf numFmtId="203" fontId="4" fillId="8" borderId="2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7bb040999444b" /><Relationship Type="http://schemas.openxmlformats.org/officeDocument/2006/relationships/theme" Target="/xl/theme/theme1.xml" Id="Rf49416feecd7437d" /><Relationship Type="http://schemas.openxmlformats.org/officeDocument/2006/relationships/sharedStrings" Target="/xl/sharedStrings.xml" Id="R441ebf8c9e664062" /><Relationship Type="http://schemas.openxmlformats.org/officeDocument/2006/relationships/worksheet" Target="/xl/worksheets/sheet1.xml" Id="R78d13f37f3d342fc" /><Relationship Type="http://schemas.openxmlformats.org/officeDocument/2006/relationships/worksheet" Target="/xl/worksheets/sheet2.xml" Id="Ra51a6455a90c4b3b" /><Relationship Type="http://schemas.openxmlformats.org/officeDocument/2006/relationships/worksheet" Target="/xl/worksheets/sheet3.xml" Id="Re235dc060d7e4627" /><Relationship Type="http://schemas.openxmlformats.org/officeDocument/2006/relationships/worksheet" Target="/xl/worksheets/sheet4.xml" Id="R528d9a70630b4335" /><Relationship Type="http://schemas.openxmlformats.org/officeDocument/2006/relationships/worksheet" Target="/xl/worksheets/sheet5.xml" Id="R848d8040d9334cbd" /><Relationship Type="http://schemas.openxmlformats.org/officeDocument/2006/relationships/worksheet" Target="/xl/worksheets/sheet6.xml" Id="Ra53dcf815e8b47d1" /><Relationship Type="http://schemas.openxmlformats.org/officeDocument/2006/relationships/worksheet" Target="/xl/worksheets/sheet7.xml" Id="R22308bec042a408c" /><Relationship Type="http://schemas.openxmlformats.org/officeDocument/2006/relationships/worksheet" Target="/xl/worksheets/sheet8.xml" Id="R38490ee629f849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b605a8c7e34e9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8953df19aa54f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จำนวนตัวอย่างที่จำแนกผิดในแต่ละ Epoch</a:t>
            </a:r>
          </a:p>
        </c:rich>
      </c:tx>
    </c:title>
    <c:plotArea>
      <c:lineChart>
        <c:grouping val="standard"/>
        <c:ser>
          <c:idx val="0"/>
          <c:order val="0"/>
          <c:tx>
            <c:v>จำนวนผิด</c:v>
          </c:tx>
          <c:marker>
            <c:symbol val="none"/>
          </c:marker>
          <c:cat>
            <c:strRef>
              <c:f>'02_P_AND'!$W$12:$W$21</c:f>
              <c:strCache>
                <c:ptCount val="0"/>
              </c:strCache>
            </c:strRef>
          </c:cat>
          <c:val>
            <c:numRef>
              <c:f>'02_P_AND'!$X$12:$X$21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Loss ต่อ Epoch</a:t>
            </a:r>
          </a:p>
        </c:rich>
      </c:tx>
    </c:title>
    <c:plotArea>
      <c:lineChart>
        <c:grouping val="standard"/>
        <c:ser>
          <c:idx val="0"/>
          <c:order val="0"/>
          <c:tx>
            <c:v>Average Loss</c:v>
          </c:tx>
          <c:marker>
            <c:symbol val="none"/>
          </c:marker>
          <c:cat>
            <c:strRef>
              <c:f>'06_MLP_Summary'!$A$12:$A$131</c:f>
              <c:strCache>
                <c:ptCount val="0"/>
              </c:strCache>
            </c:strRef>
          </c:cat>
          <c:val>
            <c:numRef>
              <c:f>'06_MLP_Summary'!$B$12:$B$131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22</xdr:col>
      <xdr:colOff>0</xdr:colOff>
      <xdr:row>23</xdr:row>
      <xdr:rowOff>0</xdr:rowOff>
    </xdr:from>
    <xdr:to>
      <xdr:col>31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b605a8c7e34e9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953df19aa54f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Neural Network Lab">
      <a:dk1>
        <a:srgbClr val="1F1F1F"/>
      </a:dk1>
      <a:lt1>
        <a:srgbClr val="FFFFFF"/>
      </a:lt1>
      <a:dk2>
        <a:srgbClr val="0E2841"/>
      </a:dk2>
      <a:lt2>
        <a:srgbClr val="F3F6F9"/>
      </a:lt2>
      <a:accent1>
        <a:srgbClr val="1F4E78"/>
      </a:accent1>
      <a:accent2>
        <a:srgbClr val="5B9BD5"/>
      </a:accent2>
      <a:accent3>
        <a:srgbClr val="70AD47"/>
      </a:accent3>
      <a:accent4>
        <a:srgbClr val="ED7D31"/>
      </a:accent4>
      <a:accent5>
        <a:srgbClr val="A5A5A5"/>
      </a:accent5>
      <a:accent6>
        <a:srgbClr val="8064A2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eural Network Lab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c6bf2b42de848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d298ff9273a145d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36" hidden="0" customWidth="1"/>
    <x:col min="4" max="4" width="17" hidden="0" customWidth="1"/>
    <x:col min="5" max="5" width="12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12" t="str">
        <x:v>ห้องปฏิบัติการคำนวณ Perceptron และ Multi-Layer Perceptron (MLP)</x:v>
      </x:c>
      <x:c r="B1" s="13"/>
      <x:c r="C1" s="13"/>
      <x:c r="D1" s="13"/>
      <x:c r="E1" s="13"/>
      <x:c r="F1" s="13"/>
      <x:c r="G1" s="13"/>
      <x:c r="H1" s="13"/>
      <x:c r="I1" s="13"/>
      <x:c r="J1" s="14"/>
    </x:row>
    <x:row r="3">
      <x:c r="A3" s="26" t="str">
        <x:v>ไฟล์นี้ออกแบบให้นักศึกษาเปลี่ยนค่าที่ไฮไลต์สีเหลือง แล้วติดตามสูตรตามลำดับ ตั้งแต่ Forward Pass → Error/Loss → Backpropagation → Gradient → Weight Update → Epoch ถัดไป</x:v>
      </x:c>
      <x:c r="B3" s="27"/>
      <x:c r="C3" s="27"/>
      <x:c r="D3" s="27"/>
      <x:c r="E3" s="27"/>
      <x:c r="F3" s="27"/>
      <x:c r="G3" s="27"/>
      <x:c r="H3" s="27"/>
      <x:c r="I3" s="27"/>
      <x:c r="J3" s="28"/>
    </x:row>
    <x:row r="4">
      <x:c r="A4" s="29"/>
      <x:c r="B4" s="30"/>
      <x:c r="C4" s="30"/>
      <x:c r="D4" s="30"/>
      <x:c r="E4" s="30"/>
      <x:c r="F4" s="30"/>
      <x:c r="G4" s="30"/>
      <x:c r="H4" s="30"/>
      <x:c r="I4" s="30"/>
      <x:c r="J4" s="31"/>
    </x:row>
    <x:row r="6" ht="24" customHeight="1">
      <x:c r="A6" s="48" t="str">
        <x:v>วัตถุประสงค์การเรียนรู้</x:v>
      </x:c>
      <x:c r="B6" s="49"/>
      <x:c r="C6" s="49"/>
      <x:c r="D6" s="50"/>
      <x:c r="F6" s="48" t="str">
        <x:v>คำอธิบายสีในไฟล์</x:v>
      </x:c>
      <x:c r="G6" s="49"/>
      <x:c r="H6" s="49"/>
      <x:c r="I6" s="49"/>
      <x:c r="J6" s="50"/>
    </x:row>
    <x:row r="7">
      <x:c r="A7" s="64" t="str">
        <x:v>1</x:v>
      </x:c>
      <x:c r="B7" s="62" t="str">
        <x:v>คำนวณ net input และผลลัพธ์ของ Perceptron ได้</x:v>
      </x:c>
      <x:c r="C7" s="62" t="str"/>
      <x:c r="D7" s="62" t="str"/>
      <x:c r="F7" s="86" t="str">
        <x:v>สีเหลือง</x:v>
      </x:c>
      <x:c r="G7" s="62" t="str">
        <x:v>ค่าที่นักศึกษาสามารถแก้ไข/ทดลองได้</x:v>
      </x:c>
      <x:c r="H7" s="62" t="str"/>
      <x:c r="I7" s="62" t="str"/>
      <x:c r="J7" s="62" t="str"/>
    </x:row>
    <x:row r="8">
      <x:c r="A8" s="64" t="str">
        <x:v>2</x:v>
      </x:c>
      <x:c r="B8" s="62" t="str">
        <x:v>ใช้ Perceptron Learning Rule เพื่อปรับ weight และ bias ได้</x:v>
      </x:c>
      <x:c r="C8" s="62" t="str"/>
      <x:c r="D8" s="62" t="str"/>
      <x:c r="F8" s="87" t="str">
        <x:v>สีฟ้า</x:v>
      </x:c>
      <x:c r="G8" s="62" t="str">
        <x:v>เซลล์สูตรหรือค่าที่คำนวณจากสูตร</x:v>
      </x:c>
      <x:c r="H8" s="62" t="str"/>
      <x:c r="I8" s="62" t="str"/>
      <x:c r="J8" s="62" t="str"/>
    </x:row>
    <x:row r="9">
      <x:c r="A9" s="64" t="str">
        <x:v>3</x:v>
      </x:c>
      <x:c r="B9" s="62" t="str">
        <x:v>คำนวณ Forward Pass ของ MLP แบบ 2–2–1 ด้วย Sigmoid ได้</x:v>
      </x:c>
      <x:c r="C9" s="62" t="str"/>
      <x:c r="D9" s="62" t="str"/>
      <x:c r="F9" s="88" t="str">
        <x:v>สีเขียว</x:v>
      </x:c>
      <x:c r="G9" s="62" t="str">
        <x:v>ผลลัพธ์สำคัญหรือค่าหลังอัปเดต</x:v>
      </x:c>
      <x:c r="H9" s="62" t="str"/>
      <x:c r="I9" s="62" t="str"/>
      <x:c r="J9" s="62" t="str"/>
    </x:row>
    <x:row r="10">
      <x:c r="A10" s="64" t="str">
        <x:v>4</x:v>
      </x:c>
      <x:c r="B10" s="62" t="str">
        <x:v>คำนวณ Loss, delta, gradient และ Backpropagation ด้วย Chain Rule ได้</x:v>
      </x:c>
      <x:c r="C10" s="62" t="str"/>
      <x:c r="D10" s="62" t="str"/>
      <x:c r="F10" s="89" t="str">
        <x:v>สีส้ม</x:v>
      </x:c>
      <x:c r="G10" s="62" t="str">
        <x:v>Error, delta หรือจุดที่ควรตรวจสอบ</x:v>
      </x:c>
      <x:c r="H10" s="62" t="str"/>
      <x:c r="I10" s="62" t="str"/>
      <x:c r="J10" s="62" t="str"/>
    </x:row>
    <x:row r="11">
      <x:c r="A11" s="64" t="str">
        <x:v>5</x:v>
      </x:c>
      <x:c r="B11" s="62" t="str">
        <x:v>อธิบายความต่างระหว่าง Backpropagation กับ Gradient Descent ได้</x:v>
      </x:c>
      <x:c r="C11" s="62" t="str"/>
      <x:c r="D11" s="62" t="str"/>
      <x:c r="F11" s="90" t="str">
        <x:v>สีเทา</x:v>
      </x:c>
      <x:c r="G11" s="62" t="str">
        <x:v>ข้อความอธิบาย/ค่าคงที่</x:v>
      </x:c>
      <x:c r="H11" s="62" t="str"/>
      <x:c r="I11" s="62" t="str"/>
      <x:c r="J11" s="62" t="str"/>
    </x:row>
    <x:row r="12">
      <x:c r="A12" s="64" t="str">
        <x:v>6</x:v>
      </x:c>
      <x:c r="B12" s="62" t="str">
        <x:v>ติดตามการเรียนรู้แบบ Online SGD หลาย epoch และวิเคราะห์การลู่เข้าได้</x:v>
      </x:c>
      <x:c r="C12" s="62" t="str"/>
      <x:c r="D12" s="62" t="str"/>
    </x:row>
    <x:row r="15" ht="24" customHeight="1">
      <x:c r="A15" s="48" t="str">
        <x:v>ลำดับการทำงานของแต่ละโมเดล</x:v>
      </x:c>
      <x:c r="B15" s="49"/>
      <x:c r="C15" s="49"/>
      <x:c r="D15" s="49"/>
      <x:c r="E15" s="49"/>
      <x:c r="F15" s="49"/>
      <x:c r="G15" s="49"/>
      <x:c r="H15" s="49"/>
      <x:c r="I15" s="49"/>
      <x:c r="J15" s="50"/>
    </x:row>
    <x:row r="16">
      <x:c r="A16" s="104" t="str">
        <x:v>โมเดล</x:v>
      </x:c>
      <x:c r="B16" s="104" t="str">
        <x:v>1. Initialize</x:v>
      </x:c>
      <x:c r="C16" s="104" t="str">
        <x:v>2. Net/Hidden</x:v>
      </x:c>
      <x:c r="D16" s="104" t="str">
        <x:v>3. Activation/Output</x:v>
      </x:c>
      <x:c r="E16" s="104" t="str">
        <x:v>4. Error/Loss</x:v>
      </x:c>
      <x:c r="F16" s="104" t="str">
        <x:v>5. Update logic</x:v>
      </x:c>
      <x:c r="G16" s="104" t="str">
        <x:v>6. Epoch</x:v>
      </x:c>
    </x:row>
    <x:row r="17">
      <x:c r="A17" s="118" t="str">
        <x:v>Perceptron</x:v>
      </x:c>
      <x:c r="B17" s="114" t="str">
        <x:v>กำหนด x, target, weight, bias, η</x:v>
      </x:c>
      <x:c r="C17" s="114" t="str">
        <x:v>คำนวณ z = Σwx+b</x:v>
      </x:c>
      <x:c r="D17" s="114" t="str">
        <x:v>ใช้ Step Function</x:v>
      </x:c>
      <x:c r="E17" s="114" t="str">
        <x:v>หา e=t−y</x:v>
      </x:c>
      <x:c r="F17" s="114" t="str">
        <x:v>ปรับ w,b</x:v>
      </x:c>
      <x:c r="G17" s="114" t="str">
        <x:v>ทำซ้ำ</x:v>
      </x:c>
    </x:row>
    <x:row r="18">
      <x:c r="A18" s="118" t="str">
        <x:v>MLP</x:v>
      </x:c>
      <x:c r="B18" s="114" t="str">
        <x:v>กำหนด x, target, parameters, η</x:v>
      </x:c>
      <x:c r="C18" s="114" t="str">
        <x:v>Forward: Hidden</x:v>
      </x:c>
      <x:c r="D18" s="114" t="str">
        <x:v>Forward: Output</x:v>
      </x:c>
      <x:c r="E18" s="114" t="str">
        <x:v>คำนวณ Loss</x:v>
      </x:c>
      <x:c r="F18" s="114" t="str">
        <x:v>Backprop + Gradient</x:v>
      </x:c>
      <x:c r="G18" s="114" t="str">
        <x:v>Gradient Descent + ทำซ้ำ</x:v>
      </x:c>
    </x:row>
    <x:row r="21" ht="24" customHeight="1">
      <x:c r="A21" s="48" t="str">
        <x:v>สารบัญแผ่นงาน</x:v>
      </x:c>
      <x:c r="B21" s="49"/>
      <x:c r="C21" s="49"/>
      <x:c r="D21" s="49"/>
      <x:c r="E21" s="49"/>
      <x:c r="F21" s="49"/>
      <x:c r="G21" s="49"/>
      <x:c r="H21" s="49"/>
      <x:c r="I21" s="49"/>
      <x:c r="J21" s="50"/>
    </x:row>
    <x:row r="22">
      <x:c r="A22" s="104" t="str">
        <x:v>แผ่นงาน</x:v>
      </x:c>
      <x:c r="B22" s="104" t="str">
        <x:v>เนื้อหา</x:v>
      </x:c>
      <x:c r="C22" s="104" t="str"/>
      <x:c r="D22" s="104" t="str"/>
      <x:c r="E22" s="104" t="str"/>
      <x:c r="F22" s="104" t="str"/>
      <x:c r="G22" s="104" t="str"/>
      <x:c r="H22" s="104" t="str"/>
      <x:c r="I22" s="104" t="str"/>
      <x:c r="J22" s="104" t="str"/>
    </x:row>
    <x:row r="23">
      <x:c r="A23" s="124" t="str">
        <x:v>00_คู่มือ</x:v>
      </x:c>
      <x:c r="B23" s="120" t="str">
        <x:v>แนวทางใช้ไฟล์ สี และสูตรสำคัญ</x:v>
      </x:c>
      <x:c r="C23" s="120" t="str"/>
      <x:c r="D23" s="120" t="str"/>
      <x:c r="E23" s="120" t="str"/>
      <x:c r="F23" s="120" t="str"/>
      <x:c r="G23" s="120" t="str"/>
      <x:c r="H23" s="120" t="str"/>
      <x:c r="I23" s="120" t="str"/>
      <x:c r="J23" s="120" t="str"/>
    </x:row>
    <x:row r="24">
      <x:c r="A24" s="124" t="str">
        <x:v>01_P_1รอบ</x:v>
      </x:c>
      <x:c r="B24" s="120" t="str">
        <x:v>Perceptron: คำนวณหนึ่งตัวอย่างอย่างละเอียด</x:v>
      </x:c>
      <x:c r="C24" s="120" t="str"/>
      <x:c r="D24" s="120" t="str"/>
      <x:c r="E24" s="120" t="str"/>
      <x:c r="F24" s="120" t="str"/>
      <x:c r="G24" s="120" t="str"/>
      <x:c r="H24" s="120" t="str"/>
      <x:c r="I24" s="120" t="str"/>
      <x:c r="J24" s="120" t="str"/>
    </x:row>
    <x:row r="25">
      <x:c r="A25" s="124" t="str">
        <x:v>02_P_AND</x:v>
      </x:c>
      <x:c r="B25" s="120" t="str">
        <x:v>Perceptron: ฝึก AND หลาย epoch พร้อมกราฟ</x:v>
      </x:c>
      <x:c r="C25" s="120" t="str"/>
      <x:c r="D25" s="120" t="str"/>
      <x:c r="E25" s="120" t="str"/>
      <x:c r="F25" s="120" t="str"/>
      <x:c r="G25" s="120" t="str"/>
      <x:c r="H25" s="120" t="str"/>
      <x:c r="I25" s="120" t="str"/>
      <x:c r="J25" s="120" t="str"/>
    </x:row>
    <x:row r="26">
      <x:c r="A26" s="124" t="str">
        <x:v>03_MLP_Forward</x:v>
      </x:c>
      <x:c r="B26" s="120" t="str">
        <x:v>MLP 2–2–1: Forward Pass แบบแยกทุกพจน์</x:v>
      </x:c>
      <x:c r="C26" s="120" t="str"/>
      <x:c r="D26" s="120" t="str"/>
      <x:c r="E26" s="120" t="str"/>
      <x:c r="F26" s="120" t="str"/>
      <x:c r="G26" s="120" t="str"/>
      <x:c r="H26" s="120" t="str"/>
      <x:c r="I26" s="120" t="str"/>
      <x:c r="J26" s="120" t="str"/>
    </x:row>
    <x:row r="27">
      <x:c r="A27" s="124" t="str">
        <x:v>04_MLP_Backprop</x:v>
      </x:c>
      <x:c r="B27" s="120" t="str">
        <x:v>MLP: Chain Rule, delta, gradient และปรับทุก parameter</x:v>
      </x:c>
      <x:c r="C27" s="120" t="str"/>
      <x:c r="D27" s="120" t="str"/>
      <x:c r="E27" s="120" t="str"/>
      <x:c r="F27" s="120" t="str"/>
      <x:c r="G27" s="120" t="str"/>
      <x:c r="H27" s="120" t="str"/>
      <x:c r="I27" s="120" t="str"/>
      <x:c r="J27" s="120" t="str"/>
    </x:row>
    <x:row r="28">
      <x:c r="A28" s="124" t="str">
        <x:v>05_MLP_XOR_Log</x:v>
      </x:c>
      <x:c r="B28" s="120" t="str">
        <x:v>MLP: บันทึก Online SGD สำหรับ XOR จำนวน 120 epoch</x:v>
      </x:c>
      <x:c r="C28" s="120" t="str"/>
      <x:c r="D28" s="120" t="str"/>
      <x:c r="E28" s="120" t="str"/>
      <x:c r="F28" s="120" t="str"/>
      <x:c r="G28" s="120" t="str"/>
      <x:c r="H28" s="120" t="str"/>
      <x:c r="I28" s="120" t="str"/>
      <x:c r="J28" s="120" t="str"/>
    </x:row>
    <x:row r="29">
      <x:c r="A29" s="124" t="str">
        <x:v>06_MLP_Summary</x:v>
      </x:c>
      <x:c r="B29" s="120" t="str">
        <x:v>สรุป Loss, Accuracy, กราฟ และผล XOR หลังฝึก</x:v>
      </x:c>
      <x:c r="C29" s="120" t="str"/>
      <x:c r="D29" s="120" t="str"/>
      <x:c r="E29" s="120" t="str"/>
      <x:c r="F29" s="120" t="str"/>
      <x:c r="G29" s="120" t="str"/>
      <x:c r="H29" s="120" t="str"/>
      <x:c r="I29" s="120" t="str"/>
      <x:c r="J29" s="120" t="str"/>
    </x:row>
    <x:row r="30">
      <x:c r="A30" s="124" t="str">
        <x:v>07_แบบฝึกหัด</x:v>
      </x:c>
      <x:c r="B30" s="120" t="str">
        <x:v>โจทย์ทดลองและช่องบันทึกผลสำหรับนักศึกษา</x:v>
      </x:c>
      <x:c r="C30" s="120" t="str"/>
      <x:c r="D30" s="120" t="str"/>
      <x:c r="E30" s="120" t="str"/>
      <x:c r="F30" s="120" t="str"/>
      <x:c r="G30" s="120" t="str"/>
      <x:c r="H30" s="120" t="str"/>
      <x:c r="I30" s="120" t="str"/>
      <x:c r="J30" s="120" t="str"/>
    </x:row>
    <x:row r="33" ht="24" customHeight="1">
      <x:c r="A33" s="48" t="str">
        <x:v>สูตรหลักที่ใช้ในไฟล์</x:v>
      </x:c>
      <x:c r="B33" s="49"/>
      <x:c r="C33" s="49"/>
      <x:c r="D33" s="49"/>
      <x:c r="E33" s="49"/>
      <x:c r="F33" s="49"/>
      <x:c r="G33" s="49"/>
      <x:c r="H33" s="49"/>
      <x:c r="I33" s="49"/>
      <x:c r="J33" s="50"/>
    </x:row>
    <x:row r="34">
      <x:c r="A34" s="104" t="str">
        <x:v>โมเดล</x:v>
      </x:c>
      <x:c r="B34" s="104" t="str">
        <x:v>หัวข้อ</x:v>
      </x:c>
      <x:c r="C34" s="104" t="str">
        <x:v>สมการ</x:v>
      </x:c>
      <x:c r="D34" s="104" t="str">
        <x:v>ความหมาย</x:v>
      </x:c>
      <x:c r="E34" s="104" t="str"/>
      <x:c r="F34" s="104" t="str"/>
      <x:c r="G34" s="104" t="str"/>
      <x:c r="H34" s="104" t="str"/>
      <x:c r="I34" s="104" t="str"/>
      <x:c r="J34" s="104" t="str"/>
    </x:row>
    <x:row r="35">
      <x:c r="A35" s="76" t="str">
        <x:v>Perceptron</x:v>
      </x:c>
      <x:c r="B35" s="122" t="str">
        <x:v>Net input</x:v>
      </x:c>
      <x:c r="C35" s="120" t="str">
        <x:v>z = b + Σ(wᵢxᵢ)</x:v>
      </x:c>
      <x:c r="D35" s="120" t="str">
        <x:v>รวมผลคูณของ input กับ weight และ bias</x:v>
      </x:c>
      <x:c r="E35" s="120" t="str"/>
      <x:c r="F35" s="120" t="str"/>
      <x:c r="G35" s="120" t="str"/>
      <x:c r="H35" s="120" t="str"/>
      <x:c r="I35" s="120" t="str"/>
      <x:c r="J35" s="120" t="str"/>
    </x:row>
    <x:row r="36">
      <x:c r="A36" s="76" t="str">
        <x:v>Perceptron</x:v>
      </x:c>
      <x:c r="B36" s="122" t="str">
        <x:v>Step activation</x:v>
      </x:c>
      <x:c r="C36" s="120" t="str">
        <x:v>y = 1 เมื่อ z ≥ threshold; มิฉะนั้น 0</x:v>
      </x:c>
      <x:c r="D36" s="120" t="str">
        <x:v>แปลง net input เป็นคลาส</x:v>
      </x:c>
      <x:c r="E36" s="120" t="str"/>
      <x:c r="F36" s="120" t="str"/>
      <x:c r="G36" s="120" t="str"/>
      <x:c r="H36" s="120" t="str"/>
      <x:c r="I36" s="120" t="str"/>
      <x:c r="J36" s="120" t="str"/>
    </x:row>
    <x:row r="37">
      <x:c r="A37" s="76" t="str">
        <x:v>Perceptron</x:v>
      </x:c>
      <x:c r="B37" s="122" t="str">
        <x:v>Error</x:v>
      </x:c>
      <x:c r="C37" s="120" t="str">
        <x:v>e = t − y</x:v>
      </x:c>
      <x:c r="D37" s="120" t="str">
        <x:v>ความต่างระหว่าง target และ output</x:v>
      </x:c>
      <x:c r="E37" s="120" t="str"/>
      <x:c r="F37" s="120" t="str"/>
      <x:c r="G37" s="120" t="str"/>
      <x:c r="H37" s="120" t="str"/>
      <x:c r="I37" s="120" t="str"/>
      <x:c r="J37" s="120" t="str"/>
    </x:row>
    <x:row r="38">
      <x:c r="A38" s="76" t="str">
        <x:v>Perceptron</x:v>
      </x:c>
      <x:c r="B38" s="122" t="str">
        <x:v>Update</x:v>
      </x:c>
      <x:c r="C38" s="120" t="str">
        <x:v>wᵢ(new)=wᵢ(old)+ηexᵢ; b(new)=b(old)+ηe</x:v>
      </x:c>
      <x:c r="D38" s="120" t="str">
        <x:v>Perceptron Learning Rule</x:v>
      </x:c>
      <x:c r="E38" s="120" t="str"/>
      <x:c r="F38" s="120" t="str"/>
      <x:c r="G38" s="120" t="str"/>
      <x:c r="H38" s="120" t="str"/>
      <x:c r="I38" s="120" t="str"/>
      <x:c r="J38" s="120" t="str"/>
    </x:row>
    <x:row r="39">
      <x:c r="A39" s="77" t="str">
        <x:v>MLP</x:v>
      </x:c>
      <x:c r="B39" s="122" t="str">
        <x:v>Sigmoid</x:v>
      </x:c>
      <x:c r="C39" s="120" t="str">
        <x:v>σ(z)=1/(1+e^(−z))</x:v>
      </x:c>
      <x:c r="D39" s="120" t="str">
        <x:v>Activation ที่หาอนุพันธ์ได้</x:v>
      </x:c>
      <x:c r="E39" s="120" t="str"/>
      <x:c r="F39" s="120" t="str"/>
      <x:c r="G39" s="120" t="str"/>
      <x:c r="H39" s="120" t="str"/>
      <x:c r="I39" s="120" t="str"/>
      <x:c r="J39" s="120" t="str"/>
    </x:row>
    <x:row r="40">
      <x:c r="A40" s="77" t="str">
        <x:v>MLP</x:v>
      </x:c>
      <x:c r="B40" s="122" t="str">
        <x:v>Loss</x:v>
      </x:c>
      <x:c r="C40" s="120" t="str">
        <x:v>L = ½(t−ŷ)²</x:v>
      </x:c>
      <x:c r="D40" s="120" t="str">
        <x:v>Squared Error สำหรับตัวอย่างนี้</x:v>
      </x:c>
      <x:c r="E40" s="120" t="str"/>
      <x:c r="F40" s="120" t="str"/>
      <x:c r="G40" s="120" t="str"/>
      <x:c r="H40" s="120" t="str"/>
      <x:c r="I40" s="120" t="str"/>
      <x:c r="J40" s="120" t="str"/>
    </x:row>
    <x:row r="41">
      <x:c r="A41" s="77" t="str">
        <x:v>MLP</x:v>
      </x:c>
      <x:c r="B41" s="122" t="str">
        <x:v>Output delta</x:v>
      </x:c>
      <x:c r="C41" s="120" t="str">
        <x:v>δₒ=(ŷ−t)ŷ(1−ŷ)</x:v>
      </x:c>
      <x:c r="D41" s="120" t="str">
        <x:v>∂L/∂zₒ</x:v>
      </x:c>
      <x:c r="E41" s="120" t="str"/>
      <x:c r="F41" s="120" t="str"/>
      <x:c r="G41" s="120" t="str"/>
      <x:c r="H41" s="120" t="str"/>
      <x:c r="I41" s="120" t="str"/>
      <x:c r="J41" s="120" t="str"/>
    </x:row>
    <x:row r="42">
      <x:c r="A42" s="77" t="str">
        <x:v>MLP</x:v>
      </x:c>
      <x:c r="B42" s="122" t="str">
        <x:v>Hidden delta</x:v>
      </x:c>
      <x:c r="C42" s="120" t="str">
        <x:v>δₕⱼ=δₒvⱼhⱼ(1−hⱼ)</x:v>
      </x:c>
      <x:c r="D42" s="120" t="str">
        <x:v>ส่ง error ย้อนผ่าน output weight</x:v>
      </x:c>
      <x:c r="E42" s="120" t="str"/>
      <x:c r="F42" s="120" t="str"/>
      <x:c r="G42" s="120" t="str"/>
      <x:c r="H42" s="120" t="str"/>
      <x:c r="I42" s="120" t="str"/>
      <x:c r="J42" s="120" t="str"/>
    </x:row>
    <x:row r="43">
      <x:c r="A43" s="77" t="str">
        <x:v>MLP</x:v>
      </x:c>
      <x:c r="B43" s="122" t="str">
        <x:v>Gradient Descent</x:v>
      </x:c>
      <x:c r="C43" s="120" t="str">
        <x:v>θ(new)=θ(old)−η(∂L/∂θ)</x:v>
      </x:c>
      <x:c r="D43" s="120" t="str">
        <x:v>ใช้ gradient ที่ Backprop คำนวณได้</x:v>
      </x:c>
      <x:c r="E43" s="120" t="str"/>
      <x:c r="F43" s="120" t="str"/>
      <x:c r="G43" s="120" t="str"/>
      <x:c r="H43" s="120" t="str"/>
      <x:c r="I43" s="120" t="str"/>
      <x:c r="J43" s="120" t="str"/>
    </x:row>
  </x:sheetData>
  <x:mergeCells>
    <x:mergeCell ref="A1:J1"/>
    <x:mergeCell ref="A3:J4"/>
    <x:mergeCell ref="A6:D6"/>
    <x:mergeCell ref="B7:D7"/>
    <x:mergeCell ref="B8:D8"/>
    <x:mergeCell ref="B9:D9"/>
    <x:mergeCell ref="B10:D10"/>
    <x:mergeCell ref="B11:D11"/>
    <x:mergeCell ref="B12:D12"/>
    <x:mergeCell ref="F6:J6"/>
    <x:mergeCell ref="G7:J7"/>
    <x:mergeCell ref="G8:J8"/>
    <x:mergeCell ref="G9:J9"/>
    <x:mergeCell ref="G10:J10"/>
    <x:mergeCell ref="G11:J11"/>
    <x:mergeCell ref="A15:J15"/>
    <x:mergeCell ref="A21:J21"/>
    <x:mergeCell ref="B23:J23"/>
    <x:mergeCell ref="B24:J24"/>
    <x:mergeCell ref="B25:J25"/>
    <x:mergeCell ref="B26:J26"/>
    <x:mergeCell ref="B27:J27"/>
    <x:mergeCell ref="B28:J28"/>
    <x:mergeCell ref="B29:J29"/>
    <x:mergeCell ref="B30:J30"/>
    <x:mergeCell ref="A33:J33"/>
    <x:mergeCell ref="D35:J35"/>
    <x:mergeCell ref="D36:J36"/>
    <x:mergeCell ref="D37:J37"/>
    <x:mergeCell ref="D38:J38"/>
    <x:mergeCell ref="D39:J39"/>
    <x:mergeCell ref="D40:J40"/>
    <x:mergeCell ref="D41:J41"/>
    <x:mergeCell ref="D42:J42"/>
    <x:mergeCell ref="D43:J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27" hidden="0" customWidth="1"/>
    <x:col min="4" max="4" width="17" hidden="0" customWidth="1"/>
    <x:col min="5" max="5" width="12" hidden="0" customWidth="1"/>
    <x:col min="6" max="6" width="30" hidden="0" customWidth="1"/>
    <x:col min="7" max="7" width="3" hidden="0" customWidth="1"/>
    <x:col min="8" max="8" width="10" hidden="0" customWidth="1"/>
    <x:col min="9" max="9" width="16" hidden="0" customWidth="1"/>
    <x:col min="10" max="10" width="20" hidden="0" customWidth="1"/>
    <x:col min="11" max="11" width="26" hidden="0" customWidth="1"/>
  </x:cols>
  <x:sheetData>
    <x:row r="1" ht="34" customHeight="1">
      <x:c r="A1" s="12" t="str">
        <x:v>Perceptron: คำนวณและปรับน้ำหนัก 1 รอบอย่างละเอียด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3">
      <x:c r="A3" s="128" t="str">
        <x:v>ตัวอย่างเริ่มต้นตั้งใจให้จำแนกผิดก่อน เพื่อให้นักศึกษาเห็นการคำนวณ Error และการปรับ weight/bias อย่างครบถ้วน</x:v>
      </x:c>
      <x:c r="B3" s="128"/>
      <x:c r="C3" s="128"/>
      <x:c r="D3" s="128"/>
      <x:c r="E3" s="128"/>
      <x:c r="F3" s="128"/>
      <x:c r="G3" s="128"/>
      <x:c r="H3" s="128"/>
      <x:c r="I3" s="128"/>
      <x:c r="J3" s="128"/>
      <x:c r="K3" s="128"/>
    </x:row>
    <x:row r="5" ht="24" customHeight="1">
      <x:c r="A5" s="48" t="str">
        <x:v>1) กำหนดค่าตั้งต้น</x:v>
      </x:c>
      <x:c r="B5" s="49"/>
      <x:c r="C5" s="50"/>
      <x:c r="E5" s="48" t="str">
        <x:v>2) Forward Pass</x:v>
      </x:c>
      <x:c r="F5" s="49"/>
      <x:c r="G5" s="49"/>
      <x:c r="H5" s="49"/>
      <x:c r="I5" s="49"/>
      <x:c r="J5" s="49"/>
      <x:c r="K5" s="50"/>
    </x:row>
    <x:row r="6">
      <x:c r="A6" s="104" t="str">
        <x:v>ตัวแปร</x:v>
      </x:c>
      <x:c r="B6" s="104" t="str">
        <x:v>ค่า</x:v>
      </x:c>
      <x:c r="C6" s="104" t="str">
        <x:v>คำอธิบาย</x:v>
      </x:c>
      <x:c r="E6" s="104" t="str">
        <x:v>ลำดับ</x:v>
      </x:c>
      <x:c r="F6" s="104" t="str">
        <x:v>พจน์</x:v>
      </x:c>
      <x:c r="G6" s="104" t="str">
        <x:v>สูตรเชิงสัญลักษณ์</x:v>
      </x:c>
      <x:c r="H6" s="104" t="str">
        <x:v>สูตรใน Excel</x:v>
      </x:c>
      <x:c r="I6" s="104" t="str">
        <x:v>ผลลัพธ์</x:v>
      </x:c>
      <x:c r="J6" s="104" t="str">
        <x:v>ความหมาย</x:v>
      </x:c>
      <x:c r="K6" s="104" t="str"/>
    </x:row>
    <x:row r="7">
      <x:c r="A7" s="120" t="str">
        <x:v>x₁</x:v>
      </x:c>
      <x:c r="B7" s="66" t="n">
        <x:v>1</x:v>
      </x:c>
      <x:c r="C7" s="120" t="str">
        <x:v>Input ตัวที่ 1</x:v>
      </x:c>
      <x:c r="E7" s="120" t="n">
        <x:v>1</x:v>
      </x:c>
      <x:c r="F7" s="120" t="str">
        <x:v>Contribution x₁</x:v>
      </x:c>
      <x:c r="G7" s="120" t="str">
        <x:v>x₁w₁</x:v>
      </x:c>
      <x:c r="H7" s="120" t="str">
        <x:v>B7 × B11</x:v>
      </x:c>
      <x:c r="I7" s="134" t="n">
        <x:f>$B$7*$B$11</x:f>
        <x:v>0.1</x:v>
      </x:c>
      <x:c r="J7" s="120" t="str">
        <x:v>ส่วนของ x₁</x:v>
      </x:c>
      <x:c r="K7" s="120" t="str"/>
    </x:row>
    <x:row r="8">
      <x:c r="A8" s="120" t="str">
        <x:v>x₂</x:v>
      </x:c>
      <x:c r="B8" s="66" t="n">
        <x:v>1</x:v>
      </x:c>
      <x:c r="C8" s="120" t="str">
        <x:v>Input ตัวที่ 2</x:v>
      </x:c>
      <x:c r="E8" s="120" t="n">
        <x:v>2</x:v>
      </x:c>
      <x:c r="F8" s="120" t="str">
        <x:v>Contribution x₂</x:v>
      </x:c>
      <x:c r="G8" s="120" t="str">
        <x:v>x₂w₂</x:v>
      </x:c>
      <x:c r="H8" s="120" t="str">
        <x:v>B8 × B12</x:v>
      </x:c>
      <x:c r="I8" s="134" t="n">
        <x:f>$B$8*$B$12</x:f>
        <x:v>0.1</x:v>
      </x:c>
      <x:c r="J8" s="120" t="str">
        <x:v>ส่วนของ x₂</x:v>
      </x:c>
      <x:c r="K8" s="120" t="str"/>
    </x:row>
    <x:row r="9">
      <x:c r="A9" s="120" t="str">
        <x:v>Target (t)</x:v>
      </x:c>
      <x:c r="B9" s="66" t="n">
        <x:v>1</x:v>
      </x:c>
      <x:c r="C9" s="120" t="str">
        <x:v>คำตอบที่ต้องการ</x:v>
      </x:c>
      <x:c r="E9" s="120" t="n">
        <x:v>3</x:v>
      </x:c>
      <x:c r="F9" s="120" t="str">
        <x:v>Bias</x:v>
      </x:c>
      <x:c r="G9" s="120" t="str">
        <x:v>b</x:v>
      </x:c>
      <x:c r="H9" s="120" t="str">
        <x:v>B13</x:v>
      </x:c>
      <x:c r="I9" s="134" t="n">
        <x:f>$B$13</x:f>
        <x:v>-0.5</x:v>
      </x:c>
      <x:c r="J9" s="120" t="str">
        <x:v>ค่าคงที่</x:v>
      </x:c>
      <x:c r="K9" s="120" t="str"/>
    </x:row>
    <x:row r="10">
      <x:c r="A10" s="120" t="str">
        <x:v>Learning rate (η)</x:v>
      </x:c>
      <x:c r="B10" s="132" t="n">
        <x:v>0.1</x:v>
      </x:c>
      <x:c r="C10" s="120" t="str">
        <x:v>ขนาดการปรับค่า</x:v>
      </x:c>
      <x:c r="E10" s="120" t="n">
        <x:v>4</x:v>
      </x:c>
      <x:c r="F10" s="120" t="str">
        <x:v>Net input</x:v>
      </x:c>
      <x:c r="G10" s="120" t="str">
        <x:v>z=x₁w₁+x₂w₂+b</x:v>
      </x:c>
      <x:c r="H10" s="120" t="str">
        <x:v>SUM(I7:I9)</x:v>
      </x:c>
      <x:c r="I10" s="134" t="n">
        <x:f>SUM(I7:I9)</x:f>
        <x:v>-0.3</x:v>
      </x:c>
      <x:c r="J10" s="120" t="str">
        <x:v>ผลรวมก่อน activation</x:v>
      </x:c>
      <x:c r="K10" s="120" t="str"/>
    </x:row>
    <x:row r="11">
      <x:c r="A11" s="120" t="str">
        <x:v>w₁ (เดิม)</x:v>
      </x:c>
      <x:c r="B11" s="132" t="n">
        <x:v>0.1</x:v>
      </x:c>
      <x:c r="C11" s="120" t="str">
        <x:v>Weight ของ x₁</x:v>
      </x:c>
      <x:c r="E11" s="120" t="n">
        <x:v>5</x:v>
      </x:c>
      <x:c r="F11" s="120" t="str">
        <x:v>Output</x:v>
      </x:c>
      <x:c r="G11" s="120" t="str">
        <x:v>y=Step(z)</x:v>
      </x:c>
      <x:c r="H11" s="120" t="str">
        <x:v>IF(z≥threshold,1,0)</x:v>
      </x:c>
      <x:c r="I11" s="134" t="n">
        <x:f>IF(I10&gt;=$B$14,1,0)</x:f>
        <x:v>0</x:v>
      </x:c>
      <x:c r="J11" s="120" t="str">
        <x:v>ผลทำนาย</x:v>
      </x:c>
      <x:c r="K11" s="120" t="str"/>
    </x:row>
    <x:row r="12">
      <x:c r="A12" s="120" t="str">
        <x:v>w₂ (เดิม)</x:v>
      </x:c>
      <x:c r="B12" s="132" t="n">
        <x:v>0.1</x:v>
      </x:c>
      <x:c r="C12" s="120" t="str">
        <x:v>Weight ของ x₂</x:v>
      </x:c>
      <x:c r="E12" s="120" t="n">
        <x:v>6</x:v>
      </x:c>
      <x:c r="F12" s="120" t="str">
        <x:v>Target</x:v>
      </x:c>
      <x:c r="G12" s="120" t="str">
        <x:v>t</x:v>
      </x:c>
      <x:c r="H12" s="120" t="str">
        <x:v>B9</x:v>
      </x:c>
      <x:c r="I12" s="134" t="n">
        <x:f>$B$9</x:f>
        <x:v>1</x:v>
      </x:c>
      <x:c r="J12" s="120" t="str">
        <x:v>คำตอบจริง</x:v>
      </x:c>
      <x:c r="K12" s="120" t="str"/>
    </x:row>
    <x:row r="13">
      <x:c r="A13" s="120" t="str">
        <x:v>Bias b (เดิม)</x:v>
      </x:c>
      <x:c r="B13" s="132" t="n">
        <x:v>-0.5</x:v>
      </x:c>
      <x:c r="C13" s="120" t="str">
        <x:v>Bias</x:v>
      </x:c>
      <x:c r="E13" s="120" t="n">
        <x:v>7</x:v>
      </x:c>
      <x:c r="F13" s="120" t="str">
        <x:v>Error</x:v>
      </x:c>
      <x:c r="G13" s="120" t="str">
        <x:v>e=t−y</x:v>
      </x:c>
      <x:c r="H13" s="120" t="str">
        <x:v>target−output</x:v>
      </x:c>
      <x:c r="I13" s="134" t="n">
        <x:f>I12-I11</x:f>
        <x:v>1</x:v>
      </x:c>
      <x:c r="J13" s="120" t="str">
        <x:v>สัญญาณการปรับค่า</x:v>
      </x:c>
      <x:c r="K13" s="120" t="str"/>
    </x:row>
    <x:row r="14">
      <x:c r="A14" s="120" t="str">
        <x:v>Threshold</x:v>
      </x:c>
      <x:c r="B14" s="132" t="n">
        <x:v>0</x:v>
      </x:c>
      <x:c r="C14" s="120" t="str">
        <x:v>เกณฑ์ของ Step Function</x:v>
      </x:c>
      <x:c r="E14" s="120" t="n">
        <x:v>8</x:v>
      </x:c>
      <x:c r="F14" s="120" t="str">
        <x:v>ตรวจคำตอบ</x:v>
      </x:c>
      <x:c r="G14" s="120" t="str">
        <x:v>e=0 แปลว่าถูก</x:v>
      </x:c>
      <x:c r="H14" s="120" t="str">
        <x:v>IF(e=0,…)</x:v>
      </x:c>
      <x:c r="I14" s="72" t="str">
        <x:f>IF(I13=0,"จำแนกถูก","จำแนกผิด — ต้องปรับค่า")</x:f>
        <x:v>จำแนกผิด — ต้องปรับค่า</x:v>
      </x:c>
      <x:c r="J14" s="120" t="str">
        <x:v>สถานะ</x:v>
      </x:c>
      <x:c r="K14" s="120" t="str"/>
    </x:row>
    <x:row r="17" ht="24" customHeight="1">
      <x:c r="A17" s="48" t="str">
        <x:v>3) Perceptron Learning Rule: คำนวณการเปลี่ยนแปลง</x:v>
      </x:c>
      <x:c r="B17" s="49"/>
      <x:c r="C17" s="49"/>
      <x:c r="D17" s="49"/>
      <x:c r="E17" s="49"/>
      <x:c r="F17" s="50"/>
      <x:c r="H17" s="48" t="str">
        <x:v>4) ตรวจผลหลังอัปเดต</x:v>
      </x:c>
      <x:c r="I17" s="49"/>
      <x:c r="J17" s="49"/>
      <x:c r="K17" s="50"/>
    </x:row>
    <x:row r="18">
      <x:c r="A18" s="104" t="str">
        <x:v>Parameter</x:v>
      </x:c>
      <x:c r="B18" s="104" t="str">
        <x:v>ค่าเดิม</x:v>
      </x:c>
      <x:c r="C18" s="104" t="str">
        <x:v>Input ที่คูณ</x:v>
      </x:c>
      <x:c r="D18" s="104" t="str">
        <x:v>Δ = η × e × input</x:v>
      </x:c>
      <x:c r="E18" s="104" t="str">
        <x:v>ค่าใหม่</x:v>
      </x:c>
      <x:c r="F18" s="104" t="str">
        <x:v>สูตร</x:v>
      </x:c>
      <x:c r="H18" s="104" t="str">
        <x:v>ลำดับ</x:v>
      </x:c>
      <x:c r="I18" s="104" t="str">
        <x:v>รายการ</x:v>
      </x:c>
      <x:c r="J18" s="104" t="str">
        <x:v>ผลลัพธ์</x:v>
      </x:c>
      <x:c r="K18" s="104" t="str">
        <x:v>ความหมาย</x:v>
      </x:c>
    </x:row>
    <x:row r="19">
      <x:c r="A19" s="120" t="str">
        <x:v>w₁</x:v>
      </x:c>
      <x:c r="B19" s="136" t="n">
        <x:f>$B$11</x:f>
        <x:v>0.1</x:v>
      </x:c>
      <x:c r="C19" s="136" t="n">
        <x:f>$B$7</x:f>
        <x:v>1</x:v>
      </x:c>
      <x:c r="D19" s="137" t="n">
        <x:f>$B$10*$I$13*C19</x:f>
        <x:v>0.1</x:v>
      </x:c>
      <x:c r="E19" s="138" t="n">
        <x:f>B19+D19</x:f>
        <x:v>0.2</x:v>
      </x:c>
      <x:c r="F19" s="120" t="str">
        <x:v>w₁(new)=w₁(old)+ηex₁</x:v>
      </x:c>
      <x:c r="H19" s="120" t="n">
        <x:v>1</x:v>
      </x:c>
      <x:c r="I19" s="120" t="str">
        <x:v>z ใหม่</x:v>
      </x:c>
      <x:c r="J19" s="138" t="n">
        <x:f>$B$7*$E$19+$B$8*$E$20+$E$21</x:f>
        <x:v>0</x:v>
      </x:c>
      <x:c r="K19" s="120" t="str">
        <x:v>คำนวณด้วย weight/bias ใหม่</x:v>
      </x:c>
    </x:row>
    <x:row r="20">
      <x:c r="A20" s="120" t="str">
        <x:v>w₂</x:v>
      </x:c>
      <x:c r="B20" s="136" t="n">
        <x:f>$B$12</x:f>
        <x:v>0.1</x:v>
      </x:c>
      <x:c r="C20" s="136" t="n">
        <x:f>$B$8</x:f>
        <x:v>1</x:v>
      </x:c>
      <x:c r="D20" s="137" t="n">
        <x:f>$B$10*$I$13*C20</x:f>
        <x:v>0.1</x:v>
      </x:c>
      <x:c r="E20" s="138" t="n">
        <x:f>B20+D20</x:f>
        <x:v>0.2</x:v>
      </x:c>
      <x:c r="F20" s="120" t="str">
        <x:v>w₂(new)=w₂(old)+ηex₂</x:v>
      </x:c>
      <x:c r="H20" s="120" t="n">
        <x:v>2</x:v>
      </x:c>
      <x:c r="I20" s="120" t="str">
        <x:v>Output ใหม่</x:v>
      </x:c>
      <x:c r="J20" s="138" t="n">
        <x:f>IF(J19&gt;=$B$14,1,0)</x:f>
        <x:v>1</x:v>
      </x:c>
      <x:c r="K20" s="120" t="str">
        <x:v>ใช้ Step Function</x:v>
      </x:c>
    </x:row>
    <x:row r="21">
      <x:c r="A21" s="120" t="str">
        <x:v>Bias b</x:v>
      </x:c>
      <x:c r="B21" s="136" t="n">
        <x:f>$B$13</x:f>
        <x:v>-0.5</x:v>
      </x:c>
      <x:c r="C21" s="136" t="n">
        <x:v>1</x:v>
      </x:c>
      <x:c r="D21" s="137" t="n">
        <x:f>$B$10*$I$13*C21</x:f>
        <x:v>0.1</x:v>
      </x:c>
      <x:c r="E21" s="138" t="n">
        <x:f>B21+D21</x:f>
        <x:v>-0.4</x:v>
      </x:c>
      <x:c r="F21" s="120" t="str">
        <x:v>b(new)=b(old)+ηe</x:v>
      </x:c>
      <x:c r="H21" s="120" t="n">
        <x:v>3</x:v>
      </x:c>
      <x:c r="I21" s="120" t="str">
        <x:v>Error ใหม่</x:v>
      </x:c>
      <x:c r="J21" s="138" t="n">
        <x:f>$B$9-J20</x:f>
        <x:v>0</x:v>
      </x:c>
      <x:c r="K21" s="120" t="str">
        <x:v>ควรเข้าใกล้ 0</x:v>
      </x:c>
    </x:row>
    <x:row r="22">
      <x:c r="H22" s="120" t="n">
        <x:v>4</x:v>
      </x:c>
      <x:c r="I22" s="120" t="str">
        <x:v>สถานะ</x:v>
      </x:c>
      <x:c r="J22" s="70" t="str">
        <x:f>IF(J21=0,"จำแนกถูกแล้ว","ยังจำแนกผิด")</x:f>
        <x:v>จำแนกถูกแล้ว</x:v>
      </x:c>
      <x:c r="K22" s="120" t="str">
        <x:v>ผลหลังการปรับหนึ่งครั้ง</x:v>
      </x:c>
    </x:row>
    <x:row r="24">
      <x:c r="A24" s="148" t="str">
        <x:v>ข้อสังเกต: Perceptron ใช้ Step Function ซึ่งไม่เหมาะกับการหาอนุพันธ์แบบต่อเนื่อง จึงใช้ Perceptron Learning Rule โดยตรง ไม่ได้ใช้ Backpropagation แบบ MLP</x:v>
      </x:c>
      <x:c r="B24" s="149"/>
      <x:c r="C24" s="149"/>
      <x:c r="D24" s="149"/>
      <x:c r="E24" s="149"/>
      <x:c r="F24" s="149"/>
      <x:c r="G24" s="149"/>
      <x:c r="H24" s="149"/>
      <x:c r="I24" s="149"/>
      <x:c r="J24" s="149"/>
      <x:c r="K24" s="150"/>
    </x:row>
    <x:row r="25">
      <x:c r="A25" s="151"/>
      <x:c r="B25" s="144"/>
      <x:c r="C25" s="144"/>
      <x:c r="D25" s="144"/>
      <x:c r="E25" s="144"/>
      <x:c r="F25" s="144"/>
      <x:c r="G25" s="144"/>
      <x:c r="H25" s="144"/>
      <x:c r="I25" s="144"/>
      <x:c r="J25" s="144"/>
      <x:c r="K25" s="152"/>
    </x:row>
    <x:row r="26">
      <x:c r="A26" s="153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5"/>
    </x:row>
  </x:sheetData>
  <x:mergeCells>
    <x:mergeCell ref="A1:K1"/>
    <x:mergeCell ref="A3:K3"/>
    <x:mergeCell ref="A5:C5"/>
    <x:mergeCell ref="E5:K5"/>
    <x:mergeCell ref="J6:K6"/>
    <x:mergeCell ref="J7:K7"/>
    <x:mergeCell ref="J8:K8"/>
    <x:mergeCell ref="J9:K9"/>
    <x:mergeCell ref="J10:K10"/>
    <x:mergeCell ref="J11:K11"/>
    <x:mergeCell ref="J12:K12"/>
    <x:mergeCell ref="J13:K13"/>
    <x:mergeCell ref="J14:K14"/>
    <x:mergeCell ref="A17:F17"/>
    <x:mergeCell ref="H17:K17"/>
    <x:mergeCell ref="A24:K26"/>
  </x:mergeCells>
  <x:dataValidations count="1">
    <x:dataValidation type="list" sqref="B7:B9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9" hidden="0" customWidth="1"/>
    <x:col min="4" max="4" width="7" hidden="0" customWidth="1"/>
    <x:col min="5" max="5" width="7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2" hidden="0" customWidth="1"/>
    <x:col min="20" max="20" width="10" hidden="0" customWidth="1"/>
    <x:col min="23" max="23" width="10" hidden="0" customWidth="1"/>
    <x:col min="24" max="24" width="12" hidden="0" customWidth="1"/>
    <x:col min="25" max="25" width="11" hidden="0" customWidth="1"/>
    <x:col min="26" max="26" width="13" hidden="0" customWidth="1"/>
    <x:col min="27" max="27" width="13" hidden="0" customWidth="1"/>
    <x:col min="28" max="28" width="14" hidden="0" customWidth="1"/>
    <x:col min="29" max="29" width="11" hidden="0" customWidth="1"/>
    <x:col min="30" max="30" width="11" hidden="0" customWidth="1"/>
    <x:col min="31" max="31" width="11" hidden="0" customWidth="1"/>
  </x:cols>
  <x:sheetData>
    <x:row r="1" ht="34" customHeight="1">
      <x:c r="A1" s="12" t="str">
        <x:v>Perceptron Training Log: เรียนรู้ AND Gate แบบ Online Learning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4"/>
    </x:row>
    <x:row r="3" ht="24" customHeight="1">
      <x:c r="A3" s="48" t="str">
        <x:v>ค่าตั้งต้น</x:v>
      </x:c>
      <x:c r="B3" s="49"/>
      <x:c r="C3" s="49"/>
      <x:c r="D3" s="50"/>
      <x:c r="W3" s="48" t="str">
        <x:v>Truth Table — แก้ Target เพื่อทดลอง AND / OR / NAND</x:v>
      </x:c>
      <x:c r="X3" s="49"/>
      <x:c r="Y3" s="49"/>
      <x:c r="Z3" s="50"/>
    </x:row>
    <x:row r="4">
      <x:c r="A4" s="120" t="str">
        <x:v>Learning rate (η)</x:v>
      </x:c>
      <x:c r="B4" s="132" t="n">
        <x:v>0.1</x:v>
      </x:c>
      <x:c r="W4" s="104" t="str">
        <x:v>Pattern</x:v>
      </x:c>
      <x:c r="X4" s="104" t="str">
        <x:v>x₁</x:v>
      </x:c>
      <x:c r="Y4" s="104" t="str">
        <x:v>x₂</x:v>
      </x:c>
      <x:c r="Z4" s="104" t="str">
        <x:v>Target</x:v>
      </x:c>
    </x:row>
    <x:row r="5">
      <x:c r="A5" s="120" t="str">
        <x:v>Initial w₁</x:v>
      </x:c>
      <x:c r="B5" s="132" t="n">
        <x:v>0</x:v>
      </x:c>
      <x:c r="W5" s="114" t="n">
        <x:v>1</x:v>
      </x:c>
      <x:c r="X5" s="114" t="n">
        <x:v>0</x:v>
      </x:c>
      <x:c r="Y5" s="114" t="n">
        <x:v>0</x:v>
      </x:c>
      <x:c r="Z5" s="164" t="n">
        <x:v>0</x:v>
      </x:c>
    </x:row>
    <x:row r="6">
      <x:c r="A6" s="120" t="str">
        <x:v>Initial w₂</x:v>
      </x:c>
      <x:c r="B6" s="132" t="n">
        <x:v>0</x:v>
      </x:c>
      <x:c r="W6" s="114" t="n">
        <x:v>2</x:v>
      </x:c>
      <x:c r="X6" s="114" t="n">
        <x:v>0</x:v>
      </x:c>
      <x:c r="Y6" s="114" t="n">
        <x:v>1</x:v>
      </x:c>
      <x:c r="Z6" s="164" t="n">
        <x:v>0</x:v>
      </x:c>
    </x:row>
    <x:row r="7">
      <x:c r="A7" s="120" t="str">
        <x:v>Initial bias</x:v>
      </x:c>
      <x:c r="B7" s="132" t="n">
        <x:v>-0.2</x:v>
      </x:c>
      <x:c r="W7" s="114" t="n">
        <x:v>3</x:v>
      </x:c>
      <x:c r="X7" s="114" t="n">
        <x:v>1</x:v>
      </x:c>
      <x:c r="Y7" s="114" t="n">
        <x:v>0</x:v>
      </x:c>
      <x:c r="Z7" s="164" t="n">
        <x:v>0</x:v>
      </x:c>
    </x:row>
    <x:row r="8">
      <x:c r="A8" s="120" t="str">
        <x:v>จำนวน epoch ที่สร้างไว้</x:v>
      </x:c>
      <x:c r="B8" s="74" t="n">
        <x:v>10</x:v>
      </x:c>
      <x:c r="W8" s="114" t="n">
        <x:v>4</x:v>
      </x:c>
      <x:c r="X8" s="114" t="n">
        <x:v>1</x:v>
      </x:c>
      <x:c r="Y8" s="114" t="n">
        <x:v>1</x:v>
      </x:c>
      <x:c r="Z8" s="164" t="n">
        <x:v>1</x:v>
      </x:c>
    </x:row>
    <x:row r="10" ht="24" customHeight="1">
      <x:c r="A10" s="48" t="str">
        <x:v>ลำดับฝึก: Forward → Error → ΔWeight → New Weight</x:v>
      </x:c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50"/>
      <x:c r="W10" s="48" t="str">
        <x:v>สรุปผลราย Epoch</x:v>
      </x:c>
      <x:c r="X10" s="49"/>
      <x:c r="Y10" s="49"/>
      <x:c r="Z10" s="49"/>
      <x:c r="AA10" s="49"/>
      <x:c r="AB10" s="50"/>
    </x:row>
    <x:row r="11">
      <x:c r="A11" s="104" t="str">
        <x:v>Iteration</x:v>
      </x:c>
      <x:c r="B11" s="104" t="str">
        <x:v>Epoch</x:v>
      </x:c>
      <x:c r="C11" s="104" t="str">
        <x:v>Pattern</x:v>
      </x:c>
      <x:c r="D11" s="104" t="str">
        <x:v>x₁</x:v>
      </x:c>
      <x:c r="E11" s="104" t="str">
        <x:v>x₂</x:v>
      </x:c>
      <x:c r="F11" s="104" t="str">
        <x:v>Target</x:v>
      </x:c>
      <x:c r="G11" s="104" t="str">
        <x:v>w₁ old</x:v>
      </x:c>
      <x:c r="H11" s="104" t="str">
        <x:v>w₂ old</x:v>
      </x:c>
      <x:c r="I11" s="104" t="str">
        <x:v>b old</x:v>
      </x:c>
      <x:c r="J11" s="104" t="str">
        <x:v>Net z</x:v>
      </x:c>
      <x:c r="K11" s="104" t="str">
        <x:v>Output y</x:v>
      </x:c>
      <x:c r="L11" s="104" t="str">
        <x:v>Error e</x:v>
      </x:c>
      <x:c r="M11" s="104" t="str">
        <x:v>Δw₁</x:v>
      </x:c>
      <x:c r="N11" s="104" t="str">
        <x:v>Δw₂</x:v>
      </x:c>
      <x:c r="O11" s="104" t="str">
        <x:v>Δb</x:v>
      </x:c>
      <x:c r="P11" s="104" t="str">
        <x:v>w₁ new</x:v>
      </x:c>
      <x:c r="Q11" s="104" t="str">
        <x:v>w₂ new</x:v>
      </x:c>
      <x:c r="R11" s="104" t="str">
        <x:v>b new</x:v>
      </x:c>
      <x:c r="S11" s="104" t="str">
        <x:v>Correct (1/0)</x:v>
      </x:c>
      <x:c r="T11" s="104" t="str">
        <x:v>|Error|</x:v>
      </x:c>
      <x:c r="W11" s="104" t="str">
        <x:v>Epoch</x:v>
      </x:c>
      <x:c r="X11" s="104" t="str">
        <x:v>จำนวนผิด</x:v>
      </x:c>
      <x:c r="Y11" s="104" t="str">
        <x:v>Accuracy</x:v>
      </x:c>
      <x:c r="Z11" s="104" t="str">
        <x:v>w₁ หลัง epoch</x:v>
      </x:c>
      <x:c r="AA11" s="104" t="str">
        <x:v>w₂ หลัง epoch</x:v>
      </x:c>
      <x:c r="AB11" s="104" t="str">
        <x:v>bias หลัง epoch</x:v>
      </x:c>
    </x:row>
    <x:row r="12">
      <x:c r="A12" s="114" t="n">
        <x:v>1</x:v>
      </x:c>
      <x:c r="B12" s="114" t="n">
        <x:v>1</x:v>
      </x:c>
      <x:c r="C12" s="114" t="n">
        <x:v>1</x:v>
      </x:c>
      <x:c r="D12" s="166" t="n">
        <x:f>$X$5</x:f>
        <x:v>0</x:v>
      </x:c>
      <x:c r="E12" s="166" t="n">
        <x:f>$Y$5</x:f>
        <x:v>0</x:v>
      </x:c>
      <x:c r="F12" s="166" t="n">
        <x:f>$Z$5</x:f>
        <x:v>0</x:v>
      </x:c>
      <x:c r="G12" s="176" t="n">
        <x:f>$B$5</x:f>
        <x:v>0</x:v>
      </x:c>
      <x:c r="H12" s="176" t="n">
        <x:f>$B$6</x:f>
        <x:v>0</x:v>
      </x:c>
      <x:c r="I12" s="176" t="n">
        <x:f>$B$7</x:f>
        <x:v>-0.2</x:v>
      </x:c>
      <x:c r="J12" s="176" t="n">
        <x:f>D12*G12+E12*H12+I12</x:f>
        <x:v>-0.2</x:v>
      </x:c>
      <x:c r="K12" s="176" t="n">
        <x:f>IF(J12&gt;=0,1,0)</x:f>
        <x:v>0</x:v>
      </x:c>
      <x:c r="L12" s="176" t="n">
        <x:f>F12-K12</x:f>
        <x:v>0</x:v>
      </x:c>
      <x:c r="M12" s="177" t="n">
        <x:f>$B$4*L12*D12</x:f>
        <x:v>0</x:v>
      </x:c>
      <x:c r="N12" s="177" t="n">
        <x:f>$B$4*L12*E12</x:f>
        <x:v>0</x:v>
      </x:c>
      <x:c r="O12" s="177" t="n">
        <x:f>$B$4*L12</x:f>
        <x:v>0</x:v>
      </x:c>
      <x:c r="P12" s="178" t="n">
        <x:f>G12+M12</x:f>
        <x:v>0</x:v>
      </x:c>
      <x:c r="Q12" s="178" t="n">
        <x:f>H12+N12</x:f>
        <x:v>0</x:v>
      </x:c>
      <x:c r="R12" s="178" t="n">
        <x:f>I12+O12</x:f>
        <x:v>-0.2</x:v>
      </x:c>
      <x:c r="S12" s="182" t="n">
        <x:f>IF(K12=F12,1,0)</x:f>
        <x:v>1</x:v>
      </x:c>
      <x:c r="T12" s="182" t="n">
        <x:f>ABS(L12)</x:f>
        <x:v>0</x:v>
      </x:c>
      <x:c r="W12" s="114" t="n">
        <x:v>1</x:v>
      </x:c>
      <x:c r="X12" s="170" t="n">
        <x:f>SUM(T12:T15)</x:f>
        <x:v>1</x:v>
      </x:c>
      <x:c r="Y12" s="184" t="n">
        <x:f>AVERAGE(S12:S15)</x:f>
        <x:v>0.75</x:v>
      </x:c>
      <x:c r="Z12" s="186" t="n">
        <x:f>P15</x:f>
        <x:v>0.1</x:v>
      </x:c>
      <x:c r="AA12" s="186" t="n">
        <x:f>Q15</x:f>
        <x:v>0.1</x:v>
      </x:c>
      <x:c r="AB12" s="186" t="n">
        <x:f>R15</x:f>
        <x:v>-0.1</x:v>
      </x:c>
    </x:row>
    <x:row r="13">
      <x:c r="A13" s="114" t="n">
        <x:v>2</x:v>
      </x:c>
      <x:c r="B13" s="114" t="n">
        <x:v>1</x:v>
      </x:c>
      <x:c r="C13" s="114" t="n">
        <x:v>2</x:v>
      </x:c>
      <x:c r="D13" s="166" t="n">
        <x:f>$X$6</x:f>
        <x:v>0</x:v>
      </x:c>
      <x:c r="E13" s="166" t="n">
        <x:f>$Y$6</x:f>
        <x:v>1</x:v>
      </x:c>
      <x:c r="F13" s="166" t="n">
        <x:f>$Z$6</x:f>
        <x:v>0</x:v>
      </x:c>
      <x:c r="G13" s="176" t="n">
        <x:f>P12</x:f>
        <x:v>0</x:v>
      </x:c>
      <x:c r="H13" s="176" t="n">
        <x:f>Q12</x:f>
        <x:v>0</x:v>
      </x:c>
      <x:c r="I13" s="176" t="n">
        <x:f>R12</x:f>
        <x:v>-0.2</x:v>
      </x:c>
      <x:c r="J13" s="176" t="n">
        <x:f>D13*G13+E13*H13+I13</x:f>
        <x:v>-0.2</x:v>
      </x:c>
      <x:c r="K13" s="176" t="n">
        <x:f>IF(J13&gt;=0,1,0)</x:f>
        <x:v>0</x:v>
      </x:c>
      <x:c r="L13" s="176" t="n">
        <x:f>F13-K13</x:f>
        <x:v>0</x:v>
      </x:c>
      <x:c r="M13" s="177" t="n">
        <x:f>$B$4*L13*D13</x:f>
        <x:v>0</x:v>
      </x:c>
      <x:c r="N13" s="177" t="n">
        <x:f>$B$4*L13*E13</x:f>
        <x:v>0</x:v>
      </x:c>
      <x:c r="O13" s="177" t="n">
        <x:f>$B$4*L13</x:f>
        <x:v>0</x:v>
      </x:c>
      <x:c r="P13" s="178" t="n">
        <x:f>G13+M13</x:f>
        <x:v>0</x:v>
      </x:c>
      <x:c r="Q13" s="178" t="n">
        <x:f>H13+N13</x:f>
        <x:v>0</x:v>
      </x:c>
      <x:c r="R13" s="178" t="n">
        <x:f>I13+O13</x:f>
        <x:v>-0.2</x:v>
      </x:c>
      <x:c r="S13" s="182" t="n">
        <x:f>IF(K13=F13,1,0)</x:f>
        <x:v>1</x:v>
      </x:c>
      <x:c r="T13" s="182" t="n">
        <x:f>ABS(L13)</x:f>
        <x:v>0</x:v>
      </x:c>
      <x:c r="W13" s="114" t="n">
        <x:v>2</x:v>
      </x:c>
      <x:c r="X13" s="170" t="n">
        <x:f>SUM(T16:T19)</x:f>
        <x:v>2</x:v>
      </x:c>
      <x:c r="Y13" s="184" t="n">
        <x:f>AVERAGE(S16:S19)</x:f>
        <x:v>0.5</x:v>
      </x:c>
      <x:c r="Z13" s="186" t="n">
        <x:f>P19</x:f>
        <x:v>0.2</x:v>
      </x:c>
      <x:c r="AA13" s="186" t="n">
        <x:f>Q19</x:f>
        <x:v>0.1</x:v>
      </x:c>
      <x:c r="AB13" s="186" t="n">
        <x:f>R19</x:f>
        <x:v>-0.1</x:v>
      </x:c>
    </x:row>
    <x:row r="14">
      <x:c r="A14" s="114" t="n">
        <x:v>3</x:v>
      </x:c>
      <x:c r="B14" s="114" t="n">
        <x:v>1</x:v>
      </x:c>
      <x:c r="C14" s="114" t="n">
        <x:v>3</x:v>
      </x:c>
      <x:c r="D14" s="166" t="n">
        <x:f>$X$7</x:f>
        <x:v>1</x:v>
      </x:c>
      <x:c r="E14" s="166" t="n">
        <x:f>$Y$7</x:f>
        <x:v>0</x:v>
      </x:c>
      <x:c r="F14" s="166" t="n">
        <x:f>$Z$7</x:f>
        <x:v>0</x:v>
      </x:c>
      <x:c r="G14" s="176" t="n">
        <x:f>P13</x:f>
        <x:v>0</x:v>
      </x:c>
      <x:c r="H14" s="176" t="n">
        <x:f>Q13</x:f>
        <x:v>0</x:v>
      </x:c>
      <x:c r="I14" s="176" t="n">
        <x:f>R13</x:f>
        <x:v>-0.2</x:v>
      </x:c>
      <x:c r="J14" s="176" t="n">
        <x:f>D14*G14+E14*H14+I14</x:f>
        <x:v>-0.2</x:v>
      </x:c>
      <x:c r="K14" s="176" t="n">
        <x:f>IF(J14&gt;=0,1,0)</x:f>
        <x:v>0</x:v>
      </x:c>
      <x:c r="L14" s="176" t="n">
        <x:f>F14-K14</x:f>
        <x:v>0</x:v>
      </x:c>
      <x:c r="M14" s="177" t="n">
        <x:f>$B$4*L14*D14</x:f>
        <x:v>0</x:v>
      </x:c>
      <x:c r="N14" s="177" t="n">
        <x:f>$B$4*L14*E14</x:f>
        <x:v>0</x:v>
      </x:c>
      <x:c r="O14" s="177" t="n">
        <x:f>$B$4*L14</x:f>
        <x:v>0</x:v>
      </x:c>
      <x:c r="P14" s="178" t="n">
        <x:f>G14+M14</x:f>
        <x:v>0</x:v>
      </x:c>
      <x:c r="Q14" s="178" t="n">
        <x:f>H14+N14</x:f>
        <x:v>0</x:v>
      </x:c>
      <x:c r="R14" s="178" t="n">
        <x:f>I14+O14</x:f>
        <x:v>-0.2</x:v>
      </x:c>
      <x:c r="S14" s="182" t="n">
        <x:f>IF(K14=F14,1,0)</x:f>
        <x:v>1</x:v>
      </x:c>
      <x:c r="T14" s="182" t="n">
        <x:f>ABS(L14)</x:f>
        <x:v>0</x:v>
      </x:c>
      <x:c r="W14" s="114" t="n">
        <x:v>3</x:v>
      </x:c>
      <x:c r="X14" s="170" t="n">
        <x:f>SUM(T20:T23)</x:f>
        <x:v>3</x:v>
      </x:c>
      <x:c r="Y14" s="184" t="n">
        <x:f>AVERAGE(S20:S23)</x:f>
        <x:v>0.25</x:v>
      </x:c>
      <x:c r="Z14" s="186" t="n">
        <x:f>P23</x:f>
        <x:v>0.2</x:v>
      </x:c>
      <x:c r="AA14" s="186" t="n">
        <x:f>Q23</x:f>
        <x:v>0.1</x:v>
      </x:c>
      <x:c r="AB14" s="186" t="n">
        <x:f>R23</x:f>
        <x:v>-0.20000000000000004</x:v>
      </x:c>
    </x:row>
    <x:row r="15">
      <x:c r="A15" s="114" t="n">
        <x:v>4</x:v>
      </x:c>
      <x:c r="B15" s="114" t="n">
        <x:v>1</x:v>
      </x:c>
      <x:c r="C15" s="114" t="n">
        <x:v>4</x:v>
      </x:c>
      <x:c r="D15" s="166" t="n">
        <x:f>$X$8</x:f>
        <x:v>1</x:v>
      </x:c>
      <x:c r="E15" s="166" t="n">
        <x:f>$Y$8</x:f>
        <x:v>1</x:v>
      </x:c>
      <x:c r="F15" s="166" t="n">
        <x:f>$Z$8</x:f>
        <x:v>1</x:v>
      </x:c>
      <x:c r="G15" s="176" t="n">
        <x:f>P14</x:f>
        <x:v>0</x:v>
      </x:c>
      <x:c r="H15" s="176" t="n">
        <x:f>Q14</x:f>
        <x:v>0</x:v>
      </x:c>
      <x:c r="I15" s="176" t="n">
        <x:f>R14</x:f>
        <x:v>-0.2</x:v>
      </x:c>
      <x:c r="J15" s="176" t="n">
        <x:f>D15*G15+E15*H15+I15</x:f>
        <x:v>-0.2</x:v>
      </x:c>
      <x:c r="K15" s="176" t="n">
        <x:f>IF(J15&gt;=0,1,0)</x:f>
        <x:v>0</x:v>
      </x:c>
      <x:c r="L15" s="176" t="n">
        <x:f>F15-K15</x:f>
        <x:v>1</x:v>
      </x:c>
      <x:c r="M15" s="177" t="n">
        <x:f>$B$4*L15*D15</x:f>
        <x:v>0.1</x:v>
      </x:c>
      <x:c r="N15" s="177" t="n">
        <x:f>$B$4*L15*E15</x:f>
        <x:v>0.1</x:v>
      </x:c>
      <x:c r="O15" s="177" t="n">
        <x:f>$B$4*L15</x:f>
        <x:v>0.1</x:v>
      </x:c>
      <x:c r="P15" s="178" t="n">
        <x:f>G15+M15</x:f>
        <x:v>0.1</x:v>
      </x:c>
      <x:c r="Q15" s="178" t="n">
        <x:f>H15+N15</x:f>
        <x:v>0.1</x:v>
      </x:c>
      <x:c r="R15" s="178" t="n">
        <x:f>I15+O15</x:f>
        <x:v>-0.1</x:v>
      </x:c>
      <x:c r="S15" s="182" t="n">
        <x:f>IF(K15=F15,1,0)</x:f>
        <x:v>0</x:v>
      </x:c>
      <x:c r="T15" s="182" t="n">
        <x:f>ABS(L15)</x:f>
        <x:v>1</x:v>
      </x:c>
      <x:c r="W15" s="114" t="n">
        <x:v>4</x:v>
      </x:c>
      <x:c r="X15" s="170" t="n">
        <x:f>SUM(T24:T27)</x:f>
        <x:v>2</x:v>
      </x:c>
      <x:c r="Y15" s="184" t="n">
        <x:f>AVERAGE(S24:S27)</x:f>
        <x:v>0.5</x:v>
      </x:c>
      <x:c r="Z15" s="186" t="n">
        <x:f>P27</x:f>
        <x:v>0.2</x:v>
      </x:c>
      <x:c r="AA15" s="186" t="n">
        <x:f>Q27</x:f>
        <x:v>0.2</x:v>
      </x:c>
      <x:c r="AB15" s="186" t="n">
        <x:f>R27</x:f>
        <x:v>-0.20000000000000004</x:v>
      </x:c>
    </x:row>
    <x:row r="16">
      <x:c r="A16" s="114" t="n">
        <x:v>5</x:v>
      </x:c>
      <x:c r="B16" s="114" t="n">
        <x:v>2</x:v>
      </x:c>
      <x:c r="C16" s="114" t="n">
        <x:v>1</x:v>
      </x:c>
      <x:c r="D16" s="166" t="n">
        <x:f>$X$5</x:f>
        <x:v>0</x:v>
      </x:c>
      <x:c r="E16" s="166" t="n">
        <x:f>$Y$5</x:f>
        <x:v>0</x:v>
      </x:c>
      <x:c r="F16" s="166" t="n">
        <x:f>$Z$5</x:f>
        <x:v>0</x:v>
      </x:c>
      <x:c r="G16" s="176" t="n">
        <x:f>P15</x:f>
        <x:v>0.1</x:v>
      </x:c>
      <x:c r="H16" s="176" t="n">
        <x:f>Q15</x:f>
        <x:v>0.1</x:v>
      </x:c>
      <x:c r="I16" s="176" t="n">
        <x:f>R15</x:f>
        <x:v>-0.1</x:v>
      </x:c>
      <x:c r="J16" s="176" t="n">
        <x:f>D16*G16+E16*H16+I16</x:f>
        <x:v>-0.1</x:v>
      </x:c>
      <x:c r="K16" s="176" t="n">
        <x:f>IF(J16&gt;=0,1,0)</x:f>
        <x:v>0</x:v>
      </x:c>
      <x:c r="L16" s="176" t="n">
        <x:f>F16-K16</x:f>
        <x:v>0</x:v>
      </x:c>
      <x:c r="M16" s="177" t="n">
        <x:f>$B$4*L16*D16</x:f>
        <x:v>0</x:v>
      </x:c>
      <x:c r="N16" s="177" t="n">
        <x:f>$B$4*L16*E16</x:f>
        <x:v>0</x:v>
      </x:c>
      <x:c r="O16" s="177" t="n">
        <x:f>$B$4*L16</x:f>
        <x:v>0</x:v>
      </x:c>
      <x:c r="P16" s="178" t="n">
        <x:f>G16+M16</x:f>
        <x:v>0.1</x:v>
      </x:c>
      <x:c r="Q16" s="178" t="n">
        <x:f>H16+N16</x:f>
        <x:v>0.1</x:v>
      </x:c>
      <x:c r="R16" s="178" t="n">
        <x:f>I16+O16</x:f>
        <x:v>-0.1</x:v>
      </x:c>
      <x:c r="S16" s="182" t="n">
        <x:f>IF(K16=F16,1,0)</x:f>
        <x:v>1</x:v>
      </x:c>
      <x:c r="T16" s="182" t="n">
        <x:f>ABS(L16)</x:f>
        <x:v>0</x:v>
      </x:c>
      <x:c r="W16" s="114" t="n">
        <x:v>5</x:v>
      </x:c>
      <x:c r="X16" s="170" t="n">
        <x:f>SUM(T28:T31)</x:f>
        <x:v>1</x:v>
      </x:c>
      <x:c r="Y16" s="184" t="n">
        <x:f>AVERAGE(S28:S31)</x:f>
        <x:v>0.75</x:v>
      </x:c>
      <x:c r="Z16" s="186" t="n">
        <x:f>P31</x:f>
        <x:v>0.2</x:v>
      </x:c>
      <x:c r="AA16" s="186" t="n">
        <x:f>Q31</x:f>
        <x:v>0.1</x:v>
      </x:c>
      <x:c r="AB16" s="186" t="n">
        <x:f>R31</x:f>
        <x:v>-0.30000000000000004</x:v>
      </x:c>
    </x:row>
    <x:row r="17">
      <x:c r="A17" s="114" t="n">
        <x:v>6</x:v>
      </x:c>
      <x:c r="B17" s="114" t="n">
        <x:v>2</x:v>
      </x:c>
      <x:c r="C17" s="114" t="n">
        <x:v>2</x:v>
      </x:c>
      <x:c r="D17" s="166" t="n">
        <x:f>$X$6</x:f>
        <x:v>0</x:v>
      </x:c>
      <x:c r="E17" s="166" t="n">
        <x:f>$Y$6</x:f>
        <x:v>1</x:v>
      </x:c>
      <x:c r="F17" s="166" t="n">
        <x:f>$Z$6</x:f>
        <x:v>0</x:v>
      </x:c>
      <x:c r="G17" s="176" t="n">
        <x:f>P16</x:f>
        <x:v>0.1</x:v>
      </x:c>
      <x:c r="H17" s="176" t="n">
        <x:f>Q16</x:f>
        <x:v>0.1</x:v>
      </x:c>
      <x:c r="I17" s="176" t="n">
        <x:f>R16</x:f>
        <x:v>-0.1</x:v>
      </x:c>
      <x:c r="J17" s="176" t="n">
        <x:f>D17*G17+E17*H17+I17</x:f>
        <x:v>0</x:v>
      </x:c>
      <x:c r="K17" s="176" t="n">
        <x:f>IF(J17&gt;=0,1,0)</x:f>
        <x:v>1</x:v>
      </x:c>
      <x:c r="L17" s="176" t="n">
        <x:f>F17-K17</x:f>
        <x:v>-1</x:v>
      </x:c>
      <x:c r="M17" s="177" t="n">
        <x:f>$B$4*L17*D17</x:f>
        <x:v>0</x:v>
      </x:c>
      <x:c r="N17" s="177" t="n">
        <x:f>$B$4*L17*E17</x:f>
        <x:v>-0.1</x:v>
      </x:c>
      <x:c r="O17" s="177" t="n">
        <x:f>$B$4*L17</x:f>
        <x:v>-0.1</x:v>
      </x:c>
      <x:c r="P17" s="178" t="n">
        <x:f>G17+M17</x:f>
        <x:v>0.1</x:v>
      </x:c>
      <x:c r="Q17" s="178" t="n">
        <x:f>H17+N17</x:f>
        <x:v>0</x:v>
      </x:c>
      <x:c r="R17" s="178" t="n">
        <x:f>I17+O17</x:f>
        <x:v>-0.2</x:v>
      </x:c>
      <x:c r="S17" s="182" t="n">
        <x:f>IF(K17=F17,1,0)</x:f>
        <x:v>0</x:v>
      </x:c>
      <x:c r="T17" s="182" t="n">
        <x:f>ABS(L17)</x:f>
        <x:v>1</x:v>
      </x:c>
      <x:c r="W17" s="114" t="n">
        <x:v>6</x:v>
      </x:c>
      <x:c r="X17" s="170" t="n">
        <x:f>SUM(T32:T35)</x:f>
        <x:v>0</x:v>
      </x:c>
      <x:c r="Y17" s="184" t="n">
        <x:f>AVERAGE(S32:S35)</x:f>
        <x:v>1</x:v>
      </x:c>
      <x:c r="Z17" s="186" t="n">
        <x:f>P35</x:f>
        <x:v>0.2</x:v>
      </x:c>
      <x:c r="AA17" s="186" t="n">
        <x:f>Q35</x:f>
        <x:v>0.1</x:v>
      </x:c>
      <x:c r="AB17" s="186" t="n">
        <x:f>R35</x:f>
        <x:v>-0.30000000000000004</x:v>
      </x:c>
    </x:row>
    <x:row r="18">
      <x:c r="A18" s="114" t="n">
        <x:v>7</x:v>
      </x:c>
      <x:c r="B18" s="114" t="n">
        <x:v>2</x:v>
      </x:c>
      <x:c r="C18" s="114" t="n">
        <x:v>3</x:v>
      </x:c>
      <x:c r="D18" s="166" t="n">
        <x:f>$X$7</x:f>
        <x:v>1</x:v>
      </x:c>
      <x:c r="E18" s="166" t="n">
        <x:f>$Y$7</x:f>
        <x:v>0</x:v>
      </x:c>
      <x:c r="F18" s="166" t="n">
        <x:f>$Z$7</x:f>
        <x:v>0</x:v>
      </x:c>
      <x:c r="G18" s="176" t="n">
        <x:f>P17</x:f>
        <x:v>0.1</x:v>
      </x:c>
      <x:c r="H18" s="176" t="n">
        <x:f>Q17</x:f>
        <x:v>0</x:v>
      </x:c>
      <x:c r="I18" s="176" t="n">
        <x:f>R17</x:f>
        <x:v>-0.2</x:v>
      </x:c>
      <x:c r="J18" s="176" t="n">
        <x:f>D18*G18+E18*H18+I18</x:f>
        <x:v>-0.1</x:v>
      </x:c>
      <x:c r="K18" s="176" t="n">
        <x:f>IF(J18&gt;=0,1,0)</x:f>
        <x:v>0</x:v>
      </x:c>
      <x:c r="L18" s="176" t="n">
        <x:f>F18-K18</x:f>
        <x:v>0</x:v>
      </x:c>
      <x:c r="M18" s="177" t="n">
        <x:f>$B$4*L18*D18</x:f>
        <x:v>0</x:v>
      </x:c>
      <x:c r="N18" s="177" t="n">
        <x:f>$B$4*L18*E18</x:f>
        <x:v>0</x:v>
      </x:c>
      <x:c r="O18" s="177" t="n">
        <x:f>$B$4*L18</x:f>
        <x:v>0</x:v>
      </x:c>
      <x:c r="P18" s="178" t="n">
        <x:f>G18+M18</x:f>
        <x:v>0.1</x:v>
      </x:c>
      <x:c r="Q18" s="178" t="n">
        <x:f>H18+N18</x:f>
        <x:v>0</x:v>
      </x:c>
      <x:c r="R18" s="178" t="n">
        <x:f>I18+O18</x:f>
        <x:v>-0.2</x:v>
      </x:c>
      <x:c r="S18" s="182" t="n">
        <x:f>IF(K18=F18,1,0)</x:f>
        <x:v>1</x:v>
      </x:c>
      <x:c r="T18" s="182" t="n">
        <x:f>ABS(L18)</x:f>
        <x:v>0</x:v>
      </x:c>
      <x:c r="W18" s="114" t="n">
        <x:v>7</x:v>
      </x:c>
      <x:c r="X18" s="170" t="n">
        <x:f>SUM(T36:T39)</x:f>
        <x:v>0</x:v>
      </x:c>
      <x:c r="Y18" s="184" t="n">
        <x:f>AVERAGE(S36:S39)</x:f>
        <x:v>1</x:v>
      </x:c>
      <x:c r="Z18" s="186" t="n">
        <x:f>P39</x:f>
        <x:v>0.2</x:v>
      </x:c>
      <x:c r="AA18" s="186" t="n">
        <x:f>Q39</x:f>
        <x:v>0.1</x:v>
      </x:c>
      <x:c r="AB18" s="186" t="n">
        <x:f>R39</x:f>
        <x:v>-0.30000000000000004</x:v>
      </x:c>
    </x:row>
    <x:row r="19">
      <x:c r="A19" s="114" t="n">
        <x:v>8</x:v>
      </x:c>
      <x:c r="B19" s="114" t="n">
        <x:v>2</x:v>
      </x:c>
      <x:c r="C19" s="114" t="n">
        <x:v>4</x:v>
      </x:c>
      <x:c r="D19" s="166" t="n">
        <x:f>$X$8</x:f>
        <x:v>1</x:v>
      </x:c>
      <x:c r="E19" s="166" t="n">
        <x:f>$Y$8</x:f>
        <x:v>1</x:v>
      </x:c>
      <x:c r="F19" s="166" t="n">
        <x:f>$Z$8</x:f>
        <x:v>1</x:v>
      </x:c>
      <x:c r="G19" s="176" t="n">
        <x:f>P18</x:f>
        <x:v>0.1</x:v>
      </x:c>
      <x:c r="H19" s="176" t="n">
        <x:f>Q18</x:f>
        <x:v>0</x:v>
      </x:c>
      <x:c r="I19" s="176" t="n">
        <x:f>R18</x:f>
        <x:v>-0.2</x:v>
      </x:c>
      <x:c r="J19" s="176" t="n">
        <x:f>D19*G19+E19*H19+I19</x:f>
        <x:v>-0.1</x:v>
      </x:c>
      <x:c r="K19" s="176" t="n">
        <x:f>IF(J19&gt;=0,1,0)</x:f>
        <x:v>0</x:v>
      </x:c>
      <x:c r="L19" s="176" t="n">
        <x:f>F19-K19</x:f>
        <x:v>1</x:v>
      </x:c>
      <x:c r="M19" s="177" t="n">
        <x:f>$B$4*L19*D19</x:f>
        <x:v>0.1</x:v>
      </x:c>
      <x:c r="N19" s="177" t="n">
        <x:f>$B$4*L19*E19</x:f>
        <x:v>0.1</x:v>
      </x:c>
      <x:c r="O19" s="177" t="n">
        <x:f>$B$4*L19</x:f>
        <x:v>0.1</x:v>
      </x:c>
      <x:c r="P19" s="178" t="n">
        <x:f>G19+M19</x:f>
        <x:v>0.2</x:v>
      </x:c>
      <x:c r="Q19" s="178" t="n">
        <x:f>H19+N19</x:f>
        <x:v>0.1</x:v>
      </x:c>
      <x:c r="R19" s="178" t="n">
        <x:f>I19+O19</x:f>
        <x:v>-0.1</x:v>
      </x:c>
      <x:c r="S19" s="182" t="n">
        <x:f>IF(K19=F19,1,0)</x:f>
        <x:v>0</x:v>
      </x:c>
      <x:c r="T19" s="182" t="n">
        <x:f>ABS(L19)</x:f>
        <x:v>1</x:v>
      </x:c>
      <x:c r="W19" s="114" t="n">
        <x:v>8</x:v>
      </x:c>
      <x:c r="X19" s="170" t="n">
        <x:f>SUM(T40:T43)</x:f>
        <x:v>0</x:v>
      </x:c>
      <x:c r="Y19" s="184" t="n">
        <x:f>AVERAGE(S40:S43)</x:f>
        <x:v>1</x:v>
      </x:c>
      <x:c r="Z19" s="186" t="n">
        <x:f>P43</x:f>
        <x:v>0.2</x:v>
      </x:c>
      <x:c r="AA19" s="186" t="n">
        <x:f>Q43</x:f>
        <x:v>0.1</x:v>
      </x:c>
      <x:c r="AB19" s="186" t="n">
        <x:f>R43</x:f>
        <x:v>-0.30000000000000004</x:v>
      </x:c>
    </x:row>
    <x:row r="20">
      <x:c r="A20" s="114" t="n">
        <x:v>9</x:v>
      </x:c>
      <x:c r="B20" s="114" t="n">
        <x:v>3</x:v>
      </x:c>
      <x:c r="C20" s="114" t="n">
        <x:v>1</x:v>
      </x:c>
      <x:c r="D20" s="166" t="n">
        <x:f>$X$5</x:f>
        <x:v>0</x:v>
      </x:c>
      <x:c r="E20" s="166" t="n">
        <x:f>$Y$5</x:f>
        <x:v>0</x:v>
      </x:c>
      <x:c r="F20" s="166" t="n">
        <x:f>$Z$5</x:f>
        <x:v>0</x:v>
      </x:c>
      <x:c r="G20" s="176" t="n">
        <x:f>P19</x:f>
        <x:v>0.2</x:v>
      </x:c>
      <x:c r="H20" s="176" t="n">
        <x:f>Q19</x:f>
        <x:v>0.1</x:v>
      </x:c>
      <x:c r="I20" s="176" t="n">
        <x:f>R19</x:f>
        <x:v>-0.1</x:v>
      </x:c>
      <x:c r="J20" s="176" t="n">
        <x:f>D20*G20+E20*H20+I20</x:f>
        <x:v>-0.1</x:v>
      </x:c>
      <x:c r="K20" s="176" t="n">
        <x:f>IF(J20&gt;=0,1,0)</x:f>
        <x:v>0</x:v>
      </x:c>
      <x:c r="L20" s="176" t="n">
        <x:f>F20-K20</x:f>
        <x:v>0</x:v>
      </x:c>
      <x:c r="M20" s="177" t="n">
        <x:f>$B$4*L20*D20</x:f>
        <x:v>0</x:v>
      </x:c>
      <x:c r="N20" s="177" t="n">
        <x:f>$B$4*L20*E20</x:f>
        <x:v>0</x:v>
      </x:c>
      <x:c r="O20" s="177" t="n">
        <x:f>$B$4*L20</x:f>
        <x:v>0</x:v>
      </x:c>
      <x:c r="P20" s="178" t="n">
        <x:f>G20+M20</x:f>
        <x:v>0.2</x:v>
      </x:c>
      <x:c r="Q20" s="178" t="n">
        <x:f>H20+N20</x:f>
        <x:v>0.1</x:v>
      </x:c>
      <x:c r="R20" s="178" t="n">
        <x:f>I20+O20</x:f>
        <x:v>-0.1</x:v>
      </x:c>
      <x:c r="S20" s="182" t="n">
        <x:f>IF(K20=F20,1,0)</x:f>
        <x:v>1</x:v>
      </x:c>
      <x:c r="T20" s="182" t="n">
        <x:f>ABS(L20)</x:f>
        <x:v>0</x:v>
      </x:c>
      <x:c r="W20" s="114" t="n">
        <x:v>9</x:v>
      </x:c>
      <x:c r="X20" s="170" t="n">
        <x:f>SUM(T44:T47)</x:f>
        <x:v>0</x:v>
      </x:c>
      <x:c r="Y20" s="184" t="n">
        <x:f>AVERAGE(S44:S47)</x:f>
        <x:v>1</x:v>
      </x:c>
      <x:c r="Z20" s="186" t="n">
        <x:f>P47</x:f>
        <x:v>0.2</x:v>
      </x:c>
      <x:c r="AA20" s="186" t="n">
        <x:f>Q47</x:f>
        <x:v>0.1</x:v>
      </x:c>
      <x:c r="AB20" s="186" t="n">
        <x:f>R47</x:f>
        <x:v>-0.30000000000000004</x:v>
      </x:c>
    </x:row>
    <x:row r="21">
      <x:c r="A21" s="114" t="n">
        <x:v>10</x:v>
      </x:c>
      <x:c r="B21" s="114" t="n">
        <x:v>3</x:v>
      </x:c>
      <x:c r="C21" s="114" t="n">
        <x:v>2</x:v>
      </x:c>
      <x:c r="D21" s="166" t="n">
        <x:f>$X$6</x:f>
        <x:v>0</x:v>
      </x:c>
      <x:c r="E21" s="166" t="n">
        <x:f>$Y$6</x:f>
        <x:v>1</x:v>
      </x:c>
      <x:c r="F21" s="166" t="n">
        <x:f>$Z$6</x:f>
        <x:v>0</x:v>
      </x:c>
      <x:c r="G21" s="176" t="n">
        <x:f>P20</x:f>
        <x:v>0.2</x:v>
      </x:c>
      <x:c r="H21" s="176" t="n">
        <x:f>Q20</x:f>
        <x:v>0.1</x:v>
      </x:c>
      <x:c r="I21" s="176" t="n">
        <x:f>R20</x:f>
        <x:v>-0.1</x:v>
      </x:c>
      <x:c r="J21" s="176" t="n">
        <x:f>D21*G21+E21*H21+I21</x:f>
        <x:v>0</x:v>
      </x:c>
      <x:c r="K21" s="176" t="n">
        <x:f>IF(J21&gt;=0,1,0)</x:f>
        <x:v>1</x:v>
      </x:c>
      <x:c r="L21" s="176" t="n">
        <x:f>F21-K21</x:f>
        <x:v>-1</x:v>
      </x:c>
      <x:c r="M21" s="177" t="n">
        <x:f>$B$4*L21*D21</x:f>
        <x:v>0</x:v>
      </x:c>
      <x:c r="N21" s="177" t="n">
        <x:f>$B$4*L21*E21</x:f>
        <x:v>-0.1</x:v>
      </x:c>
      <x:c r="O21" s="177" t="n">
        <x:f>$B$4*L21</x:f>
        <x:v>-0.1</x:v>
      </x:c>
      <x:c r="P21" s="178" t="n">
        <x:f>G21+M21</x:f>
        <x:v>0.2</x:v>
      </x:c>
      <x:c r="Q21" s="178" t="n">
        <x:f>H21+N21</x:f>
        <x:v>0</x:v>
      </x:c>
      <x:c r="R21" s="178" t="n">
        <x:f>I21+O21</x:f>
        <x:v>-0.2</x:v>
      </x:c>
      <x:c r="S21" s="182" t="n">
        <x:f>IF(K21=F21,1,0)</x:f>
        <x:v>0</x:v>
      </x:c>
      <x:c r="T21" s="182" t="n">
        <x:f>ABS(L21)</x:f>
        <x:v>1</x:v>
      </x:c>
      <x:c r="W21" s="114" t="n">
        <x:v>10</x:v>
      </x:c>
      <x:c r="X21" s="170" t="n">
        <x:f>SUM(T48:T51)</x:f>
        <x:v>0</x:v>
      </x:c>
      <x:c r="Y21" s="184" t="n">
        <x:f>AVERAGE(S48:S51)</x:f>
        <x:v>1</x:v>
      </x:c>
      <x:c r="Z21" s="186" t="n">
        <x:f>P51</x:f>
        <x:v>0.2</x:v>
      </x:c>
      <x:c r="AA21" s="186" t="n">
        <x:f>Q51</x:f>
        <x:v>0.1</x:v>
      </x:c>
      <x:c r="AB21" s="186" t="n">
        <x:f>R51</x:f>
        <x:v>-0.30000000000000004</x:v>
      </x:c>
    </x:row>
    <x:row r="22">
      <x:c r="A22" s="114" t="n">
        <x:v>11</x:v>
      </x:c>
      <x:c r="B22" s="114" t="n">
        <x:v>3</x:v>
      </x:c>
      <x:c r="C22" s="114" t="n">
        <x:v>3</x:v>
      </x:c>
      <x:c r="D22" s="166" t="n">
        <x:f>$X$7</x:f>
        <x:v>1</x:v>
      </x:c>
      <x:c r="E22" s="166" t="n">
        <x:f>$Y$7</x:f>
        <x:v>0</x:v>
      </x:c>
      <x:c r="F22" s="166" t="n">
        <x:f>$Z$7</x:f>
        <x:v>0</x:v>
      </x:c>
      <x:c r="G22" s="176" t="n">
        <x:f>P21</x:f>
        <x:v>0.2</x:v>
      </x:c>
      <x:c r="H22" s="176" t="n">
        <x:f>Q21</x:f>
        <x:v>0</x:v>
      </x:c>
      <x:c r="I22" s="176" t="n">
        <x:f>R21</x:f>
        <x:v>-0.2</x:v>
      </x:c>
      <x:c r="J22" s="176" t="n">
        <x:f>D22*G22+E22*H22+I22</x:f>
        <x:v>0</x:v>
      </x:c>
      <x:c r="K22" s="176" t="n">
        <x:f>IF(J22&gt;=0,1,0)</x:f>
        <x:v>1</x:v>
      </x:c>
      <x:c r="L22" s="176" t="n">
        <x:f>F22-K22</x:f>
        <x:v>-1</x:v>
      </x:c>
      <x:c r="M22" s="177" t="n">
        <x:f>$B$4*L22*D22</x:f>
        <x:v>-0.1</x:v>
      </x:c>
      <x:c r="N22" s="177" t="n">
        <x:f>$B$4*L22*E22</x:f>
        <x:v>0</x:v>
      </x:c>
      <x:c r="O22" s="177" t="n">
        <x:f>$B$4*L22</x:f>
        <x:v>-0.1</x:v>
      </x:c>
      <x:c r="P22" s="178" t="n">
        <x:f>G22+M22</x:f>
        <x:v>0.1</x:v>
      </x:c>
      <x:c r="Q22" s="178" t="n">
        <x:f>H22+N22</x:f>
        <x:v>0</x:v>
      </x:c>
      <x:c r="R22" s="178" t="n">
        <x:f>I22+O22</x:f>
        <x:v>-0.30000000000000004</x:v>
      </x:c>
      <x:c r="S22" s="182" t="n">
        <x:f>IF(K22=F22,1,0)</x:f>
        <x:v>0</x:v>
      </x:c>
      <x:c r="T22" s="182" t="n">
        <x:f>ABS(L22)</x:f>
        <x:v>1</x:v>
      </x:c>
    </x:row>
    <x:row r="23">
      <x:c r="A23" s="114" t="n">
        <x:v>12</x:v>
      </x:c>
      <x:c r="B23" s="114" t="n">
        <x:v>3</x:v>
      </x:c>
      <x:c r="C23" s="114" t="n">
        <x:v>4</x:v>
      </x:c>
      <x:c r="D23" s="166" t="n">
        <x:f>$X$8</x:f>
        <x:v>1</x:v>
      </x:c>
      <x:c r="E23" s="166" t="n">
        <x:f>$Y$8</x:f>
        <x:v>1</x:v>
      </x:c>
      <x:c r="F23" s="166" t="n">
        <x:f>$Z$8</x:f>
        <x:v>1</x:v>
      </x:c>
      <x:c r="G23" s="176" t="n">
        <x:f>P22</x:f>
        <x:v>0.1</x:v>
      </x:c>
      <x:c r="H23" s="176" t="n">
        <x:f>Q22</x:f>
        <x:v>0</x:v>
      </x:c>
      <x:c r="I23" s="176" t="n">
        <x:f>R22</x:f>
        <x:v>-0.30000000000000004</x:v>
      </x:c>
      <x:c r="J23" s="176" t="n">
        <x:f>D23*G23+E23*H23+I23</x:f>
        <x:v>-0.20000000000000004</x:v>
      </x:c>
      <x:c r="K23" s="176" t="n">
        <x:f>IF(J23&gt;=0,1,0)</x:f>
        <x:v>0</x:v>
      </x:c>
      <x:c r="L23" s="176" t="n">
        <x:f>F23-K23</x:f>
        <x:v>1</x:v>
      </x:c>
      <x:c r="M23" s="177" t="n">
        <x:f>$B$4*L23*D23</x:f>
        <x:v>0.1</x:v>
      </x:c>
      <x:c r="N23" s="177" t="n">
        <x:f>$B$4*L23*E23</x:f>
        <x:v>0.1</x:v>
      </x:c>
      <x:c r="O23" s="177" t="n">
        <x:f>$B$4*L23</x:f>
        <x:v>0.1</x:v>
      </x:c>
      <x:c r="P23" s="178" t="n">
        <x:f>G23+M23</x:f>
        <x:v>0.2</x:v>
      </x:c>
      <x:c r="Q23" s="178" t="n">
        <x:f>H23+N23</x:f>
        <x:v>0.1</x:v>
      </x:c>
      <x:c r="R23" s="178" t="n">
        <x:f>I23+O23</x:f>
        <x:v>-0.20000000000000004</x:v>
      </x:c>
      <x:c r="S23" s="182" t="n">
        <x:f>IF(K23=F23,1,0)</x:f>
        <x:v>0</x:v>
      </x:c>
      <x:c r="T23" s="182" t="n">
        <x:f>ABS(L23)</x:f>
        <x:v>1</x:v>
      </x:c>
    </x:row>
    <x:row r="24">
      <x:c r="A24" s="114" t="n">
        <x:v>13</x:v>
      </x:c>
      <x:c r="B24" s="114" t="n">
        <x:v>4</x:v>
      </x:c>
      <x:c r="C24" s="114" t="n">
        <x:v>1</x:v>
      </x:c>
      <x:c r="D24" s="166" t="n">
        <x:f>$X$5</x:f>
        <x:v>0</x:v>
      </x:c>
      <x:c r="E24" s="166" t="n">
        <x:f>$Y$5</x:f>
        <x:v>0</x:v>
      </x:c>
      <x:c r="F24" s="166" t="n">
        <x:f>$Z$5</x:f>
        <x:v>0</x:v>
      </x:c>
      <x:c r="G24" s="176" t="n">
        <x:f>P23</x:f>
        <x:v>0.2</x:v>
      </x:c>
      <x:c r="H24" s="176" t="n">
        <x:f>Q23</x:f>
        <x:v>0.1</x:v>
      </x:c>
      <x:c r="I24" s="176" t="n">
        <x:f>R23</x:f>
        <x:v>-0.20000000000000004</x:v>
      </x:c>
      <x:c r="J24" s="176" t="n">
        <x:f>D24*G24+E24*H24+I24</x:f>
        <x:v>-0.20000000000000004</x:v>
      </x:c>
      <x:c r="K24" s="176" t="n">
        <x:f>IF(J24&gt;=0,1,0)</x:f>
        <x:v>0</x:v>
      </x:c>
      <x:c r="L24" s="176" t="n">
        <x:f>F24-K24</x:f>
        <x:v>0</x:v>
      </x:c>
      <x:c r="M24" s="177" t="n">
        <x:f>$B$4*L24*D24</x:f>
        <x:v>0</x:v>
      </x:c>
      <x:c r="N24" s="177" t="n">
        <x:f>$B$4*L24*E24</x:f>
        <x:v>0</x:v>
      </x:c>
      <x:c r="O24" s="177" t="n">
        <x:f>$B$4*L24</x:f>
        <x:v>0</x:v>
      </x:c>
      <x:c r="P24" s="178" t="n">
        <x:f>G24+M24</x:f>
        <x:v>0.2</x:v>
      </x:c>
      <x:c r="Q24" s="178" t="n">
        <x:f>H24+N24</x:f>
        <x:v>0.1</x:v>
      </x:c>
      <x:c r="R24" s="178" t="n">
        <x:f>I24+O24</x:f>
        <x:v>-0.20000000000000004</x:v>
      </x:c>
      <x:c r="S24" s="182" t="n">
        <x:f>IF(K24=F24,1,0)</x:f>
        <x:v>1</x:v>
      </x:c>
      <x:c r="T24" s="182" t="n">
        <x:f>ABS(L24)</x:f>
        <x:v>0</x:v>
      </x:c>
    </x:row>
    <x:row r="25">
      <x:c r="A25" s="114" t="n">
        <x:v>14</x:v>
      </x:c>
      <x:c r="B25" s="114" t="n">
        <x:v>4</x:v>
      </x:c>
      <x:c r="C25" s="114" t="n">
        <x:v>2</x:v>
      </x:c>
      <x:c r="D25" s="166" t="n">
        <x:f>$X$6</x:f>
        <x:v>0</x:v>
      </x:c>
      <x:c r="E25" s="166" t="n">
        <x:f>$Y$6</x:f>
        <x:v>1</x:v>
      </x:c>
      <x:c r="F25" s="166" t="n">
        <x:f>$Z$6</x:f>
        <x:v>0</x:v>
      </x:c>
      <x:c r="G25" s="176" t="n">
        <x:f>P24</x:f>
        <x:v>0.2</x:v>
      </x:c>
      <x:c r="H25" s="176" t="n">
        <x:f>Q24</x:f>
        <x:v>0.1</x:v>
      </x:c>
      <x:c r="I25" s="176" t="n">
        <x:f>R24</x:f>
        <x:v>-0.20000000000000004</x:v>
      </x:c>
      <x:c r="J25" s="176" t="n">
        <x:f>D25*G25+E25*H25+I25</x:f>
        <x:v>-0.10000000000000003</x:v>
      </x:c>
      <x:c r="K25" s="176" t="n">
        <x:f>IF(J25&gt;=0,1,0)</x:f>
        <x:v>0</x:v>
      </x:c>
      <x:c r="L25" s="176" t="n">
        <x:f>F25-K25</x:f>
        <x:v>0</x:v>
      </x:c>
      <x:c r="M25" s="177" t="n">
        <x:f>$B$4*L25*D25</x:f>
        <x:v>0</x:v>
      </x:c>
      <x:c r="N25" s="177" t="n">
        <x:f>$B$4*L25*E25</x:f>
        <x:v>0</x:v>
      </x:c>
      <x:c r="O25" s="177" t="n">
        <x:f>$B$4*L25</x:f>
        <x:v>0</x:v>
      </x:c>
      <x:c r="P25" s="178" t="n">
        <x:f>G25+M25</x:f>
        <x:v>0.2</x:v>
      </x:c>
      <x:c r="Q25" s="178" t="n">
        <x:f>H25+N25</x:f>
        <x:v>0.1</x:v>
      </x:c>
      <x:c r="R25" s="178" t="n">
        <x:f>I25+O25</x:f>
        <x:v>-0.20000000000000004</x:v>
      </x:c>
      <x:c r="S25" s="182" t="n">
        <x:f>IF(K25=F25,1,0)</x:f>
        <x:v>1</x:v>
      </x:c>
      <x:c r="T25" s="182" t="n">
        <x:f>ABS(L25)</x:f>
        <x:v>0</x:v>
      </x:c>
    </x:row>
    <x:row r="26">
      <x:c r="A26" s="114" t="n">
        <x:v>15</x:v>
      </x:c>
      <x:c r="B26" s="114" t="n">
        <x:v>4</x:v>
      </x:c>
      <x:c r="C26" s="114" t="n">
        <x:v>3</x:v>
      </x:c>
      <x:c r="D26" s="166" t="n">
        <x:f>$X$7</x:f>
        <x:v>1</x:v>
      </x:c>
      <x:c r="E26" s="166" t="n">
        <x:f>$Y$7</x:f>
        <x:v>0</x:v>
      </x:c>
      <x:c r="F26" s="166" t="n">
        <x:f>$Z$7</x:f>
        <x:v>0</x:v>
      </x:c>
      <x:c r="G26" s="176" t="n">
        <x:f>P25</x:f>
        <x:v>0.2</x:v>
      </x:c>
      <x:c r="H26" s="176" t="n">
        <x:f>Q25</x:f>
        <x:v>0.1</x:v>
      </x:c>
      <x:c r="I26" s="176" t="n">
        <x:f>R25</x:f>
        <x:v>-0.20000000000000004</x:v>
      </x:c>
      <x:c r="J26" s="176" t="n">
        <x:f>D26*G26+E26*H26+I26</x:f>
        <x:v>-2.7755575615628914e-17</x:v>
      </x:c>
      <x:c r="K26" s="176" t="n">
        <x:f>IF(J26&gt;=0,1,0)</x:f>
        <x:v>1</x:v>
      </x:c>
      <x:c r="L26" s="176" t="n">
        <x:f>F26-K26</x:f>
        <x:v>-1</x:v>
      </x:c>
      <x:c r="M26" s="177" t="n">
        <x:f>$B$4*L26*D26</x:f>
        <x:v>-0.1</x:v>
      </x:c>
      <x:c r="N26" s="177" t="n">
        <x:f>$B$4*L26*E26</x:f>
        <x:v>0</x:v>
      </x:c>
      <x:c r="O26" s="177" t="n">
        <x:f>$B$4*L26</x:f>
        <x:v>-0.1</x:v>
      </x:c>
      <x:c r="P26" s="178" t="n">
        <x:f>G26+M26</x:f>
        <x:v>0.1</x:v>
      </x:c>
      <x:c r="Q26" s="178" t="n">
        <x:f>H26+N26</x:f>
        <x:v>0.1</x:v>
      </x:c>
      <x:c r="R26" s="178" t="n">
        <x:f>I26+O26</x:f>
        <x:v>-0.30000000000000004</x:v>
      </x:c>
      <x:c r="S26" s="182" t="n">
        <x:f>IF(K26=F26,1,0)</x:f>
        <x:v>0</x:v>
      </x:c>
      <x:c r="T26" s="182" t="n">
        <x:f>ABS(L26)</x:f>
        <x:v>1</x:v>
      </x:c>
    </x:row>
    <x:row r="27">
      <x:c r="A27" s="114" t="n">
        <x:v>16</x:v>
      </x:c>
      <x:c r="B27" s="114" t="n">
        <x:v>4</x:v>
      </x:c>
      <x:c r="C27" s="114" t="n">
        <x:v>4</x:v>
      </x:c>
      <x:c r="D27" s="166" t="n">
        <x:f>$X$8</x:f>
        <x:v>1</x:v>
      </x:c>
      <x:c r="E27" s="166" t="n">
        <x:f>$Y$8</x:f>
        <x:v>1</x:v>
      </x:c>
      <x:c r="F27" s="166" t="n">
        <x:f>$Z$8</x:f>
        <x:v>1</x:v>
      </x:c>
      <x:c r="G27" s="176" t="n">
        <x:f>P26</x:f>
        <x:v>0.1</x:v>
      </x:c>
      <x:c r="H27" s="176" t="n">
        <x:f>Q26</x:f>
        <x:v>0.1</x:v>
      </x:c>
      <x:c r="I27" s="176" t="n">
        <x:f>R26</x:f>
        <x:v>-0.30000000000000004</x:v>
      </x:c>
      <x:c r="J27" s="176" t="n">
        <x:f>D27*G27+E27*H27+I27</x:f>
        <x:v>-0.10000000000000003</x:v>
      </x:c>
      <x:c r="K27" s="176" t="n">
        <x:f>IF(J27&gt;=0,1,0)</x:f>
        <x:v>0</x:v>
      </x:c>
      <x:c r="L27" s="176" t="n">
        <x:f>F27-K27</x:f>
        <x:v>1</x:v>
      </x:c>
      <x:c r="M27" s="177" t="n">
        <x:f>$B$4*L27*D27</x:f>
        <x:v>0.1</x:v>
      </x:c>
      <x:c r="N27" s="177" t="n">
        <x:f>$B$4*L27*E27</x:f>
        <x:v>0.1</x:v>
      </x:c>
      <x:c r="O27" s="177" t="n">
        <x:f>$B$4*L27</x:f>
        <x:v>0.1</x:v>
      </x:c>
      <x:c r="P27" s="178" t="n">
        <x:f>G27+M27</x:f>
        <x:v>0.2</x:v>
      </x:c>
      <x:c r="Q27" s="178" t="n">
        <x:f>H27+N27</x:f>
        <x:v>0.2</x:v>
      </x:c>
      <x:c r="R27" s="178" t="n">
        <x:f>I27+O27</x:f>
        <x:v>-0.20000000000000004</x:v>
      </x:c>
      <x:c r="S27" s="182" t="n">
        <x:f>IF(K27=F27,1,0)</x:f>
        <x:v>0</x:v>
      </x:c>
      <x:c r="T27" s="182" t="n">
        <x:f>ABS(L27)</x:f>
        <x:v>1</x:v>
      </x:c>
    </x:row>
    <x:row r="28">
      <x:c r="A28" s="114" t="n">
        <x:v>17</x:v>
      </x:c>
      <x:c r="B28" s="114" t="n">
        <x:v>5</x:v>
      </x:c>
      <x:c r="C28" s="114" t="n">
        <x:v>1</x:v>
      </x:c>
      <x:c r="D28" s="166" t="n">
        <x:f>$X$5</x:f>
        <x:v>0</x:v>
      </x:c>
      <x:c r="E28" s="166" t="n">
        <x:f>$Y$5</x:f>
        <x:v>0</x:v>
      </x:c>
      <x:c r="F28" s="166" t="n">
        <x:f>$Z$5</x:f>
        <x:v>0</x:v>
      </x:c>
      <x:c r="G28" s="176" t="n">
        <x:f>P27</x:f>
        <x:v>0.2</x:v>
      </x:c>
      <x:c r="H28" s="176" t="n">
        <x:f>Q27</x:f>
        <x:v>0.2</x:v>
      </x:c>
      <x:c r="I28" s="176" t="n">
        <x:f>R27</x:f>
        <x:v>-0.20000000000000004</x:v>
      </x:c>
      <x:c r="J28" s="176" t="n">
        <x:f>D28*G28+E28*H28+I28</x:f>
        <x:v>-0.20000000000000004</x:v>
      </x:c>
      <x:c r="K28" s="176" t="n">
        <x:f>IF(J28&gt;=0,1,0)</x:f>
        <x:v>0</x:v>
      </x:c>
      <x:c r="L28" s="176" t="n">
        <x:f>F28-K28</x:f>
        <x:v>0</x:v>
      </x:c>
      <x:c r="M28" s="177" t="n">
        <x:f>$B$4*L28*D28</x:f>
        <x:v>0</x:v>
      </x:c>
      <x:c r="N28" s="177" t="n">
        <x:f>$B$4*L28*E28</x:f>
        <x:v>0</x:v>
      </x:c>
      <x:c r="O28" s="177" t="n">
        <x:f>$B$4*L28</x:f>
        <x:v>0</x:v>
      </x:c>
      <x:c r="P28" s="178" t="n">
        <x:f>G28+M28</x:f>
        <x:v>0.2</x:v>
      </x:c>
      <x:c r="Q28" s="178" t="n">
        <x:f>H28+N28</x:f>
        <x:v>0.2</x:v>
      </x:c>
      <x:c r="R28" s="178" t="n">
        <x:f>I28+O28</x:f>
        <x:v>-0.20000000000000004</x:v>
      </x:c>
      <x:c r="S28" s="182" t="n">
        <x:f>IF(K28=F28,1,0)</x:f>
        <x:v>1</x:v>
      </x:c>
      <x:c r="T28" s="182" t="n">
        <x:f>ABS(L28)</x:f>
        <x:v>0</x:v>
      </x:c>
    </x:row>
    <x:row r="29">
      <x:c r="A29" s="114" t="n">
        <x:v>18</x:v>
      </x:c>
      <x:c r="B29" s="114" t="n">
        <x:v>5</x:v>
      </x:c>
      <x:c r="C29" s="114" t="n">
        <x:v>2</x:v>
      </x:c>
      <x:c r="D29" s="166" t="n">
        <x:f>$X$6</x:f>
        <x:v>0</x:v>
      </x:c>
      <x:c r="E29" s="166" t="n">
        <x:f>$Y$6</x:f>
        <x:v>1</x:v>
      </x:c>
      <x:c r="F29" s="166" t="n">
        <x:f>$Z$6</x:f>
        <x:v>0</x:v>
      </x:c>
      <x:c r="G29" s="176" t="n">
        <x:f>P28</x:f>
        <x:v>0.2</x:v>
      </x:c>
      <x:c r="H29" s="176" t="n">
        <x:f>Q28</x:f>
        <x:v>0.2</x:v>
      </x:c>
      <x:c r="I29" s="176" t="n">
        <x:f>R28</x:f>
        <x:v>-0.20000000000000004</x:v>
      </x:c>
      <x:c r="J29" s="176" t="n">
        <x:f>D29*G29+E29*H29+I29</x:f>
        <x:v>-2.7755575615628914e-17</x:v>
      </x:c>
      <x:c r="K29" s="176" t="n">
        <x:f>IF(J29&gt;=0,1,0)</x:f>
        <x:v>1</x:v>
      </x:c>
      <x:c r="L29" s="176" t="n">
        <x:f>F29-K29</x:f>
        <x:v>-1</x:v>
      </x:c>
      <x:c r="M29" s="177" t="n">
        <x:f>$B$4*L29*D29</x:f>
        <x:v>0</x:v>
      </x:c>
      <x:c r="N29" s="177" t="n">
        <x:f>$B$4*L29*E29</x:f>
        <x:v>-0.1</x:v>
      </x:c>
      <x:c r="O29" s="177" t="n">
        <x:f>$B$4*L29</x:f>
        <x:v>-0.1</x:v>
      </x:c>
      <x:c r="P29" s="178" t="n">
        <x:f>G29+M29</x:f>
        <x:v>0.2</x:v>
      </x:c>
      <x:c r="Q29" s="178" t="n">
        <x:f>H29+N29</x:f>
        <x:v>0.1</x:v>
      </x:c>
      <x:c r="R29" s="178" t="n">
        <x:f>I29+O29</x:f>
        <x:v>-0.30000000000000004</x:v>
      </x:c>
      <x:c r="S29" s="182" t="n">
        <x:f>IF(K29=F29,1,0)</x:f>
        <x:v>0</x:v>
      </x:c>
      <x:c r="T29" s="182" t="n">
        <x:f>ABS(L29)</x:f>
        <x:v>1</x:v>
      </x:c>
    </x:row>
    <x:row r="30">
      <x:c r="A30" s="114" t="n">
        <x:v>19</x:v>
      </x:c>
      <x:c r="B30" s="114" t="n">
        <x:v>5</x:v>
      </x:c>
      <x:c r="C30" s="114" t="n">
        <x:v>3</x:v>
      </x:c>
      <x:c r="D30" s="166" t="n">
        <x:f>$X$7</x:f>
        <x:v>1</x:v>
      </x:c>
      <x:c r="E30" s="166" t="n">
        <x:f>$Y$7</x:f>
        <x:v>0</x:v>
      </x:c>
      <x:c r="F30" s="166" t="n">
        <x:f>$Z$7</x:f>
        <x:v>0</x:v>
      </x:c>
      <x:c r="G30" s="176" t="n">
        <x:f>P29</x:f>
        <x:v>0.2</x:v>
      </x:c>
      <x:c r="H30" s="176" t="n">
        <x:f>Q29</x:f>
        <x:v>0.1</x:v>
      </x:c>
      <x:c r="I30" s="176" t="n">
        <x:f>R29</x:f>
        <x:v>-0.30000000000000004</x:v>
      </x:c>
      <x:c r="J30" s="176" t="n">
        <x:f>D30*G30+E30*H30+I30</x:f>
        <x:v>-0.10000000000000003</x:v>
      </x:c>
      <x:c r="K30" s="176" t="n">
        <x:f>IF(J30&gt;=0,1,0)</x:f>
        <x:v>0</x:v>
      </x:c>
      <x:c r="L30" s="176" t="n">
        <x:f>F30-K30</x:f>
        <x:v>0</x:v>
      </x:c>
      <x:c r="M30" s="177" t="n">
        <x:f>$B$4*L30*D30</x:f>
        <x:v>0</x:v>
      </x:c>
      <x:c r="N30" s="177" t="n">
        <x:f>$B$4*L30*E30</x:f>
        <x:v>0</x:v>
      </x:c>
      <x:c r="O30" s="177" t="n">
        <x:f>$B$4*L30</x:f>
        <x:v>0</x:v>
      </x:c>
      <x:c r="P30" s="178" t="n">
        <x:f>G30+M30</x:f>
        <x:v>0.2</x:v>
      </x:c>
      <x:c r="Q30" s="178" t="n">
        <x:f>H30+N30</x:f>
        <x:v>0.1</x:v>
      </x:c>
      <x:c r="R30" s="178" t="n">
        <x:f>I30+O30</x:f>
        <x:v>-0.30000000000000004</x:v>
      </x:c>
      <x:c r="S30" s="182" t="n">
        <x:f>IF(K30=F30,1,0)</x:f>
        <x:v>1</x:v>
      </x:c>
      <x:c r="T30" s="182" t="n">
        <x:f>ABS(L30)</x:f>
        <x:v>0</x:v>
      </x:c>
    </x:row>
    <x:row r="31">
      <x:c r="A31" s="114" t="n">
        <x:v>20</x:v>
      </x:c>
      <x:c r="B31" s="114" t="n">
        <x:v>5</x:v>
      </x:c>
      <x:c r="C31" s="114" t="n">
        <x:v>4</x:v>
      </x:c>
      <x:c r="D31" s="166" t="n">
        <x:f>$X$8</x:f>
        <x:v>1</x:v>
      </x:c>
      <x:c r="E31" s="166" t="n">
        <x:f>$Y$8</x:f>
        <x:v>1</x:v>
      </x:c>
      <x:c r="F31" s="166" t="n">
        <x:f>$Z$8</x:f>
        <x:v>1</x:v>
      </x:c>
      <x:c r="G31" s="176" t="n">
        <x:f>P30</x:f>
        <x:v>0.2</x:v>
      </x:c>
      <x:c r="H31" s="176" t="n">
        <x:f>Q30</x:f>
        <x:v>0.1</x:v>
      </x:c>
      <x:c r="I31" s="176" t="n">
        <x:f>R30</x:f>
        <x:v>-0.30000000000000004</x:v>
      </x:c>
      <x:c r="J31" s="176" t="n">
        <x:f>D31*G31+E31*H31+I31</x:f>
        <x:v>0</x:v>
      </x:c>
      <x:c r="K31" s="176" t="n">
        <x:f>IF(J31&gt;=0,1,0)</x:f>
        <x:v>1</x:v>
      </x:c>
      <x:c r="L31" s="176" t="n">
        <x:f>F31-K31</x:f>
        <x:v>0</x:v>
      </x:c>
      <x:c r="M31" s="177" t="n">
        <x:f>$B$4*L31*D31</x:f>
        <x:v>0</x:v>
      </x:c>
      <x:c r="N31" s="177" t="n">
        <x:f>$B$4*L31*E31</x:f>
        <x:v>0</x:v>
      </x:c>
      <x:c r="O31" s="177" t="n">
        <x:f>$B$4*L31</x:f>
        <x:v>0</x:v>
      </x:c>
      <x:c r="P31" s="178" t="n">
        <x:f>G31+M31</x:f>
        <x:v>0.2</x:v>
      </x:c>
      <x:c r="Q31" s="178" t="n">
        <x:f>H31+N31</x:f>
        <x:v>0.1</x:v>
      </x:c>
      <x:c r="R31" s="178" t="n">
        <x:f>I31+O31</x:f>
        <x:v>-0.30000000000000004</x:v>
      </x:c>
      <x:c r="S31" s="182" t="n">
        <x:f>IF(K31=F31,1,0)</x:f>
        <x:v>1</x:v>
      </x:c>
      <x:c r="T31" s="182" t="n">
        <x:f>ABS(L31)</x:f>
        <x:v>0</x:v>
      </x:c>
    </x:row>
    <x:row r="32">
      <x:c r="A32" s="114" t="n">
        <x:v>21</x:v>
      </x:c>
      <x:c r="B32" s="114" t="n">
        <x:v>6</x:v>
      </x:c>
      <x:c r="C32" s="114" t="n">
        <x:v>1</x:v>
      </x:c>
      <x:c r="D32" s="166" t="n">
        <x:f>$X$5</x:f>
        <x:v>0</x:v>
      </x:c>
      <x:c r="E32" s="166" t="n">
        <x:f>$Y$5</x:f>
        <x:v>0</x:v>
      </x:c>
      <x:c r="F32" s="166" t="n">
        <x:f>$Z$5</x:f>
        <x:v>0</x:v>
      </x:c>
      <x:c r="G32" s="176" t="n">
        <x:f>P31</x:f>
        <x:v>0.2</x:v>
      </x:c>
      <x:c r="H32" s="176" t="n">
        <x:f>Q31</x:f>
        <x:v>0.1</x:v>
      </x:c>
      <x:c r="I32" s="176" t="n">
        <x:f>R31</x:f>
        <x:v>-0.30000000000000004</x:v>
      </x:c>
      <x:c r="J32" s="176" t="n">
        <x:f>D32*G32+E32*H32+I32</x:f>
        <x:v>-0.30000000000000004</x:v>
      </x:c>
      <x:c r="K32" s="176" t="n">
        <x:f>IF(J32&gt;=0,1,0)</x:f>
        <x:v>0</x:v>
      </x:c>
      <x:c r="L32" s="176" t="n">
        <x:f>F32-K32</x:f>
        <x:v>0</x:v>
      </x:c>
      <x:c r="M32" s="177" t="n">
        <x:f>$B$4*L32*D32</x:f>
        <x:v>0</x:v>
      </x:c>
      <x:c r="N32" s="177" t="n">
        <x:f>$B$4*L32*E32</x:f>
        <x:v>0</x:v>
      </x:c>
      <x:c r="O32" s="177" t="n">
        <x:f>$B$4*L32</x:f>
        <x:v>0</x:v>
      </x:c>
      <x:c r="P32" s="178" t="n">
        <x:f>G32+M32</x:f>
        <x:v>0.2</x:v>
      </x:c>
      <x:c r="Q32" s="178" t="n">
        <x:f>H32+N32</x:f>
        <x:v>0.1</x:v>
      </x:c>
      <x:c r="R32" s="178" t="n">
        <x:f>I32+O32</x:f>
        <x:v>-0.30000000000000004</x:v>
      </x:c>
      <x:c r="S32" s="182" t="n">
        <x:f>IF(K32=F32,1,0)</x:f>
        <x:v>1</x:v>
      </x:c>
      <x:c r="T32" s="182" t="n">
        <x:f>ABS(L32)</x:f>
        <x:v>0</x:v>
      </x:c>
    </x:row>
    <x:row r="33">
      <x:c r="A33" s="114" t="n">
        <x:v>22</x:v>
      </x:c>
      <x:c r="B33" s="114" t="n">
        <x:v>6</x:v>
      </x:c>
      <x:c r="C33" s="114" t="n">
        <x:v>2</x:v>
      </x:c>
      <x:c r="D33" s="166" t="n">
        <x:f>$X$6</x:f>
        <x:v>0</x:v>
      </x:c>
      <x:c r="E33" s="166" t="n">
        <x:f>$Y$6</x:f>
        <x:v>1</x:v>
      </x:c>
      <x:c r="F33" s="166" t="n">
        <x:f>$Z$6</x:f>
        <x:v>0</x:v>
      </x:c>
      <x:c r="G33" s="176" t="n">
        <x:f>P32</x:f>
        <x:v>0.2</x:v>
      </x:c>
      <x:c r="H33" s="176" t="n">
        <x:f>Q32</x:f>
        <x:v>0.1</x:v>
      </x:c>
      <x:c r="I33" s="176" t="n">
        <x:f>R32</x:f>
        <x:v>-0.30000000000000004</x:v>
      </x:c>
      <x:c r="J33" s="176" t="n">
        <x:f>D33*G33+E33*H33+I33</x:f>
        <x:v>-0.20000000000000004</x:v>
      </x:c>
      <x:c r="K33" s="176" t="n">
        <x:f>IF(J33&gt;=0,1,0)</x:f>
        <x:v>0</x:v>
      </x:c>
      <x:c r="L33" s="176" t="n">
        <x:f>F33-K33</x:f>
        <x:v>0</x:v>
      </x:c>
      <x:c r="M33" s="177" t="n">
        <x:f>$B$4*L33*D33</x:f>
        <x:v>0</x:v>
      </x:c>
      <x:c r="N33" s="177" t="n">
        <x:f>$B$4*L33*E33</x:f>
        <x:v>0</x:v>
      </x:c>
      <x:c r="O33" s="177" t="n">
        <x:f>$B$4*L33</x:f>
        <x:v>0</x:v>
      </x:c>
      <x:c r="P33" s="178" t="n">
        <x:f>G33+M33</x:f>
        <x:v>0.2</x:v>
      </x:c>
      <x:c r="Q33" s="178" t="n">
        <x:f>H33+N33</x:f>
        <x:v>0.1</x:v>
      </x:c>
      <x:c r="R33" s="178" t="n">
        <x:f>I33+O33</x:f>
        <x:v>-0.30000000000000004</x:v>
      </x:c>
      <x:c r="S33" s="182" t="n">
        <x:f>IF(K33=F33,1,0)</x:f>
        <x:v>1</x:v>
      </x:c>
      <x:c r="T33" s="182" t="n">
        <x:f>ABS(L33)</x:f>
        <x:v>0</x:v>
      </x:c>
    </x:row>
    <x:row r="34">
      <x:c r="A34" s="114" t="n">
        <x:v>23</x:v>
      </x:c>
      <x:c r="B34" s="114" t="n">
        <x:v>6</x:v>
      </x:c>
      <x:c r="C34" s="114" t="n">
        <x:v>3</x:v>
      </x:c>
      <x:c r="D34" s="166" t="n">
        <x:f>$X$7</x:f>
        <x:v>1</x:v>
      </x:c>
      <x:c r="E34" s="166" t="n">
        <x:f>$Y$7</x:f>
        <x:v>0</x:v>
      </x:c>
      <x:c r="F34" s="166" t="n">
        <x:f>$Z$7</x:f>
        <x:v>0</x:v>
      </x:c>
      <x:c r="G34" s="176" t="n">
        <x:f>P33</x:f>
        <x:v>0.2</x:v>
      </x:c>
      <x:c r="H34" s="176" t="n">
        <x:f>Q33</x:f>
        <x:v>0.1</x:v>
      </x:c>
      <x:c r="I34" s="176" t="n">
        <x:f>R33</x:f>
        <x:v>-0.30000000000000004</x:v>
      </x:c>
      <x:c r="J34" s="176" t="n">
        <x:f>D34*G34+E34*H34+I34</x:f>
        <x:v>-0.10000000000000003</x:v>
      </x:c>
      <x:c r="K34" s="176" t="n">
        <x:f>IF(J34&gt;=0,1,0)</x:f>
        <x:v>0</x:v>
      </x:c>
      <x:c r="L34" s="176" t="n">
        <x:f>F34-K34</x:f>
        <x:v>0</x:v>
      </x:c>
      <x:c r="M34" s="177" t="n">
        <x:f>$B$4*L34*D34</x:f>
        <x:v>0</x:v>
      </x:c>
      <x:c r="N34" s="177" t="n">
        <x:f>$B$4*L34*E34</x:f>
        <x:v>0</x:v>
      </x:c>
      <x:c r="O34" s="177" t="n">
        <x:f>$B$4*L34</x:f>
        <x:v>0</x:v>
      </x:c>
      <x:c r="P34" s="178" t="n">
        <x:f>G34+M34</x:f>
        <x:v>0.2</x:v>
      </x:c>
      <x:c r="Q34" s="178" t="n">
        <x:f>H34+N34</x:f>
        <x:v>0.1</x:v>
      </x:c>
      <x:c r="R34" s="178" t="n">
        <x:f>I34+O34</x:f>
        <x:v>-0.30000000000000004</x:v>
      </x:c>
      <x:c r="S34" s="182" t="n">
        <x:f>IF(K34=F34,1,0)</x:f>
        <x:v>1</x:v>
      </x:c>
      <x:c r="T34" s="182" t="n">
        <x:f>ABS(L34)</x:f>
        <x:v>0</x:v>
      </x:c>
    </x:row>
    <x:row r="35">
      <x:c r="A35" s="114" t="n">
        <x:v>24</x:v>
      </x:c>
      <x:c r="B35" s="114" t="n">
        <x:v>6</x:v>
      </x:c>
      <x:c r="C35" s="114" t="n">
        <x:v>4</x:v>
      </x:c>
      <x:c r="D35" s="166" t="n">
        <x:f>$X$8</x:f>
        <x:v>1</x:v>
      </x:c>
      <x:c r="E35" s="166" t="n">
        <x:f>$Y$8</x:f>
        <x:v>1</x:v>
      </x:c>
      <x:c r="F35" s="166" t="n">
        <x:f>$Z$8</x:f>
        <x:v>1</x:v>
      </x:c>
      <x:c r="G35" s="176" t="n">
        <x:f>P34</x:f>
        <x:v>0.2</x:v>
      </x:c>
      <x:c r="H35" s="176" t="n">
        <x:f>Q34</x:f>
        <x:v>0.1</x:v>
      </x:c>
      <x:c r="I35" s="176" t="n">
        <x:f>R34</x:f>
        <x:v>-0.30000000000000004</x:v>
      </x:c>
      <x:c r="J35" s="176" t="n">
        <x:f>D35*G35+E35*H35+I35</x:f>
        <x:v>0</x:v>
      </x:c>
      <x:c r="K35" s="176" t="n">
        <x:f>IF(J35&gt;=0,1,0)</x:f>
        <x:v>1</x:v>
      </x:c>
      <x:c r="L35" s="176" t="n">
        <x:f>F35-K35</x:f>
        <x:v>0</x:v>
      </x:c>
      <x:c r="M35" s="177" t="n">
        <x:f>$B$4*L35*D35</x:f>
        <x:v>0</x:v>
      </x:c>
      <x:c r="N35" s="177" t="n">
        <x:f>$B$4*L35*E35</x:f>
        <x:v>0</x:v>
      </x:c>
      <x:c r="O35" s="177" t="n">
        <x:f>$B$4*L35</x:f>
        <x:v>0</x:v>
      </x:c>
      <x:c r="P35" s="178" t="n">
        <x:f>G35+M35</x:f>
        <x:v>0.2</x:v>
      </x:c>
      <x:c r="Q35" s="178" t="n">
        <x:f>H35+N35</x:f>
        <x:v>0.1</x:v>
      </x:c>
      <x:c r="R35" s="178" t="n">
        <x:f>I35+O35</x:f>
        <x:v>-0.30000000000000004</x:v>
      </x:c>
      <x:c r="S35" s="182" t="n">
        <x:f>IF(K35=F35,1,0)</x:f>
        <x:v>1</x:v>
      </x:c>
      <x:c r="T35" s="182" t="n">
        <x:f>ABS(L35)</x:f>
        <x:v>0</x:v>
      </x:c>
    </x:row>
    <x:row r="36">
      <x:c r="A36" s="114" t="n">
        <x:v>25</x:v>
      </x:c>
      <x:c r="B36" s="114" t="n">
        <x:v>7</x:v>
      </x:c>
      <x:c r="C36" s="114" t="n">
        <x:v>1</x:v>
      </x:c>
      <x:c r="D36" s="166" t="n">
        <x:f>$X$5</x:f>
        <x:v>0</x:v>
      </x:c>
      <x:c r="E36" s="166" t="n">
        <x:f>$Y$5</x:f>
        <x:v>0</x:v>
      </x:c>
      <x:c r="F36" s="166" t="n">
        <x:f>$Z$5</x:f>
        <x:v>0</x:v>
      </x:c>
      <x:c r="G36" s="176" t="n">
        <x:f>P35</x:f>
        <x:v>0.2</x:v>
      </x:c>
      <x:c r="H36" s="176" t="n">
        <x:f>Q35</x:f>
        <x:v>0.1</x:v>
      </x:c>
      <x:c r="I36" s="176" t="n">
        <x:f>R35</x:f>
        <x:v>-0.30000000000000004</x:v>
      </x:c>
      <x:c r="J36" s="176" t="n">
        <x:f>D36*G36+E36*H36+I36</x:f>
        <x:v>-0.30000000000000004</x:v>
      </x:c>
      <x:c r="K36" s="176" t="n">
        <x:f>IF(J36&gt;=0,1,0)</x:f>
        <x:v>0</x:v>
      </x:c>
      <x:c r="L36" s="176" t="n">
        <x:f>F36-K36</x:f>
        <x:v>0</x:v>
      </x:c>
      <x:c r="M36" s="177" t="n">
        <x:f>$B$4*L36*D36</x:f>
        <x:v>0</x:v>
      </x:c>
      <x:c r="N36" s="177" t="n">
        <x:f>$B$4*L36*E36</x:f>
        <x:v>0</x:v>
      </x:c>
      <x:c r="O36" s="177" t="n">
        <x:f>$B$4*L36</x:f>
        <x:v>0</x:v>
      </x:c>
      <x:c r="P36" s="178" t="n">
        <x:f>G36+M36</x:f>
        <x:v>0.2</x:v>
      </x:c>
      <x:c r="Q36" s="178" t="n">
        <x:f>H36+N36</x:f>
        <x:v>0.1</x:v>
      </x:c>
      <x:c r="R36" s="178" t="n">
        <x:f>I36+O36</x:f>
        <x:v>-0.30000000000000004</x:v>
      </x:c>
      <x:c r="S36" s="182" t="n">
        <x:f>IF(K36=F36,1,0)</x:f>
        <x:v>1</x:v>
      </x:c>
      <x:c r="T36" s="182" t="n">
        <x:f>ABS(L36)</x:f>
        <x:v>0</x:v>
      </x:c>
    </x:row>
    <x:row r="37">
      <x:c r="A37" s="114" t="n">
        <x:v>26</x:v>
      </x:c>
      <x:c r="B37" s="114" t="n">
        <x:v>7</x:v>
      </x:c>
      <x:c r="C37" s="114" t="n">
        <x:v>2</x:v>
      </x:c>
      <x:c r="D37" s="166" t="n">
        <x:f>$X$6</x:f>
        <x:v>0</x:v>
      </x:c>
      <x:c r="E37" s="166" t="n">
        <x:f>$Y$6</x:f>
        <x:v>1</x:v>
      </x:c>
      <x:c r="F37" s="166" t="n">
        <x:f>$Z$6</x:f>
        <x:v>0</x:v>
      </x:c>
      <x:c r="G37" s="176" t="n">
        <x:f>P36</x:f>
        <x:v>0.2</x:v>
      </x:c>
      <x:c r="H37" s="176" t="n">
        <x:f>Q36</x:f>
        <x:v>0.1</x:v>
      </x:c>
      <x:c r="I37" s="176" t="n">
        <x:f>R36</x:f>
        <x:v>-0.30000000000000004</x:v>
      </x:c>
      <x:c r="J37" s="176" t="n">
        <x:f>D37*G37+E37*H37+I37</x:f>
        <x:v>-0.20000000000000004</x:v>
      </x:c>
      <x:c r="K37" s="176" t="n">
        <x:f>IF(J37&gt;=0,1,0)</x:f>
        <x:v>0</x:v>
      </x:c>
      <x:c r="L37" s="176" t="n">
        <x:f>F37-K37</x:f>
        <x:v>0</x:v>
      </x:c>
      <x:c r="M37" s="177" t="n">
        <x:f>$B$4*L37*D37</x:f>
        <x:v>0</x:v>
      </x:c>
      <x:c r="N37" s="177" t="n">
        <x:f>$B$4*L37*E37</x:f>
        <x:v>0</x:v>
      </x:c>
      <x:c r="O37" s="177" t="n">
        <x:f>$B$4*L37</x:f>
        <x:v>0</x:v>
      </x:c>
      <x:c r="P37" s="178" t="n">
        <x:f>G37+M37</x:f>
        <x:v>0.2</x:v>
      </x:c>
      <x:c r="Q37" s="178" t="n">
        <x:f>H37+N37</x:f>
        <x:v>0.1</x:v>
      </x:c>
      <x:c r="R37" s="178" t="n">
        <x:f>I37+O37</x:f>
        <x:v>-0.30000000000000004</x:v>
      </x:c>
      <x:c r="S37" s="182" t="n">
        <x:f>IF(K37=F37,1,0)</x:f>
        <x:v>1</x:v>
      </x:c>
      <x:c r="T37" s="182" t="n">
        <x:f>ABS(L37)</x:f>
        <x:v>0</x:v>
      </x:c>
    </x:row>
    <x:row r="38">
      <x:c r="A38" s="114" t="n">
        <x:v>27</x:v>
      </x:c>
      <x:c r="B38" s="114" t="n">
        <x:v>7</x:v>
      </x:c>
      <x:c r="C38" s="114" t="n">
        <x:v>3</x:v>
      </x:c>
      <x:c r="D38" s="166" t="n">
        <x:f>$X$7</x:f>
        <x:v>1</x:v>
      </x:c>
      <x:c r="E38" s="166" t="n">
        <x:f>$Y$7</x:f>
        <x:v>0</x:v>
      </x:c>
      <x:c r="F38" s="166" t="n">
        <x:f>$Z$7</x:f>
        <x:v>0</x:v>
      </x:c>
      <x:c r="G38" s="176" t="n">
        <x:f>P37</x:f>
        <x:v>0.2</x:v>
      </x:c>
      <x:c r="H38" s="176" t="n">
        <x:f>Q37</x:f>
        <x:v>0.1</x:v>
      </x:c>
      <x:c r="I38" s="176" t="n">
        <x:f>R37</x:f>
        <x:v>-0.30000000000000004</x:v>
      </x:c>
      <x:c r="J38" s="176" t="n">
        <x:f>D38*G38+E38*H38+I38</x:f>
        <x:v>-0.10000000000000003</x:v>
      </x:c>
      <x:c r="K38" s="176" t="n">
        <x:f>IF(J38&gt;=0,1,0)</x:f>
        <x:v>0</x:v>
      </x:c>
      <x:c r="L38" s="176" t="n">
        <x:f>F38-K38</x:f>
        <x:v>0</x:v>
      </x:c>
      <x:c r="M38" s="177" t="n">
        <x:f>$B$4*L38*D38</x:f>
        <x:v>0</x:v>
      </x:c>
      <x:c r="N38" s="177" t="n">
        <x:f>$B$4*L38*E38</x:f>
        <x:v>0</x:v>
      </x:c>
      <x:c r="O38" s="177" t="n">
        <x:f>$B$4*L38</x:f>
        <x:v>0</x:v>
      </x:c>
      <x:c r="P38" s="178" t="n">
        <x:f>G38+M38</x:f>
        <x:v>0.2</x:v>
      </x:c>
      <x:c r="Q38" s="178" t="n">
        <x:f>H38+N38</x:f>
        <x:v>0.1</x:v>
      </x:c>
      <x:c r="R38" s="178" t="n">
        <x:f>I38+O38</x:f>
        <x:v>-0.30000000000000004</x:v>
      </x:c>
      <x:c r="S38" s="182" t="n">
        <x:f>IF(K38=F38,1,0)</x:f>
        <x:v>1</x:v>
      </x:c>
      <x:c r="T38" s="182" t="n">
        <x:f>ABS(L38)</x:f>
        <x:v>0</x:v>
      </x:c>
    </x:row>
    <x:row r="39">
      <x:c r="A39" s="114" t="n">
        <x:v>28</x:v>
      </x:c>
      <x:c r="B39" s="114" t="n">
        <x:v>7</x:v>
      </x:c>
      <x:c r="C39" s="114" t="n">
        <x:v>4</x:v>
      </x:c>
      <x:c r="D39" s="166" t="n">
        <x:f>$X$8</x:f>
        <x:v>1</x:v>
      </x:c>
      <x:c r="E39" s="166" t="n">
        <x:f>$Y$8</x:f>
        <x:v>1</x:v>
      </x:c>
      <x:c r="F39" s="166" t="n">
        <x:f>$Z$8</x:f>
        <x:v>1</x:v>
      </x:c>
      <x:c r="G39" s="176" t="n">
        <x:f>P38</x:f>
        <x:v>0.2</x:v>
      </x:c>
      <x:c r="H39" s="176" t="n">
        <x:f>Q38</x:f>
        <x:v>0.1</x:v>
      </x:c>
      <x:c r="I39" s="176" t="n">
        <x:f>R38</x:f>
        <x:v>-0.30000000000000004</x:v>
      </x:c>
      <x:c r="J39" s="176" t="n">
        <x:f>D39*G39+E39*H39+I39</x:f>
        <x:v>0</x:v>
      </x:c>
      <x:c r="K39" s="176" t="n">
        <x:f>IF(J39&gt;=0,1,0)</x:f>
        <x:v>1</x:v>
      </x:c>
      <x:c r="L39" s="176" t="n">
        <x:f>F39-K39</x:f>
        <x:v>0</x:v>
      </x:c>
      <x:c r="M39" s="177" t="n">
        <x:f>$B$4*L39*D39</x:f>
        <x:v>0</x:v>
      </x:c>
      <x:c r="N39" s="177" t="n">
        <x:f>$B$4*L39*E39</x:f>
        <x:v>0</x:v>
      </x:c>
      <x:c r="O39" s="177" t="n">
        <x:f>$B$4*L39</x:f>
        <x:v>0</x:v>
      </x:c>
      <x:c r="P39" s="178" t="n">
        <x:f>G39+M39</x:f>
        <x:v>0.2</x:v>
      </x:c>
      <x:c r="Q39" s="178" t="n">
        <x:f>H39+N39</x:f>
        <x:v>0.1</x:v>
      </x:c>
      <x:c r="R39" s="178" t="n">
        <x:f>I39+O39</x:f>
        <x:v>-0.30000000000000004</x:v>
      </x:c>
      <x:c r="S39" s="182" t="n">
        <x:f>IF(K39=F39,1,0)</x:f>
        <x:v>1</x:v>
      </x:c>
      <x:c r="T39" s="182" t="n">
        <x:f>ABS(L39)</x:f>
        <x:v>0</x:v>
      </x:c>
    </x:row>
    <x:row r="40">
      <x:c r="A40" s="114" t="n">
        <x:v>29</x:v>
      </x:c>
      <x:c r="B40" s="114" t="n">
        <x:v>8</x:v>
      </x:c>
      <x:c r="C40" s="114" t="n">
        <x:v>1</x:v>
      </x:c>
      <x:c r="D40" s="166" t="n">
        <x:f>$X$5</x:f>
        <x:v>0</x:v>
      </x:c>
      <x:c r="E40" s="166" t="n">
        <x:f>$Y$5</x:f>
        <x:v>0</x:v>
      </x:c>
      <x:c r="F40" s="166" t="n">
        <x:f>$Z$5</x:f>
        <x:v>0</x:v>
      </x:c>
      <x:c r="G40" s="176" t="n">
        <x:f>P39</x:f>
        <x:v>0.2</x:v>
      </x:c>
      <x:c r="H40" s="176" t="n">
        <x:f>Q39</x:f>
        <x:v>0.1</x:v>
      </x:c>
      <x:c r="I40" s="176" t="n">
        <x:f>R39</x:f>
        <x:v>-0.30000000000000004</x:v>
      </x:c>
      <x:c r="J40" s="176" t="n">
        <x:f>D40*G40+E40*H40+I40</x:f>
        <x:v>-0.30000000000000004</x:v>
      </x:c>
      <x:c r="K40" s="176" t="n">
        <x:f>IF(J40&gt;=0,1,0)</x:f>
        <x:v>0</x:v>
      </x:c>
      <x:c r="L40" s="176" t="n">
        <x:f>F40-K40</x:f>
        <x:v>0</x:v>
      </x:c>
      <x:c r="M40" s="177" t="n">
        <x:f>$B$4*L40*D40</x:f>
        <x:v>0</x:v>
      </x:c>
      <x:c r="N40" s="177" t="n">
        <x:f>$B$4*L40*E40</x:f>
        <x:v>0</x:v>
      </x:c>
      <x:c r="O40" s="177" t="n">
        <x:f>$B$4*L40</x:f>
        <x:v>0</x:v>
      </x:c>
      <x:c r="P40" s="178" t="n">
        <x:f>G40+M40</x:f>
        <x:v>0.2</x:v>
      </x:c>
      <x:c r="Q40" s="178" t="n">
        <x:f>H40+N40</x:f>
        <x:v>0.1</x:v>
      </x:c>
      <x:c r="R40" s="178" t="n">
        <x:f>I40+O40</x:f>
        <x:v>-0.30000000000000004</x:v>
      </x:c>
      <x:c r="S40" s="182" t="n">
        <x:f>IF(K40=F40,1,0)</x:f>
        <x:v>1</x:v>
      </x:c>
      <x:c r="T40" s="182" t="n">
        <x:f>ABS(L40)</x:f>
        <x:v>0</x:v>
      </x:c>
    </x:row>
    <x:row r="41">
      <x:c r="A41" s="114" t="n">
        <x:v>30</x:v>
      </x:c>
      <x:c r="B41" s="114" t="n">
        <x:v>8</x:v>
      </x:c>
      <x:c r="C41" s="114" t="n">
        <x:v>2</x:v>
      </x:c>
      <x:c r="D41" s="166" t="n">
        <x:f>$X$6</x:f>
        <x:v>0</x:v>
      </x:c>
      <x:c r="E41" s="166" t="n">
        <x:f>$Y$6</x:f>
        <x:v>1</x:v>
      </x:c>
      <x:c r="F41" s="166" t="n">
        <x:f>$Z$6</x:f>
        <x:v>0</x:v>
      </x:c>
      <x:c r="G41" s="176" t="n">
        <x:f>P40</x:f>
        <x:v>0.2</x:v>
      </x:c>
      <x:c r="H41" s="176" t="n">
        <x:f>Q40</x:f>
        <x:v>0.1</x:v>
      </x:c>
      <x:c r="I41" s="176" t="n">
        <x:f>R40</x:f>
        <x:v>-0.30000000000000004</x:v>
      </x:c>
      <x:c r="J41" s="176" t="n">
        <x:f>D41*G41+E41*H41+I41</x:f>
        <x:v>-0.20000000000000004</x:v>
      </x:c>
      <x:c r="K41" s="176" t="n">
        <x:f>IF(J41&gt;=0,1,0)</x:f>
        <x:v>0</x:v>
      </x:c>
      <x:c r="L41" s="176" t="n">
        <x:f>F41-K41</x:f>
        <x:v>0</x:v>
      </x:c>
      <x:c r="M41" s="177" t="n">
        <x:f>$B$4*L41*D41</x:f>
        <x:v>0</x:v>
      </x:c>
      <x:c r="N41" s="177" t="n">
        <x:f>$B$4*L41*E41</x:f>
        <x:v>0</x:v>
      </x:c>
      <x:c r="O41" s="177" t="n">
        <x:f>$B$4*L41</x:f>
        <x:v>0</x:v>
      </x:c>
      <x:c r="P41" s="178" t="n">
        <x:f>G41+M41</x:f>
        <x:v>0.2</x:v>
      </x:c>
      <x:c r="Q41" s="178" t="n">
        <x:f>H41+N41</x:f>
        <x:v>0.1</x:v>
      </x:c>
      <x:c r="R41" s="178" t="n">
        <x:f>I41+O41</x:f>
        <x:v>-0.30000000000000004</x:v>
      </x:c>
      <x:c r="S41" s="182" t="n">
        <x:f>IF(K41=F41,1,0)</x:f>
        <x:v>1</x:v>
      </x:c>
      <x:c r="T41" s="182" t="n">
        <x:f>ABS(L41)</x:f>
        <x:v>0</x:v>
      </x:c>
    </x:row>
    <x:row r="42">
      <x:c r="A42" s="114" t="n">
        <x:v>31</x:v>
      </x:c>
      <x:c r="B42" s="114" t="n">
        <x:v>8</x:v>
      </x:c>
      <x:c r="C42" s="114" t="n">
        <x:v>3</x:v>
      </x:c>
      <x:c r="D42" s="166" t="n">
        <x:f>$X$7</x:f>
        <x:v>1</x:v>
      </x:c>
      <x:c r="E42" s="166" t="n">
        <x:f>$Y$7</x:f>
        <x:v>0</x:v>
      </x:c>
      <x:c r="F42" s="166" t="n">
        <x:f>$Z$7</x:f>
        <x:v>0</x:v>
      </x:c>
      <x:c r="G42" s="176" t="n">
        <x:f>P41</x:f>
        <x:v>0.2</x:v>
      </x:c>
      <x:c r="H42" s="176" t="n">
        <x:f>Q41</x:f>
        <x:v>0.1</x:v>
      </x:c>
      <x:c r="I42" s="176" t="n">
        <x:f>R41</x:f>
        <x:v>-0.30000000000000004</x:v>
      </x:c>
      <x:c r="J42" s="176" t="n">
        <x:f>D42*G42+E42*H42+I42</x:f>
        <x:v>-0.10000000000000003</x:v>
      </x:c>
      <x:c r="K42" s="176" t="n">
        <x:f>IF(J42&gt;=0,1,0)</x:f>
        <x:v>0</x:v>
      </x:c>
      <x:c r="L42" s="176" t="n">
        <x:f>F42-K42</x:f>
        <x:v>0</x:v>
      </x:c>
      <x:c r="M42" s="177" t="n">
        <x:f>$B$4*L42*D42</x:f>
        <x:v>0</x:v>
      </x:c>
      <x:c r="N42" s="177" t="n">
        <x:f>$B$4*L42*E42</x:f>
        <x:v>0</x:v>
      </x:c>
      <x:c r="O42" s="177" t="n">
        <x:f>$B$4*L42</x:f>
        <x:v>0</x:v>
      </x:c>
      <x:c r="P42" s="178" t="n">
        <x:f>G42+M42</x:f>
        <x:v>0.2</x:v>
      </x:c>
      <x:c r="Q42" s="178" t="n">
        <x:f>H42+N42</x:f>
        <x:v>0.1</x:v>
      </x:c>
      <x:c r="R42" s="178" t="n">
        <x:f>I42+O42</x:f>
        <x:v>-0.30000000000000004</x:v>
      </x:c>
      <x:c r="S42" s="182" t="n">
        <x:f>IF(K42=F42,1,0)</x:f>
        <x:v>1</x:v>
      </x:c>
      <x:c r="T42" s="182" t="n">
        <x:f>ABS(L42)</x:f>
        <x:v>0</x:v>
      </x:c>
    </x:row>
    <x:row r="43" ht="24" customHeight="1">
      <x:c r="A43" s="114" t="n">
        <x:v>32</x:v>
      </x:c>
      <x:c r="B43" s="114" t="n">
        <x:v>8</x:v>
      </x:c>
      <x:c r="C43" s="114" t="n">
        <x:v>4</x:v>
      </x:c>
      <x:c r="D43" s="166" t="n">
        <x:f>$X$8</x:f>
        <x:v>1</x:v>
      </x:c>
      <x:c r="E43" s="166" t="n">
        <x:f>$Y$8</x:f>
        <x:v>1</x:v>
      </x:c>
      <x:c r="F43" s="166" t="n">
        <x:f>$Z$8</x:f>
        <x:v>1</x:v>
      </x:c>
      <x:c r="G43" s="176" t="n">
        <x:f>P42</x:f>
        <x:v>0.2</x:v>
      </x:c>
      <x:c r="H43" s="176" t="n">
        <x:f>Q42</x:f>
        <x:v>0.1</x:v>
      </x:c>
      <x:c r="I43" s="176" t="n">
        <x:f>R42</x:f>
        <x:v>-0.30000000000000004</x:v>
      </x:c>
      <x:c r="J43" s="176" t="n">
        <x:f>D43*G43+E43*H43+I43</x:f>
        <x:v>0</x:v>
      </x:c>
      <x:c r="K43" s="176" t="n">
        <x:f>IF(J43&gt;=0,1,0)</x:f>
        <x:v>1</x:v>
      </x:c>
      <x:c r="L43" s="176" t="n">
        <x:f>F43-K43</x:f>
        <x:v>0</x:v>
      </x:c>
      <x:c r="M43" s="177" t="n">
        <x:f>$B$4*L43*D43</x:f>
        <x:v>0</x:v>
      </x:c>
      <x:c r="N43" s="177" t="n">
        <x:f>$B$4*L43*E43</x:f>
        <x:v>0</x:v>
      </x:c>
      <x:c r="O43" s="177" t="n">
        <x:f>$B$4*L43</x:f>
        <x:v>0</x:v>
      </x:c>
      <x:c r="P43" s="178" t="n">
        <x:f>G43+M43</x:f>
        <x:v>0.2</x:v>
      </x:c>
      <x:c r="Q43" s="178" t="n">
        <x:f>H43+N43</x:f>
        <x:v>0.1</x:v>
      </x:c>
      <x:c r="R43" s="178" t="n">
        <x:f>I43+O43</x:f>
        <x:v>-0.30000000000000004</x:v>
      </x:c>
      <x:c r="S43" s="182" t="n">
        <x:f>IF(K43=F43,1,0)</x:f>
        <x:v>1</x:v>
      </x:c>
      <x:c r="T43" s="182" t="n">
        <x:f>ABS(L43)</x:f>
        <x:v>0</x:v>
      </x:c>
      <x:c r="W43" s="48" t="str">
        <x:v>ตรวจ Truth Table ด้วย Weight สุดท้าย</x:v>
      </x:c>
      <x:c r="X43" s="49"/>
      <x:c r="Y43" s="49"/>
      <x:c r="Z43" s="49"/>
      <x:c r="AA43" s="49"/>
      <x:c r="AB43" s="49"/>
      <x:c r="AC43" s="50"/>
    </x:row>
    <x:row r="44">
      <x:c r="A44" s="114" t="n">
        <x:v>33</x:v>
      </x:c>
      <x:c r="B44" s="114" t="n">
        <x:v>9</x:v>
      </x:c>
      <x:c r="C44" s="114" t="n">
        <x:v>1</x:v>
      </x:c>
      <x:c r="D44" s="166" t="n">
        <x:f>$X$5</x:f>
        <x:v>0</x:v>
      </x:c>
      <x:c r="E44" s="166" t="n">
        <x:f>$Y$5</x:f>
        <x:v>0</x:v>
      </x:c>
      <x:c r="F44" s="166" t="n">
        <x:f>$Z$5</x:f>
        <x:v>0</x:v>
      </x:c>
      <x:c r="G44" s="176" t="n">
        <x:f>P43</x:f>
        <x:v>0.2</x:v>
      </x:c>
      <x:c r="H44" s="176" t="n">
        <x:f>Q43</x:f>
        <x:v>0.1</x:v>
      </x:c>
      <x:c r="I44" s="176" t="n">
        <x:f>R43</x:f>
        <x:v>-0.30000000000000004</x:v>
      </x:c>
      <x:c r="J44" s="176" t="n">
        <x:f>D44*G44+E44*H44+I44</x:f>
        <x:v>-0.30000000000000004</x:v>
      </x:c>
      <x:c r="K44" s="176" t="n">
        <x:f>IF(J44&gt;=0,1,0)</x:f>
        <x:v>0</x:v>
      </x:c>
      <x:c r="L44" s="176" t="n">
        <x:f>F44-K44</x:f>
        <x:v>0</x:v>
      </x:c>
      <x:c r="M44" s="177" t="n">
        <x:f>$B$4*L44*D44</x:f>
        <x:v>0</x:v>
      </x:c>
      <x:c r="N44" s="177" t="n">
        <x:f>$B$4*L44*E44</x:f>
        <x:v>0</x:v>
      </x:c>
      <x:c r="O44" s="177" t="n">
        <x:f>$B$4*L44</x:f>
        <x:v>0</x:v>
      </x:c>
      <x:c r="P44" s="178" t="n">
        <x:f>G44+M44</x:f>
        <x:v>0.2</x:v>
      </x:c>
      <x:c r="Q44" s="178" t="n">
        <x:f>H44+N44</x:f>
        <x:v>0.1</x:v>
      </x:c>
      <x:c r="R44" s="178" t="n">
        <x:f>I44+O44</x:f>
        <x:v>-0.30000000000000004</x:v>
      </x:c>
      <x:c r="S44" s="182" t="n">
        <x:f>IF(K44=F44,1,0)</x:f>
        <x:v>1</x:v>
      </x:c>
      <x:c r="T44" s="182" t="n">
        <x:f>ABS(L44)</x:f>
        <x:v>0</x:v>
      </x:c>
      <x:c r="W44" s="104" t="str">
        <x:v>Pattern</x:v>
      </x:c>
      <x:c r="X44" s="104" t="str">
        <x:v>x₁</x:v>
      </x:c>
      <x:c r="Y44" s="104" t="str">
        <x:v>x₂</x:v>
      </x:c>
      <x:c r="Z44" s="104" t="str">
        <x:v>Target</x:v>
      </x:c>
      <x:c r="AA44" s="104" t="str">
        <x:v>Net</x:v>
      </x:c>
      <x:c r="AB44" s="104" t="str">
        <x:v>Prediction</x:v>
      </x:c>
      <x:c r="AC44" s="104" t="str">
        <x:v>Correct</x:v>
      </x:c>
    </x:row>
    <x:row r="45">
      <x:c r="A45" s="114" t="n">
        <x:v>34</x:v>
      </x:c>
      <x:c r="B45" s="114" t="n">
        <x:v>9</x:v>
      </x:c>
      <x:c r="C45" s="114" t="n">
        <x:v>2</x:v>
      </x:c>
      <x:c r="D45" s="166" t="n">
        <x:f>$X$6</x:f>
        <x:v>0</x:v>
      </x:c>
      <x:c r="E45" s="166" t="n">
        <x:f>$Y$6</x:f>
        <x:v>1</x:v>
      </x:c>
      <x:c r="F45" s="166" t="n">
        <x:f>$Z$6</x:f>
        <x:v>0</x:v>
      </x:c>
      <x:c r="G45" s="176" t="n">
        <x:f>P44</x:f>
        <x:v>0.2</x:v>
      </x:c>
      <x:c r="H45" s="176" t="n">
        <x:f>Q44</x:f>
        <x:v>0.1</x:v>
      </x:c>
      <x:c r="I45" s="176" t="n">
        <x:f>R44</x:f>
        <x:v>-0.30000000000000004</x:v>
      </x:c>
      <x:c r="J45" s="176" t="n">
        <x:f>D45*G45+E45*H45+I45</x:f>
        <x:v>-0.20000000000000004</x:v>
      </x:c>
      <x:c r="K45" s="176" t="n">
        <x:f>IF(J45&gt;=0,1,0)</x:f>
        <x:v>0</x:v>
      </x:c>
      <x:c r="L45" s="176" t="n">
        <x:f>F45-K45</x:f>
        <x:v>0</x:v>
      </x:c>
      <x:c r="M45" s="177" t="n">
        <x:f>$B$4*L45*D45</x:f>
        <x:v>0</x:v>
      </x:c>
      <x:c r="N45" s="177" t="n">
        <x:f>$B$4*L45*E45</x:f>
        <x:v>0</x:v>
      </x:c>
      <x:c r="O45" s="177" t="n">
        <x:f>$B$4*L45</x:f>
        <x:v>0</x:v>
      </x:c>
      <x:c r="P45" s="178" t="n">
        <x:f>G45+M45</x:f>
        <x:v>0.2</x:v>
      </x:c>
      <x:c r="Q45" s="178" t="n">
        <x:f>H45+N45</x:f>
        <x:v>0.1</x:v>
      </x:c>
      <x:c r="R45" s="178" t="n">
        <x:f>I45+O45</x:f>
        <x:v>-0.30000000000000004</x:v>
      </x:c>
      <x:c r="S45" s="182" t="n">
        <x:f>IF(K45=F45,1,0)</x:f>
        <x:v>1</x:v>
      </x:c>
      <x:c r="T45" s="182" t="n">
        <x:f>ABS(L45)</x:f>
        <x:v>0</x:v>
      </x:c>
      <x:c r="W45" s="114" t="n">
        <x:f>W5</x:f>
        <x:v>1</x:v>
      </x:c>
      <x:c r="X45" s="114" t="n">
        <x:f>X5</x:f>
        <x:v>0</x:v>
      </x:c>
      <x:c r="Y45" s="114" t="n">
        <x:f>Y5</x:f>
        <x:v>0</x:v>
      </x:c>
      <x:c r="Z45" s="114" t="n">
        <x:f>Z5</x:f>
        <x:v>0</x:v>
      </x:c>
      <x:c r="AA45" s="178" t="n">
        <x:f>X45*$P$51+Y45*$Q$51+$R$51</x:f>
        <x:v>-0.30000000000000004</x:v>
      </x:c>
      <x:c r="AB45" s="172" t="n">
        <x:f>IF(AA45&gt;=0,1,0)</x:f>
        <x:v>0</x:v>
      </x:c>
      <x:c r="AC45" s="172" t="n">
        <x:f>IF(AB45=Z45,1,0)</x:f>
        <x:v>1</x:v>
      </x:c>
    </x:row>
    <x:row r="46">
      <x:c r="A46" s="114" t="n">
        <x:v>35</x:v>
      </x:c>
      <x:c r="B46" s="114" t="n">
        <x:v>9</x:v>
      </x:c>
      <x:c r="C46" s="114" t="n">
        <x:v>3</x:v>
      </x:c>
      <x:c r="D46" s="166" t="n">
        <x:f>$X$7</x:f>
        <x:v>1</x:v>
      </x:c>
      <x:c r="E46" s="166" t="n">
        <x:f>$Y$7</x:f>
        <x:v>0</x:v>
      </x:c>
      <x:c r="F46" s="166" t="n">
        <x:f>$Z$7</x:f>
        <x:v>0</x:v>
      </x:c>
      <x:c r="G46" s="176" t="n">
        <x:f>P45</x:f>
        <x:v>0.2</x:v>
      </x:c>
      <x:c r="H46" s="176" t="n">
        <x:f>Q45</x:f>
        <x:v>0.1</x:v>
      </x:c>
      <x:c r="I46" s="176" t="n">
        <x:f>R45</x:f>
        <x:v>-0.30000000000000004</x:v>
      </x:c>
      <x:c r="J46" s="176" t="n">
        <x:f>D46*G46+E46*H46+I46</x:f>
        <x:v>-0.10000000000000003</x:v>
      </x:c>
      <x:c r="K46" s="176" t="n">
        <x:f>IF(J46&gt;=0,1,0)</x:f>
        <x:v>0</x:v>
      </x:c>
      <x:c r="L46" s="176" t="n">
        <x:f>F46-K46</x:f>
        <x:v>0</x:v>
      </x:c>
      <x:c r="M46" s="177" t="n">
        <x:f>$B$4*L46*D46</x:f>
        <x:v>0</x:v>
      </x:c>
      <x:c r="N46" s="177" t="n">
        <x:f>$B$4*L46*E46</x:f>
        <x:v>0</x:v>
      </x:c>
      <x:c r="O46" s="177" t="n">
        <x:f>$B$4*L46</x:f>
        <x:v>0</x:v>
      </x:c>
      <x:c r="P46" s="178" t="n">
        <x:f>G46+M46</x:f>
        <x:v>0.2</x:v>
      </x:c>
      <x:c r="Q46" s="178" t="n">
        <x:f>H46+N46</x:f>
        <x:v>0.1</x:v>
      </x:c>
      <x:c r="R46" s="178" t="n">
        <x:f>I46+O46</x:f>
        <x:v>-0.30000000000000004</x:v>
      </x:c>
      <x:c r="S46" s="182" t="n">
        <x:f>IF(K46=F46,1,0)</x:f>
        <x:v>1</x:v>
      </x:c>
      <x:c r="T46" s="182" t="n">
        <x:f>ABS(L46)</x:f>
        <x:v>0</x:v>
      </x:c>
      <x:c r="W46" s="114" t="n">
        <x:f>W6</x:f>
        <x:v>2</x:v>
      </x:c>
      <x:c r="X46" s="114" t="n">
        <x:f>X6</x:f>
        <x:v>0</x:v>
      </x:c>
      <x:c r="Y46" s="114" t="n">
        <x:f>Y6</x:f>
        <x:v>1</x:v>
      </x:c>
      <x:c r="Z46" s="114" t="n">
        <x:f>Z6</x:f>
        <x:v>0</x:v>
      </x:c>
      <x:c r="AA46" s="178" t="n">
        <x:f>X46*$P$51+Y46*$Q$51+$R$51</x:f>
        <x:v>-0.20000000000000004</x:v>
      </x:c>
      <x:c r="AB46" s="172" t="n">
        <x:f>IF(AA46&gt;=0,1,0)</x:f>
        <x:v>0</x:v>
      </x:c>
      <x:c r="AC46" s="172" t="n">
        <x:f>IF(AB46=Z46,1,0)</x:f>
        <x:v>1</x:v>
      </x:c>
    </x:row>
    <x:row r="47">
      <x:c r="A47" s="114" t="n">
        <x:v>36</x:v>
      </x:c>
      <x:c r="B47" s="114" t="n">
        <x:v>9</x:v>
      </x:c>
      <x:c r="C47" s="114" t="n">
        <x:v>4</x:v>
      </x:c>
      <x:c r="D47" s="166" t="n">
        <x:f>$X$8</x:f>
        <x:v>1</x:v>
      </x:c>
      <x:c r="E47" s="166" t="n">
        <x:f>$Y$8</x:f>
        <x:v>1</x:v>
      </x:c>
      <x:c r="F47" s="166" t="n">
        <x:f>$Z$8</x:f>
        <x:v>1</x:v>
      </x:c>
      <x:c r="G47" s="176" t="n">
        <x:f>P46</x:f>
        <x:v>0.2</x:v>
      </x:c>
      <x:c r="H47" s="176" t="n">
        <x:f>Q46</x:f>
        <x:v>0.1</x:v>
      </x:c>
      <x:c r="I47" s="176" t="n">
        <x:f>R46</x:f>
        <x:v>-0.30000000000000004</x:v>
      </x:c>
      <x:c r="J47" s="176" t="n">
        <x:f>D47*G47+E47*H47+I47</x:f>
        <x:v>0</x:v>
      </x:c>
      <x:c r="K47" s="176" t="n">
        <x:f>IF(J47&gt;=0,1,0)</x:f>
        <x:v>1</x:v>
      </x:c>
      <x:c r="L47" s="176" t="n">
        <x:f>F47-K47</x:f>
        <x:v>0</x:v>
      </x:c>
      <x:c r="M47" s="177" t="n">
        <x:f>$B$4*L47*D47</x:f>
        <x:v>0</x:v>
      </x:c>
      <x:c r="N47" s="177" t="n">
        <x:f>$B$4*L47*E47</x:f>
        <x:v>0</x:v>
      </x:c>
      <x:c r="O47" s="177" t="n">
        <x:f>$B$4*L47</x:f>
        <x:v>0</x:v>
      </x:c>
      <x:c r="P47" s="178" t="n">
        <x:f>G47+M47</x:f>
        <x:v>0.2</x:v>
      </x:c>
      <x:c r="Q47" s="178" t="n">
        <x:f>H47+N47</x:f>
        <x:v>0.1</x:v>
      </x:c>
      <x:c r="R47" s="178" t="n">
        <x:f>I47+O47</x:f>
        <x:v>-0.30000000000000004</x:v>
      </x:c>
      <x:c r="S47" s="182" t="n">
        <x:f>IF(K47=F47,1,0)</x:f>
        <x:v>1</x:v>
      </x:c>
      <x:c r="T47" s="182" t="n">
        <x:f>ABS(L47)</x:f>
        <x:v>0</x:v>
      </x:c>
      <x:c r="W47" s="114" t="n">
        <x:f>W7</x:f>
        <x:v>3</x:v>
      </x:c>
      <x:c r="X47" s="114" t="n">
        <x:f>X7</x:f>
        <x:v>1</x:v>
      </x:c>
      <x:c r="Y47" s="114" t="n">
        <x:f>Y7</x:f>
        <x:v>0</x:v>
      </x:c>
      <x:c r="Z47" s="114" t="n">
        <x:f>Z7</x:f>
        <x:v>0</x:v>
      </x:c>
      <x:c r="AA47" s="178" t="n">
        <x:f>X47*$P$51+Y47*$Q$51+$R$51</x:f>
        <x:v>-0.10000000000000003</x:v>
      </x:c>
      <x:c r="AB47" s="172" t="n">
        <x:f>IF(AA47&gt;=0,1,0)</x:f>
        <x:v>0</x:v>
      </x:c>
      <x:c r="AC47" s="172" t="n">
        <x:f>IF(AB47=Z47,1,0)</x:f>
        <x:v>1</x:v>
      </x:c>
    </x:row>
    <x:row r="48">
      <x:c r="A48" s="114" t="n">
        <x:v>37</x:v>
      </x:c>
      <x:c r="B48" s="114" t="n">
        <x:v>10</x:v>
      </x:c>
      <x:c r="C48" s="114" t="n">
        <x:v>1</x:v>
      </x:c>
      <x:c r="D48" s="166" t="n">
        <x:f>$X$5</x:f>
        <x:v>0</x:v>
      </x:c>
      <x:c r="E48" s="166" t="n">
        <x:f>$Y$5</x:f>
        <x:v>0</x:v>
      </x:c>
      <x:c r="F48" s="166" t="n">
        <x:f>$Z$5</x:f>
        <x:v>0</x:v>
      </x:c>
      <x:c r="G48" s="176" t="n">
        <x:f>P47</x:f>
        <x:v>0.2</x:v>
      </x:c>
      <x:c r="H48" s="176" t="n">
        <x:f>Q47</x:f>
        <x:v>0.1</x:v>
      </x:c>
      <x:c r="I48" s="176" t="n">
        <x:f>R47</x:f>
        <x:v>-0.30000000000000004</x:v>
      </x:c>
      <x:c r="J48" s="176" t="n">
        <x:f>D48*G48+E48*H48+I48</x:f>
        <x:v>-0.30000000000000004</x:v>
      </x:c>
      <x:c r="K48" s="176" t="n">
        <x:f>IF(J48&gt;=0,1,0)</x:f>
        <x:v>0</x:v>
      </x:c>
      <x:c r="L48" s="176" t="n">
        <x:f>F48-K48</x:f>
        <x:v>0</x:v>
      </x:c>
      <x:c r="M48" s="177" t="n">
        <x:f>$B$4*L48*D48</x:f>
        <x:v>0</x:v>
      </x:c>
      <x:c r="N48" s="177" t="n">
        <x:f>$B$4*L48*E48</x:f>
        <x:v>0</x:v>
      </x:c>
      <x:c r="O48" s="177" t="n">
        <x:f>$B$4*L48</x:f>
        <x:v>0</x:v>
      </x:c>
      <x:c r="P48" s="178" t="n">
        <x:f>G48+M48</x:f>
        <x:v>0.2</x:v>
      </x:c>
      <x:c r="Q48" s="178" t="n">
        <x:f>H48+N48</x:f>
        <x:v>0.1</x:v>
      </x:c>
      <x:c r="R48" s="178" t="n">
        <x:f>I48+O48</x:f>
        <x:v>-0.30000000000000004</x:v>
      </x:c>
      <x:c r="S48" s="182" t="n">
        <x:f>IF(K48=F48,1,0)</x:f>
        <x:v>1</x:v>
      </x:c>
      <x:c r="T48" s="182" t="n">
        <x:f>ABS(L48)</x:f>
        <x:v>0</x:v>
      </x:c>
      <x:c r="W48" s="114" t="n">
        <x:f>W8</x:f>
        <x:v>4</x:v>
      </x:c>
      <x:c r="X48" s="114" t="n">
        <x:f>X8</x:f>
        <x:v>1</x:v>
      </x:c>
      <x:c r="Y48" s="114" t="n">
        <x:f>Y8</x:f>
        <x:v>1</x:v>
      </x:c>
      <x:c r="Z48" s="114" t="n">
        <x:f>Z8</x:f>
        <x:v>1</x:v>
      </x:c>
      <x:c r="AA48" s="178" t="n">
        <x:f>X48*$P$51+Y48*$Q$51+$R$51</x:f>
        <x:v>0</x:v>
      </x:c>
      <x:c r="AB48" s="172" t="n">
        <x:f>IF(AA48&gt;=0,1,0)</x:f>
        <x:v>1</x:v>
      </x:c>
      <x:c r="AC48" s="172" t="n">
        <x:f>IF(AB48=Z48,1,0)</x:f>
        <x:v>1</x:v>
      </x:c>
    </x:row>
    <x:row r="49">
      <x:c r="A49" s="114" t="n">
        <x:v>38</x:v>
      </x:c>
      <x:c r="B49" s="114" t="n">
        <x:v>10</x:v>
      </x:c>
      <x:c r="C49" s="114" t="n">
        <x:v>2</x:v>
      </x:c>
      <x:c r="D49" s="166" t="n">
        <x:f>$X$6</x:f>
        <x:v>0</x:v>
      </x:c>
      <x:c r="E49" s="166" t="n">
        <x:f>$Y$6</x:f>
        <x:v>1</x:v>
      </x:c>
      <x:c r="F49" s="166" t="n">
        <x:f>$Z$6</x:f>
        <x:v>0</x:v>
      </x:c>
      <x:c r="G49" s="176" t="n">
        <x:f>P48</x:f>
        <x:v>0.2</x:v>
      </x:c>
      <x:c r="H49" s="176" t="n">
        <x:f>Q48</x:f>
        <x:v>0.1</x:v>
      </x:c>
      <x:c r="I49" s="176" t="n">
        <x:f>R48</x:f>
        <x:v>-0.30000000000000004</x:v>
      </x:c>
      <x:c r="J49" s="176" t="n">
        <x:f>D49*G49+E49*H49+I49</x:f>
        <x:v>-0.20000000000000004</x:v>
      </x:c>
      <x:c r="K49" s="176" t="n">
        <x:f>IF(J49&gt;=0,1,0)</x:f>
        <x:v>0</x:v>
      </x:c>
      <x:c r="L49" s="176" t="n">
        <x:f>F49-K49</x:f>
        <x:v>0</x:v>
      </x:c>
      <x:c r="M49" s="177" t="n">
        <x:f>$B$4*L49*D49</x:f>
        <x:v>0</x:v>
      </x:c>
      <x:c r="N49" s="177" t="n">
        <x:f>$B$4*L49*E49</x:f>
        <x:v>0</x:v>
      </x:c>
      <x:c r="O49" s="177" t="n">
        <x:f>$B$4*L49</x:f>
        <x:v>0</x:v>
      </x:c>
      <x:c r="P49" s="178" t="n">
        <x:f>G49+M49</x:f>
        <x:v>0.2</x:v>
      </x:c>
      <x:c r="Q49" s="178" t="n">
        <x:f>H49+N49</x:f>
        <x:v>0.1</x:v>
      </x:c>
      <x:c r="R49" s="178" t="n">
        <x:f>I49+O49</x:f>
        <x:v>-0.30000000000000004</x:v>
      </x:c>
      <x:c r="S49" s="182" t="n">
        <x:f>IF(K49=F49,1,0)</x:f>
        <x:v>1</x:v>
      </x:c>
      <x:c r="T49" s="182" t="n">
        <x:f>ABS(L49)</x:f>
        <x:v>0</x:v>
      </x:c>
    </x:row>
    <x:row r="50">
      <x:c r="A50" s="114" t="n">
        <x:v>39</x:v>
      </x:c>
      <x:c r="B50" s="114" t="n">
        <x:v>10</x:v>
      </x:c>
      <x:c r="C50" s="114" t="n">
        <x:v>3</x:v>
      </x:c>
      <x:c r="D50" s="166" t="n">
        <x:f>$X$7</x:f>
        <x:v>1</x:v>
      </x:c>
      <x:c r="E50" s="166" t="n">
        <x:f>$Y$7</x:f>
        <x:v>0</x:v>
      </x:c>
      <x:c r="F50" s="166" t="n">
        <x:f>$Z$7</x:f>
        <x:v>0</x:v>
      </x:c>
      <x:c r="G50" s="176" t="n">
        <x:f>P49</x:f>
        <x:v>0.2</x:v>
      </x:c>
      <x:c r="H50" s="176" t="n">
        <x:f>Q49</x:f>
        <x:v>0.1</x:v>
      </x:c>
      <x:c r="I50" s="176" t="n">
        <x:f>R49</x:f>
        <x:v>-0.30000000000000004</x:v>
      </x:c>
      <x:c r="J50" s="176" t="n">
        <x:f>D50*G50+E50*H50+I50</x:f>
        <x:v>-0.10000000000000003</x:v>
      </x:c>
      <x:c r="K50" s="176" t="n">
        <x:f>IF(J50&gt;=0,1,0)</x:f>
        <x:v>0</x:v>
      </x:c>
      <x:c r="L50" s="176" t="n">
        <x:f>F50-K50</x:f>
        <x:v>0</x:v>
      </x:c>
      <x:c r="M50" s="177" t="n">
        <x:f>$B$4*L50*D50</x:f>
        <x:v>0</x:v>
      </x:c>
      <x:c r="N50" s="177" t="n">
        <x:f>$B$4*L50*E50</x:f>
        <x:v>0</x:v>
      </x:c>
      <x:c r="O50" s="177" t="n">
        <x:f>$B$4*L50</x:f>
        <x:v>0</x:v>
      </x:c>
      <x:c r="P50" s="178" t="n">
        <x:f>G50+M50</x:f>
        <x:v>0.2</x:v>
      </x:c>
      <x:c r="Q50" s="178" t="n">
        <x:f>H50+N50</x:f>
        <x:v>0.1</x:v>
      </x:c>
      <x:c r="R50" s="178" t="n">
        <x:f>I50+O50</x:f>
        <x:v>-0.30000000000000004</x:v>
      </x:c>
      <x:c r="S50" s="182" t="n">
        <x:f>IF(K50=F50,1,0)</x:f>
        <x:v>1</x:v>
      </x:c>
      <x:c r="T50" s="182" t="n">
        <x:f>ABS(L50)</x:f>
        <x:v>0</x:v>
      </x:c>
    </x:row>
    <x:row r="51">
      <x:c r="A51" s="114" t="n">
        <x:v>40</x:v>
      </x:c>
      <x:c r="B51" s="114" t="n">
        <x:v>10</x:v>
      </x:c>
      <x:c r="C51" s="114" t="n">
        <x:v>4</x:v>
      </x:c>
      <x:c r="D51" s="166" t="n">
        <x:f>$X$8</x:f>
        <x:v>1</x:v>
      </x:c>
      <x:c r="E51" s="166" t="n">
        <x:f>$Y$8</x:f>
        <x:v>1</x:v>
      </x:c>
      <x:c r="F51" s="166" t="n">
        <x:f>$Z$8</x:f>
        <x:v>1</x:v>
      </x:c>
      <x:c r="G51" s="176" t="n">
        <x:f>P50</x:f>
        <x:v>0.2</x:v>
      </x:c>
      <x:c r="H51" s="176" t="n">
        <x:f>Q50</x:f>
        <x:v>0.1</x:v>
      </x:c>
      <x:c r="I51" s="176" t="n">
        <x:f>R50</x:f>
        <x:v>-0.30000000000000004</x:v>
      </x:c>
      <x:c r="J51" s="176" t="n">
        <x:f>D51*G51+E51*H51+I51</x:f>
        <x:v>0</x:v>
      </x:c>
      <x:c r="K51" s="176" t="n">
        <x:f>IF(J51&gt;=0,1,0)</x:f>
        <x:v>1</x:v>
      </x:c>
      <x:c r="L51" s="176" t="n">
        <x:f>F51-K51</x:f>
        <x:v>0</x:v>
      </x:c>
      <x:c r="M51" s="177" t="n">
        <x:f>$B$4*L51*D51</x:f>
        <x:v>0</x:v>
      </x:c>
      <x:c r="N51" s="177" t="n">
        <x:f>$B$4*L51*E51</x:f>
        <x:v>0</x:v>
      </x:c>
      <x:c r="O51" s="177" t="n">
        <x:f>$B$4*L51</x:f>
        <x:v>0</x:v>
      </x:c>
      <x:c r="P51" s="178" t="n">
        <x:f>G51+M51</x:f>
        <x:v>0.2</x:v>
      </x:c>
      <x:c r="Q51" s="178" t="n">
        <x:f>H51+N51</x:f>
        <x:v>0.1</x:v>
      </x:c>
      <x:c r="R51" s="178" t="n">
        <x:f>I51+O51</x:f>
        <x:v>-0.30000000000000004</x:v>
      </x:c>
      <x:c r="S51" s="182" t="n">
        <x:f>IF(K51=F51,1,0)</x:f>
        <x:v>1</x:v>
      </x:c>
      <x:c r="T51" s="182" t="n">
        <x:f>ABS(L51)</x:f>
        <x:v>0</x:v>
      </x:c>
    </x:row>
  </x:sheetData>
  <x:mergeCells>
    <x:mergeCell ref="A1:AE1"/>
    <x:mergeCell ref="A3:D3"/>
    <x:mergeCell ref="W3:Z3"/>
    <x:mergeCell ref="A10:T10"/>
    <x:mergeCell ref="W10:AB10"/>
    <x:mergeCell ref="W43:AC43"/>
  </x:mergeCells>
  <x:conditionalFormatting sqref="S12:S51">
    <x:cfRule type="cellIs" dxfId="0" priority="1">
      <x:formula>1</x:formula>
    </x:cfRule>
    <x:cfRule type="cellIs" dxfId="1" priority="2">
      <x:formula>0</x:formula>
    </x:cfRule>
  </x:conditionalFormatting>
  <x:dataValidations count="1">
    <x:dataValidation type="list" sqref="Z5:Z8">
      <x:formula1>"0,1"</x:formula1>
    </x:dataValidation>
  </x:dataValidations>
  <x:pageMargins left="0.7" right="0.7" top="0.75" bottom="0.75" header="0.3" footer="0.3"/>
  <x:drawing xmlns:r="http://schemas.openxmlformats.org/officeDocument/2006/relationships" r:id="R4c6bf2b42de8489e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" hidden="0" customWidth="1"/>
    <x:col min="3" max="3" width="24" hidden="0" customWidth="1"/>
    <x:col min="4" max="4" width="4" hidden="0" customWidth="1"/>
    <x:col min="5" max="5" width="15" hidden="0" customWidth="1"/>
    <x:col min="6" max="6" width="9" hidden="0" customWidth="1"/>
    <x:col min="7" max="7" width="13" hidden="0" customWidth="1"/>
    <x:col min="8" max="8" width="27" hidden="0" customWidth="1"/>
    <x:col min="9" max="9" width="16" hidden="0" customWidth="1"/>
    <x:col min="10" max="10" width="27" hidden="0" customWidth="1"/>
  </x:cols>
  <x:sheetData>
    <x:row r="1" ht="34" customHeight="1">
      <x:c r="A1" s="12" t="str">
        <x:v>MLP 2–2–1: Forward Propagation แบบคำนวณทุกพจน์</x:v>
      </x:c>
      <x:c r="B1" s="13"/>
      <x:c r="C1" s="13"/>
      <x:c r="D1" s="13"/>
      <x:c r="E1" s="13"/>
      <x:c r="F1" s="13"/>
      <x:c r="G1" s="13"/>
      <x:c r="H1" s="13"/>
      <x:c r="I1" s="13"/>
      <x:c r="J1" s="14"/>
    </x:row>
    <x:row r="3">
      <x:c r="A3" s="188" t="str">
        <x:v>โครงสร้าง: 2 Inputs → 2 Hidden Neurons (Sigmoid) → 1 Output Neuron (Sigmoid), Loss = ½(t−ŷ)²</x:v>
      </x:c>
      <x:c r="B3" s="188"/>
      <x:c r="C3" s="188"/>
      <x:c r="D3" s="188"/>
      <x:c r="E3" s="188"/>
      <x:c r="F3" s="188"/>
      <x:c r="G3" s="188"/>
      <x:c r="H3" s="188"/>
      <x:c r="I3" s="188"/>
      <x:c r="J3" s="188"/>
    </x:row>
    <x:row r="5" ht="24" customHeight="1">
      <x:c r="A5" s="48" t="str">
        <x:v>1) Input และค่าการเรียนรู้</x:v>
      </x:c>
      <x:c r="B5" s="49"/>
      <x:c r="C5" s="50"/>
      <x:c r="E5" s="48" t="str">
        <x:v>4) Forward Pass ตามลำดับ</x:v>
      </x:c>
      <x:c r="F5" s="49"/>
      <x:c r="G5" s="49"/>
      <x:c r="H5" s="49"/>
      <x:c r="I5" s="49"/>
      <x:c r="J5" s="50"/>
    </x:row>
    <x:row r="6">
      <x:c r="A6" s="104" t="str">
        <x:v>ตัวแปร</x:v>
      </x:c>
      <x:c r="B6" s="104" t="str">
        <x:v>ค่า</x:v>
      </x:c>
      <x:c r="C6" s="104" t="str">
        <x:v>ความหมาย</x:v>
      </x:c>
      <x:c r="E6" s="104" t="str">
        <x:v>Layer</x:v>
      </x:c>
      <x:c r="F6" s="104" t="str">
        <x:v>ลำดับ</x:v>
      </x:c>
      <x:c r="G6" s="104" t="str">
        <x:v>สัญลักษณ์</x:v>
      </x:c>
      <x:c r="H6" s="104" t="str">
        <x:v>การคำนวณ</x:v>
      </x:c>
      <x:c r="I6" s="104" t="str">
        <x:v>ผลลัพธ์</x:v>
      </x:c>
      <x:c r="J6" s="104" t="str">
        <x:v>ความหมาย</x:v>
      </x:c>
    </x:row>
    <x:row r="7">
      <x:c r="A7" s="120" t="str">
        <x:v>x₁</x:v>
      </x:c>
      <x:c r="B7" s="66" t="n">
        <x:v>0</x:v>
      </x:c>
      <x:c r="C7" s="120" t="str">
        <x:v>Input 1</x:v>
      </x:c>
      <x:c r="E7" s="120" t="str">
        <x:v>Hidden h₁</x:v>
      </x:c>
      <x:c r="F7" s="120" t="n">
        <x:v>1</x:v>
      </x:c>
      <x:c r="G7" s="120" t="str">
        <x:v>x₁w₁₁</x:v>
      </x:c>
      <x:c r="H7" s="120" t="str">
        <x:v>x₁ × w(x₁→h₁)</x:v>
      </x:c>
      <x:c r="I7" s="134" t="n">
        <x:f>$B$7*$B$14</x:f>
        <x:v>0</x:v>
      </x:c>
      <x:c r="J7" s="120" t="str">
        <x:v>Contribution จาก x₁</x:v>
      </x:c>
    </x:row>
    <x:row r="8">
      <x:c r="A8" s="120" t="str">
        <x:v>x₂</x:v>
      </x:c>
      <x:c r="B8" s="66" t="n">
        <x:v>1</x:v>
      </x:c>
      <x:c r="C8" s="120" t="str">
        <x:v>Input 2</x:v>
      </x:c>
      <x:c r="E8" s="120" t="str">
        <x:v>Hidden h₁</x:v>
      </x:c>
      <x:c r="F8" s="120" t="n">
        <x:v>2</x:v>
      </x:c>
      <x:c r="G8" s="120" t="str">
        <x:v>x₂w₂₁</x:v>
      </x:c>
      <x:c r="H8" s="120" t="str">
        <x:v>x₂ × w(x₂→h₁)</x:v>
      </x:c>
      <x:c r="I8" s="134" t="n">
        <x:f>$B$8*$B$15</x:f>
        <x:v>-1.19</x:v>
      </x:c>
      <x:c r="J8" s="120" t="str">
        <x:v>Contribution จาก x₂</x:v>
      </x:c>
    </x:row>
    <x:row r="9">
      <x:c r="A9" s="120" t="str">
        <x:v>Target (t)</x:v>
      </x:c>
      <x:c r="B9" s="66" t="n">
        <x:v>1</x:v>
      </x:c>
      <x:c r="C9" s="120" t="str">
        <x:v>ค่าที่ต้องการ</x:v>
      </x:c>
      <x:c r="E9" s="120" t="str">
        <x:v>Hidden h₁</x:v>
      </x:c>
      <x:c r="F9" s="120" t="n">
        <x:v>3</x:v>
      </x:c>
      <x:c r="G9" s="120" t="str">
        <x:v>bₕ₁</x:v>
      </x:c>
      <x:c r="H9" s="120" t="str">
        <x:v>Bias h₁</x:v>
      </x:c>
      <x:c r="I9" s="134" t="n">
        <x:f>$B$16</x:f>
        <x:v>-1.18</x:v>
      </x:c>
      <x:c r="J9" s="120" t="str">
        <x:v>Bias</x:v>
      </x:c>
    </x:row>
    <x:row r="10">
      <x:c r="A10" s="120" t="str">
        <x:v>Learning rate (η)</x:v>
      </x:c>
      <x:c r="B10" s="132" t="n">
        <x:v>1</x:v>
      </x:c>
      <x:c r="C10" s="120" t="str">
        <x:v>ใช้ในแผ่น Backprop</x:v>
      </x:c>
      <x:c r="E10" s="120" t="str">
        <x:v>Hidden h₁</x:v>
      </x:c>
      <x:c r="F10" s="120" t="n">
        <x:v>4</x:v>
      </x:c>
      <x:c r="G10" s="120" t="str">
        <x:v>zₕ₁</x:v>
      </x:c>
      <x:c r="H10" s="120" t="str">
        <x:v>ผลรวม 3 พจน์</x:v>
      </x:c>
      <x:c r="I10" s="134" t="n">
        <x:f>SUM(I7:I9)</x:f>
        <x:v>-2.37</x:v>
      </x:c>
      <x:c r="J10" s="120" t="str">
        <x:v>Net input h₁</x:v>
      </x:c>
    </x:row>
    <x:row r="11">
      <x:c r="E11" s="120" t="str">
        <x:v>Hidden h₁</x:v>
      </x:c>
      <x:c r="F11" s="120" t="n">
        <x:v>5</x:v>
      </x:c>
      <x:c r="G11" s="120" t="str">
        <x:v>h₁</x:v>
      </x:c>
      <x:c r="H11" s="120" t="str">
        <x:v>σ(zₕ₁)</x:v>
      </x:c>
      <x:c r="I11" s="134" t="n">
        <x:f>1/(1+EXP(-I10))</x:f>
        <x:v>0.08548913943480654</x:v>
      </x:c>
      <x:c r="J11" s="120" t="str">
        <x:v>Activation h₁</x:v>
      </x:c>
    </x:row>
    <x:row r="12" ht="24" customHeight="1">
      <x:c r="A12" s="48" t="str">
        <x:v>2) Weight Matrix: Input → Hidden</x:v>
      </x:c>
      <x:c r="B12" s="49"/>
      <x:c r="C12" s="50"/>
      <x:c r="E12" s="120" t="str">
        <x:v>Hidden h₂</x:v>
      </x:c>
      <x:c r="F12" s="120" t="n">
        <x:v>6</x:v>
      </x:c>
      <x:c r="G12" s="120" t="str">
        <x:v>x₁w₁₂</x:v>
      </x:c>
      <x:c r="H12" s="120" t="str">
        <x:v>x₁ × w(x₁→h₂)</x:v>
      </x:c>
      <x:c r="I12" s="134" t="n">
        <x:f>$B$7*$C$14</x:f>
        <x:v>0</x:v>
      </x:c>
      <x:c r="J12" s="120" t="str">
        <x:v>Contribution จาก x₁</x:v>
      </x:c>
    </x:row>
    <x:row r="13">
      <x:c r="A13" s="104" t="str">
        <x:v>จาก</x:v>
      </x:c>
      <x:c r="B13" s="104" t="str">
        <x:v>h₁</x:v>
      </x:c>
      <x:c r="C13" s="104" t="str">
        <x:v>h₂</x:v>
      </x:c>
      <x:c r="E13" s="120" t="str">
        <x:v>Hidden h₂</x:v>
      </x:c>
      <x:c r="F13" s="120" t="n">
        <x:v>7</x:v>
      </x:c>
      <x:c r="G13" s="120" t="str">
        <x:v>x₂w₂₂</x:v>
      </x:c>
      <x:c r="H13" s="120" t="str">
        <x:v>x₂ × w(x₂→h₂)</x:v>
      </x:c>
      <x:c r="I13" s="134" t="n">
        <x:f>$B$8*$C$15</x:f>
        <x:v>-1.77</x:v>
      </x:c>
      <x:c r="J13" s="120" t="str">
        <x:v>Contribution จาก x₂</x:v>
      </x:c>
    </x:row>
    <x:row r="14">
      <x:c r="A14" s="114" t="str">
        <x:v>x₁</x:v>
      </x:c>
      <x:c r="B14" s="190" t="n">
        <x:v>0.99</x:v>
      </x:c>
      <x:c r="C14" s="190" t="n">
        <x:v>0.4</x:v>
      </x:c>
      <x:c r="E14" s="120" t="str">
        <x:v>Hidden h₂</x:v>
      </x:c>
      <x:c r="F14" s="120" t="n">
        <x:v>8</x:v>
      </x:c>
      <x:c r="G14" s="120" t="str">
        <x:v>bₕ₂</x:v>
      </x:c>
      <x:c r="H14" s="120" t="str">
        <x:v>Bias h₂</x:v>
      </x:c>
      <x:c r="I14" s="134" t="n">
        <x:f>$C$16</x:f>
        <x:v>1.11</x:v>
      </x:c>
      <x:c r="J14" s="120" t="str">
        <x:v>Bias</x:v>
      </x:c>
    </x:row>
    <x:row r="15">
      <x:c r="A15" s="114" t="str">
        <x:v>x₂</x:v>
      </x:c>
      <x:c r="B15" s="190" t="n">
        <x:v>-1.19</x:v>
      </x:c>
      <x:c r="C15" s="190" t="n">
        <x:v>-1.77</x:v>
      </x:c>
      <x:c r="E15" s="120" t="str">
        <x:v>Hidden h₂</x:v>
      </x:c>
      <x:c r="F15" s="120" t="n">
        <x:v>9</x:v>
      </x:c>
      <x:c r="G15" s="120" t="str">
        <x:v>zₕ₂</x:v>
      </x:c>
      <x:c r="H15" s="120" t="str">
        <x:v>ผลรวม 3 พจน์</x:v>
      </x:c>
      <x:c r="I15" s="134" t="n">
        <x:f>SUM(I12:I14)</x:f>
        <x:v>-0.6599999999999999</x:v>
      </x:c>
      <x:c r="J15" s="120" t="str">
        <x:v>Net input h₂</x:v>
      </x:c>
    </x:row>
    <x:row r="16">
      <x:c r="A16" s="114" t="str">
        <x:v>Bias</x:v>
      </x:c>
      <x:c r="B16" s="190" t="n">
        <x:v>-1.18</x:v>
      </x:c>
      <x:c r="C16" s="190" t="n">
        <x:v>1.11</x:v>
      </x:c>
      <x:c r="E16" s="120" t="str">
        <x:v>Hidden h₂</x:v>
      </x:c>
      <x:c r="F16" s="120" t="n">
        <x:v>10</x:v>
      </x:c>
      <x:c r="G16" s="120" t="str">
        <x:v>h₂</x:v>
      </x:c>
      <x:c r="H16" s="120" t="str">
        <x:v>σ(zₕ₂)</x:v>
      </x:c>
      <x:c r="I16" s="134" t="n">
        <x:f>1/(1+EXP(-I15))</x:f>
        <x:v>0.3407396115486146</x:v>
      </x:c>
      <x:c r="J16" s="120" t="str">
        <x:v>Activation h₂</x:v>
      </x:c>
    </x:row>
    <x:row r="17">
      <x:c r="E17" s="120" t="str">
        <x:v>Output</x:v>
      </x:c>
      <x:c r="F17" s="120" t="n">
        <x:v>11</x:v>
      </x:c>
      <x:c r="G17" s="120" t="str">
        <x:v>h₁v₁</x:v>
      </x:c>
      <x:c r="H17" s="120" t="str">
        <x:v>h₁ × v₁</x:v>
      </x:c>
      <x:c r="I17" s="134" t="n">
        <x:f>I11*$B$20</x:f>
        <x:v>0.09061848780089495</x:v>
      </x:c>
      <x:c r="J17" s="120" t="str">
        <x:v>Contribution จาก h₁</x:v>
      </x:c>
    </x:row>
    <x:row r="18" ht="24" customHeight="1">
      <x:c r="A18" s="48" t="str">
        <x:v>3) Weight: Hidden → Output</x:v>
      </x:c>
      <x:c r="B18" s="49"/>
      <x:c r="C18" s="50"/>
      <x:c r="E18" s="120" t="str">
        <x:v>Output</x:v>
      </x:c>
      <x:c r="F18" s="120" t="n">
        <x:v>12</x:v>
      </x:c>
      <x:c r="G18" s="120" t="str">
        <x:v>h₂v₂</x:v>
      </x:c>
      <x:c r="H18" s="120" t="str">
        <x:v>h₂ × v₂</x:v>
      </x:c>
      <x:c r="I18" s="134" t="n">
        <x:f>I16*$B$21</x:f>
        <x:v>-0.6235534891339647</x:v>
      </x:c>
      <x:c r="J18" s="120" t="str">
        <x:v>Contribution จาก h₂</x:v>
      </x:c>
    </x:row>
    <x:row r="19">
      <x:c r="A19" s="104" t="str">
        <x:v>จาก</x:v>
      </x:c>
      <x:c r="B19" s="104" t="str">
        <x:v>Output</x:v>
      </x:c>
      <x:c r="C19" s="104" t="str">
        <x:v>Connection</x:v>
      </x:c>
      <x:c r="E19" s="120" t="str">
        <x:v>Output</x:v>
      </x:c>
      <x:c r="F19" s="120" t="n">
        <x:v>13</x:v>
      </x:c>
      <x:c r="G19" s="120" t="str">
        <x:v>bₒ</x:v>
      </x:c>
      <x:c r="H19" s="120" t="str">
        <x:v>Output bias</x:v>
      </x:c>
      <x:c r="I19" s="134" t="n">
        <x:f>$B$22</x:f>
        <x:v>0.73</x:v>
      </x:c>
      <x:c r="J19" s="120" t="str">
        <x:v>Bias</x:v>
      </x:c>
    </x:row>
    <x:row r="20">
      <x:c r="A20" s="120" t="str">
        <x:v>h₁</x:v>
      </x:c>
      <x:c r="B20" s="132" t="n">
        <x:v>1.06</x:v>
      </x:c>
      <x:c r="C20" s="120" t="str">
        <x:v>v₁</x:v>
      </x:c>
      <x:c r="E20" s="120" t="str">
        <x:v>Output</x:v>
      </x:c>
      <x:c r="F20" s="120" t="n">
        <x:v>14</x:v>
      </x:c>
      <x:c r="G20" s="120" t="str">
        <x:v>zₒ</x:v>
      </x:c>
      <x:c r="H20" s="120" t="str">
        <x:v>ผลรวม 3 พจน์</x:v>
      </x:c>
      <x:c r="I20" s="134" t="n">
        <x:f>SUM(I17:I19)</x:f>
        <x:v>0.19706499866693028</x:v>
      </x:c>
      <x:c r="J20" s="120" t="str">
        <x:v>Net input output</x:v>
      </x:c>
    </x:row>
    <x:row r="21">
      <x:c r="A21" s="120" t="str">
        <x:v>h₂</x:v>
      </x:c>
      <x:c r="B21" s="132" t="n">
        <x:v>-1.83</x:v>
      </x:c>
      <x:c r="C21" s="120" t="str">
        <x:v>v₂</x:v>
      </x:c>
      <x:c r="E21" s="120" t="str">
        <x:v>Output</x:v>
      </x:c>
      <x:c r="F21" s="120" t="n">
        <x:v>15</x:v>
      </x:c>
      <x:c r="G21" s="120" t="str">
        <x:v>ŷ</x:v>
      </x:c>
      <x:c r="H21" s="120" t="str">
        <x:v>σ(zₒ)</x:v>
      </x:c>
      <x:c r="I21" s="138" t="n">
        <x:f>1/(1+EXP(-I20))</x:f>
        <x:v>0.5491074300933888</x:v>
      </x:c>
      <x:c r="J21" s="120" t="str">
        <x:v>ค่าทำนายแบบต่อเนื่อง</x:v>
      </x:c>
    </x:row>
    <x:row r="22">
      <x:c r="A22" s="120" t="str">
        <x:v>Bias</x:v>
      </x:c>
      <x:c r="B22" s="132" t="n">
        <x:v>0.73</x:v>
      </x:c>
      <x:c r="C22" s="120" t="str">
        <x:v>bₒ</x:v>
      </x:c>
      <x:c r="E22" s="120" t="str">
        <x:v>Loss</x:v>
      </x:c>
      <x:c r="F22" s="120" t="n">
        <x:v>16</x:v>
      </x:c>
      <x:c r="G22" s="120" t="str">
        <x:v>L</x:v>
      </x:c>
      <x:c r="H22" s="120" t="str">
        <x:v>½(t−ŷ)²</x:v>
      </x:c>
      <x:c r="I22" s="138" t="n">
        <x:f>0.5*($B$9-I21)^2</x:f>
        <x:v>0.10165205479849414</x:v>
      </x:c>
      <x:c r="J22" s="120" t="str">
        <x:v>Squared Error</x:v>
      </x:c>
    </x:row>
    <x:row r="23">
      <x:c r="E23" s="120" t="str">
        <x:v>Evaluation</x:v>
      </x:c>
      <x:c r="F23" s="120" t="n">
        <x:v>17</x:v>
      </x:c>
      <x:c r="G23" s="120" t="str">
        <x:v>Class</x:v>
      </x:c>
      <x:c r="H23" s="120" t="str">
        <x:v>IF(ŷ≥0.5,1,0)</x:v>
      </x:c>
      <x:c r="I23" s="70" t="n">
        <x:f>IF(I21&gt;=0.5,1,0)</x:f>
        <x:v>1</x:v>
      </x:c>
      <x:c r="J23" s="120" t="str">
        <x:v>คลาสที่ทำนาย</x:v>
      </x:c>
    </x:row>
    <x:row r="24">
      <x:c r="E24" s="120" t="str">
        <x:v>Evaluation</x:v>
      </x:c>
      <x:c r="F24" s="120" t="n">
        <x:v>18</x:v>
      </x:c>
      <x:c r="G24" s="120" t="str">
        <x:v>Status</x:v>
      </x:c>
      <x:c r="H24" s="120" t="str">
        <x:v>เทียบ Prediction กับ Target</x:v>
      </x:c>
      <x:c r="I24" s="70" t="str">
        <x:f>IF(I23=$B$9,"จำแนกถูก","จำแนกผิด")</x:f>
        <x:v>จำแนกถูก</x:v>
      </x:c>
      <x:c r="J24" s="120" t="str">
        <x:v>ผลการจำแนก</x:v>
      </x:c>
    </x:row>
    <x:row r="25">
      <x:c r="A25" s="198" t="str">
        <x:v>ลำดับสำคัญ: ต้องเก็บค่า h₁ และ h₂ จาก Forward Pass ไว้ เพราะ Backpropagation จะนำ activation เหล่านี้ไปคำนวณ gradient ของ weight ชั้น Output และ Hidden</x:v>
      </x:c>
      <x:c r="B25" s="199"/>
      <x:c r="C25" s="199"/>
      <x:c r="D25" s="199"/>
      <x:c r="E25" s="199"/>
      <x:c r="F25" s="199"/>
      <x:c r="G25" s="199"/>
      <x:c r="H25" s="199"/>
      <x:c r="I25" s="199"/>
      <x:c r="J25" s="200"/>
    </x:row>
    <x:row r="26">
      <x:c r="A26" s="201"/>
      <x:c r="B26" s="194"/>
      <x:c r="C26" s="194"/>
      <x:c r="D26" s="194"/>
      <x:c r="E26" s="194"/>
      <x:c r="F26" s="194"/>
      <x:c r="G26" s="194"/>
      <x:c r="H26" s="194"/>
      <x:c r="I26" s="194"/>
      <x:c r="J26" s="202"/>
    </x:row>
    <x:row r="27">
      <x:c r="A27" s="201"/>
      <x:c r="B27" s="194"/>
      <x:c r="C27" s="194"/>
      <x:c r="D27" s="194"/>
      <x:c r="E27" s="194"/>
      <x:c r="F27" s="194"/>
      <x:c r="G27" s="194"/>
      <x:c r="H27" s="194"/>
      <x:c r="I27" s="194"/>
      <x:c r="J27" s="202"/>
    </x:row>
    <x:row r="28">
      <x:c r="A28" s="203"/>
      <x:c r="B28" s="204"/>
      <x:c r="C28" s="204"/>
      <x:c r="D28" s="204"/>
      <x:c r="E28" s="204"/>
      <x:c r="F28" s="204"/>
      <x:c r="G28" s="204"/>
      <x:c r="H28" s="204"/>
      <x:c r="I28" s="204"/>
      <x:c r="J28" s="205"/>
    </x:row>
  </x:sheetData>
  <x:mergeCells>
    <x:mergeCell ref="A1:J1"/>
    <x:mergeCell ref="A3:J3"/>
    <x:mergeCell ref="A5:C5"/>
    <x:mergeCell ref="A12:C12"/>
    <x:mergeCell ref="A18:C18"/>
    <x:mergeCell ref="E5:J5"/>
    <x:mergeCell ref="A25:J28"/>
  </x:mergeCells>
  <x:dataValidations count="1">
    <x:dataValidation type="list" sqref="B7:B9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8" hidden="0" customWidth="1"/>
    <x:col min="4" max="4" width="16" hidden="0" customWidth="1"/>
    <x:col min="5" max="5" width="25" hidden="0" customWidth="1"/>
    <x:col min="6" max="6" width="25" hidden="0" customWidth="1"/>
    <x:col min="7" max="7" width="3" hidden="0" customWidth="1"/>
    <x:col min="8" max="8" width="13" hidden="0" customWidth="1"/>
    <x:col min="9" max="9" width="17" hidden="0" customWidth="1"/>
    <x:col min="10" max="10" width="14" hidden="0" customWidth="1"/>
    <x:col min="11" max="11" width="16" hidden="0" customWidth="1"/>
    <x:col min="12" max="12" width="20" hidden="0" customWidth="1"/>
    <x:col min="13" max="13" width="20" hidden="0" customWidth="1"/>
    <x:col min="14" max="14" width="22" hidden="0" customWidth="1"/>
  </x:cols>
  <x:sheetData>
    <x:row r="1" ht="34" customHeight="1">
      <x:c r="A1" s="12" t="str">
        <x:v>MLP Backpropagation: Chain Rule → Gradient → Gradient Descent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4"/>
    </x:row>
    <x:row r="3">
      <x:c r="A3" s="188" t="str">
        <x:v>ทุกค่าบนแผ่นนี้อ้างอิงจาก 03_MLP_Forward โดย Backpropagation ทำหน้าที่คำนวณ gradient ส่วน Gradient Descent ใช้ gradient เพื่ออัปเดต parameter</x:v>
      </x:c>
      <x:c r="B3" s="188"/>
      <x:c r="C3" s="188"/>
      <x:c r="D3" s="188"/>
      <x:c r="E3" s="188"/>
      <x:c r="F3" s="188"/>
      <x:c r="G3" s="188"/>
      <x:c r="H3" s="188"/>
      <x:c r="I3" s="188"/>
      <x:c r="J3" s="188"/>
      <x:c r="K3" s="188"/>
      <x:c r="L3" s="188"/>
      <x:c r="M3" s="188"/>
      <x:c r="N3" s="188"/>
    </x:row>
    <x:row r="5" ht="24" customHeight="1">
      <x:c r="A5" s="48" t="str">
        <x:v>1) Output Layer: หา δₒ และ Gradient</x:v>
      </x:c>
      <x:c r="B5" s="49"/>
      <x:c r="C5" s="49"/>
      <x:c r="D5" s="49"/>
      <x:c r="E5" s="49"/>
      <x:c r="F5" s="50"/>
      <x:c r="H5" s="48" t="str">
        <x:v>4) Gradient Descent: อัปเดต Parameter ทั้งหมด</x:v>
      </x:c>
      <x:c r="I5" s="49"/>
      <x:c r="J5" s="49"/>
      <x:c r="K5" s="49"/>
      <x:c r="L5" s="49"/>
      <x:c r="M5" s="49"/>
      <x:c r="N5" s="50"/>
    </x:row>
    <x:row r="6">
      <x:c r="A6" s="104" t="str">
        <x:v>Step</x:v>
      </x:c>
      <x:c r="B6" s="104" t="str">
        <x:v>Quantity</x:v>
      </x:c>
      <x:c r="C6" s="104" t="str">
        <x:v>สูตร</x:v>
      </x:c>
      <x:c r="D6" s="104" t="str">
        <x:v>ผลลัพธ์</x:v>
      </x:c>
      <x:c r="E6" s="104" t="str">
        <x:v>แหล่งค่า</x:v>
      </x:c>
      <x:c r="F6" s="104" t="str">
        <x:v>ความหมาย</x:v>
      </x:c>
      <x:c r="H6" s="104" t="str">
        <x:v>Parameter</x:v>
      </x:c>
      <x:c r="I6" s="104" t="str">
        <x:v>Connection</x:v>
      </x:c>
      <x:c r="J6" s="104" t="str">
        <x:v>ค่าเดิม</x:v>
      </x:c>
      <x:c r="K6" s="104" t="str">
        <x:v>Gradient</x:v>
      </x:c>
      <x:c r="L6" s="104" t="str">
        <x:v>Δθ=−η×Gradient</x:v>
      </x:c>
      <x:c r="M6" s="104" t="str">
        <x:v>ค่าใหม่</x:v>
      </x:c>
      <x:c r="N6" s="104" t="str">
        <x:v>หมายเหตุ</x:v>
      </x:c>
    </x:row>
    <x:row r="7">
      <x:c r="A7" s="120" t="n">
        <x:v>1</x:v>
      </x:c>
      <x:c r="B7" s="120" t="str">
        <x:v>ŷ</x:v>
      </x:c>
      <x:c r="C7" s="120" t="str">
        <x:v>Forward output</x:v>
      </x:c>
      <x:c r="D7" s="134" t="n">
        <x:f>'03_MLP_Forward'!I21</x:f>
        <x:v>0.5491074300933888</x:v>
      </x:c>
      <x:c r="E7" s="120" t="str">
        <x:v>03_MLP_Forward!I21</x:v>
      </x:c>
      <x:c r="F7" s="120" t="str">
        <x:v>ค่าทำนาย</x:v>
      </x:c>
      <x:c r="H7" s="120" t="str">
        <x:v>w₁₁</x:v>
      </x:c>
      <x:c r="I7" s="120" t="str">
        <x:v>x₁→h₁</x:v>
      </x:c>
      <x:c r="J7" s="134" t="n">
        <x:f>'03_MLP_Forward'!$B$14</x:f>
        <x:v>0.99</x:v>
      </x:c>
      <x:c r="K7" s="134" t="n">
        <x:f>D26</x:f>
        <x:v>0</x:v>
      </x:c>
      <x:c r="L7" s="137" t="n">
        <x:f>-'03_MLP_Forward'!$B$10*K7</x:f>
        <x:v>0</x:v>
      </x:c>
      <x:c r="M7" s="138" t="n">
        <x:f>J7+L7</x:f>
        <x:v>0.99</x:v>
      </x:c>
      <x:c r="N7" s="120" t="str">
        <x:v>Input→Hidden 1</x:v>
      </x:c>
    </x:row>
    <x:row r="8">
      <x:c r="A8" s="120" t="n">
        <x:v>2</x:v>
      </x:c>
      <x:c r="B8" s="120" t="str">
        <x:v>t</x:v>
      </x:c>
      <x:c r="C8" s="120" t="str">
        <x:v>Target</x:v>
      </x:c>
      <x:c r="D8" s="134" t="n">
        <x:f>'03_MLP_Forward'!$B$9</x:f>
        <x:v>1</x:v>
      </x:c>
      <x:c r="E8" s="120" t="str">
        <x:v>03_MLP_Forward!B9</x:v>
      </x:c>
      <x:c r="F8" s="120" t="str">
        <x:v>คำตอบจริง</x:v>
      </x:c>
      <x:c r="H8" s="120" t="str">
        <x:v>w₂₁</x:v>
      </x:c>
      <x:c r="I8" s="120" t="str">
        <x:v>x₂→h₁</x:v>
      </x:c>
      <x:c r="J8" s="134" t="n">
        <x:f>'03_MLP_Forward'!$B$15</x:f>
        <x:v>-1.19</x:v>
      </x:c>
      <x:c r="K8" s="134" t="n">
        <x:f>D27</x:f>
        <x:v>-0.009251436151465682</x:v>
      </x:c>
      <x:c r="L8" s="137" t="n">
        <x:f>-'03_MLP_Forward'!$B$10*K8</x:f>
        <x:v>0.009251436151465682</x:v>
      </x:c>
      <x:c r="M8" s="138" t="n">
        <x:f>J8+L8</x:f>
        <x:v>-1.1807485638485342</x:v>
      </x:c>
      <x:c r="N8" s="120" t="str">
        <x:v>Input→Hidden 1</x:v>
      </x:c>
    </x:row>
    <x:row r="9">
      <x:c r="A9" s="120" t="n">
        <x:v>3</x:v>
      </x:c>
      <x:c r="B9" s="120" t="str">
        <x:v>∂L/∂ŷ</x:v>
      </x:c>
      <x:c r="C9" s="120" t="str">
        <x:v>ŷ−t</x:v>
      </x:c>
      <x:c r="D9" s="134" t="n">
        <x:f>D7-D8</x:f>
        <x:v>-0.4508925699066112</x:v>
      </x:c>
      <x:c r="E9" s="120" t="str">
        <x:v>Step 1−2</x:v>
      </x:c>
      <x:c r="F9" s="120" t="str">
        <x:v>ความชันของ Loss ต่อ output</x:v>
      </x:c>
      <x:c r="H9" s="120" t="str">
        <x:v>bₕ₁</x:v>
      </x:c>
      <x:c r="I9" s="120" t="str">
        <x:v>bias→h₁</x:v>
      </x:c>
      <x:c r="J9" s="134" t="n">
        <x:f>'03_MLP_Forward'!$B$16</x:f>
        <x:v>-1.18</x:v>
      </x:c>
      <x:c r="K9" s="134" t="n">
        <x:f>D28</x:f>
        <x:v>-0.009251436151465682</x:v>
      </x:c>
      <x:c r="L9" s="137" t="n">
        <x:f>-'03_MLP_Forward'!$B$10*K9</x:f>
        <x:v>0.009251436151465682</x:v>
      </x:c>
      <x:c r="M9" s="138" t="n">
        <x:f>J9+L9</x:f>
        <x:v>-1.1707485638485342</x:v>
      </x:c>
      <x:c r="N9" s="120" t="str">
        <x:v>Hidden bias 1</x:v>
      </x:c>
    </x:row>
    <x:row r="10">
      <x:c r="A10" s="120" t="n">
        <x:v>4</x:v>
      </x:c>
      <x:c r="B10" s="120" t="str">
        <x:v>∂ŷ/∂zₒ</x:v>
      </x:c>
      <x:c r="C10" s="120" t="str">
        <x:v>ŷ(1−ŷ)</x:v>
      </x:c>
      <x:c r="D10" s="134" t="n">
        <x:f>D7*(1-D7)</x:f>
        <x:v>0.24758846030962292</x:v>
      </x:c>
      <x:c r="E10" s="120" t="str">
        <x:v>Sigmoid derivative</x:v>
      </x:c>
      <x:c r="F10" s="120" t="str">
        <x:v>อนุพันธ์ activation</x:v>
      </x:c>
      <x:c r="H10" s="120" t="str">
        <x:v>w₁₂</x:v>
      </x:c>
      <x:c r="I10" s="120" t="str">
        <x:v>x₁→h₂</x:v>
      </x:c>
      <x:c r="J10" s="134" t="n">
        <x:f>'03_MLP_Forward'!$C$14</x:f>
        <x:v>0.4</x:v>
      </x:c>
      <x:c r="K10" s="134" t="n">
        <x:f>D38</x:f>
        <x:v>0</x:v>
      </x:c>
      <x:c r="L10" s="137" t="n">
        <x:f>-'03_MLP_Forward'!$B$10*K10</x:f>
        <x:v>0</x:v>
      </x:c>
      <x:c r="M10" s="138" t="n">
        <x:f>J10+L10</x:f>
        <x:v>0.4</x:v>
      </x:c>
      <x:c r="N10" s="120" t="str">
        <x:v>Input→Hidden 2</x:v>
      </x:c>
    </x:row>
    <x:row r="11">
      <x:c r="A11" s="120" t="n">
        <x:v>5</x:v>
      </x:c>
      <x:c r="B11" s="120" t="str">
        <x:v>δₒ=∂L/∂zₒ</x:v>
      </x:c>
      <x:c r="C11" s="120" t="str">
        <x:v>(∂L/∂ŷ)(∂ŷ/∂zₒ)</x:v>
      </x:c>
      <x:c r="D11" s="134" t="n">
        <x:f>D9*D10</x:f>
        <x:v>-0.11163579714822688</x:v>
      </x:c>
      <x:c r="E11" s="120" t="str">
        <x:v>Chain Rule</x:v>
      </x:c>
      <x:c r="F11" s="120" t="str">
        <x:v>Error signal ของ Output</x:v>
      </x:c>
      <x:c r="H11" s="120" t="str">
        <x:v>w₂₂</x:v>
      </x:c>
      <x:c r="I11" s="120" t="str">
        <x:v>x₂→h₂</x:v>
      </x:c>
      <x:c r="J11" s="134" t="n">
        <x:f>'03_MLP_Forward'!$C$15</x:f>
        <x:v>-1.77</x:v>
      </x:c>
      <x:c r="K11" s="134" t="n">
        <x:f>D39</x:f>
        <x:v>0.04589170292509594</x:v>
      </x:c>
      <x:c r="L11" s="137" t="n">
        <x:f>-'03_MLP_Forward'!$B$10*K11</x:f>
        <x:v>-0.04589170292509594</x:v>
      </x:c>
      <x:c r="M11" s="138" t="n">
        <x:f>J11+L11</x:f>
        <x:v>-1.815891702925096</x:v>
      </x:c>
      <x:c r="N11" s="120" t="str">
        <x:v>Input→Hidden 2</x:v>
      </x:c>
    </x:row>
    <x:row r="12">
      <x:c r="A12" s="120" t="n">
        <x:v>6</x:v>
      </x:c>
      <x:c r="B12" s="120" t="str">
        <x:v>h₁</x:v>
      </x:c>
      <x:c r="C12" s="120" t="str">
        <x:v>Forward h₁</x:v>
      </x:c>
      <x:c r="D12" s="134" t="n">
        <x:f>'03_MLP_Forward'!I11</x:f>
        <x:v>0.08548913943480654</x:v>
      </x:c>
      <x:c r="E12" s="120" t="str">
        <x:v>03_MLP_Forward!I11</x:v>
      </x:c>
      <x:c r="F12" s="120" t="str">
        <x:v>Hidden activation 1</x:v>
      </x:c>
      <x:c r="H12" s="120" t="str">
        <x:v>bₕ₂</x:v>
      </x:c>
      <x:c r="I12" s="120" t="str">
        <x:v>bias→h₂</x:v>
      </x:c>
      <x:c r="J12" s="134" t="n">
        <x:f>'03_MLP_Forward'!$C$16</x:f>
        <x:v>1.11</x:v>
      </x:c>
      <x:c r="K12" s="134" t="n">
        <x:f>D40</x:f>
        <x:v>0.04589170292509594</x:v>
      </x:c>
      <x:c r="L12" s="137" t="n">
        <x:f>-'03_MLP_Forward'!$B$10*K12</x:f>
        <x:v>-0.04589170292509594</x:v>
      </x:c>
      <x:c r="M12" s="138" t="n">
        <x:f>J12+L12</x:f>
        <x:v>1.064108297074904</x:v>
      </x:c>
      <x:c r="N12" s="120" t="str">
        <x:v>Hidden bias 2</x:v>
      </x:c>
    </x:row>
    <x:row r="13">
      <x:c r="A13" s="120" t="n">
        <x:v>7</x:v>
      </x:c>
      <x:c r="B13" s="120" t="str">
        <x:v>h₂</x:v>
      </x:c>
      <x:c r="C13" s="120" t="str">
        <x:v>Forward h₂</x:v>
      </x:c>
      <x:c r="D13" s="134" t="n">
        <x:f>'03_MLP_Forward'!I16</x:f>
        <x:v>0.3407396115486146</x:v>
      </x:c>
      <x:c r="E13" s="120" t="str">
        <x:v>03_MLP_Forward!I16</x:v>
      </x:c>
      <x:c r="F13" s="120" t="str">
        <x:v>Hidden activation 2</x:v>
      </x:c>
      <x:c r="H13" s="120" t="str">
        <x:v>v₁</x:v>
      </x:c>
      <x:c r="I13" s="120" t="str">
        <x:v>h₁→output</x:v>
      </x:c>
      <x:c r="J13" s="134" t="n">
        <x:f>'03_MLP_Forward'!$B$20</x:f>
        <x:v>1.06</x:v>
      </x:c>
      <x:c r="K13" s="134" t="n">
        <x:f>D14</x:f>
        <x:v>-0.009543648228320547</x:v>
      </x:c>
      <x:c r="L13" s="137" t="n">
        <x:f>-'03_MLP_Forward'!$B$10*K13</x:f>
        <x:v>0.009543648228320547</x:v>
      </x:c>
      <x:c r="M13" s="138" t="n">
        <x:f>J13+L13</x:f>
        <x:v>1.0695436482283207</x:v>
      </x:c>
      <x:c r="N13" s="120" t="str">
        <x:v>Hidden→Output</x:v>
      </x:c>
    </x:row>
    <x:row r="14">
      <x:c r="A14" s="120" t="n">
        <x:v>8</x:v>
      </x:c>
      <x:c r="B14" s="120" t="str">
        <x:v>∂L/∂v₁</x:v>
      </x:c>
      <x:c r="C14" s="120" t="str">
        <x:v>δₒh₁</x:v>
      </x:c>
      <x:c r="D14" s="134" t="n">
        <x:f>D11*D12</x:f>
        <x:v>-0.009543648228320547</x:v>
      </x:c>
      <x:c r="E14" s="120" t="str">
        <x:v>Output weight v₁</x:v>
      </x:c>
      <x:c r="F14" s="120" t="str">
        <x:v>Gradient v₁</x:v>
      </x:c>
      <x:c r="H14" s="120" t="str">
        <x:v>v₂</x:v>
      </x:c>
      <x:c r="I14" s="120" t="str">
        <x:v>h₂→output</x:v>
      </x:c>
      <x:c r="J14" s="134" t="n">
        <x:f>'03_MLP_Forward'!$B$21</x:f>
        <x:v>-1.83</x:v>
      </x:c>
      <x:c r="K14" s="134" t="n">
        <x:f>D15</x:f>
        <x:v>-0.03803873815520677</x:v>
      </x:c>
      <x:c r="L14" s="137" t="n">
        <x:f>-'03_MLP_Forward'!$B$10*K14</x:f>
        <x:v>0.03803873815520677</x:v>
      </x:c>
      <x:c r="M14" s="138" t="n">
        <x:f>J14+L14</x:f>
        <x:v>-1.7919612618447933</x:v>
      </x:c>
      <x:c r="N14" s="120" t="str">
        <x:v>Hidden→Output</x:v>
      </x:c>
    </x:row>
    <x:row r="15">
      <x:c r="A15" s="120" t="n">
        <x:v>9</x:v>
      </x:c>
      <x:c r="B15" s="120" t="str">
        <x:v>∂L/∂v₂</x:v>
      </x:c>
      <x:c r="C15" s="120" t="str">
        <x:v>δₒh₂</x:v>
      </x:c>
      <x:c r="D15" s="134" t="n">
        <x:f>D11*D13</x:f>
        <x:v>-0.03803873815520677</x:v>
      </x:c>
      <x:c r="E15" s="120" t="str">
        <x:v>Output weight v₂</x:v>
      </x:c>
      <x:c r="F15" s="120" t="str">
        <x:v>Gradient v₂</x:v>
      </x:c>
      <x:c r="H15" s="120" t="str">
        <x:v>bₒ</x:v>
      </x:c>
      <x:c r="I15" s="120" t="str">
        <x:v>bias→output</x:v>
      </x:c>
      <x:c r="J15" s="134" t="n">
        <x:f>'03_MLP_Forward'!$B$22</x:f>
        <x:v>0.73</x:v>
      </x:c>
      <x:c r="K15" s="134" t="n">
        <x:f>D16</x:f>
        <x:v>-0.11163579714822688</x:v>
      </x:c>
      <x:c r="L15" s="137" t="n">
        <x:f>-'03_MLP_Forward'!$B$10*K15</x:f>
        <x:v>0.11163579714822688</x:v>
      </x:c>
      <x:c r="M15" s="138" t="n">
        <x:f>J15+L15</x:f>
        <x:v>0.8416357971482269</x:v>
      </x:c>
      <x:c r="N15" s="120" t="str">
        <x:v>Output bias</x:v>
      </x:c>
    </x:row>
    <x:row r="16">
      <x:c r="A16" s="120" t="n">
        <x:v>10</x:v>
      </x:c>
      <x:c r="B16" s="120" t="str">
        <x:v>∂L/∂bₒ</x:v>
      </x:c>
      <x:c r="C16" s="120" t="str">
        <x:v>δₒ</x:v>
      </x:c>
      <x:c r="D16" s="134" t="n">
        <x:f>D11</x:f>
        <x:v>-0.11163579714822688</x:v>
      </x:c>
      <x:c r="E16" s="120" t="str">
        <x:v>Output bias</x:v>
      </x:c>
      <x:c r="F16" s="120" t="str">
        <x:v>Gradient bias output</x:v>
      </x:c>
    </x:row>
    <x:row r="18" ht="24" customHeight="1">
      <x:c r="A18" s="48" t="str">
        <x:v>2) Hidden Neuron h₁: ส่ง Error ย้อนกลับ</x:v>
      </x:c>
      <x:c r="B18" s="49"/>
      <x:c r="C18" s="49"/>
      <x:c r="D18" s="49"/>
      <x:c r="E18" s="49"/>
      <x:c r="F18" s="50"/>
      <x:c r="H18" s="48" t="str">
        <x:v>5) Forward Pass ซ้ำด้วย Parameter ใหม่</x:v>
      </x:c>
      <x:c r="I18" s="49"/>
      <x:c r="J18" s="49"/>
      <x:c r="K18" s="49"/>
      <x:c r="L18" s="49"/>
      <x:c r="M18" s="49"/>
      <x:c r="N18" s="50"/>
    </x:row>
    <x:row r="19">
      <x:c r="A19" s="104" t="str">
        <x:v>Step</x:v>
      </x:c>
      <x:c r="B19" s="104" t="str">
        <x:v>Quantity</x:v>
      </x:c>
      <x:c r="C19" s="104" t="str">
        <x:v>สูตร</x:v>
      </x:c>
      <x:c r="D19" s="104" t="str">
        <x:v>ผลลัพธ์</x:v>
      </x:c>
      <x:c r="E19" s="104" t="str">
        <x:v>แหล่งค่า</x:v>
      </x:c>
      <x:c r="F19" s="104" t="str">
        <x:v>ความหมาย</x:v>
      </x:c>
      <x:c r="H19" s="104" t="str">
        <x:v>Step</x:v>
      </x:c>
      <x:c r="I19" s="104" t="str">
        <x:v>รายการ</x:v>
      </x:c>
      <x:c r="J19" s="104" t="str">
        <x:v>สูตร</x:v>
      </x:c>
      <x:c r="K19" s="104" t="str">
        <x:v>ผลลัพธ์</x:v>
      </x:c>
      <x:c r="L19" s="104" t="str">
        <x:v>เทียบค่าเดิม</x:v>
      </x:c>
      <x:c r="M19" s="104" t="str">
        <x:v>สถานะ</x:v>
      </x:c>
      <x:c r="N19" s="104" t="str"/>
    </x:row>
    <x:row r="20">
      <x:c r="A20" s="120" t="n">
        <x:v>11</x:v>
      </x:c>
      <x:c r="B20" s="120" t="str">
        <x:v>v₁ old</x:v>
      </x:c>
      <x:c r="C20" s="120" t="str">
        <x:v>Output weight เดิม</x:v>
      </x:c>
      <x:c r="D20" s="134" t="n">
        <x:f>'03_MLP_Forward'!$B$20</x:f>
        <x:v>1.06</x:v>
      </x:c>
      <x:c r="E20" s="120" t="str">
        <x:v>03_MLP_Forward!B20</x:v>
      </x:c>
      <x:c r="F20" s="120" t="str">
        <x:v>ใช้ค่าก่อน update</x:v>
      </x:c>
      <x:c r="H20" s="120" t="n">
        <x:v>1</x:v>
      </x:c>
      <x:c r="I20" s="120" t="str">
        <x:v>zₕ₁ ใหม่</x:v>
      </x:c>
      <x:c r="J20" s="120" t="str">
        <x:v>x₁w₁₁+x₂w₂₁+bₕ₁</x:v>
      </x:c>
      <x:c r="K20" s="138" t="n">
        <x:f>'03_MLP_Forward'!$B$7*$M$7+'03_MLP_Forward'!$B$8*$M$8+$M$9</x:f>
        <x:v>-2.351497127697068</x:v>
      </x:c>
      <x:c r="L20" s="120" t="str"/>
      <x:c r="M20" s="120" t="str"/>
      <x:c r="N20" s="120" t="str"/>
    </x:row>
    <x:row r="21">
      <x:c r="A21" s="120" t="n">
        <x:v>12</x:v>
      </x:c>
      <x:c r="B21" s="120" t="str">
        <x:v>∂L/∂h₁</x:v>
      </x:c>
      <x:c r="C21" s="120" t="str">
        <x:v>δₒv₁</x:v>
      </x:c>
      <x:c r="D21" s="134" t="n">
        <x:f>D11*D20</x:f>
        <x:v>-0.1183339449771205</x:v>
      </x:c>
      <x:c r="E21" s="120" t="str">
        <x:v>Error ย้อนจาก Output</x:v>
      </x:c>
      <x:c r="F21" s="120" t="str">
        <x:v>Sensitivity ต่อ h₁</x:v>
      </x:c>
      <x:c r="H21" s="120" t="n">
        <x:v>2</x:v>
      </x:c>
      <x:c r="I21" s="120" t="str">
        <x:v>h₁ ใหม่</x:v>
      </x:c>
      <x:c r="J21" s="120" t="str">
        <x:v>σ(zₕ₁ ใหม่)</x:v>
      </x:c>
      <x:c r="K21" s="138" t="n">
        <x:f>1/(1+EXP(-K20))</x:f>
        <x:v>0.08694684630480129</x:v>
      </x:c>
      <x:c r="L21" s="120" t="str"/>
      <x:c r="M21" s="120" t="str"/>
      <x:c r="N21" s="120" t="str"/>
    </x:row>
    <x:row r="22">
      <x:c r="A22" s="120" t="n">
        <x:v>13</x:v>
      </x:c>
      <x:c r="B22" s="120" t="str">
        <x:v>∂h₁/∂zₕ₁</x:v>
      </x:c>
      <x:c r="C22" s="120" t="str">
        <x:v>h₁(1−h₁)</x:v>
      </x:c>
      <x:c r="D22" s="134" t="n">
        <x:f>D12*(1-D12)</x:f>
        <x:v>0.07818074647350275</x:v>
      </x:c>
      <x:c r="E22" s="120" t="str">
        <x:v>Sigmoid derivative</x:v>
      </x:c>
      <x:c r="F22" s="120" t="str">
        <x:v>อนุพันธ์ h₁</x:v>
      </x:c>
      <x:c r="H22" s="120" t="n">
        <x:v>3</x:v>
      </x:c>
      <x:c r="I22" s="120" t="str">
        <x:v>zₕ₂ ใหม่</x:v>
      </x:c>
      <x:c r="J22" s="120" t="str">
        <x:v>x₁w₁₂+x₂w₂₂+bₕ₂</x:v>
      </x:c>
      <x:c r="K22" s="138" t="n">
        <x:f>'03_MLP_Forward'!$B$7*$M$10+'03_MLP_Forward'!$B$8*$M$11+$M$12</x:f>
        <x:v>-0.751783405850192</x:v>
      </x:c>
      <x:c r="L22" s="120" t="str"/>
      <x:c r="M22" s="120" t="str"/>
      <x:c r="N22" s="120" t="str"/>
    </x:row>
    <x:row r="23">
      <x:c r="A23" s="120" t="n">
        <x:v>14</x:v>
      </x:c>
      <x:c r="B23" s="120" t="str">
        <x:v>δₕ₁</x:v>
      </x:c>
      <x:c r="C23" s="120" t="str">
        <x:v>(∂L/∂h₁)(∂h₁/∂zₕ₁)</x:v>
      </x:c>
      <x:c r="D23" s="134" t="n">
        <x:f>D21*D22</x:f>
        <x:v>-0.009251436151465682</x:v>
      </x:c>
      <x:c r="E23" s="120" t="str">
        <x:v>Chain Rule</x:v>
      </x:c>
      <x:c r="F23" s="120" t="str">
        <x:v>Error signal h₁</x:v>
      </x:c>
      <x:c r="H23" s="120" t="n">
        <x:v>4</x:v>
      </x:c>
      <x:c r="I23" s="120" t="str">
        <x:v>h₂ ใหม่</x:v>
      </x:c>
      <x:c r="J23" s="120" t="str">
        <x:v>σ(zₕ₂ ใหม่)</x:v>
      </x:c>
      <x:c r="K23" s="138" t="n">
        <x:f>1/(1+EXP(-K22))</x:f>
        <x:v>0.32043282985622</x:v>
      </x:c>
      <x:c r="L23" s="120" t="str"/>
      <x:c r="M23" s="120" t="str"/>
      <x:c r="N23" s="120" t="str"/>
    </x:row>
    <x:row r="24">
      <x:c r="A24" s="120" t="n">
        <x:v>15</x:v>
      </x:c>
      <x:c r="B24" s="120" t="str">
        <x:v>x₁</x:v>
      </x:c>
      <x:c r="C24" s="120" t="str">
        <x:v>Input 1</x:v>
      </x:c>
      <x:c r="D24" s="134" t="n">
        <x:f>'03_MLP_Forward'!$B$7</x:f>
        <x:v>0</x:v>
      </x:c>
      <x:c r="E24" s="120" t="str">
        <x:v>03_MLP_Forward!B7</x:v>
      </x:c>
      <x:c r="F24" s="120" t="str">
        <x:v>Input</x:v>
      </x:c>
      <x:c r="H24" s="120" t="n">
        <x:v>5</x:v>
      </x:c>
      <x:c r="I24" s="120" t="str">
        <x:v>zₒ ใหม่</x:v>
      </x:c>
      <x:c r="J24" s="120" t="str">
        <x:v>h₁v₁+h₂v₂+bₒ</x:v>
      </x:c>
      <x:c r="K24" s="138" t="n">
        <x:f>K21*$M$13+K23*$M$14+$M$15</x:f>
        <x:v>0.36042602622136116</x:v>
      </x:c>
      <x:c r="L24" s="120" t="str"/>
      <x:c r="M24" s="120" t="str"/>
      <x:c r="N24" s="120" t="str"/>
    </x:row>
    <x:row r="25">
      <x:c r="A25" s="120" t="n">
        <x:v>16</x:v>
      </x:c>
      <x:c r="B25" s="120" t="str">
        <x:v>x₂</x:v>
      </x:c>
      <x:c r="C25" s="120" t="str">
        <x:v>Input 2</x:v>
      </x:c>
      <x:c r="D25" s="134" t="n">
        <x:f>'03_MLP_Forward'!$B$8</x:f>
        <x:v>1</x:v>
      </x:c>
      <x:c r="E25" s="120" t="str">
        <x:v>03_MLP_Forward!B8</x:v>
      </x:c>
      <x:c r="F25" s="120" t="str">
        <x:v>Input</x:v>
      </x:c>
      <x:c r="H25" s="120" t="n">
        <x:v>6</x:v>
      </x:c>
      <x:c r="I25" s="120" t="str">
        <x:v>ŷ ใหม่</x:v>
      </x:c>
      <x:c r="J25" s="120" t="str">
        <x:v>σ(zₒ ใหม่)</x:v>
      </x:c>
      <x:c r="K25" s="138" t="n">
        <x:f>1/(1+EXP(-K24))</x:f>
        <x:v>0.589143559079928</x:v>
      </x:c>
      <x:c r="L25" s="120" t="str">
        <x:v>ŷ เดิม</x:v>
      </x:c>
      <x:c r="M25" s="120" t="str"/>
      <x:c r="N25" s="120" t="str"/>
    </x:row>
    <x:row r="26">
      <x:c r="A26" s="120" t="n">
        <x:v>17</x:v>
      </x:c>
      <x:c r="B26" s="120" t="str">
        <x:v>∂L/∂w₁₁</x:v>
      </x:c>
      <x:c r="C26" s="120" t="str">
        <x:v>δₕ₁x₁</x:v>
      </x:c>
      <x:c r="D26" s="134" t="n">
        <x:f>D23*D24</x:f>
        <x:v>0</x:v>
      </x:c>
      <x:c r="E26" s="120" t="str">
        <x:v>x₁→h₁</x:v>
      </x:c>
      <x:c r="F26" s="120" t="str">
        <x:v>Gradient w₁₁</x:v>
      </x:c>
      <x:c r="H26" s="120" t="n">
        <x:v>7</x:v>
      </x:c>
      <x:c r="I26" s="120" t="str">
        <x:v>Loss เดิม</x:v>
      </x:c>
      <x:c r="J26" s="120" t="str">
        <x:v>จาก Forward Pass</x:v>
      </x:c>
      <x:c r="K26" s="138" t="n">
        <x:f>'03_MLP_Forward'!I22</x:f>
        <x:v>0.10165205479849414</x:v>
      </x:c>
      <x:c r="L26" s="120" t="str"/>
      <x:c r="M26" s="120" t="str"/>
      <x:c r="N26" s="120" t="str"/>
    </x:row>
    <x:row r="27">
      <x:c r="A27" s="120" t="n">
        <x:v>18</x:v>
      </x:c>
      <x:c r="B27" s="120" t="str">
        <x:v>∂L/∂w₂₁</x:v>
      </x:c>
      <x:c r="C27" s="120" t="str">
        <x:v>δₕ₁x₂</x:v>
      </x:c>
      <x:c r="D27" s="134" t="n">
        <x:f>D23*D25</x:f>
        <x:v>-0.009251436151465682</x:v>
      </x:c>
      <x:c r="E27" s="120" t="str">
        <x:v>x₂→h₁</x:v>
      </x:c>
      <x:c r="F27" s="120" t="str">
        <x:v>Gradient w₂₁</x:v>
      </x:c>
      <x:c r="H27" s="120" t="n">
        <x:v>8</x:v>
      </x:c>
      <x:c r="I27" s="120" t="str">
        <x:v>Loss ใหม่</x:v>
      </x:c>
      <x:c r="J27" s="120" t="str">
        <x:v>½(t−ŷ ใหม่)²</x:v>
      </x:c>
      <x:c r="K27" s="138" t="n">
        <x:f>0.5*('03_MLP_Forward'!$B$9-K25)^2</x:f>
        <x:v>0.08440150752275431</x:v>
      </x:c>
      <x:c r="L27" s="120" t="str">
        <x:v>ควรลดลง</x:v>
      </x:c>
      <x:c r="M27" s="120" t="str"/>
      <x:c r="N27" s="120" t="str"/>
    </x:row>
    <x:row r="28">
      <x:c r="A28" s="120" t="n">
        <x:v>19</x:v>
      </x:c>
      <x:c r="B28" s="120" t="str">
        <x:v>∂L/∂bₕ₁</x:v>
      </x:c>
      <x:c r="C28" s="120" t="str">
        <x:v>δₕ₁</x:v>
      </x:c>
      <x:c r="D28" s="134" t="n">
        <x:f>D23</x:f>
        <x:v>-0.009251436151465682</x:v>
      </x:c>
      <x:c r="E28" s="120" t="str">
        <x:v>Bias h₁</x:v>
      </x:c>
      <x:c r="F28" s="120" t="str">
        <x:v>Gradient bias h₁</x:v>
      </x:c>
      <x:c r="H28" s="120" t="n">
        <x:v>9</x:v>
      </x:c>
      <x:c r="I28" s="120" t="str">
        <x:v>การเปลี่ยน Loss</x:v>
      </x:c>
      <x:c r="J28" s="120" t="str">
        <x:v>Loss ใหม่−Loss เดิม</x:v>
      </x:c>
      <x:c r="K28" s="138" t="n">
        <x:f>K27-K26</x:f>
        <x:v>-0.017250547275739825</x:v>
      </x:c>
      <x:c r="L28" s="120" t="str">
        <x:v>ค่าติดลบ = ลดลง</x:v>
      </x:c>
      <x:c r="M28" s="120" t="str"/>
      <x:c r="N28" s="120" t="str"/>
    </x:row>
    <x:row r="29">
      <x:c r="H29" s="120" t="n">
        <x:v>10</x:v>
      </x:c>
      <x:c r="I29" s="120" t="str">
        <x:v>สรุป</x:v>
      </x:c>
      <x:c r="J29" s="120" t="str">
        <x:v>เปรียบเทียบ Loss</x:v>
      </x:c>
      <x:c r="K29" s="70" t="str">
        <x:f>IF(K27&lt;K26,"Loss ลดลง — Update ไปทิศที่ถูกต้อง","Loss ไม่ลดลง — ตรวจ Learning Rate/Gradient")</x:f>
        <x:v>Loss ลดลง — Update ไปทิศที่ถูกต้อง</x:v>
      </x:c>
      <x:c r="L29" s="120" t="str"/>
      <x:c r="M29" s="120" t="str"/>
      <x:c r="N29" s="120" t="str"/>
    </x:row>
    <x:row r="30" ht="24" customHeight="1">
      <x:c r="A30" s="48" t="str">
        <x:v>3) Hidden Neuron h₂: ส่ง Error ย้อนกลับ</x:v>
      </x:c>
      <x:c r="B30" s="49"/>
      <x:c r="C30" s="49"/>
      <x:c r="D30" s="49"/>
      <x:c r="E30" s="49"/>
      <x:c r="F30" s="50"/>
    </x:row>
    <x:row r="31">
      <x:c r="A31" s="104" t="str">
        <x:v>Step</x:v>
      </x:c>
      <x:c r="B31" s="104" t="str">
        <x:v>Quantity</x:v>
      </x:c>
      <x:c r="C31" s="104" t="str">
        <x:v>สูตร</x:v>
      </x:c>
      <x:c r="D31" s="104" t="str">
        <x:v>ผลลัพธ์</x:v>
      </x:c>
      <x:c r="E31" s="104" t="str">
        <x:v>แหล่งค่า</x:v>
      </x:c>
      <x:c r="F31" s="104" t="str">
        <x:v>ความหมาย</x:v>
      </x:c>
    </x:row>
    <x:row r="32">
      <x:c r="A32" s="120" t="n">
        <x:v>20</x:v>
      </x:c>
      <x:c r="B32" s="120" t="str">
        <x:v>v₂ old</x:v>
      </x:c>
      <x:c r="C32" s="120" t="str">
        <x:v>Output weight เดิม</x:v>
      </x:c>
      <x:c r="D32" s="134" t="n">
        <x:f>'03_MLP_Forward'!$B$21</x:f>
        <x:v>-1.83</x:v>
      </x:c>
      <x:c r="E32" s="120" t="str">
        <x:v>03_MLP_Forward!B21</x:v>
      </x:c>
      <x:c r="F32" s="120" t="str">
        <x:v>ใช้ค่าก่อน update</x:v>
      </x:c>
      <x:c r="H32" s="222" t="str">
        <x:v>จำให้ชัด: Backpropagation = กลไกคำนวณ gradient ย้อนผ่านเครือข่าย
Gradient Descent = กฎที่นำ gradient ไปปรับ parameter ตาม θ(new)=θ(old)−η∇L</x:v>
      </x:c>
      <x:c r="I32" s="223"/>
      <x:c r="J32" s="223"/>
      <x:c r="K32" s="223"/>
      <x:c r="L32" s="223"/>
      <x:c r="M32" s="223"/>
      <x:c r="N32" s="224"/>
    </x:row>
    <x:row r="33">
      <x:c r="A33" s="120" t="n">
        <x:v>21</x:v>
      </x:c>
      <x:c r="B33" s="120" t="str">
        <x:v>∂L/∂h₂</x:v>
      </x:c>
      <x:c r="C33" s="120" t="str">
        <x:v>δₒv₂</x:v>
      </x:c>
      <x:c r="D33" s="134" t="n">
        <x:f>D11*D32</x:f>
        <x:v>0.2042935087812552</x:v>
      </x:c>
      <x:c r="E33" s="120" t="str">
        <x:v>Error ย้อนจาก Output</x:v>
      </x:c>
      <x:c r="F33" s="120" t="str">
        <x:v>Sensitivity ต่อ h₂</x:v>
      </x:c>
      <x:c r="H33" s="225"/>
      <x:c r="I33" s="217"/>
      <x:c r="J33" s="217"/>
      <x:c r="K33" s="217"/>
      <x:c r="L33" s="217"/>
      <x:c r="M33" s="217"/>
      <x:c r="N33" s="226"/>
    </x:row>
    <x:row r="34">
      <x:c r="A34" s="120" t="n">
        <x:v>22</x:v>
      </x:c>
      <x:c r="B34" s="120" t="str">
        <x:v>∂h₂/∂zₕ₂</x:v>
      </x:c>
      <x:c r="C34" s="120" t="str">
        <x:v>h₂(1−h₂)</x:v>
      </x:c>
      <x:c r="D34" s="134" t="n">
        <x:f>D13*(1-D13)</x:f>
        <x:v>0.22463612867031385</x:v>
      </x:c>
      <x:c r="E34" s="120" t="str">
        <x:v>Sigmoid derivative</x:v>
      </x:c>
      <x:c r="F34" s="120" t="str">
        <x:v>อนุพันธ์ h₂</x:v>
      </x:c>
      <x:c r="H34" s="225"/>
      <x:c r="I34" s="217"/>
      <x:c r="J34" s="217"/>
      <x:c r="K34" s="217"/>
      <x:c r="L34" s="217"/>
      <x:c r="M34" s="217"/>
      <x:c r="N34" s="226"/>
    </x:row>
    <x:row r="35">
      <x:c r="A35" s="120" t="n">
        <x:v>23</x:v>
      </x:c>
      <x:c r="B35" s="120" t="str">
        <x:v>δₕ₂</x:v>
      </x:c>
      <x:c r="C35" s="120" t="str">
        <x:v>(∂L/∂h₂)(∂h₂/∂zₕ₂)</x:v>
      </x:c>
      <x:c r="D35" s="134" t="n">
        <x:f>D33*D34</x:f>
        <x:v>0.04589170292509594</x:v>
      </x:c>
      <x:c r="E35" s="120" t="str">
        <x:v>Chain Rule</x:v>
      </x:c>
      <x:c r="F35" s="120" t="str">
        <x:v>Error signal h₂</x:v>
      </x:c>
      <x:c r="H35" s="225"/>
      <x:c r="I35" s="217"/>
      <x:c r="J35" s="217"/>
      <x:c r="K35" s="217"/>
      <x:c r="L35" s="217"/>
      <x:c r="M35" s="217"/>
      <x:c r="N35" s="226"/>
    </x:row>
    <x:row r="36">
      <x:c r="A36" s="120" t="n">
        <x:v>24</x:v>
      </x:c>
      <x:c r="B36" s="120" t="str">
        <x:v>x₁</x:v>
      </x:c>
      <x:c r="C36" s="120" t="str">
        <x:v>Input 1</x:v>
      </x:c>
      <x:c r="D36" s="134" t="n">
        <x:f>'03_MLP_Forward'!$B$7</x:f>
        <x:v>0</x:v>
      </x:c>
      <x:c r="E36" s="120" t="str">
        <x:v>03_MLP_Forward!B7</x:v>
      </x:c>
      <x:c r="F36" s="120" t="str">
        <x:v>Input</x:v>
      </x:c>
      <x:c r="H36" s="227"/>
      <x:c r="I36" s="228"/>
      <x:c r="J36" s="228"/>
      <x:c r="K36" s="228"/>
      <x:c r="L36" s="228"/>
      <x:c r="M36" s="228"/>
      <x:c r="N36" s="229"/>
    </x:row>
    <x:row r="37">
      <x:c r="A37" s="120" t="n">
        <x:v>25</x:v>
      </x:c>
      <x:c r="B37" s="120" t="str">
        <x:v>x₂</x:v>
      </x:c>
      <x:c r="C37" s="120" t="str">
        <x:v>Input 2</x:v>
      </x:c>
      <x:c r="D37" s="134" t="n">
        <x:f>'03_MLP_Forward'!$B$8</x:f>
        <x:v>1</x:v>
      </x:c>
      <x:c r="E37" s="120" t="str">
        <x:v>03_MLP_Forward!B8</x:v>
      </x:c>
      <x:c r="F37" s="120" t="str">
        <x:v>Input</x:v>
      </x:c>
    </x:row>
    <x:row r="38">
      <x:c r="A38" s="120" t="n">
        <x:v>26</x:v>
      </x:c>
      <x:c r="B38" s="120" t="str">
        <x:v>∂L/∂w₁₂</x:v>
      </x:c>
      <x:c r="C38" s="120" t="str">
        <x:v>δₕ₂x₁</x:v>
      </x:c>
      <x:c r="D38" s="134" t="n">
        <x:f>D35*D36</x:f>
        <x:v>0</x:v>
      </x:c>
      <x:c r="E38" s="120" t="str">
        <x:v>x₁→h₂</x:v>
      </x:c>
      <x:c r="F38" s="120" t="str">
        <x:v>Gradient w₁₂</x:v>
      </x:c>
    </x:row>
    <x:row r="39">
      <x:c r="A39" s="120" t="n">
        <x:v>27</x:v>
      </x:c>
      <x:c r="B39" s="120" t="str">
        <x:v>∂L/∂w₂₂</x:v>
      </x:c>
      <x:c r="C39" s="120" t="str">
        <x:v>δₕ₂x₂</x:v>
      </x:c>
      <x:c r="D39" s="134" t="n">
        <x:f>D35*D37</x:f>
        <x:v>0.04589170292509594</x:v>
      </x:c>
      <x:c r="E39" s="120" t="str">
        <x:v>x₂→h₂</x:v>
      </x:c>
      <x:c r="F39" s="120" t="str">
        <x:v>Gradient w₂₂</x:v>
      </x:c>
    </x:row>
    <x:row r="40">
      <x:c r="A40" s="120" t="n">
        <x:v>28</x:v>
      </x:c>
      <x:c r="B40" s="120" t="str">
        <x:v>∂L/∂bₕ₂</x:v>
      </x:c>
      <x:c r="C40" s="120" t="str">
        <x:v>δₕ₂</x:v>
      </x:c>
      <x:c r="D40" s="134" t="n">
        <x:f>D35</x:f>
        <x:v>0.04589170292509594</x:v>
      </x:c>
      <x:c r="E40" s="120" t="str">
        <x:v>Bias h₂</x:v>
      </x:c>
      <x:c r="F40" s="120" t="str">
        <x:v>Gradient bias h₂</x:v>
      </x:c>
    </x:row>
  </x:sheetData>
  <x:mergeCells>
    <x:mergeCell ref="A1:N1"/>
    <x:mergeCell ref="A3:N3"/>
    <x:mergeCell ref="A5:F5"/>
    <x:mergeCell ref="A18:F18"/>
    <x:mergeCell ref="A30:F30"/>
    <x:mergeCell ref="H5:N5"/>
    <x:mergeCell ref="H18:N18"/>
    <x:mergeCell ref="M19:N19"/>
    <x:mergeCell ref="M20:N20"/>
    <x:mergeCell ref="M21:N21"/>
    <x:mergeCell ref="M22:N22"/>
    <x:mergeCell ref="M23:N23"/>
    <x:mergeCell ref="M24:N24"/>
    <x:mergeCell ref="M25:N25"/>
    <x:mergeCell ref="M26:N26"/>
    <x:mergeCell ref="M27:N27"/>
    <x:mergeCell ref="M28:N28"/>
    <x:mergeCell ref="M29:N29"/>
    <x:mergeCell ref="H32:N3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9" hidden="0" customWidth="1"/>
    <x:col min="4" max="4" width="7" hidden="0" customWidth="1"/>
    <x:col min="5" max="5" width="7" hidden="0" customWidth="1"/>
    <x:col min="6" max="6" width="9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9" hidden="0" customWidth="1"/>
    <x:col min="45" max="45" width="10" hidden="0" customWidth="1"/>
    <x:col min="46" max="46" width="11" hidden="0" customWidth="1"/>
  </x:cols>
  <x:sheetData>
    <x:row r="1" ht="34" customHeight="1">
      <x:c r="A1" s="12" t="str">
        <x:v>MLP XOR Training Log: 2–2–1 Sigmoid + Backpropagation + Online SGD (120 Epoch)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4"/>
    </x:row>
    <x:row r="3" ht="24" customHeight="1">
      <x:c r="A3" s="48" t="str">
        <x:v>Training Settings</x:v>
      </x:c>
      <x:c r="B3" s="49"/>
      <x:c r="C3" s="50"/>
      <x:c r="D3" s="48" t="str">
        <x:v>Initial Parameters</x:v>
      </x:c>
      <x:c r="E3" s="49"/>
      <x:c r="F3" s="50"/>
      <x:c r="H3" s="48" t="str">
        <x:v>XOR Dataset — Target แก้ไขได้</x:v>
      </x:c>
      <x:c r="I3" s="49"/>
      <x:c r="J3" s="49"/>
      <x:c r="K3" s="50"/>
    </x:row>
    <x:row r="4">
      <x:c r="A4" s="120" t="str">
        <x:v>Learning rate (η)</x:v>
      </x:c>
      <x:c r="B4" s="132" t="n">
        <x:v>1</x:v>
      </x:c>
      <x:c r="C4" s="120" t="str">
        <x:v>แก้ไขได้</x:v>
      </x:c>
      <x:c r="D4" s="104" t="str">
        <x:v>Parameter</x:v>
      </x:c>
      <x:c r="E4" s="104" t="str">
        <x:v>Initial value</x:v>
      </x:c>
      <x:c r="F4" s="104" t="str">
        <x:v>Connection</x:v>
      </x:c>
      <x:c r="H4" s="104" t="str">
        <x:v>Pattern</x:v>
      </x:c>
      <x:c r="I4" s="104" t="str">
        <x:v>x₁</x:v>
      </x:c>
      <x:c r="J4" s="104" t="str">
        <x:v>x₂</x:v>
      </x:c>
      <x:c r="K4" s="104" t="str">
        <x:v>Target</x:v>
      </x:c>
    </x:row>
    <x:row r="5">
      <x:c r="A5" s="120" t="str">
        <x:v>Classification threshold</x:v>
      </x:c>
      <x:c r="B5" s="132" t="n">
        <x:v>0.5</x:v>
      </x:c>
      <x:c r="C5" s="120" t="str">
        <x:v>แก้ไขได้</x:v>
      </x:c>
      <x:c r="D5" s="120" t="str">
        <x:v>w₁₁</x:v>
      </x:c>
      <x:c r="E5" s="132" t="n">
        <x:v>0.99</x:v>
      </x:c>
      <x:c r="F5" s="120" t="str">
        <x:v>x₁→h₁</x:v>
      </x:c>
      <x:c r="H5" s="114" t="n">
        <x:v>1</x:v>
      </x:c>
      <x:c r="I5" s="114" t="n">
        <x:v>0</x:v>
      </x:c>
      <x:c r="J5" s="114" t="n">
        <x:v>0</x:v>
      </x:c>
      <x:c r="K5" s="164" t="n">
        <x:v>0</x:v>
      </x:c>
    </x:row>
    <x:row r="6">
      <x:c r="A6" s="120" t="str">
        <x:v>Epoch ที่สร้างไว้</x:v>
      </x:c>
      <x:c r="B6" s="74" t="n">
        <x:v>120</x:v>
      </x:c>
      <x:c r="C6" s="120" t="str">
        <x:v>480 updates (4 patterns × 120)</x:v>
      </x:c>
      <x:c r="D6" s="120" t="str">
        <x:v>w₂₁</x:v>
      </x:c>
      <x:c r="E6" s="132" t="n">
        <x:v>-1.19</x:v>
      </x:c>
      <x:c r="F6" s="120" t="str">
        <x:v>x₂→h₁</x:v>
      </x:c>
      <x:c r="H6" s="114" t="n">
        <x:v>2</x:v>
      </x:c>
      <x:c r="I6" s="114" t="n">
        <x:v>0</x:v>
      </x:c>
      <x:c r="J6" s="114" t="n">
        <x:v>1</x:v>
      </x:c>
      <x:c r="K6" s="164" t="n">
        <x:v>1</x:v>
      </x:c>
    </x:row>
    <x:row r="7">
      <x:c r="A7" s="120" t="str">
        <x:v>Update mode</x:v>
      </x:c>
      <x:c r="B7" s="74" t="str">
        <x:v>Online SGD</x:v>
      </x:c>
      <x:c r="C7" s="120" t="str">
        <x:v>อัปเดตหลังแต่ละตัวอย่าง</x:v>
      </x:c>
      <x:c r="D7" s="120" t="str">
        <x:v>bₕ₁</x:v>
      </x:c>
      <x:c r="E7" s="132" t="n">
        <x:v>-1.18</x:v>
      </x:c>
      <x:c r="F7" s="120" t="str">
        <x:v>bias→h₁</x:v>
      </x:c>
      <x:c r="H7" s="114" t="n">
        <x:v>3</x:v>
      </x:c>
      <x:c r="I7" s="114" t="n">
        <x:v>1</x:v>
      </x:c>
      <x:c r="J7" s="114" t="n">
        <x:v>0</x:v>
      </x:c>
      <x:c r="K7" s="164" t="n">
        <x:v>1</x:v>
      </x:c>
    </x:row>
    <x:row r="8">
      <x:c r="D8" s="120" t="str">
        <x:v>w₁₂</x:v>
      </x:c>
      <x:c r="E8" s="132" t="n">
        <x:v>0.4</x:v>
      </x:c>
      <x:c r="F8" s="120" t="str">
        <x:v>x₁→h₂</x:v>
      </x:c>
      <x:c r="H8" s="114" t="n">
        <x:v>4</x:v>
      </x:c>
      <x:c r="I8" s="114" t="n">
        <x:v>1</x:v>
      </x:c>
      <x:c r="J8" s="114" t="n">
        <x:v>1</x:v>
      </x:c>
      <x:c r="K8" s="164" t="n">
        <x:v>0</x:v>
      </x:c>
    </x:row>
    <x:row r="9">
      <x:c r="D9" s="120" t="str">
        <x:v>w₂₂</x:v>
      </x:c>
      <x:c r="E9" s="132" t="n">
        <x:v>-1.77</x:v>
      </x:c>
      <x:c r="F9" s="120" t="str">
        <x:v>x₂→h₂</x:v>
      </x:c>
    </x:row>
    <x:row r="10">
      <x:c r="D10" s="120" t="str">
        <x:v>bₕ₂</x:v>
      </x:c>
      <x:c r="E10" s="132" t="n">
        <x:v>1.11</x:v>
      </x:c>
      <x:c r="F10" s="120" t="str">
        <x:v>bias→h₂</x:v>
      </x:c>
    </x:row>
    <x:row r="11">
      <x:c r="D11" s="120" t="str">
        <x:v>v₁</x:v>
      </x:c>
      <x:c r="E11" s="132" t="n">
        <x:v>1.06</x:v>
      </x:c>
      <x:c r="F11" s="120" t="str">
        <x:v>h₁→output</x:v>
      </x:c>
    </x:row>
    <x:row r="12">
      <x:c r="D12" s="120" t="str">
        <x:v>v₂</x:v>
      </x:c>
      <x:c r="E12" s="132" t="n">
        <x:v>-1.83</x:v>
      </x:c>
      <x:c r="F12" s="120" t="str">
        <x:v>h₂→output</x:v>
      </x:c>
    </x:row>
    <x:row r="13">
      <x:c r="D13" s="120" t="str">
        <x:v>bₒ</x:v>
      </x:c>
      <x:c r="E13" s="132" t="n">
        <x:v>0.73</x:v>
      </x:c>
      <x:c r="F13" s="120" t="str">
        <x:v>bias→output</x:v>
      </x:c>
    </x:row>
    <x:row r="15" ht="24" customHeight="1">
      <x:c r="A15" s="48" t="str">
        <x:v>Training sequence: Old Parameters → Forward → Loss → Deltas → Gradients → New Parameters → Evaluation</x:v>
      </x:c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  <x:c r="AG15" s="49"/>
      <x:c r="AH15" s="49"/>
      <x:c r="AI15" s="49"/>
      <x:c r="AJ15" s="49"/>
      <x:c r="AK15" s="49"/>
      <x:c r="AL15" s="49"/>
      <x:c r="AM15" s="49"/>
      <x:c r="AN15" s="49"/>
      <x:c r="AO15" s="49"/>
      <x:c r="AP15" s="49"/>
      <x:c r="AQ15" s="49"/>
      <x:c r="AR15" s="49"/>
      <x:c r="AS15" s="49"/>
      <x:c r="AT15" s="50"/>
    </x:row>
    <x:row r="16" ht="42" customHeight="1">
      <x:c r="A16" s="104" t="str">
        <x:v>Iter</x:v>
      </x:c>
      <x:c r="B16" s="104" t="str">
        <x:v>Epoch</x:v>
      </x:c>
      <x:c r="C16" s="104" t="str">
        <x:v>Pattern</x:v>
      </x:c>
      <x:c r="D16" s="104" t="str">
        <x:v>x₁</x:v>
      </x:c>
      <x:c r="E16" s="104" t="str">
        <x:v>x₂</x:v>
      </x:c>
      <x:c r="F16" s="104" t="str">
        <x:v>Target</x:v>
      </x:c>
      <x:c r="G16" s="104" t="str">
        <x:v>w₁₁ old</x:v>
      </x:c>
      <x:c r="H16" s="104" t="str">
        <x:v>w₂₁ old</x:v>
      </x:c>
      <x:c r="I16" s="104" t="str">
        <x:v>bₕ₁ old</x:v>
      </x:c>
      <x:c r="J16" s="104" t="str">
        <x:v>w₁₂ old</x:v>
      </x:c>
      <x:c r="K16" s="104" t="str">
        <x:v>w₂₂ old</x:v>
      </x:c>
      <x:c r="L16" s="104" t="str">
        <x:v>bₕ₂ old</x:v>
      </x:c>
      <x:c r="M16" s="104" t="str">
        <x:v>v₁ old</x:v>
      </x:c>
      <x:c r="N16" s="104" t="str">
        <x:v>v₂ old</x:v>
      </x:c>
      <x:c r="O16" s="104" t="str">
        <x:v>bₒ old</x:v>
      </x:c>
      <x:c r="P16" s="104" t="str">
        <x:v>zₕ₁</x:v>
      </x:c>
      <x:c r="Q16" s="104" t="str">
        <x:v>h₁</x:v>
      </x:c>
      <x:c r="R16" s="104" t="str">
        <x:v>zₕ₂</x:v>
      </x:c>
      <x:c r="S16" s="104" t="str">
        <x:v>h₂</x:v>
      </x:c>
      <x:c r="T16" s="104" t="str">
        <x:v>zₒ</x:v>
      </x:c>
      <x:c r="U16" s="104" t="str">
        <x:v>ŷ</x:v>
      </x:c>
      <x:c r="V16" s="104" t="str">
        <x:v>Loss</x:v>
      </x:c>
      <x:c r="W16" s="104" t="str">
        <x:v>δₒ</x:v>
      </x:c>
      <x:c r="X16" s="104" t="str">
        <x:v>δₕ₁</x:v>
      </x:c>
      <x:c r="Y16" s="104" t="str">
        <x:v>δₕ₂</x:v>
      </x:c>
      <x:c r="Z16" s="104" t="str">
        <x:v>g w₁₁</x:v>
      </x:c>
      <x:c r="AA16" s="104" t="str">
        <x:v>g w₂₁</x:v>
      </x:c>
      <x:c r="AB16" s="104" t="str">
        <x:v>g bₕ₁</x:v>
      </x:c>
      <x:c r="AC16" s="104" t="str">
        <x:v>g w₁₂</x:v>
      </x:c>
      <x:c r="AD16" s="104" t="str">
        <x:v>g w₂₂</x:v>
      </x:c>
      <x:c r="AE16" s="104" t="str">
        <x:v>g bₕ₂</x:v>
      </x:c>
      <x:c r="AF16" s="104" t="str">
        <x:v>g v₁</x:v>
      </x:c>
      <x:c r="AG16" s="104" t="str">
        <x:v>g v₂</x:v>
      </x:c>
      <x:c r="AH16" s="104" t="str">
        <x:v>g bₒ</x:v>
      </x:c>
      <x:c r="AI16" s="104" t="str">
        <x:v>w₁₁ new</x:v>
      </x:c>
      <x:c r="AJ16" s="104" t="str">
        <x:v>w₂₁ new</x:v>
      </x:c>
      <x:c r="AK16" s="104" t="str">
        <x:v>bₕ₁ new</x:v>
      </x:c>
      <x:c r="AL16" s="104" t="str">
        <x:v>w₁₂ new</x:v>
      </x:c>
      <x:c r="AM16" s="104" t="str">
        <x:v>w₂₂ new</x:v>
      </x:c>
      <x:c r="AN16" s="104" t="str">
        <x:v>bₕ₂ new</x:v>
      </x:c>
      <x:c r="AO16" s="104" t="str">
        <x:v>v₁ new</x:v>
      </x:c>
      <x:c r="AP16" s="104" t="str">
        <x:v>v₂ new</x:v>
      </x:c>
      <x:c r="AQ16" s="104" t="str">
        <x:v>bₒ new</x:v>
      </x:c>
      <x:c r="AR16" s="104" t="str">
        <x:v>Pred</x:v>
      </x:c>
      <x:c r="AS16" s="104" t="str">
        <x:v>Correct</x:v>
      </x:c>
      <x:c r="AT16" s="104" t="str">
        <x:v>|t−ŷ|</x:v>
      </x:c>
    </x:row>
    <x:row r="17">
      <x:c r="A17" s="114" t="n">
        <x:v>1</x:v>
      </x:c>
      <x:c r="B17" s="114" t="n">
        <x:v>1</x:v>
      </x:c>
      <x:c r="C17" s="114" t="n">
        <x:v>1</x:v>
      </x:c>
      <x:c r="D17" s="168" t="n">
        <x:f>$I$5</x:f>
        <x:v>0</x:v>
      </x:c>
      <x:c r="E17" s="168" t="n">
        <x:f>$J$5</x:f>
        <x:v>0</x:v>
      </x:c>
      <x:c r="F17" s="168" t="n">
        <x:f>$K$5</x:f>
        <x:v>0</x:v>
      </x:c>
      <x:c r="G17" s="242" t="n">
        <x:f>$E$5</x:f>
        <x:v>0.99</x:v>
      </x:c>
      <x:c r="H17" s="242" t="n">
        <x:f>$E$6</x:f>
        <x:v>-1.19</x:v>
      </x:c>
      <x:c r="I17" s="242" t="n">
        <x:f>$E$7</x:f>
        <x:v>-1.18</x:v>
      </x:c>
      <x:c r="J17" s="242" t="n">
        <x:f>$E$8</x:f>
        <x:v>0.4</x:v>
      </x:c>
      <x:c r="K17" s="242" t="n">
        <x:f>$E$9</x:f>
        <x:v>-1.77</x:v>
      </x:c>
      <x:c r="L17" s="242" t="n">
        <x:f>$E$10</x:f>
        <x:v>1.11</x:v>
      </x:c>
      <x:c r="M17" s="242" t="n">
        <x:f>$E$11</x:f>
        <x:v>1.06</x:v>
      </x:c>
      <x:c r="N17" s="242" t="n">
        <x:f>$E$12</x:f>
        <x:v>-1.83</x:v>
      </x:c>
      <x:c r="O17" s="242" t="n">
        <x:f>$E$13</x:f>
        <x:v>0.73</x:v>
      </x:c>
      <x:c r="P17" s="243" t="n">
        <x:f>D17*G17+E17*H17+I17</x:f>
        <x:v>-1.18</x:v>
      </x:c>
      <x:c r="Q17" s="243" t="n">
        <x:f>1/(1+EXP(-P17))</x:f>
        <x:v>0.2350521962362353</x:v>
      </x:c>
      <x:c r="R17" s="243" t="n">
        <x:f>D17*J17+E17*K17+L17</x:f>
        <x:v>1.11</x:v>
      </x:c>
      <x:c r="S17" s="243" t="n">
        <x:f>1/(1+EXP(-R17))</x:f>
        <x:v>0.7521291114395702</x:v>
      </x:c>
      <x:c r="T17" s="243" t="n">
        <x:f>Q17*M17+S17*N17+O17</x:f>
        <x:v>-0.39724094592400405</x:v>
      </x:c>
      <x:c r="U17" s="243" t="n">
        <x:f>1/(1+EXP(-T17))</x:f>
        <x:v>0.40197541240118617</x:v>
      </x:c>
      <x:c r="V17" s="243" t="n">
        <x:f>0.5*(F17-U17)^2</x:f>
        <x:v>0.08079211608755185</x:v>
      </x:c>
      <x:c r="W17" s="244" t="n">
        <x:f>(U17-F17)*U17*(1-U17)</x:f>
        <x:v>0.09663134380898737</x:v>
      </x:c>
      <x:c r="X17" s="244" t="n">
        <x:f>W17*M17*Q17*(1-Q17)</x:f>
        <x:v>0.0184170471467913</x:v>
      </x:c>
      <x:c r="Y17" s="244" t="n">
        <x:f>W17*N17*S17*(1-S17)</x:f>
        <x:v>-0.032967577136282136</x:v>
      </x:c>
      <x:c r="Z17" s="245" t="n">
        <x:f>X17*D17</x:f>
        <x:v>0</x:v>
      </x:c>
      <x:c r="AA17" s="245" t="n">
        <x:f>X17*E17</x:f>
        <x:v>0</x:v>
      </x:c>
      <x:c r="AB17" s="245" t="n">
        <x:f>X17</x:f>
        <x:v>0.0184170471467913</x:v>
      </x:c>
      <x:c r="AC17" s="245" t="n">
        <x:f>Y17*D17</x:f>
        <x:v>0</x:v>
      </x:c>
      <x:c r="AD17" s="245" t="n">
        <x:f>Y17*E17</x:f>
        <x:v>0</x:v>
      </x:c>
      <x:c r="AE17" s="245" t="n">
        <x:f>Y17</x:f>
        <x:v>-0.032967577136282136</x:v>
      </x:c>
      <x:c r="AF17" s="245" t="n">
        <x:f>W17*Q17</x:f>
        <x:v>0.022713409587561222</x:v>
      </x:c>
      <x:c r="AG17" s="245" t="n">
        <x:f>W17*S17</x:f>
        <x:v>0.07267924675626528</x:v>
      </x:c>
      <x:c r="AH17" s="245" t="n">
        <x:f>W17</x:f>
        <x:v>0.09663134380898737</x:v>
      </x:c>
      <x:c r="AI17" s="246" t="n">
        <x:f>G17-$B$4*Z17</x:f>
        <x:v>0.99</x:v>
      </x:c>
      <x:c r="AJ17" s="246" t="n">
        <x:f>H17-$B$4*AA17</x:f>
        <x:v>-1.19</x:v>
      </x:c>
      <x:c r="AK17" s="246" t="n">
        <x:f>I17-$B$4*AB17</x:f>
        <x:v>-1.1984170471467912</x:v>
      </x:c>
      <x:c r="AL17" s="246" t="n">
        <x:f>J17-$B$4*AC17</x:f>
        <x:v>0.4</x:v>
      </x:c>
      <x:c r="AM17" s="246" t="n">
        <x:f>K17-$B$4*AD17</x:f>
        <x:v>-1.77</x:v>
      </x:c>
      <x:c r="AN17" s="246" t="n">
        <x:f>L17-$B$4*AE17</x:f>
        <x:v>1.1429675771362822</x:v>
      </x:c>
      <x:c r="AO17" s="246" t="n">
        <x:f>M17-$B$4*AF17</x:f>
        <x:v>1.0372865904124389</x:v>
      </x:c>
      <x:c r="AP17" s="246" t="n">
        <x:f>N17-$B$4*AG17</x:f>
        <x:v>-1.9026792467562654</x:v>
      </x:c>
      <x:c r="AQ17" s="246" t="n">
        <x:f>O17-$B$4*AH17</x:f>
        <x:v>0.6333686561910126</x:v>
      </x:c>
      <x:c r="AR17" s="182" t="n">
        <x:f>IF(U17&gt;=$B$5,1,0)</x:f>
        <x:v>0</x:v>
      </x:c>
      <x:c r="AS17" s="182" t="n">
        <x:f>IF(AR17=F17,1,0)</x:f>
        <x:v>1</x:v>
      </x:c>
      <x:c r="AT17" s="252" t="n">
        <x:f>ABS(F17-U17)</x:f>
        <x:v>0.40197541240118617</x:v>
      </x:c>
    </x:row>
    <x:row r="18">
      <x:c r="A18" s="114" t="n">
        <x:v>2</x:v>
      </x:c>
      <x:c r="B18" s="114" t="n">
        <x:v>1</x:v>
      </x:c>
      <x:c r="C18" s="114" t="n">
        <x:v>2</x:v>
      </x:c>
      <x:c r="D18" s="168" t="n">
        <x:f>$I$6</x:f>
        <x:v>0</x:v>
      </x:c>
      <x:c r="E18" s="168" t="n">
        <x:f>$J$6</x:f>
        <x:v>1</x:v>
      </x:c>
      <x:c r="F18" s="168" t="n">
        <x:f>$K$6</x:f>
        <x:v>1</x:v>
      </x:c>
      <x:c r="G18" s="242" t="n">
        <x:f>AI17</x:f>
        <x:v>0.99</x:v>
      </x:c>
      <x:c r="H18" s="242" t="n">
        <x:f>AJ17</x:f>
        <x:v>-1.19</x:v>
      </x:c>
      <x:c r="I18" s="242" t="n">
        <x:f>AK17</x:f>
        <x:v>-1.1984170471467912</x:v>
      </x:c>
      <x:c r="J18" s="242" t="n">
        <x:f>AL17</x:f>
        <x:v>0.4</x:v>
      </x:c>
      <x:c r="K18" s="242" t="n">
        <x:f>AM17</x:f>
        <x:v>-1.77</x:v>
      </x:c>
      <x:c r="L18" s="242" t="n">
        <x:f>AN17</x:f>
        <x:v>1.1429675771362822</x:v>
      </x:c>
      <x:c r="M18" s="242" t="n">
        <x:f>AO17</x:f>
        <x:v>1.0372865904124389</x:v>
      </x:c>
      <x:c r="N18" s="242" t="n">
        <x:f>AP17</x:f>
        <x:v>-1.9026792467562654</x:v>
      </x:c>
      <x:c r="O18" s="242" t="n">
        <x:f>AQ17</x:f>
        <x:v>0.6333686561910126</x:v>
      </x:c>
      <x:c r="P18" s="243" t="n">
        <x:f>D18*G18+E18*H18+I18</x:f>
        <x:v>-2.388417047146791</x:v>
      </x:c>
      <x:c r="Q18" s="243" t="n">
        <x:f>1/(1+EXP(-P18))</x:f>
        <x:v>0.08406022972099719</x:v>
      </x:c>
      <x:c r="R18" s="243" t="n">
        <x:f>D18*J18+E18*K18+L18</x:f>
        <x:v>-0.6270324228637179</x:v>
      </x:c>
      <x:c r="S18" s="243" t="n">
        <x:f>1/(1+EXP(-R18))</x:f>
        <x:v>0.34818373105532996</x:v>
      </x:c>
      <x:c r="T18" s="243" t="n">
        <x:f>Q18*M18+S18*N18+O18</x:f>
        <x:v>0.05808124613045074</x:v>
      </x:c>
      <x:c r="U18" s="243" t="n">
        <x:f>1/(1+EXP(-T18))</x:f>
        <x:v>0.5145162309698851</x:v>
      </x:c>
      <x:c r="V18" s="243" t="n">
        <x:f>0.5*(F18-U18)^2</x:f>
        <x:v>0.11784724499584298</x:v>
      </x:c>
      <x:c r="W18" s="244" t="n">
        <x:f>(U18-F18)*U18*(1-U18)</x:f>
        <x:v>-0.12126864065089157</x:v>
      </x:c>
      <x:c r="X18" s="244" t="n">
        <x:f>W18*M18*Q18*(1-Q18)</x:f>
        <x:v>-0.009685114558906801</x:v>
      </x:c>
      <x:c r="Y18" s="244" t="n">
        <x:f>W18*N18*S18*(1-S18)</x:f>
        <x:v>0.05236580225128819</x:v>
      </x:c>
      <x:c r="Z18" s="245" t="n">
        <x:f>X18*D18</x:f>
        <x:v>0</x:v>
      </x:c>
      <x:c r="AA18" s="245" t="n">
        <x:f>X18*E18</x:f>
        <x:v>-0.009685114558906801</x:v>
      </x:c>
      <x:c r="AB18" s="245" t="n">
        <x:f>X18</x:f>
        <x:v>-0.009685114558906801</x:v>
      </x:c>
      <x:c r="AC18" s="245" t="n">
        <x:f>Y18*D18</x:f>
        <x:v>0</x:v>
      </x:c>
      <x:c r="AD18" s="245" t="n">
        <x:f>Y18*E18</x:f>
        <x:v>0.05236580225128819</x:v>
      </x:c>
      <x:c r="AE18" s="245" t="n">
        <x:f>Y18</x:f>
        <x:v>0.05236580225128819</x:v>
      </x:c>
      <x:c r="AF18" s="245" t="n">
        <x:f>W18*Q18</x:f>
        <x:v>-0.010193869791067005</x:v>
      </x:c>
      <x:c r="AG18" s="245" t="n">
        <x:f>W18*S18</x:f>
        <x:v>-0.042223767761835486</x:v>
      </x:c>
      <x:c r="AH18" s="245" t="n">
        <x:f>W18</x:f>
        <x:v>-0.12126864065089157</x:v>
      </x:c>
      <x:c r="AI18" s="246" t="n">
        <x:f>G18-$B$4*Z18</x:f>
        <x:v>0.99</x:v>
      </x:c>
      <x:c r="AJ18" s="246" t="n">
        <x:f>H18-$B$4*AA18</x:f>
        <x:v>-1.1803148854410932</x:v>
      </x:c>
      <x:c r="AK18" s="246" t="n">
        <x:f>I18-$B$4*AB18</x:f>
        <x:v>-1.1887319325878845</x:v>
      </x:c>
      <x:c r="AL18" s="246" t="n">
        <x:f>J18-$B$4*AC18</x:f>
        <x:v>0.4</x:v>
      </x:c>
      <x:c r="AM18" s="246" t="n">
        <x:f>K18-$B$4*AD18</x:f>
        <x:v>-1.8223658022512883</x:v>
      </x:c>
      <x:c r="AN18" s="246" t="n">
        <x:f>L18-$B$4*AE18</x:f>
        <x:v>1.0906017748849939</x:v>
      </x:c>
      <x:c r="AO18" s="246" t="n">
        <x:f>M18-$B$4*AF18</x:f>
        <x:v>1.047480460203506</x:v>
      </x:c>
      <x:c r="AP18" s="246" t="n">
        <x:f>N18-$B$4*AG18</x:f>
        <x:v>-1.8604554789944299</x:v>
      </x:c>
      <x:c r="AQ18" s="246" t="n">
        <x:f>O18-$B$4*AH18</x:f>
        <x:v>0.7546372968419042</x:v>
      </x:c>
      <x:c r="AR18" s="182" t="n">
        <x:f>IF(U18&gt;=$B$5,1,0)</x:f>
        <x:v>1</x:v>
      </x:c>
      <x:c r="AS18" s="182" t="n">
        <x:f>IF(AR18=F18,1,0)</x:f>
        <x:v>1</x:v>
      </x:c>
      <x:c r="AT18" s="252" t="n">
        <x:f>ABS(F18-U18)</x:f>
        <x:v>0.4854837690301149</x:v>
      </x:c>
    </x:row>
    <x:row r="19">
      <x:c r="A19" s="114" t="n">
        <x:v>3</x:v>
      </x:c>
      <x:c r="B19" s="114" t="n">
        <x:v>1</x:v>
      </x:c>
      <x:c r="C19" s="114" t="n">
        <x:v>3</x:v>
      </x:c>
      <x:c r="D19" s="168" t="n">
        <x:f>$I$7</x:f>
        <x:v>1</x:v>
      </x:c>
      <x:c r="E19" s="168" t="n">
        <x:f>$J$7</x:f>
        <x:v>0</x:v>
      </x:c>
      <x:c r="F19" s="168" t="n">
        <x:f>$K$7</x:f>
        <x:v>1</x:v>
      </x:c>
      <x:c r="G19" s="242" t="n">
        <x:f>AI18</x:f>
        <x:v>0.99</x:v>
      </x:c>
      <x:c r="H19" s="242" t="n">
        <x:f>AJ18</x:f>
        <x:v>-1.1803148854410932</x:v>
      </x:c>
      <x:c r="I19" s="242" t="n">
        <x:f>AK18</x:f>
        <x:v>-1.1887319325878845</x:v>
      </x:c>
      <x:c r="J19" s="242" t="n">
        <x:f>AL18</x:f>
        <x:v>0.4</x:v>
      </x:c>
      <x:c r="K19" s="242" t="n">
        <x:f>AM18</x:f>
        <x:v>-1.8223658022512883</x:v>
      </x:c>
      <x:c r="L19" s="242" t="n">
        <x:f>AN18</x:f>
        <x:v>1.0906017748849939</x:v>
      </x:c>
      <x:c r="M19" s="242" t="n">
        <x:f>AO18</x:f>
        <x:v>1.047480460203506</x:v>
      </x:c>
      <x:c r="N19" s="242" t="n">
        <x:f>AP18</x:f>
        <x:v>-1.8604554789944299</x:v>
      </x:c>
      <x:c r="O19" s="242" t="n">
        <x:f>AQ18</x:f>
        <x:v>0.7546372968419042</x:v>
      </x:c>
      <x:c r="P19" s="243" t="n">
        <x:f>D19*G19+E19*H19+I19</x:f>
        <x:v>-0.19873193258788446</x:v>
      </x:c>
      <x:c r="Q19" s="243" t="n">
        <x:f>1/(1+EXP(-P19))</x:f>
        <x:v>0.4504798901807267</x:v>
      </x:c>
      <x:c r="R19" s="243" t="n">
        <x:f>D19*J19+E19*K19+L19</x:f>
        <x:v>1.4906017748849938</x:v>
      </x:c>
      <x:c r="S19" s="243" t="n">
        <x:f>1/(1+EXP(-R19))</x:f>
        <x:v>0.8161685785167447</x:v>
      </x:c>
      <x:c r="T19" s="243" t="n">
        <x:f>Q19*M19+S19*N19+O19</x:f>
        <x:v>-0.2919391241637368</x:v>
      </x:c>
      <x:c r="U19" s="243" t="n">
        <x:f>1/(1+EXP(-T19))</x:f>
        <x:v>0.4275292037836362</x:v>
      </x:c>
      <x:c r="V19" s="243" t="n">
        <x:f>0.5*(F19-U19)^2</x:f>
        <x:v>0.16386140626029874</x:v>
      </x:c>
      <x:c r="W19" s="244" t="n">
        <x:f>(U19-F19)*U19*(1-U19)</x:f>
        <x:v>-0.1401110730986649</x:v>
      </x:c>
      <x:c r="X19" s="244" t="n">
        <x:f>W19*M19*Q19*(1-Q19)</x:f>
        <x:v>-0.03633100304665808</x:v>
      </x:c>
      <x:c r="Y19" s="244" t="n">
        <x:f>W19*N19*S19*(1-S19)</x:f>
        <x:v>0.03911031892494618</x:v>
      </x:c>
      <x:c r="Z19" s="245" t="n">
        <x:f>X19*D19</x:f>
        <x:v>-0.03633100304665808</x:v>
      </x:c>
      <x:c r="AA19" s="245" t="n">
        <x:f>X19*E19</x:f>
        <x:v>0</x:v>
      </x:c>
      <x:c r="AB19" s="245" t="n">
        <x:f>X19</x:f>
        <x:v>-0.03633100304665808</x:v>
      </x:c>
      <x:c r="AC19" s="245" t="n">
        <x:f>Y19*D19</x:f>
        <x:v>0.03911031892494618</x:v>
      </x:c>
      <x:c r="AD19" s="245" t="n">
        <x:f>Y19*E19</x:f>
        <x:v>0</x:v>
      </x:c>
      <x:c r="AE19" s="245" t="n">
        <x:f>Y19</x:f>
        <x:v>0.03911031892494618</x:v>
      </x:c>
      <x:c r="AF19" s="245" t="n">
        <x:f>W19*Q19</x:f>
        <x:v>-0.06311722082259034</x:v>
      </x:c>
      <x:c r="AG19" s="245" t="n">
        <x:f>W19*S19</x:f>
        <x:v>-0.11435425536539305</x:v>
      </x:c>
      <x:c r="AH19" s="245" t="n">
        <x:f>W19</x:f>
        <x:v>-0.1401110730986649</x:v>
      </x:c>
      <x:c r="AI19" s="246" t="n">
        <x:f>G19-$B$4*Z19</x:f>
        <x:v>1.0263310030466581</x:v>
      </x:c>
      <x:c r="AJ19" s="246" t="n">
        <x:f>H19-$B$4*AA19</x:f>
        <x:v>-1.1803148854410932</x:v>
      </x:c>
      <x:c r="AK19" s="246" t="n">
        <x:f>I19-$B$4*AB19</x:f>
        <x:v>-1.1524009295412263</x:v>
      </x:c>
      <x:c r="AL19" s="246" t="n">
        <x:f>J19-$B$4*AC19</x:f>
        <x:v>0.3608896810750538</x:v>
      </x:c>
      <x:c r="AM19" s="246" t="n">
        <x:f>K19-$B$4*AD19</x:f>
        <x:v>-1.8223658022512883</x:v>
      </x:c>
      <x:c r="AN19" s="246" t="n">
        <x:f>L19-$B$4*AE19</x:f>
        <x:v>1.0514914559600477</x:v>
      </x:c>
      <x:c r="AO19" s="246" t="n">
        <x:f>M19-$B$4*AF19</x:f>
        <x:v>1.1105976810260962</x:v>
      </x:c>
      <x:c r="AP19" s="246" t="n">
        <x:f>N19-$B$4*AG19</x:f>
        <x:v>-1.7461012236290367</x:v>
      </x:c>
      <x:c r="AQ19" s="246" t="n">
        <x:f>O19-$B$4*AH19</x:f>
        <x:v>0.894748369940569</x:v>
      </x:c>
      <x:c r="AR19" s="182" t="n">
        <x:f>IF(U19&gt;=$B$5,1,0)</x:f>
        <x:v>0</x:v>
      </x:c>
      <x:c r="AS19" s="182" t="n">
        <x:f>IF(AR19=F19,1,0)</x:f>
        <x:v>0</x:v>
      </x:c>
      <x:c r="AT19" s="252" t="n">
        <x:f>ABS(F19-U19)</x:f>
        <x:v>0.5724707962163638</x:v>
      </x:c>
    </x:row>
    <x:row r="20">
      <x:c r="A20" s="114" t="n">
        <x:v>4</x:v>
      </x:c>
      <x:c r="B20" s="114" t="n">
        <x:v>1</x:v>
      </x:c>
      <x:c r="C20" s="114" t="n">
        <x:v>4</x:v>
      </x:c>
      <x:c r="D20" s="168" t="n">
        <x:f>$I$8</x:f>
        <x:v>1</x:v>
      </x:c>
      <x:c r="E20" s="168" t="n">
        <x:f>$J$8</x:f>
        <x:v>1</x:v>
      </x:c>
      <x:c r="F20" s="168" t="n">
        <x:f>$K$8</x:f>
        <x:v>0</x:v>
      </x:c>
      <x:c r="G20" s="242" t="n">
        <x:f>AI19</x:f>
        <x:v>1.0263310030466581</x:v>
      </x:c>
      <x:c r="H20" s="242" t="n">
        <x:f>AJ19</x:f>
        <x:v>-1.1803148854410932</x:v>
      </x:c>
      <x:c r="I20" s="242" t="n">
        <x:f>AK19</x:f>
        <x:v>-1.1524009295412263</x:v>
      </x:c>
      <x:c r="J20" s="242" t="n">
        <x:f>AL19</x:f>
        <x:v>0.3608896810750538</x:v>
      </x:c>
      <x:c r="K20" s="242" t="n">
        <x:f>AM19</x:f>
        <x:v>-1.8223658022512883</x:v>
      </x:c>
      <x:c r="L20" s="242" t="n">
        <x:f>AN19</x:f>
        <x:v>1.0514914559600477</x:v>
      </x:c>
      <x:c r="M20" s="242" t="n">
        <x:f>AO19</x:f>
        <x:v>1.1105976810260962</x:v>
      </x:c>
      <x:c r="N20" s="242" t="n">
        <x:f>AP19</x:f>
        <x:v>-1.7461012236290367</x:v>
      </x:c>
      <x:c r="O20" s="242" t="n">
        <x:f>AQ19</x:f>
        <x:v>0.894748369940569</x:v>
      </x:c>
      <x:c r="P20" s="243" t="n">
        <x:f>D20*G20+E20*H20+I20</x:f>
        <x:v>-1.3063848119356614</x:v>
      </x:c>
      <x:c r="Q20" s="243" t="n">
        <x:f>1/(1+EXP(-P20))</x:f>
        <x:v>0.2130924246914395</x:v>
      </x:c>
      <x:c r="R20" s="243" t="n">
        <x:f>D20*J20+E20*K20+L20</x:f>
        <x:v>-0.4099846652161869</x:v>
      </x:c>
      <x:c r="S20" s="243" t="n">
        <x:f>1/(1+EXP(-R20))</x:f>
        <x:v>0.3989157981508194</x:v>
      </x:c>
      <x:c r="T20" s="243" t="n">
        <x:f>Q20*M20+S20*N20+O20</x:f>
        <x:v>0.4348609593710102</x:v>
      </x:c>
      <x:c r="U20" s="243" t="n">
        <x:f>1/(1+EXP(-T20))</x:f>
        <x:v>0.6070338212907618</x:v>
      </x:c>
      <x:c r="V20" s="243" t="n">
        <x:f>0.5*(F20-U20)^2</x:f>
        <x:v>0.18424503009543225</x:v>
      </x:c>
      <x:c r="W20" s="244" t="n">
        <x:f>(U20-F20)*U20*(1-U20)</x:f>
        <x:v>0.1448041308455412</x:v>
      </x:c>
      <x:c r="X20" s="244" t="n">
        <x:f>W20*M20*Q20*(1-Q20)</x:f>
        <x:v>0.026966802269184475</x:v>
      </x:c>
      <x:c r="Y20" s="244" t="n">
        <x:f>W20*N20*S20*(1-S20)</x:f>
        <x:v>-0.06062711710038695</x:v>
      </x:c>
      <x:c r="Z20" s="245" t="n">
        <x:f>X20*D20</x:f>
        <x:v>0.026966802269184475</x:v>
      </x:c>
      <x:c r="AA20" s="245" t="n">
        <x:f>X20*E20</x:f>
        <x:v>0.026966802269184475</x:v>
      </x:c>
      <x:c r="AB20" s="245" t="n">
        <x:f>X20</x:f>
        <x:v>0.026966802269184475</x:v>
      </x:c>
      <x:c r="AC20" s="245" t="n">
        <x:f>Y20*D20</x:f>
        <x:v>-0.06062711710038695</x:v>
      </x:c>
      <x:c r="AD20" s="245" t="n">
        <x:f>Y20*E20</x:f>
        <x:v>-0.06062711710038695</x:v>
      </x:c>
      <x:c r="AE20" s="245" t="n">
        <x:f>Y20</x:f>
        <x:v>-0.06062711710038695</x:v>
      </x:c>
      <x:c r="AF20" s="245" t="n">
        <x:f>W20*Q20</x:f>
        <x:v>0.030856663347212838</x:v>
      </x:c>
      <x:c r="AG20" s="245" t="n">
        <x:f>W20*S20</x:f>
        <x:v>0.05776465543178475</x:v>
      </x:c>
      <x:c r="AH20" s="245" t="n">
        <x:f>W20</x:f>
        <x:v>0.1448041308455412</x:v>
      </x:c>
      <x:c r="AI20" s="246" t="n">
        <x:f>G20-$B$4*Z20</x:f>
        <x:v>0.9993642007774737</x:v>
      </x:c>
      <x:c r="AJ20" s="246" t="n">
        <x:f>H20-$B$4*AA20</x:f>
        <x:v>-1.2072816877102777</x:v>
      </x:c>
      <x:c r="AK20" s="246" t="n">
        <x:f>I20-$B$4*AB20</x:f>
        <x:v>-1.1793677318104108</x:v>
      </x:c>
      <x:c r="AL20" s="246" t="n">
        <x:f>J20-$B$4*AC20</x:f>
        <x:v>0.42151679817544074</x:v>
      </x:c>
      <x:c r="AM20" s="246" t="n">
        <x:f>K20-$B$4*AD20</x:f>
        <x:v>-1.7617386851509014</x:v>
      </x:c>
      <x:c r="AN20" s="246" t="n">
        <x:f>L20-$B$4*AE20</x:f>
        <x:v>1.1121185730604346</x:v>
      </x:c>
      <x:c r="AO20" s="246" t="n">
        <x:f>M20-$B$4*AF20</x:f>
        <x:v>1.0797410176788833</x:v>
      </x:c>
      <x:c r="AP20" s="246" t="n">
        <x:f>N20-$B$4*AG20</x:f>
        <x:v>-1.8038658790608215</x:v>
      </x:c>
      <x:c r="AQ20" s="246" t="n">
        <x:f>O20-$B$4*AH20</x:f>
        <x:v>0.7499442390950278</x:v>
      </x:c>
      <x:c r="AR20" s="182" t="n">
        <x:f>IF(U20&gt;=$B$5,1,0)</x:f>
        <x:v>1</x:v>
      </x:c>
      <x:c r="AS20" s="182" t="n">
        <x:f>IF(AR20=F20,1,0)</x:f>
        <x:v>0</x:v>
      </x:c>
      <x:c r="AT20" s="252" t="n">
        <x:f>ABS(F20-U20)</x:f>
        <x:v>0.6070338212907618</x:v>
      </x:c>
    </x:row>
    <x:row r="21">
      <x:c r="A21" s="114" t="n">
        <x:v>5</x:v>
      </x:c>
      <x:c r="B21" s="114" t="n">
        <x:v>2</x:v>
      </x:c>
      <x:c r="C21" s="114" t="n">
        <x:v>1</x:v>
      </x:c>
      <x:c r="D21" s="168" t="n">
        <x:f>$I$5</x:f>
        <x:v>0</x:v>
      </x:c>
      <x:c r="E21" s="168" t="n">
        <x:f>$J$5</x:f>
        <x:v>0</x:v>
      </x:c>
      <x:c r="F21" s="168" t="n">
        <x:f>$K$5</x:f>
        <x:v>0</x:v>
      </x:c>
      <x:c r="G21" s="242" t="n">
        <x:f>AI20</x:f>
        <x:v>0.9993642007774737</x:v>
      </x:c>
      <x:c r="H21" s="242" t="n">
        <x:f>AJ20</x:f>
        <x:v>-1.2072816877102777</x:v>
      </x:c>
      <x:c r="I21" s="242" t="n">
        <x:f>AK20</x:f>
        <x:v>-1.1793677318104108</x:v>
      </x:c>
      <x:c r="J21" s="242" t="n">
        <x:f>AL20</x:f>
        <x:v>0.42151679817544074</x:v>
      </x:c>
      <x:c r="K21" s="242" t="n">
        <x:f>AM20</x:f>
        <x:v>-1.7617386851509014</x:v>
      </x:c>
      <x:c r="L21" s="242" t="n">
        <x:f>AN20</x:f>
        <x:v>1.1121185730604346</x:v>
      </x:c>
      <x:c r="M21" s="242" t="n">
        <x:f>AO20</x:f>
        <x:v>1.0797410176788833</x:v>
      </x:c>
      <x:c r="N21" s="242" t="n">
        <x:f>AP20</x:f>
        <x:v>-1.8038658790608215</x:v>
      </x:c>
      <x:c r="O21" s="242" t="n">
        <x:f>AQ20</x:f>
        <x:v>0.7499442390950278</x:v>
      </x:c>
      <x:c r="P21" s="243" t="n">
        <x:f>D21*G21+E21*H21+I21</x:f>
        <x:v>-1.1793677318104108</x:v>
      </x:c>
      <x:c r="Q21" s="243" t="n">
        <x:f>1/(1+EXP(-P21))</x:f>
        <x:v>0.2351658987828097</x:v>
      </x:c>
      <x:c r="R21" s="243" t="n">
        <x:f>D21*J21+E21*K21+L21</x:f>
        <x:v>1.1121185730604346</x:v>
      </x:c>
      <x:c r="S21" s="243" t="n">
        <x:f>1/(1+EXP(-R21))</x:f>
        <x:v>0.7525238679372056</x:v>
      </x:c>
      <x:c r="T21" s="243" t="n">
        <x:f>Q21*M21+S21*N21+O21</x:f>
        <x:v>-0.35358962258064885</x:v>
      </x:c>
      <x:c r="U21" s="243" t="n">
        <x:f>1/(1+EXP(-T21))</x:f>
        <x:v>0.4125122184594002</x:v>
      </x:c>
      <x:c r="V21" s="243" t="n">
        <x:f>0.5*(F21-U21)^2</x:f>
        <x:v>0.08508316518914796</x:v>
      </x:c>
      <x:c r="W21" s="244" t="n">
        <x:f>(U21-F21)*U21*(1-U21)</x:f>
        <x:v>0.09997063992684985</x:v>
      </x:c>
      <x:c r="X21" s="244" t="n">
        <x:f>W21*M21*Q21*(1-Q21)</x:f>
        <x:v>0.019414833059540563</x:v>
      </x:c>
      <x:c r="Y21" s="244" t="n">
        <x:f>W21*N21*S21*(1-S21)</x:f>
        <x:v>-0.03358383708845641</x:v>
      </x:c>
      <x:c r="Z21" s="245" t="n">
        <x:f>X21*D21</x:f>
        <x:v>0</x:v>
      </x:c>
      <x:c r="AA21" s="245" t="n">
        <x:f>X21*E21</x:f>
        <x:v>0</x:v>
      </x:c>
      <x:c r="AB21" s="245" t="n">
        <x:f>X21</x:f>
        <x:v>0.019414833059540563</x:v>
      </x:c>
      <x:c r="AC21" s="245" t="n">
        <x:f>Y21*D21</x:f>
        <x:v>0</x:v>
      </x:c>
      <x:c r="AD21" s="245" t="n">
        <x:f>Y21*E21</x:f>
        <x:v>0</x:v>
      </x:c>
      <x:c r="AE21" s="245" t="n">
        <x:f>Y21</x:f>
        <x:v>-0.03358383708845641</x:v>
      </x:c>
      <x:c r="AF21" s="245" t="n">
        <x:f>W21*Q21</x:f>
        <x:v>0.023509685390290285</x:v>
      </x:c>
      <x:c r="AG21" s="245" t="n">
        <x:f>W21*S21</x:f>
        <x:v>0.07523029263791069</x:v>
      </x:c>
      <x:c r="AH21" s="245" t="n">
        <x:f>W21</x:f>
        <x:v>0.09997063992684985</x:v>
      </x:c>
      <x:c r="AI21" s="246" t="n">
        <x:f>G21-$B$4*Z21</x:f>
        <x:v>0.9993642007774737</x:v>
      </x:c>
      <x:c r="AJ21" s="246" t="n">
        <x:f>H21-$B$4*AA21</x:f>
        <x:v>-1.2072816877102777</x:v>
      </x:c>
      <x:c r="AK21" s="246" t="n">
        <x:f>I21-$B$4*AB21</x:f>
        <x:v>-1.1987825648699513</x:v>
      </x:c>
      <x:c r="AL21" s="246" t="n">
        <x:f>J21-$B$4*AC21</x:f>
        <x:v>0.42151679817544074</x:v>
      </x:c>
      <x:c r="AM21" s="246" t="n">
        <x:f>K21-$B$4*AD21</x:f>
        <x:v>-1.7617386851509014</x:v>
      </x:c>
      <x:c r="AN21" s="246" t="n">
        <x:f>L21-$B$4*AE21</x:f>
        <x:v>1.145702410148891</x:v>
      </x:c>
      <x:c r="AO21" s="246" t="n">
        <x:f>M21-$B$4*AF21</x:f>
        <x:v>1.056231332288593</x:v>
      </x:c>
      <x:c r="AP21" s="246" t="n">
        <x:f>N21-$B$4*AG21</x:f>
        <x:v>-1.8790961716987322</x:v>
      </x:c>
      <x:c r="AQ21" s="246" t="n">
        <x:f>O21-$B$4*AH21</x:f>
        <x:v>0.649973599168178</x:v>
      </x:c>
      <x:c r="AR21" s="182" t="n">
        <x:f>IF(U21&gt;=$B$5,1,0)</x:f>
        <x:v>0</x:v>
      </x:c>
      <x:c r="AS21" s="182" t="n">
        <x:f>IF(AR21=F21,1,0)</x:f>
        <x:v>1</x:v>
      </x:c>
      <x:c r="AT21" s="252" t="n">
        <x:f>ABS(F21-U21)</x:f>
        <x:v>0.4125122184594002</x:v>
      </x:c>
    </x:row>
    <x:row r="22">
      <x:c r="A22" s="114" t="n">
        <x:v>6</x:v>
      </x:c>
      <x:c r="B22" s="114" t="n">
        <x:v>2</x:v>
      </x:c>
      <x:c r="C22" s="114" t="n">
        <x:v>2</x:v>
      </x:c>
      <x:c r="D22" s="168" t="n">
        <x:f>$I$6</x:f>
        <x:v>0</x:v>
      </x:c>
      <x:c r="E22" s="168" t="n">
        <x:f>$J$6</x:f>
        <x:v>1</x:v>
      </x:c>
      <x:c r="F22" s="168" t="n">
        <x:f>$K$6</x:f>
        <x:v>1</x:v>
      </x:c>
      <x:c r="G22" s="242" t="n">
        <x:f>AI21</x:f>
        <x:v>0.9993642007774737</x:v>
      </x:c>
      <x:c r="H22" s="242" t="n">
        <x:f>AJ21</x:f>
        <x:v>-1.2072816877102777</x:v>
      </x:c>
      <x:c r="I22" s="242" t="n">
        <x:f>AK21</x:f>
        <x:v>-1.1987825648699513</x:v>
      </x:c>
      <x:c r="J22" s="242" t="n">
        <x:f>AL21</x:f>
        <x:v>0.42151679817544074</x:v>
      </x:c>
      <x:c r="K22" s="242" t="n">
        <x:f>AM21</x:f>
        <x:v>-1.7617386851509014</x:v>
      </x:c>
      <x:c r="L22" s="242" t="n">
        <x:f>AN21</x:f>
        <x:v>1.145702410148891</x:v>
      </x:c>
      <x:c r="M22" s="242" t="n">
        <x:f>AO21</x:f>
        <x:v>1.056231332288593</x:v>
      </x:c>
      <x:c r="N22" s="242" t="n">
        <x:f>AP21</x:f>
        <x:v>-1.8790961716987322</x:v>
      </x:c>
      <x:c r="O22" s="242" t="n">
        <x:f>AQ21</x:f>
        <x:v>0.649973599168178</x:v>
      </x:c>
      <x:c r="P22" s="243" t="n">
        <x:f>D22*G22+E22*H22+I22</x:f>
        <x:v>-2.406064252580229</x:v>
      </x:c>
      <x:c r="Q22" s="243" t="n">
        <x:f>1/(1+EXP(-P22))</x:f>
        <x:v>0.08271143428647182</x:v>
      </x:c>
      <x:c r="R22" s="243" t="n">
        <x:f>D22*J22+E22*K22+L22</x:f>
        <x:v>-0.6160362750020103</x:v>
      </x:c>
      <x:c r="S22" s="243" t="n">
        <x:f>1/(1+EXP(-R22))</x:f>
        <x:v>0.35068347470020084</x:v>
      </x:c>
      <x:c r="T22" s="243" t="n">
        <x:f>Q22*M22+S22*N22+O22</x:f>
        <x:v>0.07836803281292193</x:v>
      </x:c>
      <x:c r="U22" s="243" t="n">
        <x:f>1/(1+EXP(-T22))</x:f>
        <x:v>0.5195819872517762</x:v>
      </x:c>
      <x:c r="V22" s="243" t="n">
        <x:f>0.5*(F22-U22)^2</x:f>
        <x:v>0.11540073348647627</x:v>
      </x:c>
      <x:c r="W22" s="244" t="n">
        <x:f>(U22-F22)*U22*(1-U22)</x:f>
        <x:v>-0.11992028487043188</x:v>
      </x:c>
      <x:c r="X22" s="244" t="n">
        <x:f>W22*M22*Q22*(1-Q22)</x:f>
        <x:v>-0.009609996504797358</x:v>
      </x:c>
      <x:c r="Y22" s="244" t="n">
        <x:f>W22*N22*S22*(1-S22)</x:f>
        <x:v>0.05131134706708057</x:v>
      </x:c>
      <x:c r="Z22" s="245" t="n">
        <x:f>X22*D22</x:f>
        <x:v>0</x:v>
      </x:c>
      <x:c r="AA22" s="245" t="n">
        <x:f>X22*E22</x:f>
        <x:v>-0.009609996504797358</x:v>
      </x:c>
      <x:c r="AB22" s="245" t="n">
        <x:f>X22</x:f>
        <x:v>-0.009609996504797358</x:v>
      </x:c>
      <x:c r="AC22" s="245" t="n">
        <x:f>Y22*D22</x:f>
        <x:v>0</x:v>
      </x:c>
      <x:c r="AD22" s="245" t="n">
        <x:f>Y22*E22</x:f>
        <x:v>0.05131134706708057</x:v>
      </x:c>
      <x:c r="AE22" s="245" t="n">
        <x:f>Y22</x:f>
        <x:v>0.05131134706708057</x:v>
      </x:c>
      <x:c r="AF22" s="245" t="n">
        <x:f>W22*Q22</x:f>
        <x:v>-0.009918778761675707</x:v>
      </x:c>
      <x:c r="AG22" s="245" t="n">
        <x:f>W22*S22</x:f>
        <x:v>-0.042054062185400976</x:v>
      </x:c>
      <x:c r="AH22" s="245" t="n">
        <x:f>W22</x:f>
        <x:v>-0.11992028487043188</x:v>
      </x:c>
      <x:c r="AI22" s="246" t="n">
        <x:f>G22-$B$4*Z22</x:f>
        <x:v>0.9993642007774737</x:v>
      </x:c>
      <x:c r="AJ22" s="246" t="n">
        <x:f>H22-$B$4*AA22</x:f>
        <x:v>-1.1976716912054803</x:v>
      </x:c>
      <x:c r="AK22" s="246" t="n">
        <x:f>I22-$B$4*AB22</x:f>
        <x:v>-1.189172568365154</x:v>
      </x:c>
      <x:c r="AL22" s="246" t="n">
        <x:f>J22-$B$4*AC22</x:f>
        <x:v>0.42151679817544074</x:v>
      </x:c>
      <x:c r="AM22" s="246" t="n">
        <x:f>K22-$B$4*AD22</x:f>
        <x:v>-1.8130500322179819</x:v>
      </x:c>
      <x:c r="AN22" s="246" t="n">
        <x:f>L22-$B$4*AE22</x:f>
        <x:v>1.0943910630818106</x:v>
      </x:c>
      <x:c r="AO22" s="246" t="n">
        <x:f>M22-$B$4*AF22</x:f>
        <x:v>1.0661501110502687</x:v>
      </x:c>
      <x:c r="AP22" s="246" t="n">
        <x:f>N22-$B$4*AG22</x:f>
        <x:v>-1.8370421095133311</x:v>
      </x:c>
      <x:c r="AQ22" s="246" t="n">
        <x:f>O22-$B$4*AH22</x:f>
        <x:v>0.7698938840386098</x:v>
      </x:c>
      <x:c r="AR22" s="182" t="n">
        <x:f>IF(U22&gt;=$B$5,1,0)</x:f>
        <x:v>1</x:v>
      </x:c>
      <x:c r="AS22" s="182" t="n">
        <x:f>IF(AR22=F22,1,0)</x:f>
        <x:v>1</x:v>
      </x:c>
      <x:c r="AT22" s="252" t="n">
        <x:f>ABS(F22-U22)</x:f>
        <x:v>0.4804180127482238</x:v>
      </x:c>
    </x:row>
    <x:row r="23">
      <x:c r="A23" s="114" t="n">
        <x:v>7</x:v>
      </x:c>
      <x:c r="B23" s="114" t="n">
        <x:v>2</x:v>
      </x:c>
      <x:c r="C23" s="114" t="n">
        <x:v>3</x:v>
      </x:c>
      <x:c r="D23" s="168" t="n">
        <x:f>$I$7</x:f>
        <x:v>1</x:v>
      </x:c>
      <x:c r="E23" s="168" t="n">
        <x:f>$J$7</x:f>
        <x:v>0</x:v>
      </x:c>
      <x:c r="F23" s="168" t="n">
        <x:f>$K$7</x:f>
        <x:v>1</x:v>
      </x:c>
      <x:c r="G23" s="242" t="n">
        <x:f>AI22</x:f>
        <x:v>0.9993642007774737</x:v>
      </x:c>
      <x:c r="H23" s="242" t="n">
        <x:f>AJ22</x:f>
        <x:v>-1.1976716912054803</x:v>
      </x:c>
      <x:c r="I23" s="242" t="n">
        <x:f>AK22</x:f>
        <x:v>-1.189172568365154</x:v>
      </x:c>
      <x:c r="J23" s="242" t="n">
        <x:f>AL22</x:f>
        <x:v>0.42151679817544074</x:v>
      </x:c>
      <x:c r="K23" s="242" t="n">
        <x:f>AM22</x:f>
        <x:v>-1.8130500322179819</x:v>
      </x:c>
      <x:c r="L23" s="242" t="n">
        <x:f>AN22</x:f>
        <x:v>1.0943910630818106</x:v>
      </x:c>
      <x:c r="M23" s="242" t="n">
        <x:f>AO22</x:f>
        <x:v>1.0661501110502687</x:v>
      </x:c>
      <x:c r="N23" s="242" t="n">
        <x:f>AP22</x:f>
        <x:v>-1.8370421095133311</x:v>
      </x:c>
      <x:c r="O23" s="242" t="n">
        <x:f>AQ22</x:f>
        <x:v>0.7698938840386098</x:v>
      </x:c>
      <x:c r="P23" s="243" t="n">
        <x:f>D23*G23+E23*H23+I23</x:f>
        <x:v>-0.18980836758768027</x:v>
      </x:c>
      <x:c r="Q23" s="243" t="n">
        <x:f>1/(1+EXP(-P23))</x:f>
        <x:v>0.45268986060828487</x:v>
      </x:c>
      <x:c r="R23" s="243" t="n">
        <x:f>D23*J23+E23*K23+L23</x:f>
        <x:v>1.5159078612572512</x:v>
      </x:c>
      <x:c r="S23" s="243" t="n">
        <x:f>1/(1+EXP(-R23))</x:f>
        <x:v>0.819935101761937</x:v>
      </x:c>
      <x:c r="T23" s="243" t="n">
        <x:f>Q23*M23+S23*N23+O23</x:f>
        <x:v>-0.2537260798073131</x:v>
      </x:c>
      <x:c r="U23" s="243" t="n">
        <x:f>1/(1+EXP(-T23))</x:f>
        <x:v>0.4369065973623025</x:v>
      </x:c>
      <x:c r="V23" s="243" t="n">
        <x:f>0.5*(F23-U23)^2</x:f>
        <x:v>0.15853709004705005</x:v>
      </x:c>
      <x:c r="W23" s="244" t="n">
        <x:f>(U23-F23)*U23*(1-U23)</x:f>
        <x:v>-0.13853180113635516</x:v>
      </x:c>
      <x:c r="X23" s="244" t="n">
        <x:f>W23*M23*Q23*(1-Q23)</x:f>
        <x:v>-0.036593344006648196</x:v>
      </x:c>
      <x:c r="Y23" s="244" t="n">
        <x:f>W23*N23*S23*(1-S23)</x:f>
        <x:v>0.03757310890985413</x:v>
      </x:c>
      <x:c r="Z23" s="245" t="n">
        <x:f>X23*D23</x:f>
        <x:v>-0.036593344006648196</x:v>
      </x:c>
      <x:c r="AA23" s="245" t="n">
        <x:f>X23*E23</x:f>
        <x:v>0</x:v>
      </x:c>
      <x:c r="AB23" s="245" t="n">
        <x:f>X23</x:f>
        <x:v>-0.036593344006648196</x:v>
      </x:c>
      <x:c r="AC23" s="245" t="n">
        <x:f>Y23*D23</x:f>
        <x:v>0.03757310890985413</x:v>
      </x:c>
      <x:c r="AD23" s="245" t="n">
        <x:f>Y23*E23</x:f>
        <x:v>0</x:v>
      </x:c>
      <x:c r="AE23" s="245" t="n">
        <x:f>Y23</x:f>
        <x:v>0.03757310890985413</x:v>
      </x:c>
      <x:c r="AF23" s="245" t="n">
        <x:f>W23*Q23</x:f>
        <x:v>-0.06271194174623125</x:v>
      </x:c>
      <x:c r="AG23" s="245" t="n">
        <x:f>W23*S23</x:f>
        <x:v>-0.11358708646200179</x:v>
      </x:c>
      <x:c r="AH23" s="245" t="n">
        <x:f>W23</x:f>
        <x:v>-0.13853180113635516</x:v>
      </x:c>
      <x:c r="AI23" s="246" t="n">
        <x:f>G23-$B$4*Z23</x:f>
        <x:v>1.0359575447841218</x:v>
      </x:c>
      <x:c r="AJ23" s="246" t="n">
        <x:f>H23-$B$4*AA23</x:f>
        <x:v>-1.1976716912054803</x:v>
      </x:c>
      <x:c r="AK23" s="246" t="n">
        <x:f>I23-$B$4*AB23</x:f>
        <x:v>-1.1525792243585058</x:v>
      </x:c>
      <x:c r="AL23" s="246" t="n">
        <x:f>J23-$B$4*AC23</x:f>
        <x:v>0.38394368926558664</x:v>
      </x:c>
      <x:c r="AM23" s="246" t="n">
        <x:f>K23-$B$4*AD23</x:f>
        <x:v>-1.8130500322179819</x:v>
      </x:c>
      <x:c r="AN23" s="246" t="n">
        <x:f>L23-$B$4*AE23</x:f>
        <x:v>1.0568179541719565</x:v>
      </x:c>
      <x:c r="AO23" s="246" t="n">
        <x:f>M23-$B$4*AF23</x:f>
        <x:v>1.1288620527964999</x:v>
      </x:c>
      <x:c r="AP23" s="246" t="n">
        <x:f>N23-$B$4*AG23</x:f>
        <x:v>-1.7234550230513292</x:v>
      </x:c>
      <x:c r="AQ23" s="246" t="n">
        <x:f>O23-$B$4*AH23</x:f>
        <x:v>0.908425685174965</x:v>
      </x:c>
      <x:c r="AR23" s="182" t="n">
        <x:f>IF(U23&gt;=$B$5,1,0)</x:f>
        <x:v>0</x:v>
      </x:c>
      <x:c r="AS23" s="182" t="n">
        <x:f>IF(AR23=F23,1,0)</x:f>
        <x:v>0</x:v>
      </x:c>
      <x:c r="AT23" s="252" t="n">
        <x:f>ABS(F23-U23)</x:f>
        <x:v>0.5630934026376975</x:v>
      </x:c>
    </x:row>
    <x:row r="24">
      <x:c r="A24" s="114" t="n">
        <x:v>8</x:v>
      </x:c>
      <x:c r="B24" s="114" t="n">
        <x:v>2</x:v>
      </x:c>
      <x:c r="C24" s="114" t="n">
        <x:v>4</x:v>
      </x:c>
      <x:c r="D24" s="168" t="n">
        <x:f>$I$8</x:f>
        <x:v>1</x:v>
      </x:c>
      <x:c r="E24" s="168" t="n">
        <x:f>$J$8</x:f>
        <x:v>1</x:v>
      </x:c>
      <x:c r="F24" s="168" t="n">
        <x:f>$K$8</x:f>
        <x:v>0</x:v>
      </x:c>
      <x:c r="G24" s="242" t="n">
        <x:f>AI23</x:f>
        <x:v>1.0359575447841218</x:v>
      </x:c>
      <x:c r="H24" s="242" t="n">
        <x:f>AJ23</x:f>
        <x:v>-1.1976716912054803</x:v>
      </x:c>
      <x:c r="I24" s="242" t="n">
        <x:f>AK23</x:f>
        <x:v>-1.1525792243585058</x:v>
      </x:c>
      <x:c r="J24" s="242" t="n">
        <x:f>AL23</x:f>
        <x:v>0.38394368926558664</x:v>
      </x:c>
      <x:c r="K24" s="242" t="n">
        <x:f>AM23</x:f>
        <x:v>-1.8130500322179819</x:v>
      </x:c>
      <x:c r="L24" s="242" t="n">
        <x:f>AN23</x:f>
        <x:v>1.0568179541719565</x:v>
      </x:c>
      <x:c r="M24" s="242" t="n">
        <x:f>AO23</x:f>
        <x:v>1.1288620527964999</x:v>
      </x:c>
      <x:c r="N24" s="242" t="n">
        <x:f>AP23</x:f>
        <x:v>-1.7234550230513292</x:v>
      </x:c>
      <x:c r="O24" s="242" t="n">
        <x:f>AQ23</x:f>
        <x:v>0.908425685174965</x:v>
      </x:c>
      <x:c r="P24" s="243" t="n">
        <x:f>D24*G24+E24*H24+I24</x:f>
        <x:v>-1.3142933707798643</x:v>
      </x:c>
      <x:c r="Q24" s="243" t="n">
        <x:f>1/(1+EXP(-P24))</x:f>
        <x:v>0.21176929468026548</x:v>
      </x:c>
      <x:c r="R24" s="243" t="n">
        <x:f>D24*J24+E24*K24+L24</x:f>
        <x:v>-0.3722883887804389</x:v>
      </x:c>
      <x:c r="S24" s="243" t="n">
        <x:f>1/(1+EXP(-R24))</x:f>
        <x:v>0.407988182107187</x:v>
      </x:c>
      <x:c r="T24" s="243" t="n">
        <x:f>Q24*M24+S24*N24+O24</x:f>
        <x:v>0.4443347240887845</x:v>
      </x:c>
      <x:c r="U24" s="243" t="n">
        <x:f>1/(1+EXP(-T24))</x:f>
        <x:v>0.6092914226352929</x:v>
      </x:c>
      <x:c r="V24" s="243" t="n">
        <x:f>0.5*(F24-U24)^2</x:f>
        <x:v>0.18561801884846957</x:v>
      </x:c>
      <x:c r="W24" s="244" t="n">
        <x:f>(U24-F24)*U24*(1-U24)</x:f>
        <x:v>0.14504510415508187</x:v>
      </x:c>
      <x:c r="X24" s="244" t="n">
        <x:f>W24*M24*Q24*(1-Q24)</x:f>
        <x:v>0.027331299884531892</x:v>
      </x:c>
      <x:c r="Y24" s="244" t="n">
        <x:f>W24*N24*S24*(1-S24)</x:f>
        <x:v>-0.06037831488999194</x:v>
      </x:c>
      <x:c r="Z24" s="245" t="n">
        <x:f>X24*D24</x:f>
        <x:v>0.027331299884531892</x:v>
      </x:c>
      <x:c r="AA24" s="245" t="n">
        <x:f>X24*E24</x:f>
        <x:v>0.027331299884531892</x:v>
      </x:c>
      <x:c r="AB24" s="245" t="n">
        <x:f>X24</x:f>
        <x:v>0.027331299884531892</x:v>
      </x:c>
      <x:c r="AC24" s="245" t="n">
        <x:f>Y24*D24</x:f>
        <x:v>-0.06037831488999194</x:v>
      </x:c>
      <x:c r="AD24" s="245" t="n">
        <x:f>Y24*E24</x:f>
        <x:v>-0.06037831488999194</x:v>
      </x:c>
      <x:c r="AE24" s="245" t="n">
        <x:f>Y24</x:f>
        <x:v>-0.06037831488999194</x:v>
      </x:c>
      <x:c r="AF24" s="245" t="n">
        <x:f>W24*Q24</x:f>
        <x:v>0.03071609940374733</x:v>
      </x:c>
      <x:c r="AG24" s="245" t="n">
        <x:f>W24*S24</x:f>
        <x:v>0.05917668836777945</x:v>
      </x:c>
      <x:c r="AH24" s="245" t="n">
        <x:f>W24</x:f>
        <x:v>0.14504510415508187</x:v>
      </x:c>
      <x:c r="AI24" s="246" t="n">
        <x:f>G24-$B$4*Z24</x:f>
        <x:v>1.00862624489959</x:v>
      </x:c>
      <x:c r="AJ24" s="246" t="n">
        <x:f>H24-$B$4*AA24</x:f>
        <x:v>-1.2250029910900122</x:v>
      </x:c>
      <x:c r="AK24" s="246" t="n">
        <x:f>I24-$B$4*AB24</x:f>
        <x:v>-1.1799105242430377</x:v>
      </x:c>
      <x:c r="AL24" s="246" t="n">
        <x:f>J24-$B$4*AC24</x:f>
        <x:v>0.4443220041555786</x:v>
      </x:c>
      <x:c r="AM24" s="246" t="n">
        <x:f>K24-$B$4*AD24</x:f>
        <x:v>-1.75267171732799</x:v>
      </x:c>
      <x:c r="AN24" s="246" t="n">
        <x:f>L24-$B$4*AE24</x:f>
        <x:v>1.1171962690619484</x:v>
      </x:c>
      <x:c r="AO24" s="246" t="n">
        <x:f>M24-$B$4*AF24</x:f>
        <x:v>1.0981459533927524</x:v>
      </x:c>
      <x:c r="AP24" s="246" t="n">
        <x:f>N24-$B$4*AG24</x:f>
        <x:v>-1.7826317114191088</x:v>
      </x:c>
      <x:c r="AQ24" s="246" t="n">
        <x:f>O24-$B$4*AH24</x:f>
        <x:v>0.7633805810198832</x:v>
      </x:c>
      <x:c r="AR24" s="182" t="n">
        <x:f>IF(U24&gt;=$B$5,1,0)</x:f>
        <x:v>1</x:v>
      </x:c>
      <x:c r="AS24" s="182" t="n">
        <x:f>IF(AR24=F24,1,0)</x:f>
        <x:v>0</x:v>
      </x:c>
      <x:c r="AT24" s="252" t="n">
        <x:f>ABS(F24-U24)</x:f>
        <x:v>0.6092914226352929</x:v>
      </x:c>
    </x:row>
    <x:row r="25">
      <x:c r="A25" s="114" t="n">
        <x:v>9</x:v>
      </x:c>
      <x:c r="B25" s="114" t="n">
        <x:v>3</x:v>
      </x:c>
      <x:c r="C25" s="114" t="n">
        <x:v>1</x:v>
      </x:c>
      <x:c r="D25" s="168" t="n">
        <x:f>$I$5</x:f>
        <x:v>0</x:v>
      </x:c>
      <x:c r="E25" s="168" t="n">
        <x:f>$J$5</x:f>
        <x:v>0</x:v>
      </x:c>
      <x:c r="F25" s="168" t="n">
        <x:f>$K$5</x:f>
        <x:v>0</x:v>
      </x:c>
      <x:c r="G25" s="242" t="n">
        <x:f>AI24</x:f>
        <x:v>1.00862624489959</x:v>
      </x:c>
      <x:c r="H25" s="242" t="n">
        <x:f>AJ24</x:f>
        <x:v>-1.2250029910900122</x:v>
      </x:c>
      <x:c r="I25" s="242" t="n">
        <x:f>AK24</x:f>
        <x:v>-1.1799105242430377</x:v>
      </x:c>
      <x:c r="J25" s="242" t="n">
        <x:f>AL24</x:f>
        <x:v>0.4443220041555786</x:v>
      </x:c>
      <x:c r="K25" s="242" t="n">
        <x:f>AM24</x:f>
        <x:v>-1.75267171732799</x:v>
      </x:c>
      <x:c r="L25" s="242" t="n">
        <x:f>AN24</x:f>
        <x:v>1.1171962690619484</x:v>
      </x:c>
      <x:c r="M25" s="242" t="n">
        <x:f>AO24</x:f>
        <x:v>1.0981459533927524</x:v>
      </x:c>
      <x:c r="N25" s="242" t="n">
        <x:f>AP24</x:f>
        <x:v>-1.7826317114191088</x:v>
      </x:c>
      <x:c r="O25" s="242" t="n">
        <x:f>AQ24</x:f>
        <x:v>0.7633805810198832</x:v>
      </x:c>
      <x:c r="P25" s="243" t="n">
        <x:f>D25*G25+E25*H25+I25</x:f>
        <x:v>-1.1799105242430377</x:v>
      </x:c>
      <x:c r="Q25" s="243" t="n">
        <x:f>1/(1+EXP(-P25))</x:f>
        <x:v>0.23506828459684373</x:v>
      </x:c>
      <x:c r="R25" s="243" t="n">
        <x:f>D25*J25+E25*K25+L25</x:f>
        <x:v>1.1171962690619484</x:v>
      </x:c>
      <x:c r="S25" s="243" t="n">
        <x:f>1/(1+EXP(-R25))</x:f>
        <x:v>0.7534682828807234</x:v>
      </x:c>
      <x:c r="T25" s="243" t="n">
        <x:f>Q25*M25+S25*N25+O25</x:f>
        <x:v>-0.3216365880907982</x:v>
      </x:c>
      <x:c r="U25" s="243" t="n">
        <x:f>1/(1+EXP(-T25))</x:f>
        <x:v>0.42027695065362763</x:v>
      </x:c>
      <x:c r="V25" s="243" t="n">
        <x:f>0.5*(F25-U25)^2</x:f>
        <x:v>0.08831635762535588</x:v>
      </x:c>
      <x:c r="W25" s="244" t="n">
        <x:f>(U25-F25)*U25*(1-U25)</x:f>
        <x:v>0.1023980562994721</x:v>
      </x:c>
      <x:c r="X25" s="244" t="n">
        <x:f>W25*M25*Q25*(1-Q25)</x:f>
        <x:v>0.02021941026963381</x:v>
      </x:c>
      <x:c r="Y25" s="244" t="n">
        <x:f>W25*N25*S25*(1-S25)</x:f>
        <x:v>-0.03390713669374989</x:v>
      </x:c>
      <x:c r="Z25" s="245" t="n">
        <x:f>X25*D25</x:f>
        <x:v>0</x:v>
      </x:c>
      <x:c r="AA25" s="245" t="n">
        <x:f>X25*E25</x:f>
        <x:v>0</x:v>
      </x:c>
      <x:c r="AB25" s="245" t="n">
        <x:f>X25</x:f>
        <x:v>0.02021941026963381</x:v>
      </x:c>
      <x:c r="AC25" s="245" t="n">
        <x:f>Y25*D25</x:f>
        <x:v>0</x:v>
      </x:c>
      <x:c r="AD25" s="245" t="n">
        <x:f>Y25*E25</x:f>
        <x:v>0</x:v>
      </x:c>
      <x:c r="AE25" s="245" t="n">
        <x:f>Y25</x:f>
        <x:v>-0.03390713669374989</x:v>
      </x:c>
      <x:c r="AF25" s="245" t="n">
        <x:f>W25*Q25</x:f>
        <x:v>0.024070535440367934</x:v>
      </x:c>
      <x:c r="AG25" s="245" t="n">
        <x:f>W25*S25</x:f>
        <x:v>0.07715368765028689</x:v>
      </x:c>
      <x:c r="AH25" s="245" t="n">
        <x:f>W25</x:f>
        <x:v>0.1023980562994721</x:v>
      </x:c>
      <x:c r="AI25" s="246" t="n">
        <x:f>G25-$B$4*Z25</x:f>
        <x:v>1.00862624489959</x:v>
      </x:c>
      <x:c r="AJ25" s="246" t="n">
        <x:f>H25-$B$4*AA25</x:f>
        <x:v>-1.2250029910900122</x:v>
      </x:c>
      <x:c r="AK25" s="246" t="n">
        <x:f>I25-$B$4*AB25</x:f>
        <x:v>-1.2001299345126715</x:v>
      </x:c>
      <x:c r="AL25" s="246" t="n">
        <x:f>J25-$B$4*AC25</x:f>
        <x:v>0.4443220041555786</x:v>
      </x:c>
      <x:c r="AM25" s="246" t="n">
        <x:f>K25-$B$4*AD25</x:f>
        <x:v>-1.75267171732799</x:v>
      </x:c>
      <x:c r="AN25" s="246" t="n">
        <x:f>L25-$B$4*AE25</x:f>
        <x:v>1.1511034057556981</x:v>
      </x:c>
      <x:c r="AO25" s="246" t="n">
        <x:f>M25-$B$4*AF25</x:f>
        <x:v>1.0740754179523846</x:v>
      </x:c>
      <x:c r="AP25" s="246" t="n">
        <x:f>N25-$B$4*AG25</x:f>
        <x:v>-1.8597853990693958</x:v>
      </x:c>
      <x:c r="AQ25" s="246" t="n">
        <x:f>O25-$B$4*AH25</x:f>
        <x:v>0.6609825247204111</x:v>
      </x:c>
      <x:c r="AR25" s="182" t="n">
        <x:f>IF(U25&gt;=$B$5,1,0)</x:f>
        <x:v>0</x:v>
      </x:c>
      <x:c r="AS25" s="182" t="n">
        <x:f>IF(AR25=F25,1,0)</x:f>
        <x:v>1</x:v>
      </x:c>
      <x:c r="AT25" s="252" t="n">
        <x:f>ABS(F25-U25)</x:f>
        <x:v>0.42027695065362763</x:v>
      </x:c>
    </x:row>
    <x:row r="26">
      <x:c r="A26" s="114" t="n">
        <x:v>10</x:v>
      </x:c>
      <x:c r="B26" s="114" t="n">
        <x:v>3</x:v>
      </x:c>
      <x:c r="C26" s="114" t="n">
        <x:v>2</x:v>
      </x:c>
      <x:c r="D26" s="168" t="n">
        <x:f>$I$6</x:f>
        <x:v>0</x:v>
      </x:c>
      <x:c r="E26" s="168" t="n">
        <x:f>$J$6</x:f>
        <x:v>1</x:v>
      </x:c>
      <x:c r="F26" s="168" t="n">
        <x:f>$K$6</x:f>
        <x:v>1</x:v>
      </x:c>
      <x:c r="G26" s="242" t="n">
        <x:f>AI25</x:f>
        <x:v>1.00862624489959</x:v>
      </x:c>
      <x:c r="H26" s="242" t="n">
        <x:f>AJ25</x:f>
        <x:v>-1.2250029910900122</x:v>
      </x:c>
      <x:c r="I26" s="242" t="n">
        <x:f>AK25</x:f>
        <x:v>-1.2001299345126715</x:v>
      </x:c>
      <x:c r="J26" s="242" t="n">
        <x:f>AL25</x:f>
        <x:v>0.4443220041555786</x:v>
      </x:c>
      <x:c r="K26" s="242" t="n">
        <x:f>AM25</x:f>
        <x:v>-1.75267171732799</x:v>
      </x:c>
      <x:c r="L26" s="242" t="n">
        <x:f>AN25</x:f>
        <x:v>1.1511034057556981</x:v>
      </x:c>
      <x:c r="M26" s="242" t="n">
        <x:f>AO25</x:f>
        <x:v>1.0740754179523846</x:v>
      </x:c>
      <x:c r="N26" s="242" t="n">
        <x:f>AP25</x:f>
        <x:v>-1.8597853990693958</x:v>
      </x:c>
      <x:c r="O26" s="242" t="n">
        <x:f>AQ25</x:f>
        <x:v>0.6609825247204111</x:v>
      </x:c>
      <x:c r="P26" s="243" t="n">
        <x:f>D26*G26+E26*H26+I26</x:f>
        <x:v>-2.425132925602684</x:v>
      </x:c>
      <x:c r="Q26" s="243" t="n">
        <x:f>1/(1+EXP(-P26))</x:f>
        <x:v>0.08127615346111446</x:v>
      </x:c>
      <x:c r="R26" s="243" t="n">
        <x:f>D26*J26+E26*K26+L26</x:f>
        <x:v>-0.6015683115722918</x:v>
      </x:c>
      <x:c r="S26" s="243" t="n">
        <x:f>1/(1+EXP(-R26))</x:f>
        <x:v>0.3539849708205527</x:v>
      </x:c>
      <x:c r="T26" s="243" t="n">
        <x:f>Q26*M26+S26*N26+O26</x:f>
        <x:v>0.08994316299664973</x:v>
      </x:c>
      <x:c r="U26" s="243" t="n">
        <x:f>1/(1+EXP(-T26))</x:f>
        <x:v>0.522470644257777</x:v>
      </x:c>
      <x:c r="V26" s="243" t="n">
        <x:f>0.5*(F26-U26)^2</x:f>
        <x:v>0.11401714279779128</x:v>
      </x:c>
      <x:c r="W26" s="244" t="n">
        <x:f>(U26-F26)*U26*(1-U26)</x:f>
        <x:v>-0.11914122010798595</x:v>
      </x:c>
      <x:c r="X26" s="244" t="n">
        <x:f>W26*M26*Q26*(1-Q26)</x:f>
        <x:v>-0.009555313739435472</x:v>
      </x:c>
      <x:c r="Y26" s="244" t="n">
        <x:f>W26*N26*S26*(1-S26)</x:f>
        <x:v>0.05067016545298954</x:v>
      </x:c>
      <x:c r="Z26" s="245" t="n">
        <x:f>X26*D26</x:f>
        <x:v>0</x:v>
      </x:c>
      <x:c r="AA26" s="245" t="n">
        <x:f>X26*E26</x:f>
        <x:v>-0.009555313739435472</x:v>
      </x:c>
      <x:c r="AB26" s="245" t="n">
        <x:f>X26</x:f>
        <x:v>-0.009555313739435472</x:v>
      </x:c>
      <x:c r="AC26" s="245" t="n">
        <x:f>Y26*D26</x:f>
        <x:v>0</x:v>
      </x:c>
      <x:c r="AD26" s="245" t="n">
        <x:f>Y26*E26</x:f>
        <x:v>0.05067016545298954</x:v>
      </x:c>
      <x:c r="AE26" s="245" t="n">
        <x:f>Y26</x:f>
        <x:v>0.05067016545298954</x:v>
      </x:c>
      <x:c r="AF26" s="245" t="n">
        <x:f>W26*Q26</x:f>
        <x:v>-0.00968334008904108</x:v>
      </x:c>
      <x:c r="AG26" s="245" t="n">
        <x:f>W26*S26</x:f>
        <x:v>-0.04217420132345045</x:v>
      </x:c>
      <x:c r="AH26" s="245" t="n">
        <x:f>W26</x:f>
        <x:v>-0.11914122010798595</x:v>
      </x:c>
      <x:c r="AI26" s="246" t="n">
        <x:f>G26-$B$4*Z26</x:f>
        <x:v>1.00862624489959</x:v>
      </x:c>
      <x:c r="AJ26" s="246" t="n">
        <x:f>H26-$B$4*AA26</x:f>
        <x:v>-1.2154476773505767</x:v>
      </x:c>
      <x:c r="AK26" s="246" t="n">
        <x:f>I26-$B$4*AB26</x:f>
        <x:v>-1.190574620773236</x:v>
      </x:c>
      <x:c r="AL26" s="246" t="n">
        <x:f>J26-$B$4*AC26</x:f>
        <x:v>0.4443220041555786</x:v>
      </x:c>
      <x:c r="AM26" s="246" t="n">
        <x:f>K26-$B$4*AD26</x:f>
        <x:v>-1.8033418827809795</x:v>
      </x:c>
      <x:c r="AN26" s="246" t="n">
        <x:f>L26-$B$4*AE26</x:f>
        <x:v>1.1004332403027086</x:v>
      </x:c>
      <x:c r="AO26" s="246" t="n">
        <x:f>M26-$B$4*AF26</x:f>
        <x:v>1.0837587580414256</x:v>
      </x:c>
      <x:c r="AP26" s="246" t="n">
        <x:f>N26-$B$4*AG26</x:f>
        <x:v>-1.8176111977459453</x:v>
      </x:c>
      <x:c r="AQ26" s="246" t="n">
        <x:f>O26-$B$4*AH26</x:f>
        <x:v>0.7801237448283971</x:v>
      </x:c>
      <x:c r="AR26" s="182" t="n">
        <x:f>IF(U26&gt;=$B$5,1,0)</x:f>
        <x:v>1</x:v>
      </x:c>
      <x:c r="AS26" s="182" t="n">
        <x:f>IF(AR26=F26,1,0)</x:f>
        <x:v>1</x:v>
      </x:c>
      <x:c r="AT26" s="252" t="n">
        <x:f>ABS(F26-U26)</x:f>
        <x:v>0.477529355742223</x:v>
      </x:c>
    </x:row>
    <x:row r="27">
      <x:c r="A27" s="114" t="n">
        <x:v>11</x:v>
      </x:c>
      <x:c r="B27" s="114" t="n">
        <x:v>3</x:v>
      </x:c>
      <x:c r="C27" s="114" t="n">
        <x:v>3</x:v>
      </x:c>
      <x:c r="D27" s="168" t="n">
        <x:f>$I$7</x:f>
        <x:v>1</x:v>
      </x:c>
      <x:c r="E27" s="168" t="n">
        <x:f>$J$7</x:f>
        <x:v>0</x:v>
      </x:c>
      <x:c r="F27" s="168" t="n">
        <x:f>$K$7</x:f>
        <x:v>1</x:v>
      </x:c>
      <x:c r="G27" s="242" t="n">
        <x:f>AI26</x:f>
        <x:v>1.00862624489959</x:v>
      </x:c>
      <x:c r="H27" s="242" t="n">
        <x:f>AJ26</x:f>
        <x:v>-1.2154476773505767</x:v>
      </x:c>
      <x:c r="I27" s="242" t="n">
        <x:f>AK26</x:f>
        <x:v>-1.190574620773236</x:v>
      </x:c>
      <x:c r="J27" s="242" t="n">
        <x:f>AL26</x:f>
        <x:v>0.4443220041555786</x:v>
      </x:c>
      <x:c r="K27" s="242" t="n">
        <x:f>AM26</x:f>
        <x:v>-1.8033418827809795</x:v>
      </x:c>
      <x:c r="L27" s="242" t="n">
        <x:f>AN26</x:f>
        <x:v>1.1004332403027086</x:v>
      </x:c>
      <x:c r="M27" s="242" t="n">
        <x:f>AO26</x:f>
        <x:v>1.0837587580414256</x:v>
      </x:c>
      <x:c r="N27" s="242" t="n">
        <x:f>AP26</x:f>
        <x:v>-1.8176111977459453</x:v>
      </x:c>
      <x:c r="O27" s="242" t="n">
        <x:f>AQ26</x:f>
        <x:v>0.7801237448283971</x:v>
      </x:c>
      <x:c r="P27" s="243" t="n">
        <x:f>D27*G27+E27*H27+I27</x:f>
        <x:v>-0.18194837587364598</x:v>
      </x:c>
      <x:c r="Q27" s="243" t="n">
        <x:f>1/(1+EXP(-P27))</x:f>
        <x:v>0.45463798030899183</x:v>
      </x:c>
      <x:c r="R27" s="243" t="n">
        <x:f>D27*J27+E27*K27+L27</x:f>
        <x:v>1.5447552444582873</x:v>
      </x:c>
      <x:c r="S27" s="243" t="n">
        <x:f>1/(1+EXP(-R27))</x:f>
        <x:v>0.8241549348763483</x:v>
      </x:c>
      <x:c r="T27" s="243" t="n">
        <x:f>Q27*M27+S27*N27+O27</x:f>
        <x:v>-0.22515160058229866</x:v>
      </x:c>
      <x:c r="U27" s="243" t="n">
        <x:f>1/(1+EXP(-T27))</x:f>
        <x:v>0.4439486852829799</x:v>
      </x:c>
      <x:c r="V27" s="243" t="n">
        <x:f>0.5*(F27-U27)^2</x:f>
        <x:v>0.15459653229926326</x:v>
      </x:c>
      <x:c r="W27" s="244" t="n">
        <x:f>(U27-F27)*U27*(1-U27)</x:f>
        <x:v>-0.13726585452713133</x:v>
      </x:c>
      <x:c r="X27" s="244" t="n">
        <x:f>W27*M27*Q27*(1-Q27)</x:f>
        <x:v>-0.03688465632395453</x:v>
      </x:c>
      <x:c r="Y27" s="244" t="n">
        <x:f>W27*N27*S27*(1-S27)</x:f>
        <x:v>0.036157846436131534</x:v>
      </x:c>
      <x:c r="Z27" s="245" t="n">
        <x:f>X27*D27</x:f>
        <x:v>-0.03688465632395453</x:v>
      </x:c>
      <x:c r="AA27" s="245" t="n">
        <x:f>X27*E27</x:f>
        <x:v>0</x:v>
      </x:c>
      <x:c r="AB27" s="245" t="n">
        <x:f>X27</x:f>
        <x:v>-0.03688465632395453</x:v>
      </x:c>
      <x:c r="AC27" s="245" t="n">
        <x:f>Y27*D27</x:f>
        <x:v>0.036157846436131534</x:v>
      </x:c>
      <x:c r="AD27" s="245" t="n">
        <x:f>Y27*E27</x:f>
        <x:v>0</x:v>
      </x:c>
      <x:c r="AE27" s="245" t="n">
        <x:f>Y27</x:f>
        <x:v>0.036157846436131534</x:v>
      </x:c>
      <x:c r="AF27" s="245" t="n">
        <x:f>W27*Q27</x:f>
        <x:v>-0.06240627086760287</x:v>
      </x:c>
      <x:c r="AG27" s="245" t="n">
        <x:f>W27*S27</x:f>
        <x:v>-0.11312833139855422</x:v>
      </x:c>
      <x:c r="AH27" s="245" t="n">
        <x:f>W27</x:f>
        <x:v>-0.13726585452713133</x:v>
      </x:c>
      <x:c r="AI27" s="246" t="n">
        <x:f>G27-$B$4*Z27</x:f>
        <x:v>1.0455109012235444</x:v>
      </x:c>
      <x:c r="AJ27" s="246" t="n">
        <x:f>H27-$B$4*AA27</x:f>
        <x:v>-1.2154476773505767</x:v>
      </x:c>
      <x:c r="AK27" s="246" t="n">
        <x:f>I27-$B$4*AB27</x:f>
        <x:v>-1.1536899644492815</x:v>
      </x:c>
      <x:c r="AL27" s="246" t="n">
        <x:f>J27-$B$4*AC27</x:f>
        <x:v>0.4081641577194471</x:v>
      </x:c>
      <x:c r="AM27" s="246" t="n">
        <x:f>K27-$B$4*AD27</x:f>
        <x:v>-1.8033418827809795</x:v>
      </x:c>
      <x:c r="AN27" s="246" t="n">
        <x:f>L27-$B$4*AE27</x:f>
        <x:v>1.064275393866577</x:v>
      </x:c>
      <x:c r="AO27" s="246" t="n">
        <x:f>M27-$B$4*AF27</x:f>
        <x:v>1.1461650289090286</x:v>
      </x:c>
      <x:c r="AP27" s="246" t="n">
        <x:f>N27-$B$4*AG27</x:f>
        <x:v>-1.704482866347391</x:v>
      </x:c>
      <x:c r="AQ27" s="246" t="n">
        <x:f>O27-$B$4*AH27</x:f>
        <x:v>0.9173895993555284</x:v>
      </x:c>
      <x:c r="AR27" s="182" t="n">
        <x:f>IF(U27&gt;=$B$5,1,0)</x:f>
        <x:v>0</x:v>
      </x:c>
      <x:c r="AS27" s="182" t="n">
        <x:f>IF(AR27=F27,1,0)</x:f>
        <x:v>0</x:v>
      </x:c>
      <x:c r="AT27" s="252" t="n">
        <x:f>ABS(F27-U27)</x:f>
        <x:v>0.5560513147170201</x:v>
      </x:c>
    </x:row>
    <x:row r="28">
      <x:c r="A28" s="114" t="n">
        <x:v>12</x:v>
      </x:c>
      <x:c r="B28" s="114" t="n">
        <x:v>3</x:v>
      </x:c>
      <x:c r="C28" s="114" t="n">
        <x:v>4</x:v>
      </x:c>
      <x:c r="D28" s="168" t="n">
        <x:f>$I$8</x:f>
        <x:v>1</x:v>
      </x:c>
      <x:c r="E28" s="168" t="n">
        <x:f>$J$8</x:f>
        <x:v>1</x:v>
      </x:c>
      <x:c r="F28" s="168" t="n">
        <x:f>$K$8</x:f>
        <x:v>0</x:v>
      </x:c>
      <x:c r="G28" s="242" t="n">
        <x:f>AI27</x:f>
        <x:v>1.0455109012235444</x:v>
      </x:c>
      <x:c r="H28" s="242" t="n">
        <x:f>AJ27</x:f>
        <x:v>-1.2154476773505767</x:v>
      </x:c>
      <x:c r="I28" s="242" t="n">
        <x:f>AK27</x:f>
        <x:v>-1.1536899644492815</x:v>
      </x:c>
      <x:c r="J28" s="242" t="n">
        <x:f>AL27</x:f>
        <x:v>0.4081641577194471</x:v>
      </x:c>
      <x:c r="K28" s="242" t="n">
        <x:f>AM27</x:f>
        <x:v>-1.8033418827809795</x:v>
      </x:c>
      <x:c r="L28" s="242" t="n">
        <x:f>AN27</x:f>
        <x:v>1.064275393866577</x:v>
      </x:c>
      <x:c r="M28" s="242" t="n">
        <x:f>AO27</x:f>
        <x:v>1.1461650289090286</x:v>
      </x:c>
      <x:c r="N28" s="242" t="n">
        <x:f>AP27</x:f>
        <x:v>-1.704482866347391</x:v>
      </x:c>
      <x:c r="O28" s="242" t="n">
        <x:f>AQ27</x:f>
        <x:v>0.9173895993555284</x:v>
      </x:c>
      <x:c r="P28" s="243" t="n">
        <x:f>D28*G28+E28*H28+I28</x:f>
        <x:v>-1.3236267405763138</x:v>
      </x:c>
      <x:c r="Q28" s="243" t="n">
        <x:f>1/(1+EXP(-P28))</x:f>
        <x:v>0.2102155311864478</x:v>
      </x:c>
      <x:c r="R28" s="243" t="n">
        <x:f>D28*J28+E28*K28+L28</x:f>
        <x:v>-0.3309023311949555</x:v>
      </x:c>
      <x:c r="S28" s="243" t="n">
        <x:f>1/(1+EXP(-R28))</x:f>
        <x:v>0.41802108828952084</x:v>
      </x:c>
      <x:c r="T28" s="243" t="n">
        <x:f>Q28*M28+S28*N28+O28</x:f>
        <x:v>0.445821506973592</x:v>
      </x:c>
      <x:c r="U28" s="243" t="n">
        <x:f>1/(1+EXP(-T28))</x:f>
        <x:v>0.6096453017393259</x:v>
      </x:c>
      <x:c r="V28" s="243" t="n">
        <x:f>0.5*(F28-U28)^2</x:f>
        <x:v>0.18583369696641683</x:v>
      </x:c>
      <x:c r="W28" s="244" t="n">
        <x:f>(U28-F28)*U28*(1-U28)</x:f>
        <x:v>0.1450821134119824</x:v>
      </x:c>
      <x:c r="X28" s="244" t="n">
        <x:f>W28*M28*Q28*(1-Q28)</x:f>
        <x:v>0.02760796624374771</x:v>
      </x:c>
      <x:c r="Y28" s="244" t="n">
        <x:f>W28*N28*S28*(1-S28)</x:f>
        <x:v>-0.06016057146623556</x:v>
      </x:c>
      <x:c r="Z28" s="245" t="n">
        <x:f>X28*D28</x:f>
        <x:v>0.02760796624374771</x:v>
      </x:c>
      <x:c r="AA28" s="245" t="n">
        <x:f>X28*E28</x:f>
        <x:v>0.02760796624374771</x:v>
      </x:c>
      <x:c r="AB28" s="245" t="n">
        <x:f>X28</x:f>
        <x:v>0.02760796624374771</x:v>
      </x:c>
      <x:c r="AC28" s="245" t="n">
        <x:f>Y28*D28</x:f>
        <x:v>-0.06016057146623556</x:v>
      </x:c>
      <x:c r="AD28" s="245" t="n">
        <x:f>Y28*E28</x:f>
        <x:v>-0.06016057146623556</x:v>
      </x:c>
      <x:c r="AE28" s="245" t="n">
        <x:f>Y28</x:f>
        <x:v>-0.06016057146623556</x:v>
      </x:c>
      <x:c r="AF28" s="245" t="n">
        <x:f>W28*Q28</x:f>
        <x:v>0.030498513536552346</x:v>
      </x:c>
      <x:c r="AG28" s="245" t="n">
        <x:f>W28*S28</x:f>
        <x:v>0.060647382939820575</x:v>
      </x:c>
      <x:c r="AH28" s="245" t="n">
        <x:f>W28</x:f>
        <x:v>0.1450821134119824</x:v>
      </x:c>
      <x:c r="AI28" s="246" t="n">
        <x:f>G28-$B$4*Z28</x:f>
        <x:v>1.0179029349797968</x:v>
      </x:c>
      <x:c r="AJ28" s="246" t="n">
        <x:f>H28-$B$4*AA28</x:f>
        <x:v>-1.2430556435943243</x:v>
      </x:c>
      <x:c r="AK28" s="246" t="n">
        <x:f>I28-$B$4*AB28</x:f>
        <x:v>-1.1812979306930291</x:v>
      </x:c>
      <x:c r="AL28" s="246" t="n">
        <x:f>J28-$B$4*AC28</x:f>
        <x:v>0.46832472918568263</x:v>
      </x:c>
      <x:c r="AM28" s="246" t="n">
        <x:f>K28-$B$4*AD28</x:f>
        <x:v>-1.7431813113147439</x:v>
      </x:c>
      <x:c r="AN28" s="246" t="n">
        <x:f>L28-$B$4*AE28</x:f>
        <x:v>1.1244359653328126</x:v>
      </x:c>
      <x:c r="AO28" s="246" t="n">
        <x:f>M28-$B$4*AF28</x:f>
        <x:v>1.1156665153724763</x:v>
      </x:c>
      <x:c r="AP28" s="246" t="n">
        <x:f>N28-$B$4*AG28</x:f>
        <x:v>-1.7651302492872116</x:v>
      </x:c>
      <x:c r="AQ28" s="246" t="n">
        <x:f>O28-$B$4*AH28</x:f>
        <x:v>0.772307485943546</x:v>
      </x:c>
      <x:c r="AR28" s="182" t="n">
        <x:f>IF(U28&gt;=$B$5,1,0)</x:f>
        <x:v>1</x:v>
      </x:c>
      <x:c r="AS28" s="182" t="n">
        <x:f>IF(AR28=F28,1,0)</x:f>
        <x:v>0</x:v>
      </x:c>
      <x:c r="AT28" s="252" t="n">
        <x:f>ABS(F28-U28)</x:f>
        <x:v>0.6096453017393259</x:v>
      </x:c>
    </x:row>
    <x:row r="29">
      <x:c r="A29" s="114" t="n">
        <x:v>13</x:v>
      </x:c>
      <x:c r="B29" s="114" t="n">
        <x:v>4</x:v>
      </x:c>
      <x:c r="C29" s="114" t="n">
        <x:v>1</x:v>
      </x:c>
      <x:c r="D29" s="168" t="n">
        <x:f>$I$5</x:f>
        <x:v>0</x:v>
      </x:c>
      <x:c r="E29" s="168" t="n">
        <x:f>$J$5</x:f>
        <x:v>0</x:v>
      </x:c>
      <x:c r="F29" s="168" t="n">
        <x:f>$K$5</x:f>
        <x:v>0</x:v>
      </x:c>
      <x:c r="G29" s="242" t="n">
        <x:f>AI28</x:f>
        <x:v>1.0179029349797968</x:v>
      </x:c>
      <x:c r="H29" s="242" t="n">
        <x:f>AJ28</x:f>
        <x:v>-1.2430556435943243</x:v>
      </x:c>
      <x:c r="I29" s="242" t="n">
        <x:f>AK28</x:f>
        <x:v>-1.1812979306930291</x:v>
      </x:c>
      <x:c r="J29" s="242" t="n">
        <x:f>AL28</x:f>
        <x:v>0.46832472918568263</x:v>
      </x:c>
      <x:c r="K29" s="242" t="n">
        <x:f>AM28</x:f>
        <x:v>-1.7431813113147439</x:v>
      </x:c>
      <x:c r="L29" s="242" t="n">
        <x:f>AN28</x:f>
        <x:v>1.1244359653328126</x:v>
      </x:c>
      <x:c r="M29" s="242" t="n">
        <x:f>AO28</x:f>
        <x:v>1.1156665153724763</x:v>
      </x:c>
      <x:c r="N29" s="242" t="n">
        <x:f>AP28</x:f>
        <x:v>-1.7651302492872116</x:v>
      </x:c>
      <x:c r="O29" s="242" t="n">
        <x:f>AQ28</x:f>
        <x:v>0.772307485943546</x:v>
      </x:c>
      <x:c r="P29" s="243" t="n">
        <x:f>D29*G29+E29*H29+I29</x:f>
        <x:v>-1.1812979306930291</x:v>
      </x:c>
      <x:c r="Q29" s="243" t="n">
        <x:f>1/(1+EXP(-P29))</x:f>
        <x:v>0.2348189051012835</x:v>
      </x:c>
      <x:c r="R29" s="243" t="n">
        <x:f>D29*J29+E29*K29+L29</x:f>
        <x:v>1.1244359653328126</x:v>
      </x:c>
      <x:c r="S29" s="243" t="n">
        <x:f>1/(1+EXP(-R29))</x:f>
        <x:v>0.7548106151005628</x:v>
      </x:c>
      <x:c r="T29" s="243" t="n">
        <x:f>Q29*M29+S29*N29+O29</x:f>
        <x:v>-0.29805197365561475</x:v>
      </x:c>
      <x:c r="U29" s="243" t="n">
        <x:f>1/(1+EXP(-T29))</x:f>
        <x:v>0.426033763337237</x:v>
      </x:c>
      <x:c r="V29" s="243" t="n">
        <x:f>0.5*(F29-U29)^2</x:f>
        <x:v>0.09075238375164445</x:v>
      </x:c>
      <x:c r="W29" s="244" t="n">
        <x:f>(U29-F29)*U29*(1-U29)</x:f>
        <x:v>0.10417760834021247</x:v>
      </x:c>
      <x:c r="X29" s="244" t="n">
        <x:f>W29*M29*Q29*(1-Q29)</x:f>
        <x:v>0.020883633930566508</x:v>
      </x:c>
      <x:c r="Y29" s="244" t="n">
        <x:f>W29*N29*S29*(1-S29)</x:f>
        <x:v>-0.03403226103696661</x:v>
      </x:c>
      <x:c r="Z29" s="245" t="n">
        <x:f>X29*D29</x:f>
        <x:v>0</x:v>
      </x:c>
      <x:c r="AA29" s="245" t="n">
        <x:f>X29*E29</x:f>
        <x:v>0</x:v>
      </x:c>
      <x:c r="AB29" s="245" t="n">
        <x:f>X29</x:f>
        <x:v>0.020883633930566508</x:v>
      </x:c>
      <x:c r="AC29" s="245" t="n">
        <x:f>Y29*D29</x:f>
        <x:v>0</x:v>
      </x:c>
      <x:c r="AD29" s="245" t="n">
        <x:f>Y29*E29</x:f>
        <x:v>0</x:v>
      </x:c>
      <x:c r="AE29" s="245" t="n">
        <x:f>Y29</x:f>
        <x:v>-0.03403226103696661</x:v>
      </x:c>
      <x:c r="AF29" s="245" t="n">
        <x:f>W29*Q29</x:f>
        <x:v>0.024462871926519032</x:v>
      </x:c>
      <x:c r="AG29" s="245" t="n">
        <x:f>W29*S29</x:f>
        <x:v>0.0786343646309813</x:v>
      </x:c>
      <x:c r="AH29" s="245" t="n">
        <x:f>W29</x:f>
        <x:v>0.10417760834021247</x:v>
      </x:c>
      <x:c r="AI29" s="246" t="n">
        <x:f>G29-$B$4*Z29</x:f>
        <x:v>1.0179029349797968</x:v>
      </x:c>
      <x:c r="AJ29" s="246" t="n">
        <x:f>H29-$B$4*AA29</x:f>
        <x:v>-1.2430556435943243</x:v>
      </x:c>
      <x:c r="AK29" s="246" t="n">
        <x:f>I29-$B$4*AB29</x:f>
        <x:v>-1.2021815646235956</x:v>
      </x:c>
      <x:c r="AL29" s="246" t="n">
        <x:f>J29-$B$4*AC29</x:f>
        <x:v>0.46832472918568263</x:v>
      </x:c>
      <x:c r="AM29" s="246" t="n">
        <x:f>K29-$B$4*AD29</x:f>
        <x:v>-1.7431813113147439</x:v>
      </x:c>
      <x:c r="AN29" s="246" t="n">
        <x:f>L29-$B$4*AE29</x:f>
        <x:v>1.1584682263697792</x:v>
      </x:c>
      <x:c r="AO29" s="246" t="n">
        <x:f>M29-$B$4*AF29</x:f>
        <x:v>1.0912036434459573</x:v>
      </x:c>
      <x:c r="AP29" s="246" t="n">
        <x:f>N29-$B$4*AG29</x:f>
        <x:v>-1.843764613918193</x:v>
      </x:c>
      <x:c r="AQ29" s="246" t="n">
        <x:f>O29-$B$4*AH29</x:f>
        <x:v>0.6681298776033335</x:v>
      </x:c>
      <x:c r="AR29" s="182" t="n">
        <x:f>IF(U29&gt;=$B$5,1,0)</x:f>
        <x:v>0</x:v>
      </x:c>
      <x:c r="AS29" s="182" t="n">
        <x:f>IF(AR29=F29,1,0)</x:f>
        <x:v>1</x:v>
      </x:c>
      <x:c r="AT29" s="252" t="n">
        <x:f>ABS(F29-U29)</x:f>
        <x:v>0.426033763337237</x:v>
      </x:c>
    </x:row>
    <x:row r="30">
      <x:c r="A30" s="114" t="n">
        <x:v>14</x:v>
      </x:c>
      <x:c r="B30" s="114" t="n">
        <x:v>4</x:v>
      </x:c>
      <x:c r="C30" s="114" t="n">
        <x:v>2</x:v>
      </x:c>
      <x:c r="D30" s="168" t="n">
        <x:f>$I$6</x:f>
        <x:v>0</x:v>
      </x:c>
      <x:c r="E30" s="168" t="n">
        <x:f>$J$6</x:f>
        <x:v>1</x:v>
      </x:c>
      <x:c r="F30" s="168" t="n">
        <x:f>$K$6</x:f>
        <x:v>1</x:v>
      </x:c>
      <x:c r="G30" s="242" t="n">
        <x:f>AI29</x:f>
        <x:v>1.0179029349797968</x:v>
      </x:c>
      <x:c r="H30" s="242" t="n">
        <x:f>AJ29</x:f>
        <x:v>-1.2430556435943243</x:v>
      </x:c>
      <x:c r="I30" s="242" t="n">
        <x:f>AK29</x:f>
        <x:v>-1.2021815646235956</x:v>
      </x:c>
      <x:c r="J30" s="242" t="n">
        <x:f>AL29</x:f>
        <x:v>0.46832472918568263</x:v>
      </x:c>
      <x:c r="K30" s="242" t="n">
        <x:f>AM29</x:f>
        <x:v>-1.7431813113147439</x:v>
      </x:c>
      <x:c r="L30" s="242" t="n">
        <x:f>AN29</x:f>
        <x:v>1.1584682263697792</x:v>
      </x:c>
      <x:c r="M30" s="242" t="n">
        <x:f>AO29</x:f>
        <x:v>1.0912036434459573</x:v>
      </x:c>
      <x:c r="N30" s="242" t="n">
        <x:f>AP29</x:f>
        <x:v>-1.843764613918193</x:v>
      </x:c>
      <x:c r="O30" s="242" t="n">
        <x:f>AQ29</x:f>
        <x:v>0.6681298776033335</x:v>
      </x:c>
      <x:c r="P30" s="243" t="n">
        <x:f>D30*G30+E30*H30+I30</x:f>
        <x:v>-2.44523720821792</x:v>
      </x:c>
      <x:c r="Q30" s="243" t="n">
        <x:f>1/(1+EXP(-P30))</x:f>
        <x:v>0.0797875413239899</x:v>
      </x:c>
      <x:c r="R30" s="243" t="n">
        <x:f>D30*J30+E30*K30+L30</x:f>
        <x:v>-0.5847130849449647</x:v>
      </x:c>
      <x:c r="S30" s="243" t="n">
        <x:f>1/(1+EXP(-R30))</x:f>
        <x:v>0.3578488354377586</x:v>
      </x:c>
      <x:c r="T30" s="243" t="n">
        <x:f>Q30*M30+S30*N30+O30</x:f>
        <x:v>0.09540531348569226</x:v>
      </x:c>
      <x:c r="U30" s="243" t="n">
        <x:f>1/(1+EXP(-T30))</x:f>
        <x:v>0.5238332532454401</x:v>
      </x:c>
      <x:c r="V30" s="243" t="n">
        <x:f>0.5*(F30-U30)^2</x:f>
        <x:v>0.11336738535741062</x:v>
      </x:c>
      <x:c r="W30" s="244" t="n">
        <x:f>(U30-F30)*U30*(1-U30)</x:f>
        <x:v>-0.11877121256740372</x:v>
      </x:c>
      <x:c r="X30" s="244" t="n">
        <x:f>W30*M30*Q30*(1-Q30)</x:f>
        <x:v>-0.00951568788958037</x:v>
      </x:c>
      <x:c r="Y30" s="244" t="n">
        <x:f>W30*N30*S30*(1-S30)</x:f>
        <x:v>0.05032149657235169</x:v>
      </x:c>
      <x:c r="Z30" s="245" t="n">
        <x:f>X30*D30</x:f>
        <x:v>0</x:v>
      </x:c>
      <x:c r="AA30" s="245" t="n">
        <x:f>X30*E30</x:f>
        <x:v>-0.00951568788958037</x:v>
      </x:c>
      <x:c r="AB30" s="245" t="n">
        <x:f>X30</x:f>
        <x:v>-0.00951568788958037</x:v>
      </x:c>
      <x:c r="AC30" s="245" t="n">
        <x:f>Y30*D30</x:f>
        <x:v>0</x:v>
      </x:c>
      <x:c r="AD30" s="245" t="n">
        <x:f>Y30*E30</x:f>
        <x:v>0.05032149657235169</x:v>
      </x:c>
      <x:c r="AE30" s="245" t="n">
        <x:f>Y30</x:f>
        <x:v>0.05032149657235169</x:v>
      </x:c>
      <x:c r="AF30" s="245" t="n">
        <x:f>W30*Q30</x:f>
        <x:v>-0.009476463030822113</x:v>
      </x:c>
      <x:c r="AG30" s="245" t="n">
        <x:f>W30*S30</x:f>
        <x:v>-0.042502140100775895</x:v>
      </x:c>
      <x:c r="AH30" s="245" t="n">
        <x:f>W30</x:f>
        <x:v>-0.11877121256740372</x:v>
      </x:c>
      <x:c r="AI30" s="246" t="n">
        <x:f>G30-$B$4*Z30</x:f>
        <x:v>1.0179029349797968</x:v>
      </x:c>
      <x:c r="AJ30" s="246" t="n">
        <x:f>H30-$B$4*AA30</x:f>
        <x:v>-1.233539955704744</x:v>
      </x:c>
      <x:c r="AK30" s="246" t="n">
        <x:f>I30-$B$4*AB30</x:f>
        <x:v>-1.1926658767340153</x:v>
      </x:c>
      <x:c r="AL30" s="246" t="n">
        <x:f>J30-$B$4*AC30</x:f>
        <x:v>0.46832472918568263</x:v>
      </x:c>
      <x:c r="AM30" s="246" t="n">
        <x:f>K30-$B$4*AD30</x:f>
        <x:v>-1.7935028078870956</x:v>
      </x:c>
      <x:c r="AN30" s="246" t="n">
        <x:f>L30-$B$4*AE30</x:f>
        <x:v>1.1081467297974275</x:v>
      </x:c>
      <x:c r="AO30" s="246" t="n">
        <x:f>M30-$B$4*AF30</x:f>
        <x:v>1.1006801064767795</x:v>
      </x:c>
      <x:c r="AP30" s="246" t="n">
        <x:f>N30-$B$4*AG30</x:f>
        <x:v>-1.801262473817417</x:v>
      </x:c>
      <x:c r="AQ30" s="246" t="n">
        <x:f>O30-$B$4*AH30</x:f>
        <x:v>0.7869010901707373</x:v>
      </x:c>
      <x:c r="AR30" s="182" t="n">
        <x:f>IF(U30&gt;=$B$5,1,0)</x:f>
        <x:v>1</x:v>
      </x:c>
      <x:c r="AS30" s="182" t="n">
        <x:f>IF(AR30=F30,1,0)</x:f>
        <x:v>1</x:v>
      </x:c>
      <x:c r="AT30" s="252" t="n">
        <x:f>ABS(F30-U30)</x:f>
        <x:v>0.47616674675455994</x:v>
      </x:c>
    </x:row>
    <x:row r="31">
      <x:c r="A31" s="114" t="n">
        <x:v>15</x:v>
      </x:c>
      <x:c r="B31" s="114" t="n">
        <x:v>4</x:v>
      </x:c>
      <x:c r="C31" s="114" t="n">
        <x:v>3</x:v>
      </x:c>
      <x:c r="D31" s="168" t="n">
        <x:f>$I$7</x:f>
        <x:v>1</x:v>
      </x:c>
      <x:c r="E31" s="168" t="n">
        <x:f>$J$7</x:f>
        <x:v>0</x:v>
      </x:c>
      <x:c r="F31" s="168" t="n">
        <x:f>$K$7</x:f>
        <x:v>1</x:v>
      </x:c>
      <x:c r="G31" s="242" t="n">
        <x:f>AI30</x:f>
        <x:v>1.0179029349797968</x:v>
      </x:c>
      <x:c r="H31" s="242" t="n">
        <x:f>AJ30</x:f>
        <x:v>-1.233539955704744</x:v>
      </x:c>
      <x:c r="I31" s="242" t="n">
        <x:f>AK30</x:f>
        <x:v>-1.1926658767340153</x:v>
      </x:c>
      <x:c r="J31" s="242" t="n">
        <x:f>AL30</x:f>
        <x:v>0.46832472918568263</x:v>
      </x:c>
      <x:c r="K31" s="242" t="n">
        <x:f>AM30</x:f>
        <x:v>-1.7935028078870956</x:v>
      </x:c>
      <x:c r="L31" s="242" t="n">
        <x:f>AN30</x:f>
        <x:v>1.1081467297974275</x:v>
      </x:c>
      <x:c r="M31" s="242" t="n">
        <x:f>AO30</x:f>
        <x:v>1.1006801064767795</x:v>
      </x:c>
      <x:c r="N31" s="242" t="n">
        <x:f>AP30</x:f>
        <x:v>-1.801262473817417</x:v>
      </x:c>
      <x:c r="O31" s="242" t="n">
        <x:f>AQ30</x:f>
        <x:v>0.7869010901707373</x:v>
      </x:c>
      <x:c r="P31" s="243" t="n">
        <x:f>D31*G31+E31*H31+I31</x:f>
        <x:v>-0.17476294175421847</x:v>
      </x:c>
      <x:c r="Q31" s="243" t="n">
        <x:f>1/(1+EXP(-P31))</x:f>
        <x:v>0.4564201264941938</x:v>
      </x:c>
      <x:c r="R31" s="243" t="n">
        <x:f>D31*J31+E31*K31+L31</x:f>
        <x:v>1.5764714589831101</x:v>
      </x:c>
      <x:c r="S31" s="243" t="n">
        <x:f>1/(1+EXP(-R31))</x:f>
        <x:v>0.8287042098803334</x:v>
      </x:c>
      <x:c r="T31" s="243" t="n">
        <x:f>Q31*M31+S31*N31+O31</x:f>
        <x:v>-0.20344015155344564</x:v>
      </x:c>
      <x:c r="U31" s="243" t="n">
        <x:f>1/(1+EXP(-T31))</x:f>
        <x:v>0.449314654957098</x:v>
      </x:c>
      <x:c r="V31" s="243" t="n">
        <x:f>0.5*(F31-U31)^2</x:f>
        <x:v>0.15162717462251002</x:v>
      </x:c>
      <x:c r="W31" s="244" t="n">
        <x:f>(U31-F31)*U31*(1-U31)</x:f>
        <x:v>-0.13625662329526547</x:v>
      </x:c>
      <x:c r="X31" s="244" t="n">
        <x:f>W31*M31*Q31*(1-Q31)</x:f>
        <x:v>-0.0372089054192709</x:v>
      </x:c>
      <x:c r="Y31" s="244" t="n">
        <x:f>W31*N31*S31*(1-S31)</x:f>
        <x:v>0.034840217543603516</x:v>
      </x:c>
      <x:c r="Z31" s="245" t="n">
        <x:f>X31*D31</x:f>
        <x:v>-0.0372089054192709</x:v>
      </x:c>
      <x:c r="AA31" s="245" t="n">
        <x:f>X31*E31</x:f>
        <x:v>0</x:v>
      </x:c>
      <x:c r="AB31" s="245" t="n">
        <x:f>X31</x:f>
        <x:v>-0.0372089054192709</x:v>
      </x:c>
      <x:c r="AC31" s="245" t="n">
        <x:f>Y31*D31</x:f>
        <x:v>0.034840217543603516</x:v>
      </x:c>
      <x:c r="AD31" s="245" t="n">
        <x:f>Y31*E31</x:f>
        <x:v>0</x:v>
      </x:c>
      <x:c r="AE31" s="245" t="n">
        <x:f>Y31</x:f>
        <x:v>0.034840217543603516</x:v>
      </x:c>
      <x:c r="AF31" s="245" t="n">
        <x:f>W31*Q31</x:f>
        <x:v>-0.06219026524009678</x:v>
      </x:c>
      <x:c r="AG31" s="245" t="n">
        <x:f>W31*S31</x:f>
        <x:v>-0.11291643734886521</x:v>
      </x:c>
      <x:c r="AH31" s="245" t="n">
        <x:f>W31</x:f>
        <x:v>-0.13625662329526547</x:v>
      </x:c>
      <x:c r="AI31" s="246" t="n">
        <x:f>G31-$B$4*Z31</x:f>
        <x:v>1.0551118403990676</x:v>
      </x:c>
      <x:c r="AJ31" s="246" t="n">
        <x:f>H31-$B$4*AA31</x:f>
        <x:v>-1.233539955704744</x:v>
      </x:c>
      <x:c r="AK31" s="246" t="n">
        <x:f>I31-$B$4*AB31</x:f>
        <x:v>-1.1554569713147445</x:v>
      </x:c>
      <x:c r="AL31" s="246" t="n">
        <x:f>J31-$B$4*AC31</x:f>
        <x:v>0.43348451164207913</x:v>
      </x:c>
      <x:c r="AM31" s="246" t="n">
        <x:f>K31-$B$4*AD31</x:f>
        <x:v>-1.7935028078870956</x:v>
      </x:c>
      <x:c r="AN31" s="246" t="n">
        <x:f>L31-$B$4*AE31</x:f>
        <x:v>1.073306512253824</x:v>
      </x:c>
      <x:c r="AO31" s="246" t="n">
        <x:f>M31-$B$4*AF31</x:f>
        <x:v>1.1628703717168762</x:v>
      </x:c>
      <x:c r="AP31" s="246" t="n">
        <x:f>N31-$B$4*AG31</x:f>
        <x:v>-1.6883460364685519</x:v>
      </x:c>
      <x:c r="AQ31" s="246" t="n">
        <x:f>O31-$B$4*AH31</x:f>
        <x:v>0.9231577134660027</x:v>
      </x:c>
      <x:c r="AR31" s="182" t="n">
        <x:f>IF(U31&gt;=$B$5,1,0)</x:f>
        <x:v>0</x:v>
      </x:c>
      <x:c r="AS31" s="182" t="n">
        <x:f>IF(AR31=F31,1,0)</x:f>
        <x:v>0</x:v>
      </x:c>
      <x:c r="AT31" s="252" t="n">
        <x:f>ABS(F31-U31)</x:f>
        <x:v>0.550685345042902</x:v>
      </x:c>
    </x:row>
    <x:row r="32">
      <x:c r="A32" s="114" t="n">
        <x:v>16</x:v>
      </x:c>
      <x:c r="B32" s="114" t="n">
        <x:v>4</x:v>
      </x:c>
      <x:c r="C32" s="114" t="n">
        <x:v>4</x:v>
      </x:c>
      <x:c r="D32" s="168" t="n">
        <x:f>$I$8</x:f>
        <x:v>1</x:v>
      </x:c>
      <x:c r="E32" s="168" t="n">
        <x:f>$J$8</x:f>
        <x:v>1</x:v>
      </x:c>
      <x:c r="F32" s="168" t="n">
        <x:f>$K$8</x:f>
        <x:v>0</x:v>
      </x:c>
      <x:c r="G32" s="242" t="n">
        <x:f>AI31</x:f>
        <x:v>1.0551118403990676</x:v>
      </x:c>
      <x:c r="H32" s="242" t="n">
        <x:f>AJ31</x:f>
        <x:v>-1.233539955704744</x:v>
      </x:c>
      <x:c r="I32" s="242" t="n">
        <x:f>AK31</x:f>
        <x:v>-1.1554569713147445</x:v>
      </x:c>
      <x:c r="J32" s="242" t="n">
        <x:f>AL31</x:f>
        <x:v>0.43348451164207913</x:v>
      </x:c>
      <x:c r="K32" s="242" t="n">
        <x:f>AM31</x:f>
        <x:v>-1.7935028078870956</x:v>
      </x:c>
      <x:c r="L32" s="242" t="n">
        <x:f>AN31</x:f>
        <x:v>1.073306512253824</x:v>
      </x:c>
      <x:c r="M32" s="242" t="n">
        <x:f>AO31</x:f>
        <x:v>1.1628703717168762</x:v>
      </x:c>
      <x:c r="N32" s="242" t="n">
        <x:f>AP31</x:f>
        <x:v>-1.6883460364685519</x:v>
      </x:c>
      <x:c r="O32" s="242" t="n">
        <x:f>AQ31</x:f>
        <x:v>0.9231577134660027</x:v>
      </x:c>
      <x:c r="P32" s="243" t="n">
        <x:f>D32*G32+E32*H32+I32</x:f>
        <x:v>-1.3338850866204208</x:v>
      </x:c>
      <x:c r="Q32" s="243" t="n">
        <x:f>1/(1+EXP(-P32))</x:f>
        <x:v>0.20851745246378137</x:v>
      </x:c>
      <x:c r="R32" s="243" t="n">
        <x:f>D32*J32+E32*K32+L32</x:f>
        <x:v>-0.28671178399119257</x:v>
      </x:c>
      <x:c r="S32" s="243" t="n">
        <x:f>1/(1+EXP(-R32))</x:f>
        <x:v>0.4288090666864252</x:v>
      </x:c>
      <x:c r="T32" s="243" t="n">
        <x:f>Q32*M32+S32*N32+O32</x:f>
        <x:v>0.44165839278021124</x:v>
      </x:c>
      <x:c r="U32" s="243" t="n">
        <x:f>1/(1+EXP(-T32))</x:f>
        <x:v>0.6086541215251998</x:v>
      </x:c>
      <x:c r="V32" s="243" t="n">
        <x:f>0.5*(F32-U32)^2</x:f>
        <x:v>0.18522991982480635</x:v>
      </x:c>
      <x:c r="W32" s="244" t="n">
        <x:f>(U32-F32)*U32*(1-U32)</x:f>
        <x:v>0.1449779313873113</x:v>
      </x:c>
      <x:c r="X32" s="244" t="n">
        <x:f>W32*M32*Q32*(1-Q32)</x:f>
        <x:v>0.027823832967814304</x:v>
      </x:c>
      <x:c r="Y32" s="244" t="n">
        <x:f>W32*N32*S32*(1-S32)</x:f>
        <x:v>-0.05995268335309983</x:v>
      </x:c>
      <x:c r="Z32" s="245" t="n">
        <x:f>X32*D32</x:f>
        <x:v>0.027823832967814304</x:v>
      </x:c>
      <x:c r="AA32" s="245" t="n">
        <x:f>X32*E32</x:f>
        <x:v>0.027823832967814304</x:v>
      </x:c>
      <x:c r="AB32" s="245" t="n">
        <x:f>X32</x:f>
        <x:v>0.027823832967814304</x:v>
      </x:c>
      <x:c r="AC32" s="245" t="n">
        <x:f>Y32*D32</x:f>
        <x:v>-0.05995268335309983</x:v>
      </x:c>
      <x:c r="AD32" s="245" t="n">
        <x:f>Y32*E32</x:f>
        <x:v>-0.05995268335309983</x:v>
      </x:c>
      <x:c r="AE32" s="245" t="n">
        <x:f>Y32</x:f>
        <x:v>-0.05995268335309983</x:v>
      </x:c>
      <x:c r="AF32" s="245" t="n">
        <x:f>W32*Q32</x:f>
        <x:v>0.03023042891635104</x:v>
      </x:c>
      <x:c r="AG32" s="245" t="n">
        <x:f>W32*S32</x:f>
        <x:v>0.06216785144832155</x:v>
      </x:c>
      <x:c r="AH32" s="245" t="n">
        <x:f>W32</x:f>
        <x:v>0.1449779313873113</x:v>
      </x:c>
      <x:c r="AI32" s="246" t="n">
        <x:f>G32-$B$4*Z32</x:f>
        <x:v>1.0272880074312534</x:v>
      </x:c>
      <x:c r="AJ32" s="246" t="n">
        <x:f>H32-$B$4*AA32</x:f>
        <x:v>-1.2613637886725582</x:v>
      </x:c>
      <x:c r="AK32" s="246" t="n">
        <x:f>I32-$B$4*AB32</x:f>
        <x:v>-1.1832808042825587</x:v>
      </x:c>
      <x:c r="AL32" s="246" t="n">
        <x:f>J32-$B$4*AC32</x:f>
        <x:v>0.49343719499517896</x:v>
      </x:c>
      <x:c r="AM32" s="246" t="n">
        <x:f>K32-$B$4*AD32</x:f>
        <x:v>-1.7335501245339957</x:v>
      </x:c>
      <x:c r="AN32" s="246" t="n">
        <x:f>L32-$B$4*AE32</x:f>
        <x:v>1.1332591956069238</x:v>
      </x:c>
      <x:c r="AO32" s="246" t="n">
        <x:f>M32-$B$4*AF32</x:f>
        <x:v>1.1326399428005252</x:v>
      </x:c>
      <x:c r="AP32" s="246" t="n">
        <x:f>N32-$B$4*AG32</x:f>
        <x:v>-1.7505138879168733</x:v>
      </x:c>
      <x:c r="AQ32" s="246" t="n">
        <x:f>O32-$B$4*AH32</x:f>
        <x:v>0.7781797820786914</x:v>
      </x:c>
      <x:c r="AR32" s="182" t="n">
        <x:f>IF(U32&gt;=$B$5,1,0)</x:f>
        <x:v>1</x:v>
      </x:c>
      <x:c r="AS32" s="182" t="n">
        <x:f>IF(AR32=F32,1,0)</x:f>
        <x:v>0</x:v>
      </x:c>
      <x:c r="AT32" s="252" t="n">
        <x:f>ABS(F32-U32)</x:f>
        <x:v>0.6086541215251998</x:v>
      </x:c>
    </x:row>
    <x:row r="33">
      <x:c r="A33" s="114" t="n">
        <x:v>17</x:v>
      </x:c>
      <x:c r="B33" s="114" t="n">
        <x:v>5</x:v>
      </x:c>
      <x:c r="C33" s="114" t="n">
        <x:v>1</x:v>
      </x:c>
      <x:c r="D33" s="168" t="n">
        <x:f>$I$5</x:f>
        <x:v>0</x:v>
      </x:c>
      <x:c r="E33" s="168" t="n">
        <x:f>$J$5</x:f>
        <x:v>0</x:v>
      </x:c>
      <x:c r="F33" s="168" t="n">
        <x:f>$K$5</x:f>
        <x:v>0</x:v>
      </x:c>
      <x:c r="G33" s="242" t="n">
        <x:f>AI32</x:f>
        <x:v>1.0272880074312534</x:v>
      </x:c>
      <x:c r="H33" s="242" t="n">
        <x:f>AJ32</x:f>
        <x:v>-1.2613637886725582</x:v>
      </x:c>
      <x:c r="I33" s="242" t="n">
        <x:f>AK32</x:f>
        <x:v>-1.1832808042825587</x:v>
      </x:c>
      <x:c r="J33" s="242" t="n">
        <x:f>AL32</x:f>
        <x:v>0.49343719499517896</x:v>
      </x:c>
      <x:c r="K33" s="242" t="n">
        <x:f>AM32</x:f>
        <x:v>-1.7335501245339957</x:v>
      </x:c>
      <x:c r="L33" s="242" t="n">
        <x:f>AN32</x:f>
        <x:v>1.1332591956069238</x:v>
      </x:c>
      <x:c r="M33" s="242" t="n">
        <x:f>AO32</x:f>
        <x:v>1.1326399428005252</x:v>
      </x:c>
      <x:c r="N33" s="242" t="n">
        <x:f>AP32</x:f>
        <x:v>-1.7505138879168733</x:v>
      </x:c>
      <x:c r="O33" s="242" t="n">
        <x:f>AQ32</x:f>
        <x:v>0.7781797820786914</x:v>
      </x:c>
      <x:c r="P33" s="243" t="n">
        <x:f>D33*G33+E33*H33+I33</x:f>
        <x:v>-1.1832808042825587</x:v>
      </x:c>
      <x:c r="Q33" s="243" t="n">
        <x:f>1/(1+EXP(-P33))</x:f>
        <x:v>0.23446281174144362</x:v>
      </x:c>
      <x:c r="R33" s="243" t="n">
        <x:f>D33*J33+E33*K33+L33</x:f>
        <x:v>1.1332591956069238</x:v>
      </x:c>
      <x:c r="S33" s="243" t="n">
        <x:f>1/(1+EXP(-R33))</x:f>
        <x:v>0.7564398704596993</x:v>
      </x:c>
      <x:c r="T33" s="243" t="n">
        <x:f>Q33*M33+S33*N33+O33</x:f>
        <x:v>-0.28041677085537386</x:v>
      </x:c>
      <x:c r="U33" s="243" t="n">
        <x:f>1/(1+EXP(-T33))</x:f>
        <x:v>0.43035160209602297</x:v>
      </x:c>
      <x:c r="V33" s="243" t="n">
        <x:f>0.5*(F33-U33)^2</x:f>
        <x:v>0.09260125071330684</x:v>
      </x:c>
      <x:c r="W33" s="244" t="n">
        <x:f>(U33-F33)*U33*(1-U33)</x:f>
        <x:v>0.1055003082254795</x:v>
      </x:c>
      <x:c r="X33" s="244" t="n">
        <x:f>W33*M33*Q33*(1-Q33)</x:f>
        <x:v>0.02144795368051516</x:v>
      </x:c>
      <x:c r="Y33" s="244" t="n">
        <x:f>W33*N33*S33*(1-S33)</x:f>
        <x:v>-0.03402513813690601</x:v>
      </x:c>
      <x:c r="Z33" s="245" t="n">
        <x:f>X33*D33</x:f>
        <x:v>0</x:v>
      </x:c>
      <x:c r="AA33" s="245" t="n">
        <x:f>X33*E33</x:f>
        <x:v>0</x:v>
      </x:c>
      <x:c r="AB33" s="245" t="n">
        <x:f>X33</x:f>
        <x:v>0.02144795368051516</x:v>
      </x:c>
      <x:c r="AC33" s="245" t="n">
        <x:f>Y33*D33</x:f>
        <x:v>0</x:v>
      </x:c>
      <x:c r="AD33" s="245" t="n">
        <x:f>Y33*E33</x:f>
        <x:v>0</x:v>
      </x:c>
      <x:c r="AE33" s="245" t="n">
        <x:f>Y33</x:f>
        <x:v>-0.03402513813690601</x:v>
      </x:c>
      <x:c r="AF33" s="245" t="n">
        <x:f>W33*Q33</x:f>
        <x:v>0.024735898906134875</x:v>
      </x:c>
      <x:c r="AG33" s="245" t="n">
        <x:f>W33*S33</x:f>
        <x:v>0.07980463948754006</x:v>
      </x:c>
      <x:c r="AH33" s="245" t="n">
        <x:f>W33</x:f>
        <x:v>0.1055003082254795</x:v>
      </x:c>
      <x:c r="AI33" s="246" t="n">
        <x:f>G33-$B$4*Z33</x:f>
        <x:v>1.0272880074312534</x:v>
      </x:c>
      <x:c r="AJ33" s="246" t="n">
        <x:f>H33-$B$4*AA33</x:f>
        <x:v>-1.2613637886725582</x:v>
      </x:c>
      <x:c r="AK33" s="246" t="n">
        <x:f>I33-$B$4*AB33</x:f>
        <x:v>-1.2047287579630739</x:v>
      </x:c>
      <x:c r="AL33" s="246" t="n">
        <x:f>J33-$B$4*AC33</x:f>
        <x:v>0.49343719499517896</x:v>
      </x:c>
      <x:c r="AM33" s="246" t="n">
        <x:f>K33-$B$4*AD33</x:f>
        <x:v>-1.7335501245339957</x:v>
      </x:c>
      <x:c r="AN33" s="246" t="n">
        <x:f>L33-$B$4*AE33</x:f>
        <x:v>1.16728433374383</x:v>
      </x:c>
      <x:c r="AO33" s="246" t="n">
        <x:f>M33-$B$4*AF33</x:f>
        <x:v>1.1079040438943903</x:v>
      </x:c>
      <x:c r="AP33" s="246" t="n">
        <x:f>N33-$B$4*AG33</x:f>
        <x:v>-1.8303185274044134</x:v>
      </x:c>
      <x:c r="AQ33" s="246" t="n">
        <x:f>O33-$B$4*AH33</x:f>
        <x:v>0.6726794738532119</x:v>
      </x:c>
      <x:c r="AR33" s="182" t="n">
        <x:f>IF(U33&gt;=$B$5,1,0)</x:f>
        <x:v>0</x:v>
      </x:c>
      <x:c r="AS33" s="182" t="n">
        <x:f>IF(AR33=F33,1,0)</x:f>
        <x:v>1</x:v>
      </x:c>
      <x:c r="AT33" s="252" t="n">
        <x:f>ABS(F33-U33)</x:f>
        <x:v>0.43035160209602297</x:v>
      </x:c>
    </x:row>
    <x:row r="34">
      <x:c r="A34" s="114" t="n">
        <x:v>18</x:v>
      </x:c>
      <x:c r="B34" s="114" t="n">
        <x:v>5</x:v>
      </x:c>
      <x:c r="C34" s="114" t="n">
        <x:v>2</x:v>
      </x:c>
      <x:c r="D34" s="168" t="n">
        <x:f>$I$6</x:f>
        <x:v>0</x:v>
      </x:c>
      <x:c r="E34" s="168" t="n">
        <x:f>$J$6</x:f>
        <x:v>1</x:v>
      </x:c>
      <x:c r="F34" s="168" t="n">
        <x:f>$K$6</x:f>
        <x:v>1</x:v>
      </x:c>
      <x:c r="G34" s="242" t="n">
        <x:f>AI33</x:f>
        <x:v>1.0272880074312534</x:v>
      </x:c>
      <x:c r="H34" s="242" t="n">
        <x:f>AJ33</x:f>
        <x:v>-1.2613637886725582</x:v>
      </x:c>
      <x:c r="I34" s="242" t="n">
        <x:f>AK33</x:f>
        <x:v>-1.2047287579630739</x:v>
      </x:c>
      <x:c r="J34" s="242" t="n">
        <x:f>AL33</x:f>
        <x:v>0.49343719499517896</x:v>
      </x:c>
      <x:c r="K34" s="242" t="n">
        <x:f>AM33</x:f>
        <x:v>-1.7335501245339957</x:v>
      </x:c>
      <x:c r="L34" s="242" t="n">
        <x:f>AN33</x:f>
        <x:v>1.16728433374383</x:v>
      </x:c>
      <x:c r="M34" s="242" t="n">
        <x:f>AO33</x:f>
        <x:v>1.1079040438943903</x:v>
      </x:c>
      <x:c r="N34" s="242" t="n">
        <x:f>AP33</x:f>
        <x:v>-1.8303185274044134</x:v>
      </x:c>
      <x:c r="O34" s="242" t="n">
        <x:f>AQ33</x:f>
        <x:v>0.6726794738532119</x:v>
      </x:c>
      <x:c r="P34" s="243" t="n">
        <x:f>D34*G34+E34*H34+I34</x:f>
        <x:v>-2.466092546635632</x:v>
      </x:c>
      <x:c r="Q34" s="243" t="n">
        <x:f>1/(1+EXP(-P34))</x:f>
        <x:v>0.07826966846876476</x:v>
      </x:c>
      <x:c r="R34" s="243" t="n">
        <x:f>D34*J34+E34*K34+L34</x:f>
        <x:v>-0.5662657907901658</x:v>
      </x:c>
      <x:c r="S34" s="243" t="n">
        <x:f>1/(1+EXP(-R34))</x:f>
        <x:v>0.3620989198489351</x:v>
      </x:c>
      <x:c r="T34" s="243" t="n">
        <x:f>Q34*M34+S34*N34+O34</x:f>
        <x:v>0.09663839431139798</x:v>
      </x:c>
      <x:c r="U34" s="243" t="n">
        <x:f>1/(1+EXP(-T34))</x:f>
        <x:v>0.5241408139547475</x:v>
      </x:c>
      <x:c r="V34" s="243" t="n">
        <x:f>0.5*(F34-U34)^2</x:f>
        <x:v>0.11322098247182509</x:v>
      </x:c>
      <x:c r="W34" s="244" t="n">
        <x:f>(U34-F34)*U34*(1-U34)</x:f>
        <x:v>-0.11868747581907722</x:v>
      </x:c>
      <x:c r="X34" s="244" t="n">
        <x:f>W34*M34*Q34*(1-Q34)</x:f>
        <x:v>-0.00948646512689478</x:v>
      </x:c>
      <x:c r="Y34" s="244" t="n">
        <x:f>W34*N34*S34*(1-S34)</x:f>
        <x:v>0.05017786010039932</x:v>
      </x:c>
      <x:c r="Z34" s="245" t="n">
        <x:f>X34*D34</x:f>
        <x:v>0</x:v>
      </x:c>
      <x:c r="AA34" s="245" t="n">
        <x:f>X34*E34</x:f>
        <x:v>-0.00948646512689478</x:v>
      </x:c>
      <x:c r="AB34" s="245" t="n">
        <x:f>X34</x:f>
        <x:v>-0.00948646512689478</x:v>
      </x:c>
      <x:c r="AC34" s="245" t="n">
        <x:f>Y34*D34</x:f>
        <x:v>0</x:v>
      </x:c>
      <x:c r="AD34" s="245" t="n">
        <x:f>Y34*E34</x:f>
        <x:v>0.05017786010039932</x:v>
      </x:c>
      <x:c r="AE34" s="245" t="n">
        <x:f>Y34</x:f>
        <x:v>0.05017786010039932</x:v>
      </x:c>
      <x:c r="AF34" s="245" t="n">
        <x:f>W34*Q34</x:f>
        <x:v>-0.009289629383753708</x:v>
      </x:c>
      <x:c r="AG34" s="245" t="n">
        <x:f>W34*S34</x:f>
        <x:v>-0.042976606793684466</x:v>
      </x:c>
      <x:c r="AH34" s="245" t="n">
        <x:f>W34</x:f>
        <x:v>-0.11868747581907722</x:v>
      </x:c>
      <x:c r="AI34" s="246" t="n">
        <x:f>G34-$B$4*Z34</x:f>
        <x:v>1.0272880074312534</x:v>
      </x:c>
      <x:c r="AJ34" s="246" t="n">
        <x:f>H34-$B$4*AA34</x:f>
        <x:v>-1.2518773235456633</x:v>
      </x:c>
      <x:c r="AK34" s="246" t="n">
        <x:f>I34-$B$4*AB34</x:f>
        <x:v>-1.195242292836179</x:v>
      </x:c>
      <x:c r="AL34" s="246" t="n">
        <x:f>J34-$B$4*AC34</x:f>
        <x:v>0.49343719499517896</x:v>
      </x:c>
      <x:c r="AM34" s="246" t="n">
        <x:f>K34-$B$4*AD34</x:f>
        <x:v>-1.783727984634395</x:v>
      </x:c>
      <x:c r="AN34" s="246" t="n">
        <x:f>L34-$B$4*AE34</x:f>
        <x:v>1.1171064736434306</x:v>
      </x:c>
      <x:c r="AO34" s="246" t="n">
        <x:f>M34-$B$4*AF34</x:f>
        <x:v>1.117193673278144</x:v>
      </x:c>
      <x:c r="AP34" s="246" t="n">
        <x:f>N34-$B$4*AG34</x:f>
        <x:v>-1.7873419206107288</x:v>
      </x:c>
      <x:c r="AQ34" s="246" t="n">
        <x:f>O34-$B$4*AH34</x:f>
        <x:v>0.7913669496722892</x:v>
      </x:c>
      <x:c r="AR34" s="182" t="n">
        <x:f>IF(U34&gt;=$B$5,1,0)</x:f>
        <x:v>1</x:v>
      </x:c>
      <x:c r="AS34" s="182" t="n">
        <x:f>IF(AR34=F34,1,0)</x:f>
        <x:v>1</x:v>
      </x:c>
      <x:c r="AT34" s="252" t="n">
        <x:f>ABS(F34-U34)</x:f>
        <x:v>0.47585918604525246</x:v>
      </x:c>
    </x:row>
    <x:row r="35">
      <x:c r="A35" s="114" t="n">
        <x:v>19</x:v>
      </x:c>
      <x:c r="B35" s="114" t="n">
        <x:v>5</x:v>
      </x:c>
      <x:c r="C35" s="114" t="n">
        <x:v>3</x:v>
      </x:c>
      <x:c r="D35" s="168" t="n">
        <x:f>$I$7</x:f>
        <x:v>1</x:v>
      </x:c>
      <x:c r="E35" s="168" t="n">
        <x:f>$J$7</x:f>
        <x:v>0</x:v>
      </x:c>
      <x:c r="F35" s="168" t="n">
        <x:f>$K$7</x:f>
        <x:v>1</x:v>
      </x:c>
      <x:c r="G35" s="242" t="n">
        <x:f>AI34</x:f>
        <x:v>1.0272880074312534</x:v>
      </x:c>
      <x:c r="H35" s="242" t="n">
        <x:f>AJ34</x:f>
        <x:v>-1.2518773235456633</x:v>
      </x:c>
      <x:c r="I35" s="242" t="n">
        <x:f>AK34</x:f>
        <x:v>-1.195242292836179</x:v>
      </x:c>
      <x:c r="J35" s="242" t="n">
        <x:f>AL34</x:f>
        <x:v>0.49343719499517896</x:v>
      </x:c>
      <x:c r="K35" s="242" t="n">
        <x:f>AM34</x:f>
        <x:v>-1.783727984634395</x:v>
      </x:c>
      <x:c r="L35" s="242" t="n">
        <x:f>AN34</x:f>
        <x:v>1.1171064736434306</x:v>
      </x:c>
      <x:c r="M35" s="242" t="n">
        <x:f>AO34</x:f>
        <x:v>1.117193673278144</x:v>
      </x:c>
      <x:c r="N35" s="242" t="n">
        <x:f>AP34</x:f>
        <x:v>-1.7873419206107288</x:v>
      </x:c>
      <x:c r="O35" s="242" t="n">
        <x:f>AQ34</x:f>
        <x:v>0.7913669496722892</x:v>
      </x:c>
      <x:c r="P35" s="243" t="n">
        <x:f>D35*G35+E35*H35+I35</x:f>
        <x:v>-0.16795428540492563</x:v>
      </x:c>
      <x:c r="Q35" s="243" t="n">
        <x:f>1/(1+EXP(-P35))</x:f>
        <x:v>0.45810985439382457</x:v>
      </x:c>
      <x:c r="R35" s="243" t="n">
        <x:f>D35*J35+E35*K35+L35</x:f>
        <x:v>1.6105436686386096</x:v>
      </x:c>
      <x:c r="S35" s="243" t="n">
        <x:f>1/(1+EXP(-R35))</x:f>
        <x:v>0.8334868539828469</x:v>
      </x:c>
      <x:c r="T35" s="243" t="n">
        <x:f>Q35*M35+S35*N35+O35</x:f>
        <x:v>-0.1865616137340541</x:v>
      </x:c>
      <x:c r="U35" s="243" t="n">
        <x:f>1/(1+EXP(-T35))</x:f>
        <x:v>0.45349440490195897</x:v>
      </x:c>
      <x:c r="V35" s="243" t="n">
        <x:f>0.5*(F35-U35)^2</x:f>
        <x:v>0.14933418273673202</x:v>
      </x:c>
      <x:c r="W35" s="244" t="n">
        <x:f>(U35-F35)*U35*(1-U35)</x:f>
        <x:v>-0.13544443266342934</x:v>
      </x:c>
      <x:c r="X35" s="244" t="n">
        <x:f>W35*M35*Q35*(1-Q35)</x:f>
        <x:v>-0.037563885953460295</x:v>
      </x:c>
      <x:c r="Y35" s="244" t="n">
        <x:f>W35*N35*S35*(1-S35)</x:f>
        <x:v>0.033598205379411945</x:v>
      </x:c>
      <x:c r="Z35" s="245" t="n">
        <x:f>X35*D35</x:f>
        <x:v>-0.037563885953460295</x:v>
      </x:c>
      <x:c r="AA35" s="245" t="n">
        <x:f>X35*E35</x:f>
        <x:v>0</x:v>
      </x:c>
      <x:c r="AB35" s="245" t="n">
        <x:f>X35</x:f>
        <x:v>-0.037563885953460295</x:v>
      </x:c>
      <x:c r="AC35" s="245" t="n">
        <x:f>Y35*D35</x:f>
        <x:v>0.033598205379411945</x:v>
      </x:c>
      <x:c r="AD35" s="245" t="n">
        <x:f>Y35*E35</x:f>
        <x:v>0</x:v>
      </x:c>
      <x:c r="AE35" s="245" t="n">
        <x:f>Y35</x:f>
        <x:v>0.033598205379411945</x:v>
      </x:c>
      <x:c r="AF35" s="245" t="n">
        <x:f>W35*Q35</x:f>
        <x:v>-0.06204842932589779</x:v>
      </x:c>
      <x:c r="AG35" s="245" t="n">
        <x:f>W35*S35</x:f>
        <x:v>-0.11289115407013328</x:v>
      </x:c>
      <x:c r="AH35" s="245" t="n">
        <x:f>W35</x:f>
        <x:v>-0.13544443266342934</x:v>
      </x:c>
      <x:c r="AI35" s="246" t="n">
        <x:f>G35-$B$4*Z35</x:f>
        <x:v>1.0648518933847138</x:v>
      </x:c>
      <x:c r="AJ35" s="246" t="n">
        <x:f>H35-$B$4*AA35</x:f>
        <x:v>-1.2518773235456633</x:v>
      </x:c>
      <x:c r="AK35" s="246" t="n">
        <x:f>I35-$B$4*AB35</x:f>
        <x:v>-1.1576784068827186</x:v>
      </x:c>
      <x:c r="AL35" s="246" t="n">
        <x:f>J35-$B$4*AC35</x:f>
        <x:v>0.459838989615767</x:v>
      </x:c>
      <x:c r="AM35" s="246" t="n">
        <x:f>K35-$B$4*AD35</x:f>
        <x:v>-1.783727984634395</x:v>
      </x:c>
      <x:c r="AN35" s="246" t="n">
        <x:f>L35-$B$4*AE35</x:f>
        <x:v>1.0835082682640187</x:v>
      </x:c>
      <x:c r="AO35" s="246" t="n">
        <x:f>M35-$B$4*AF35</x:f>
        <x:v>1.1792421026040418</x:v>
      </x:c>
      <x:c r="AP35" s="246" t="n">
        <x:f>N35-$B$4*AG35</x:f>
        <x:v>-1.6744507665405957</x:v>
      </x:c>
      <x:c r="AQ35" s="246" t="n">
        <x:f>O35-$B$4*AH35</x:f>
        <x:v>0.9268113823357185</x:v>
      </x:c>
      <x:c r="AR35" s="182" t="n">
        <x:f>IF(U35&gt;=$B$5,1,0)</x:f>
        <x:v>0</x:v>
      </x:c>
      <x:c r="AS35" s="182" t="n">
        <x:f>IF(AR35=F35,1,0)</x:f>
        <x:v>0</x:v>
      </x:c>
      <x:c r="AT35" s="252" t="n">
        <x:f>ABS(F35-U35)</x:f>
        <x:v>0.5465055950980411</x:v>
      </x:c>
    </x:row>
    <x:row r="36">
      <x:c r="A36" s="114" t="n">
        <x:v>20</x:v>
      </x:c>
      <x:c r="B36" s="114" t="n">
        <x:v>5</x:v>
      </x:c>
      <x:c r="C36" s="114" t="n">
        <x:v>4</x:v>
      </x:c>
      <x:c r="D36" s="168" t="n">
        <x:f>$I$8</x:f>
        <x:v>1</x:v>
      </x:c>
      <x:c r="E36" s="168" t="n">
        <x:f>$J$8</x:f>
        <x:v>1</x:v>
      </x:c>
      <x:c r="F36" s="168" t="n">
        <x:f>$K$8</x:f>
        <x:v>0</x:v>
      </x:c>
      <x:c r="G36" s="242" t="n">
        <x:f>AI35</x:f>
        <x:v>1.0648518933847138</x:v>
      </x:c>
      <x:c r="H36" s="242" t="n">
        <x:f>AJ35</x:f>
        <x:v>-1.2518773235456633</x:v>
      </x:c>
      <x:c r="I36" s="242" t="n">
        <x:f>AK35</x:f>
        <x:v>-1.1576784068827186</x:v>
      </x:c>
      <x:c r="J36" s="242" t="n">
        <x:f>AL35</x:f>
        <x:v>0.459838989615767</x:v>
      </x:c>
      <x:c r="K36" s="242" t="n">
        <x:f>AM35</x:f>
        <x:v>-1.783727984634395</x:v>
      </x:c>
      <x:c r="L36" s="242" t="n">
        <x:f>AN35</x:f>
        <x:v>1.0835082682640187</x:v>
      </x:c>
      <x:c r="M36" s="242" t="n">
        <x:f>AO35</x:f>
        <x:v>1.1792421026040418</x:v>
      </x:c>
      <x:c r="N36" s="242" t="n">
        <x:f>AP35</x:f>
        <x:v>-1.6744507665405957</x:v>
      </x:c>
      <x:c r="O36" s="242" t="n">
        <x:f>AQ35</x:f>
        <x:v>0.9268113823357185</x:v>
      </x:c>
      <x:c r="P36" s="243" t="n">
        <x:f>D36*G36+E36*H36+I36</x:f>
        <x:v>-1.3447038370436681</x:v>
      </x:c>
      <x:c r="Q36" s="243" t="n">
        <x:f>1/(1+EXP(-P36))</x:f>
        <x:v>0.2067375785003973</x:v>
      </x:c>
      <x:c r="R36" s="243" t="n">
        <x:f>D36*J36+E36*K36+L36</x:f>
        <x:v>-0.2403807267546092</x:v>
      </x:c>
      <x:c r="S36" s="243" t="n">
        <x:f>1/(1+EXP(-R36))</x:f>
        <x:v>0.4401925287432607</x:v>
      </x:c>
      <x:c r="T36" s="243" t="n">
        <x:f>Q36*M36+S36*N36+O36</x:f>
        <x:v>0.43352432191419904</x:v>
      </x:c>
      <x:c r="U36" s="243" t="n">
        <x:f>1/(1+EXP(-T36))</x:f>
        <x:v>0.6067149291896341</x:v>
      </x:c>
      <x:c r="V36" s="243" t="n">
        <x:f>0.5*(F36-U36)^2</x:f>
        <x:v>0.18405150265079137</x:v>
      </x:c>
      <x:c r="W36" s="244" t="n">
        <x:f>(U36-F36)*U36*(1-U36)</x:f>
        <x:v>0.14476941650554145</x:v>
      </x:c>
      <x:c r="X36" s="244" t="n">
        <x:f>W36*M36*Q36*(1-Q36)</x:f>
        <x:v>0.02799729716033353</x:v>
      </x:c>
      <x:c r="Y36" s="244" t="n">
        <x:f>W36*N36*S36*(1-S36)</x:f>
        <x:v>-0.05973523327682421</x:v>
      </x:c>
      <x:c r="Z36" s="245" t="n">
        <x:f>X36*D36</x:f>
        <x:v>0.02799729716033353</x:v>
      </x:c>
      <x:c r="AA36" s="245" t="n">
        <x:f>X36*E36</x:f>
        <x:v>0.02799729716033353</x:v>
      </x:c>
      <x:c r="AB36" s="245" t="n">
        <x:f>X36</x:f>
        <x:v>0.02799729716033353</x:v>
      </x:c>
      <x:c r="AC36" s="245" t="n">
        <x:f>Y36*D36</x:f>
        <x:v>-0.05973523327682421</x:v>
      </x:c>
      <x:c r="AD36" s="245" t="n">
        <x:f>Y36*E36</x:f>
        <x:v>-0.05973523327682421</x:v>
      </x:c>
      <x:c r="AE36" s="245" t="n">
        <x:f>Y36</x:f>
        <x:v>-0.05973523327682421</x:v>
      </x:c>
      <x:c r="AF36" s="245" t="n">
        <x:f>W36*Q36</x:f>
        <x:v>0.029929278609271092</x:v>
      </x:c>
      <x:c r="AG36" s="245" t="n">
        <x:f>W36*S36</x:f>
        <x:v>0.06372641553626064</x:v>
      </x:c>
      <x:c r="AH36" s="245" t="n">
        <x:f>W36</x:f>
        <x:v>0.14476941650554145</x:v>
      </x:c>
      <x:c r="AI36" s="246" t="n">
        <x:f>G36-$B$4*Z36</x:f>
        <x:v>1.0368545962243803</x:v>
      </x:c>
      <x:c r="AJ36" s="246" t="n">
        <x:f>H36-$B$4*AA36</x:f>
        <x:v>-1.2798746207059968</x:v>
      </x:c>
      <x:c r="AK36" s="246" t="n">
        <x:f>I36-$B$4*AB36</x:f>
        <x:v>-1.1856757040430521</x:v>
      </x:c>
      <x:c r="AL36" s="246" t="n">
        <x:f>J36-$B$4*AC36</x:f>
        <x:v>0.5195742228925913</x:v>
      </x:c>
      <x:c r="AM36" s="246" t="n">
        <x:f>K36-$B$4*AD36</x:f>
        <x:v>-1.7239927513575708</x:v>
      </x:c>
      <x:c r="AN36" s="246" t="n">
        <x:f>L36-$B$4*AE36</x:f>
        <x:v>1.1432435015408429</x:v>
      </x:c>
      <x:c r="AO36" s="246" t="n">
        <x:f>M36-$B$4*AF36</x:f>
        <x:v>1.1493128239947707</x:v>
      </x:c>
      <x:c r="AP36" s="246" t="n">
        <x:f>N36-$B$4*AG36</x:f>
        <x:v>-1.7381771820768563</x:v>
      </x:c>
      <x:c r="AQ36" s="246" t="n">
        <x:f>O36-$B$4*AH36</x:f>
        <x:v>0.782041965830177</x:v>
      </x:c>
      <x:c r="AR36" s="182" t="n">
        <x:f>IF(U36&gt;=$B$5,1,0)</x:f>
        <x:v>1</x:v>
      </x:c>
      <x:c r="AS36" s="182" t="n">
        <x:f>IF(AR36=F36,1,0)</x:f>
        <x:v>0</x:v>
      </x:c>
      <x:c r="AT36" s="252" t="n">
        <x:f>ABS(F36-U36)</x:f>
        <x:v>0.6067149291896341</x:v>
      </x:c>
    </x:row>
    <x:row r="37">
      <x:c r="A37" s="114" t="n">
        <x:v>21</x:v>
      </x:c>
      <x:c r="B37" s="114" t="n">
        <x:v>6</x:v>
      </x:c>
      <x:c r="C37" s="114" t="n">
        <x:v>1</x:v>
      </x:c>
      <x:c r="D37" s="168" t="n">
        <x:f>$I$5</x:f>
        <x:v>0</x:v>
      </x:c>
      <x:c r="E37" s="168" t="n">
        <x:f>$J$5</x:f>
        <x:v>0</x:v>
      </x:c>
      <x:c r="F37" s="168" t="n">
        <x:f>$K$5</x:f>
        <x:v>0</x:v>
      </x:c>
      <x:c r="G37" s="242" t="n">
        <x:f>AI36</x:f>
        <x:v>1.0368545962243803</x:v>
      </x:c>
      <x:c r="H37" s="242" t="n">
        <x:f>AJ36</x:f>
        <x:v>-1.2798746207059968</x:v>
      </x:c>
      <x:c r="I37" s="242" t="n">
        <x:f>AK36</x:f>
        <x:v>-1.1856757040430521</x:v>
      </x:c>
      <x:c r="J37" s="242" t="n">
        <x:f>AL36</x:f>
        <x:v>0.5195742228925913</x:v>
      </x:c>
      <x:c r="K37" s="242" t="n">
        <x:f>AM36</x:f>
        <x:v>-1.7239927513575708</x:v>
      </x:c>
      <x:c r="L37" s="242" t="n">
        <x:f>AN36</x:f>
        <x:v>1.1432435015408429</x:v>
      </x:c>
      <x:c r="M37" s="242" t="n">
        <x:f>AO36</x:f>
        <x:v>1.1493128239947707</x:v>
      </x:c>
      <x:c r="N37" s="242" t="n">
        <x:f>AP36</x:f>
        <x:v>-1.7381771820768563</x:v>
      </x:c>
      <x:c r="O37" s="242" t="n">
        <x:f>AQ36</x:f>
        <x:v>0.782041965830177</x:v>
      </x:c>
      <x:c r="P37" s="243" t="n">
        <x:f>D37*G37+E37*H37+I37</x:f>
        <x:v>-1.1856757040430521</x:v>
      </x:c>
      <x:c r="Q37" s="243" t="n">
        <x:f>1/(1+EXP(-P37))</x:f>
        <x:v>0.2340332245742963</x:v>
      </x:c>
      <x:c r="R37" s="243" t="n">
        <x:f>D37*J37+E37*K37+L37</x:f>
        <x:v>1.1432435015408429</x:v>
      </x:c>
      <x:c r="S37" s="243" t="n">
        <x:f>1/(1+EXP(-R37))</x:f>
        <x:v>0.7582746519664821</x:v>
      </x:c>
      <x:c r="T37" s="243" t="n">
        <x:f>Q37*M37+S37*N37+O37</x:f>
        <x:v>-0.26699634572114495</x:v>
      </x:c>
      <x:c r="U37" s="243" t="n">
        <x:f>1/(1+EXP(-T37))</x:f>
        <x:v>0.43364463585857965</x:v>
      </x:c>
      <x:c r="V37" s="243" t="n">
        <x:f>0.5*(F37-U37)^2</x:f>
        <x:v>0.09402383510446008</x:v>
      </x:c>
      <x:c r="W37" s="244" t="n">
        <x:f>(U37-F37)*U37*(1-U37)</x:f>
        <x:v>0.10650180673711869</x:v>
      </x:c>
      <x:c r="X37" s="244" t="n">
        <x:f>W37*M37*Q37*(1-Q37)</x:f>
        <x:v>0.02194232667617405</x:v>
      </x:c>
      <x:c r="Y37" s="244" t="n">
        <x:f>W37*N37*S37*(1-S37)</x:f>
        <x:v>-0.03393124167001163</x:v>
      </x:c>
      <x:c r="Z37" s="245" t="n">
        <x:f>X37*D37</x:f>
        <x:v>0</x:v>
      </x:c>
      <x:c r="AA37" s="245" t="n">
        <x:f>X37*E37</x:f>
        <x:v>0</x:v>
      </x:c>
      <x:c r="AB37" s="245" t="n">
        <x:f>X37</x:f>
        <x:v>0.02194232667617405</x:v>
      </x:c>
      <x:c r="AC37" s="245" t="n">
        <x:f>Y37*D37</x:f>
        <x:v>0</x:v>
      </x:c>
      <x:c r="AD37" s="245" t="n">
        <x:f>Y37*E37</x:f>
        <x:v>0</x:v>
      </x:c>
      <x:c r="AE37" s="245" t="n">
        <x:f>Y37</x:f>
        <x:v>-0.03393124167001163</x:v>
      </x:c>
      <x:c r="AF37" s="245" t="n">
        <x:f>W37*Q37</x:f>
        <x:v>0.0249249612536764</x:v>
      </x:c>
      <x:c r="AG37" s="245" t="n">
        <x:f>W37*S37</x:f>
        <x:v>0.08075762043739022</x:v>
      </x:c>
      <x:c r="AH37" s="245" t="n">
        <x:f>W37</x:f>
        <x:v>0.10650180673711869</x:v>
      </x:c>
      <x:c r="AI37" s="246" t="n">
        <x:f>G37-$B$4*Z37</x:f>
        <x:v>1.0368545962243803</x:v>
      </x:c>
      <x:c r="AJ37" s="246" t="n">
        <x:f>H37-$B$4*AA37</x:f>
        <x:v>-1.2798746207059968</x:v>
      </x:c>
      <x:c r="AK37" s="246" t="n">
        <x:f>I37-$B$4*AB37</x:f>
        <x:v>-1.2076180307192261</x:v>
      </x:c>
      <x:c r="AL37" s="246" t="n">
        <x:f>J37-$B$4*AC37</x:f>
        <x:v>0.5195742228925913</x:v>
      </x:c>
      <x:c r="AM37" s="246" t="n">
        <x:f>K37-$B$4*AD37</x:f>
        <x:v>-1.7239927513575708</x:v>
      </x:c>
      <x:c r="AN37" s="246" t="n">
        <x:f>L37-$B$4*AE37</x:f>
        <x:v>1.1771747432108546</x:v>
      </x:c>
      <x:c r="AO37" s="246" t="n">
        <x:f>M37-$B$4*AF37</x:f>
        <x:v>1.1243878627410944</x:v>
      </x:c>
      <x:c r="AP37" s="246" t="n">
        <x:f>N37-$B$4*AG37</x:f>
        <x:v>-1.8189348025142467</x:v>
      </x:c>
      <x:c r="AQ37" s="246" t="n">
        <x:f>O37-$B$4*AH37</x:f>
        <x:v>0.6755401590930583</x:v>
      </x:c>
      <x:c r="AR37" s="182" t="n">
        <x:f>IF(U37&gt;=$B$5,1,0)</x:f>
        <x:v>0</x:v>
      </x:c>
      <x:c r="AS37" s="182" t="n">
        <x:f>IF(AR37=F37,1,0)</x:f>
        <x:v>1</x:v>
      </x:c>
      <x:c r="AT37" s="252" t="n">
        <x:f>ABS(F37-U37)</x:f>
        <x:v>0.43364463585857965</x:v>
      </x:c>
    </x:row>
    <x:row r="38">
      <x:c r="A38" s="114" t="n">
        <x:v>22</x:v>
      </x:c>
      <x:c r="B38" s="114" t="n">
        <x:v>6</x:v>
      </x:c>
      <x:c r="C38" s="114" t="n">
        <x:v>2</x:v>
      </x:c>
      <x:c r="D38" s="168" t="n">
        <x:f>$I$6</x:f>
        <x:v>0</x:v>
      </x:c>
      <x:c r="E38" s="168" t="n">
        <x:f>$J$6</x:f>
        <x:v>1</x:v>
      </x:c>
      <x:c r="F38" s="168" t="n">
        <x:f>$K$6</x:f>
        <x:v>1</x:v>
      </x:c>
      <x:c r="G38" s="242" t="n">
        <x:f>AI37</x:f>
        <x:v>1.0368545962243803</x:v>
      </x:c>
      <x:c r="H38" s="242" t="n">
        <x:f>AJ37</x:f>
        <x:v>-1.2798746207059968</x:v>
      </x:c>
      <x:c r="I38" s="242" t="n">
        <x:f>AK37</x:f>
        <x:v>-1.2076180307192261</x:v>
      </x:c>
      <x:c r="J38" s="242" t="n">
        <x:f>AL37</x:f>
        <x:v>0.5195742228925913</x:v>
      </x:c>
      <x:c r="K38" s="242" t="n">
        <x:f>AM37</x:f>
        <x:v>-1.7239927513575708</x:v>
      </x:c>
      <x:c r="L38" s="242" t="n">
        <x:f>AN37</x:f>
        <x:v>1.1771747432108546</x:v>
      </x:c>
      <x:c r="M38" s="242" t="n">
        <x:f>AO37</x:f>
        <x:v>1.1243878627410944</x:v>
      </x:c>
      <x:c r="N38" s="242" t="n">
        <x:f>AP37</x:f>
        <x:v>-1.8189348025142467</x:v>
      </x:c>
      <x:c r="O38" s="242" t="n">
        <x:f>AQ37</x:f>
        <x:v>0.6755401590930583</x:v>
      </x:c>
      <x:c r="P38" s="243" t="n">
        <x:f>D38*G38+E38*H38+I38</x:f>
        <x:v>-2.4874926514252227</x:v>
      </x:c>
      <x:c r="Q38" s="243" t="n">
        <x:f>1/(1+EXP(-P38))</x:f>
        <x:v>0.07673965628368244</x:v>
      </x:c>
      <x:c r="R38" s="243" t="n">
        <x:f>D38*J38+E38*K38+L38</x:f>
        <x:v>-0.5468180081467162</x:v>
      </x:c>
      <x:c r="S38" s="243" t="n">
        <x:f>1/(1+EXP(-R38))</x:f>
        <x:v>0.36660297002808284</x:v>
      </x:c>
      <x:c r="T38" s="243" t="n">
        <x:f>Q38*M38+S38*N38+O38</x:f>
        <x:v>0.09499839632018703</x:v>
      </x:c>
      <x:c r="U38" s="243" t="n">
        <x:f>1/(1+EXP(-T38))</x:f>
        <x:v>0.5237317541098093</x:v>
      </x:c>
      <x:c r="V38" s="243" t="n">
        <x:f>0.5*(F38-U38)^2</x:f>
        <x:v>0.11341572102165956</x:v>
      </x:c>
      <x:c r="W38" s="244" t="n">
        <x:f>(U38-F38)*U38*(1-U38)</x:f>
        <x:v>-0.11879882902860509</x:v>
      </x:c>
      <x:c r="X38" s="244" t="n">
        <x:f>W38*M38*Q38*(1-Q38)</x:f>
        <x:v>-0.009463947893602519</x:v>
      </x:c>
      <x:c r="Y38" s="244" t="n">
        <x:f>W38*N38*S38*(1-S38)</x:f>
        <x:v>0.05017660743048165</x:v>
      </x:c>
      <x:c r="Z38" s="245" t="n">
        <x:f>X38*D38</x:f>
        <x:v>0</x:v>
      </x:c>
      <x:c r="AA38" s="245" t="n">
        <x:f>X38*E38</x:f>
        <x:v>-0.009463947893602519</x:v>
      </x:c>
      <x:c r="AB38" s="245" t="n">
        <x:f>X38</x:f>
        <x:v>-0.009463947893602519</x:v>
      </x:c>
      <x:c r="AC38" s="245" t="n">
        <x:f>Y38*D38</x:f>
        <x:v>0</x:v>
      </x:c>
      <x:c r="AD38" s="245" t="n">
        <x:f>Y38*E38</x:f>
        <x:v>0.05017660743048165</x:v>
      </x:c>
      <x:c r="AE38" s="245" t="n">
        <x:f>Y38</x:f>
        <x:v>0.05017660743048165</x:v>
      </x:c>
      <x:c r="AF38" s="245" t="n">
        <x:f>W38*Q38</x:f>
        <x:v>-0.00911658130655911</x:v>
      </x:c>
      <x:c r="AG38" s="245" t="n">
        <x:f>W38*S38</x:f>
        <x:v>-0.04355200355774505</x:v>
      </x:c>
      <x:c r="AH38" s="245" t="n">
        <x:f>W38</x:f>
        <x:v>-0.11879882902860509</x:v>
      </x:c>
      <x:c r="AI38" s="246" t="n">
        <x:f>G38-$B$4*Z38</x:f>
        <x:v>1.0368545962243803</x:v>
      </x:c>
      <x:c r="AJ38" s="246" t="n">
        <x:f>H38-$B$4*AA38</x:f>
        <x:v>-1.2704106728123943</x:v>
      </x:c>
      <x:c r="AK38" s="246" t="n">
        <x:f>I38-$B$4*AB38</x:f>
        <x:v>-1.1981540828256236</x:v>
      </x:c>
      <x:c r="AL38" s="246" t="n">
        <x:f>J38-$B$4*AC38</x:f>
        <x:v>0.5195742228925913</x:v>
      </x:c>
      <x:c r="AM38" s="246" t="n">
        <x:f>K38-$B$4*AD38</x:f>
        <x:v>-1.7741693587880525</x:v>
      </x:c>
      <x:c r="AN38" s="246" t="n">
        <x:f>L38-$B$4*AE38</x:f>
        <x:v>1.126998135780373</x:v>
      </x:c>
      <x:c r="AO38" s="246" t="n">
        <x:f>M38-$B$4*AF38</x:f>
        <x:v>1.1335044440476534</x:v>
      </x:c>
      <x:c r="AP38" s="246" t="n">
        <x:f>N38-$B$4*AG38</x:f>
        <x:v>-1.7753827989565016</x:v>
      </x:c>
      <x:c r="AQ38" s="246" t="n">
        <x:f>O38-$B$4*AH38</x:f>
        <x:v>0.7943389881216634</x:v>
      </x:c>
      <x:c r="AR38" s="182" t="n">
        <x:f>IF(U38&gt;=$B$5,1,0)</x:f>
        <x:v>1</x:v>
      </x:c>
      <x:c r="AS38" s="182" t="n">
        <x:f>IF(AR38=F38,1,0)</x:f>
        <x:v>1</x:v>
      </x:c>
      <x:c r="AT38" s="252" t="n">
        <x:f>ABS(F38-U38)</x:f>
        <x:v>0.4762682458901907</x:v>
      </x:c>
    </x:row>
    <x:row r="39">
      <x:c r="A39" s="114" t="n">
        <x:v>23</x:v>
      </x:c>
      <x:c r="B39" s="114" t="n">
        <x:v>6</x:v>
      </x:c>
      <x:c r="C39" s="114" t="n">
        <x:v>3</x:v>
      </x:c>
      <x:c r="D39" s="168" t="n">
        <x:f>$I$7</x:f>
        <x:v>1</x:v>
      </x:c>
      <x:c r="E39" s="168" t="n">
        <x:f>$J$7</x:f>
        <x:v>0</x:v>
      </x:c>
      <x:c r="F39" s="168" t="n">
        <x:f>$K$7</x:f>
        <x:v>1</x:v>
      </x:c>
      <x:c r="G39" s="242" t="n">
        <x:f>AI38</x:f>
        <x:v>1.0368545962243803</x:v>
      </x:c>
      <x:c r="H39" s="242" t="n">
        <x:f>AJ38</x:f>
        <x:v>-1.2704106728123943</x:v>
      </x:c>
      <x:c r="I39" s="242" t="n">
        <x:f>AK38</x:f>
        <x:v>-1.1981540828256236</x:v>
      </x:c>
      <x:c r="J39" s="242" t="n">
        <x:f>AL38</x:f>
        <x:v>0.5195742228925913</x:v>
      </x:c>
      <x:c r="K39" s="242" t="n">
        <x:f>AM38</x:f>
        <x:v>-1.7741693587880525</x:v>
      </x:c>
      <x:c r="L39" s="242" t="n">
        <x:f>AN38</x:f>
        <x:v>1.126998135780373</x:v>
      </x:c>
      <x:c r="M39" s="242" t="n">
        <x:f>AO38</x:f>
        <x:v>1.1335044440476534</x:v>
      </x:c>
      <x:c r="N39" s="242" t="n">
        <x:f>AP38</x:f>
        <x:v>-1.7753827989565016</x:v>
      </x:c>
      <x:c r="O39" s="242" t="n">
        <x:f>AQ38</x:f>
        <x:v>0.7943389881216634</x:v>
      </x:c>
      <x:c r="P39" s="243" t="n">
        <x:f>D39*G39+E39*H39+I39</x:f>
        <x:v>-0.16129948660124338</x:v>
      </x:c>
      <x:c r="Q39" s="243" t="n">
        <x:f>1/(1+EXP(-P39))</x:f>
        <x:v>0.4597623309214768</x:v>
      </x:c>
      <x:c r="R39" s="243" t="n">
        <x:f>D39*J39+E39*K39+L39</x:f>
        <x:v>1.6465723586729641</x:v>
      </x:c>
      <x:c r="S39" s="243" t="n">
        <x:f>1/(1+EXP(-R39))</x:f>
        <x:v>0.8384272566215252</x:v>
      </x:c>
      <x:c r="T39" s="243" t="n">
        <x:f>Q39*M39+S39*N39+O39</x:f>
        <x:v>-0.17304769615527926</x:v>
      </x:c>
      <x:c r="U39" s="243" t="n">
        <x:f>1/(1+EXP(-T39))</x:f>
        <x:v>0.456845711998522</x:v>
      </x:c>
      <x:c r="V39" s="243" t="n">
        <x:f>0.5*(F39-U39)^2</x:f>
        <x:v>0.14750829028719628</x:v>
      </x:c>
      <x:c r="W39" s="244" t="n">
        <x:f>(U39-F39)*U39*(1-U39)</x:f>
        <x:v>-0.1347770598038777</x:v>
      </x:c>
      <x:c r="X39" s="244" t="n">
        <x:f>W39*M39*Q39*(1-Q39)</x:f>
        <x:v>-0.037945253093430595</x:v>
      </x:c>
      <x:c r="Y39" s="244" t="n">
        <x:f>W39*N39*S39*(1-S39)</x:f>
        <x:v>0.032414660193339495</x:v>
      </x:c>
      <x:c r="Z39" s="245" t="n">
        <x:f>X39*D39</x:f>
        <x:v>-0.037945253093430595</x:v>
      </x:c>
      <x:c r="AA39" s="245" t="n">
        <x:f>X39*E39</x:f>
        <x:v>0</x:v>
      </x:c>
      <x:c r="AB39" s="245" t="n">
        <x:f>X39</x:f>
        <x:v>-0.037945253093430595</x:v>
      </x:c>
      <x:c r="AC39" s="245" t="n">
        <x:f>Y39*D39</x:f>
        <x:v>0.032414660193339495</x:v>
      </x:c>
      <x:c r="AD39" s="245" t="n">
        <x:f>Y39*E39</x:f>
        <x:v>0</x:v>
      </x:c>
      <x:c r="AE39" s="245" t="n">
        <x:f>Y39</x:f>
        <x:v>0.032414660193339495</x:v>
      </x:c>
      <x:c r="AF39" s="245" t="n">
        <x:f>W39*Q39</x:f>
        <x:v>-0.06196541517017408</x:v>
      </x:c>
      <x:c r="AG39" s="245" t="n">
        <x:f>W39*S39</x:f>
        <x:v>-0.1130007605068804</x:v>
      </x:c>
      <x:c r="AH39" s="245" t="n">
        <x:f>W39</x:f>
        <x:v>-0.1347770598038777</x:v>
      </x:c>
      <x:c r="AI39" s="246" t="n">
        <x:f>G39-$B$4*Z39</x:f>
        <x:v>1.0747998493178108</x:v>
      </x:c>
      <x:c r="AJ39" s="246" t="n">
        <x:f>H39-$B$4*AA39</x:f>
        <x:v>-1.2704106728123943</x:v>
      </x:c>
      <x:c r="AK39" s="246" t="n">
        <x:f>I39-$B$4*AB39</x:f>
        <x:v>-1.160208829732193</x:v>
      </x:c>
      <x:c r="AL39" s="246" t="n">
        <x:f>J39-$B$4*AC39</x:f>
        <x:v>0.48715956269925176</x:v>
      </x:c>
      <x:c r="AM39" s="246" t="n">
        <x:f>K39-$B$4*AD39</x:f>
        <x:v>-1.7741693587880525</x:v>
      </x:c>
      <x:c r="AN39" s="246" t="n">
        <x:f>L39-$B$4*AE39</x:f>
        <x:v>1.0945834755870334</x:v>
      </x:c>
      <x:c r="AO39" s="246" t="n">
        <x:f>M39-$B$4*AF39</x:f>
        <x:v>1.1954698592178274</x:v>
      </x:c>
      <x:c r="AP39" s="246" t="n">
        <x:f>N39-$B$4*AG39</x:f>
        <x:v>-1.6623820384496213</x:v>
      </x:c>
      <x:c r="AQ39" s="246" t="n">
        <x:f>O39-$B$4*AH39</x:f>
        <x:v>0.929116047925541</x:v>
      </x:c>
      <x:c r="AR39" s="182" t="n">
        <x:f>IF(U39&gt;=$B$5,1,0)</x:f>
        <x:v>0</x:v>
      </x:c>
      <x:c r="AS39" s="182" t="n">
        <x:f>IF(AR39=F39,1,0)</x:f>
        <x:v>0</x:v>
      </x:c>
      <x:c r="AT39" s="252" t="n">
        <x:f>ABS(F39-U39)</x:f>
        <x:v>0.543154288001478</x:v>
      </x:c>
    </x:row>
    <x:row r="40">
      <x:c r="A40" s="114" t="n">
        <x:v>24</x:v>
      </x:c>
      <x:c r="B40" s="114" t="n">
        <x:v>6</x:v>
      </x:c>
      <x:c r="C40" s="114" t="n">
        <x:v>4</x:v>
      </x:c>
      <x:c r="D40" s="168" t="n">
        <x:f>$I$8</x:f>
        <x:v>1</x:v>
      </x:c>
      <x:c r="E40" s="168" t="n">
        <x:f>$J$8</x:f>
        <x:v>1</x:v>
      </x:c>
      <x:c r="F40" s="168" t="n">
        <x:f>$K$8</x:f>
        <x:v>0</x:v>
      </x:c>
      <x:c r="G40" s="242" t="n">
        <x:f>AI39</x:f>
        <x:v>1.0747998493178108</x:v>
      </x:c>
      <x:c r="H40" s="242" t="n">
        <x:f>AJ39</x:f>
        <x:v>-1.2704106728123943</x:v>
      </x:c>
      <x:c r="I40" s="242" t="n">
        <x:f>AK39</x:f>
        <x:v>-1.160208829732193</x:v>
      </x:c>
      <x:c r="J40" s="242" t="n">
        <x:f>AL39</x:f>
        <x:v>0.48715956269925176</x:v>
      </x:c>
      <x:c r="K40" s="242" t="n">
        <x:f>AM39</x:f>
        <x:v>-1.7741693587880525</x:v>
      </x:c>
      <x:c r="L40" s="242" t="n">
        <x:f>AN39</x:f>
        <x:v>1.0945834755870334</x:v>
      </x:c>
      <x:c r="M40" s="242" t="n">
        <x:f>AO39</x:f>
        <x:v>1.1954698592178274</x:v>
      </x:c>
      <x:c r="N40" s="242" t="n">
        <x:f>AP39</x:f>
        <x:v>-1.6623820384496213</x:v>
      </x:c>
      <x:c r="O40" s="242" t="n">
        <x:f>AQ39</x:f>
        <x:v>0.929116047925541</x:v>
      </x:c>
      <x:c r="P40" s="243" t="n">
        <x:f>D40*G40+E40*H40+I40</x:f>
        <x:v>-1.3558196532267766</x:v>
      </x:c>
      <x:c r="Q40" s="243" t="n">
        <x:f>1/(1+EXP(-P40))</x:f>
        <x:v>0.2049205582277821</x:v>
      </x:c>
      <x:c r="R40" s="243" t="n">
        <x:f>D40*J40+E40*K40+L40</x:f>
        <x:v>-0.19242632050176733</x:v>
      </x:c>
      <x:c r="S40" s="243" t="n">
        <x:f>1/(1+EXP(-R40))</x:f>
        <x:v>0.4520413127077893</x:v>
      </x:c>
      <x:c r="T40" s="243" t="n">
        <x:f>Q40*M40+S40*N40+O40</x:f>
        <x:v>0.42262703993832884</x:v>
      </x:c>
      <x:c r="U40" s="243" t="n">
        <x:f>1/(1+EXP(-T40))</x:f>
        <x:v>0.6041117062384622</x:v>
      </x:c>
      <x:c r="V40" s="243" t="n">
        <x:f>0.5*(F40-U40)^2</x:f>
        <x:v>0.18247547680717305</x:v>
      </x:c>
      <x:c r="W40" s="244" t="n">
        <x:f>(U40-F40)*U40*(1-U40)</x:f>
        <x:v>0.1444798103330296</x:v>
      </x:c>
      <x:c r="X40" s="244" t="n">
        <x:f>W40*M40*Q40*(1-Q40)</x:f>
        <x:v>0.028141150460136096</x:v>
      </x:c>
      <x:c r="Y40" s="244" t="n">
        <x:f>W40*N40*S40*(1-S40)</x:f>
        <x:v>-0.05949273635706513</x:v>
      </x:c>
      <x:c r="Z40" s="245" t="n">
        <x:f>X40*D40</x:f>
        <x:v>0.028141150460136096</x:v>
      </x:c>
      <x:c r="AA40" s="245" t="n">
        <x:f>X40*E40</x:f>
        <x:v>0.028141150460136096</x:v>
      </x:c>
      <x:c r="AB40" s="245" t="n">
        <x:f>X40</x:f>
        <x:v>0.028141150460136096</x:v>
      </x:c>
      <x:c r="AC40" s="245" t="n">
        <x:f>Y40*D40</x:f>
        <x:v>-0.05949273635706513</x:v>
      </x:c>
      <x:c r="AD40" s="245" t="n">
        <x:f>Y40*E40</x:f>
        <x:v>-0.05949273635706513</x:v>
      </x:c>
      <x:c r="AE40" s="245" t="n">
        <x:f>Y40</x:f>
        <x:v>-0.05949273635706513</x:v>
      </x:c>
      <x:c r="AF40" s="245" t="n">
        <x:f>W40*Q40</x:f>
        <x:v>0.029606883386088505</x:v>
      </x:c>
      <x:c r="AG40" s="245" t="n">
        <x:f>W40*S40</x:f>
        <x:v>0.06531084312271512</x:v>
      </x:c>
      <x:c r="AH40" s="245" t="n">
        <x:f>W40</x:f>
        <x:v>0.1444798103330296</x:v>
      </x:c>
      <x:c r="AI40" s="246" t="n">
        <x:f>G40-$B$4*Z40</x:f>
        <x:v>1.0466586988576747</x:v>
      </x:c>
      <x:c r="AJ40" s="246" t="n">
        <x:f>H40-$B$4*AA40</x:f>
        <x:v>-1.2985518232725304</x:v>
      </x:c>
      <x:c r="AK40" s="246" t="n">
        <x:f>I40-$B$4*AB40</x:f>
        <x:v>-1.1883499801923292</x:v>
      </x:c>
      <x:c r="AL40" s="246" t="n">
        <x:f>J40-$B$4*AC40</x:f>
        <x:v>0.5466522990563168</x:v>
      </x:c>
      <x:c r="AM40" s="246" t="n">
        <x:f>K40-$B$4*AD40</x:f>
        <x:v>-1.7146766224309873</x:v>
      </x:c>
      <x:c r="AN40" s="246" t="n">
        <x:f>L40-$B$4*AE40</x:f>
        <x:v>1.1540762119440986</x:v>
      </x:c>
      <x:c r="AO40" s="246" t="n">
        <x:f>M40-$B$4*AF40</x:f>
        <x:v>1.165862975831739</x:v>
      </x:c>
      <x:c r="AP40" s="246" t="n">
        <x:f>N40-$B$4*AG40</x:f>
        <x:v>-1.7276928815723365</x:v>
      </x:c>
      <x:c r="AQ40" s="246" t="n">
        <x:f>O40-$B$4*AH40</x:f>
        <x:v>0.7846362375925114</x:v>
      </x:c>
      <x:c r="AR40" s="182" t="n">
        <x:f>IF(U40&gt;=$B$5,1,0)</x:f>
        <x:v>1</x:v>
      </x:c>
      <x:c r="AS40" s="182" t="n">
        <x:f>IF(AR40=F40,1,0)</x:f>
        <x:v>0</x:v>
      </x:c>
      <x:c r="AT40" s="252" t="n">
        <x:f>ABS(F40-U40)</x:f>
        <x:v>0.6041117062384622</x:v>
      </x:c>
    </x:row>
    <x:row r="41">
      <x:c r="A41" s="114" t="n">
        <x:v>25</x:v>
      </x:c>
      <x:c r="B41" s="114" t="n">
        <x:v>7</x:v>
      </x:c>
      <x:c r="C41" s="114" t="n">
        <x:v>1</x:v>
      </x:c>
      <x:c r="D41" s="168" t="n">
        <x:f>$I$5</x:f>
        <x:v>0</x:v>
      </x:c>
      <x:c r="E41" s="168" t="n">
        <x:f>$J$5</x:f>
        <x:v>0</x:v>
      </x:c>
      <x:c r="F41" s="168" t="n">
        <x:f>$K$5</x:f>
        <x:v>0</x:v>
      </x:c>
      <x:c r="G41" s="242" t="n">
        <x:f>AI40</x:f>
        <x:v>1.0466586988576747</x:v>
      </x:c>
      <x:c r="H41" s="242" t="n">
        <x:f>AJ40</x:f>
        <x:v>-1.2985518232725304</x:v>
      </x:c>
      <x:c r="I41" s="242" t="n">
        <x:f>AK40</x:f>
        <x:v>-1.1883499801923292</x:v>
      </x:c>
      <x:c r="J41" s="242" t="n">
        <x:f>AL40</x:f>
        <x:v>0.5466522990563168</x:v>
      </x:c>
      <x:c r="K41" s="242" t="n">
        <x:f>AM40</x:f>
        <x:v>-1.7146766224309873</x:v>
      </x:c>
      <x:c r="L41" s="242" t="n">
        <x:f>AN40</x:f>
        <x:v>1.1540762119440986</x:v>
      </x:c>
      <x:c r="M41" s="242" t="n">
        <x:f>AO40</x:f>
        <x:v>1.165862975831739</x:v>
      </x:c>
      <x:c r="N41" s="242" t="n">
        <x:f>AP40</x:f>
        <x:v>-1.7276928815723365</x:v>
      </x:c>
      <x:c r="O41" s="242" t="n">
        <x:f>AQ40</x:f>
        <x:v>0.7846362375925114</x:v>
      </x:c>
      <x:c r="P41" s="243" t="n">
        <x:f>D41*G41+E41*H41+I41</x:f>
        <x:v>-1.1883499801923292</x:v>
      </x:c>
      <x:c r="Q41" s="243" t="n">
        <x:f>1/(1+EXP(-P41))</x:f>
        <x:v>0.23355417037576748</x:v>
      </x:c>
      <x:c r="R41" s="243" t="n">
        <x:f>D41*J41+E41*K41+L41</x:f>
        <x:v>1.1540762119440986</x:v>
      </x:c>
      <x:c r="S41" s="243" t="n">
        <x:f>1/(1+EXP(-R41))</x:f>
        <x:v>0.7602546659244164</x:v>
      </x:c>
      <x:c r="T41" s="243" t="n">
        <x:f>Q41*M41+S41*N41+O41</x:f>
        <x:v>-0.25655817681505233</x:v>
      </x:c>
      <x:c r="U41" s="243" t="n">
        <x:f>1/(1+EXP(-T41))</x:f>
        <x:v>0.436209972001556</x:v>
      </x:c>
      <x:c r="V41" s="243" t="n">
        <x:f>0.5*(F41-U41)^2</x:f>
        <x:v>0.09513956983679912</x:v>
      </x:c>
      <x:c r="W41" s="244" t="n">
        <x:f>(U41-F41)*U41*(1-U41)</x:f>
        <x:v>0.1072774814840978</x:v>
      </x:c>
      <x:c r="X41" s="244" t="n">
        <x:f>W41*M41*Q41*(1-Q41)</x:f>
        <x:v>0.022388508994157414</x:v>
      </x:c>
      <x:c r="Y41" s="244" t="n">
        <x:f>W41*N41*S41*(1-S41)</x:f>
        <x:v>-0.03378192325531103</x:v>
      </x:c>
      <x:c r="Z41" s="245" t="n">
        <x:f>X41*D41</x:f>
        <x:v>0</x:v>
      </x:c>
      <x:c r="AA41" s="245" t="n">
        <x:f>X41*E41</x:f>
        <x:v>0</x:v>
      </x:c>
      <x:c r="AB41" s="245" t="n">
        <x:f>X41</x:f>
        <x:v>0.022388508994157414</x:v>
      </x:c>
      <x:c r="AC41" s="245" t="n">
        <x:f>Y41*D41</x:f>
        <x:v>0</x:v>
      </x:c>
      <x:c r="AD41" s="245" t="n">
        <x:f>Y41*E41</x:f>
        <x:v>0</x:v>
      </x:c>
      <x:c r="AE41" s="245" t="n">
        <x:f>Y41</x:f>
        <x:v>-0.03378192325531103</x:v>
      </x:c>
      <x:c r="AF41" s="245" t="n">
        <x:f>W41*Q41</x:f>
        <x:v>0.02505510318802022</x:v>
      </x:c>
      <x:c r="AG41" s="245" t="n">
        <x:f>W41*S41</x:f>
        <x:v>0.08155820584690554</x:v>
      </x:c>
      <x:c r="AH41" s="245" t="n">
        <x:f>W41</x:f>
        <x:v>0.1072774814840978</x:v>
      </x:c>
      <x:c r="AI41" s="246" t="n">
        <x:f>G41-$B$4*Z41</x:f>
        <x:v>1.0466586988576747</x:v>
      </x:c>
      <x:c r="AJ41" s="246" t="n">
        <x:f>H41-$B$4*AA41</x:f>
        <x:v>-1.2985518232725304</x:v>
      </x:c>
      <x:c r="AK41" s="246" t="n">
        <x:f>I41-$B$4*AB41</x:f>
        <x:v>-1.2107384891864865</x:v>
      </x:c>
      <x:c r="AL41" s="246" t="n">
        <x:f>J41-$B$4*AC41</x:f>
        <x:v>0.5466522990563168</x:v>
      </x:c>
      <x:c r="AM41" s="246" t="n">
        <x:f>K41-$B$4*AD41</x:f>
        <x:v>-1.7146766224309873</x:v>
      </x:c>
      <x:c r="AN41" s="246" t="n">
        <x:f>L41-$B$4*AE41</x:f>
        <x:v>1.1878581351994095</x:v>
      </x:c>
      <x:c r="AO41" s="246" t="n">
        <x:f>M41-$B$4*AF41</x:f>
        <x:v>1.1408078726437187</x:v>
      </x:c>
      <x:c r="AP41" s="246" t="n">
        <x:f>N41-$B$4*AG41</x:f>
        <x:v>-1.809251087419242</x:v>
      </x:c>
      <x:c r="AQ41" s="246" t="n">
        <x:f>O41-$B$4*AH41</x:f>
        <x:v>0.6773587561084137</x:v>
      </x:c>
      <x:c r="AR41" s="182" t="n">
        <x:f>IF(U41&gt;=$B$5,1,0)</x:f>
        <x:v>0</x:v>
      </x:c>
      <x:c r="AS41" s="182" t="n">
        <x:f>IF(AR41=F41,1,0)</x:f>
        <x:v>1</x:v>
      </x:c>
      <x:c r="AT41" s="252" t="n">
        <x:f>ABS(F41-U41)</x:f>
        <x:v>0.436209972001556</x:v>
      </x:c>
    </x:row>
    <x:row r="42">
      <x:c r="A42" s="114" t="n">
        <x:v>26</x:v>
      </x:c>
      <x:c r="B42" s="114" t="n">
        <x:v>7</x:v>
      </x:c>
      <x:c r="C42" s="114" t="n">
        <x:v>2</x:v>
      </x:c>
      <x:c r="D42" s="168" t="n">
        <x:f>$I$6</x:f>
        <x:v>0</x:v>
      </x:c>
      <x:c r="E42" s="168" t="n">
        <x:f>$J$6</x:f>
        <x:v>1</x:v>
      </x:c>
      <x:c r="F42" s="168" t="n">
        <x:f>$K$6</x:f>
        <x:v>1</x:v>
      </x:c>
      <x:c r="G42" s="242" t="n">
        <x:f>AI41</x:f>
        <x:v>1.0466586988576747</x:v>
      </x:c>
      <x:c r="H42" s="242" t="n">
        <x:f>AJ41</x:f>
        <x:v>-1.2985518232725304</x:v>
      </x:c>
      <x:c r="I42" s="242" t="n">
        <x:f>AK41</x:f>
        <x:v>-1.2107384891864865</x:v>
      </x:c>
      <x:c r="J42" s="242" t="n">
        <x:f>AL41</x:f>
        <x:v>0.5466522990563168</x:v>
      </x:c>
      <x:c r="K42" s="242" t="n">
        <x:f>AM41</x:f>
        <x:v>-1.7146766224309873</x:v>
      </x:c>
      <x:c r="L42" s="242" t="n">
        <x:f>AN41</x:f>
        <x:v>1.1878581351994095</x:v>
      </x:c>
      <x:c r="M42" s="242" t="n">
        <x:f>AO41</x:f>
        <x:v>1.1408078726437187</x:v>
      </x:c>
      <x:c r="N42" s="242" t="n">
        <x:f>AP41</x:f>
        <x:v>-1.809251087419242</x:v>
      </x:c>
      <x:c r="O42" s="242" t="n">
        <x:f>AQ41</x:f>
        <x:v>0.6773587561084137</x:v>
      </x:c>
      <x:c r="P42" s="243" t="n">
        <x:f>D42*G42+E42*H42+I42</x:f>
        <x:v>-2.509290312459017</x:v>
      </x:c>
      <x:c r="Q42" s="243" t="n">
        <x:f>1/(1+EXP(-P42))</x:f>
        <x:v>0.07520945549656716</x:v>
      </x:c>
      <x:c r="R42" s="243" t="n">
        <x:f>D42*J42+E42*K42+L42</x:f>
        <x:v>-0.5268184872315778</x:v>
      </x:c>
      <x:c r="S42" s="243" t="n">
        <x:f>1/(1+EXP(-R42))</x:f>
        <x:v>0.3712592305586872</x:v>
      </x:c>
      <x:c r="T42" s="243" t="n">
        <x:f>Q42*M42+S42*N42+O42</x:f>
        <x:v>0.09145712843340892</x:v>
      </x:c>
      <x:c r="U42" s="243" t="n">
        <x:f>1/(1+EXP(-T42))</x:f>
        <x:v>0.5228483582487282</x:v>
      </x:c>
      <x:c r="V42" s="243" t="n">
        <x:f>0.5*(F42-U42)^2</x:f>
        <x:v>0.113836844612967</x:v>
      </x:c>
      <x:c r="W42" s="244" t="n">
        <x:f>(U42-F42)*U42*(1-U42)</x:f>
        <x:v>-0.11903881462821075</x:v>
      </x:c>
      <x:c r="X42" s="244" t="n">
        <x:f>W42*M42*Q42*(1-Q42)</x:f>
        <x:v>-0.009445325485320242</x:v>
      </x:c>
      <x:c r="Y42" s="244" t="n">
        <x:f>W42*N42*S42*(1-S42)</x:f>
        <x:v>0.05027317551372274</x:v>
      </x:c>
      <x:c r="Z42" s="245" t="n">
        <x:f>X42*D42</x:f>
        <x:v>0</x:v>
      </x:c>
      <x:c r="AA42" s="245" t="n">
        <x:f>X42*E42</x:f>
        <x:v>-0.009445325485320242</x:v>
      </x:c>
      <x:c r="AB42" s="245" t="n">
        <x:f>X42</x:f>
        <x:v>-0.009445325485320242</x:v>
      </x:c>
      <x:c r="AC42" s="245" t="n">
        <x:f>Y42*D42</x:f>
        <x:v>0</x:v>
      </x:c>
      <x:c r="AD42" s="245" t="n">
        <x:f>Y42*E42</x:f>
        <x:v>0.05027317551372274</x:v>
      </x:c>
      <x:c r="AE42" s="245" t="n">
        <x:f>Y42</x:f>
        <x:v>0.05027317551372274</x:v>
      </x:c>
      <x:c r="AF42" s="245" t="n">
        <x:f>W42*Q42</x:f>
        <x:v>-0.008952844431144524</x:v>
      </x:c>
      <x:c r="AG42" s="245" t="n">
        <x:f>W42*S42</x:f>
        <x:v>-0.044194258725487726</x:v>
      </x:c>
      <x:c r="AH42" s="245" t="n">
        <x:f>W42</x:f>
        <x:v>-0.11903881462821075</x:v>
      </x:c>
      <x:c r="AI42" s="246" t="n">
        <x:f>G42-$B$4*Z42</x:f>
        <x:v>1.0466586988576747</x:v>
      </x:c>
      <x:c r="AJ42" s="246" t="n">
        <x:f>H42-$B$4*AA42</x:f>
        <x:v>-1.2891064977872102</x:v>
      </x:c>
      <x:c r="AK42" s="246" t="n">
        <x:f>I42-$B$4*AB42</x:f>
        <x:v>-1.2012931637011663</x:v>
      </x:c>
      <x:c r="AL42" s="246" t="n">
        <x:f>J42-$B$4*AC42</x:f>
        <x:v>0.5466522990563168</x:v>
      </x:c>
      <x:c r="AM42" s="246" t="n">
        <x:f>K42-$B$4*AD42</x:f>
        <x:v>-1.76494979794471</x:v>
      </x:c>
      <x:c r="AN42" s="246" t="n">
        <x:f>L42-$B$4*AE42</x:f>
        <x:v>1.1375849596856868</x:v>
      </x:c>
      <x:c r="AO42" s="246" t="n">
        <x:f>M42-$B$4*AF42</x:f>
        <x:v>1.1497607170748632</x:v>
      </x:c>
      <x:c r="AP42" s="246" t="n">
        <x:f>N42-$B$4*AG42</x:f>
        <x:v>-1.7650568286937542</x:v>
      </x:c>
      <x:c r="AQ42" s="246" t="n">
        <x:f>O42-$B$4*AH42</x:f>
        <x:v>0.7963975707366244</x:v>
      </x:c>
      <x:c r="AR42" s="182" t="n">
        <x:f>IF(U42&gt;=$B$5,1,0)</x:f>
        <x:v>1</x:v>
      </x:c>
      <x:c r="AS42" s="182" t="n">
        <x:f>IF(AR42=F42,1,0)</x:f>
        <x:v>1</x:v>
      </x:c>
      <x:c r="AT42" s="252" t="n">
        <x:f>ABS(F42-U42)</x:f>
        <x:v>0.4771516417512718</x:v>
      </x:c>
    </x:row>
    <x:row r="43">
      <x:c r="A43" s="114" t="n">
        <x:v>27</x:v>
      </x:c>
      <x:c r="B43" s="114" t="n">
        <x:v>7</x:v>
      </x:c>
      <x:c r="C43" s="114" t="n">
        <x:v>3</x:v>
      </x:c>
      <x:c r="D43" s="168" t="n">
        <x:f>$I$7</x:f>
        <x:v>1</x:v>
      </x:c>
      <x:c r="E43" s="168" t="n">
        <x:f>$J$7</x:f>
        <x:v>0</x:v>
      </x:c>
      <x:c r="F43" s="168" t="n">
        <x:f>$K$7</x:f>
        <x:v>1</x:v>
      </x:c>
      <x:c r="G43" s="242" t="n">
        <x:f>AI42</x:f>
        <x:v>1.0466586988576747</x:v>
      </x:c>
      <x:c r="H43" s="242" t="n">
        <x:f>AJ42</x:f>
        <x:v>-1.2891064977872102</x:v>
      </x:c>
      <x:c r="I43" s="242" t="n">
        <x:f>AK42</x:f>
        <x:v>-1.2012931637011663</x:v>
      </x:c>
      <x:c r="J43" s="242" t="n">
        <x:f>AL42</x:f>
        <x:v>0.5466522990563168</x:v>
      </x:c>
      <x:c r="K43" s="242" t="n">
        <x:f>AM42</x:f>
        <x:v>-1.76494979794471</x:v>
      </x:c>
      <x:c r="L43" s="242" t="n">
        <x:f>AN42</x:f>
        <x:v>1.1375849596856868</x:v>
      </x:c>
      <x:c r="M43" s="242" t="n">
        <x:f>AO42</x:f>
        <x:v>1.1497607170748632</x:v>
      </x:c>
      <x:c r="N43" s="242" t="n">
        <x:f>AP42</x:f>
        <x:v>-1.7650568286937542</x:v>
      </x:c>
      <x:c r="O43" s="242" t="n">
        <x:f>AQ42</x:f>
        <x:v>0.7963975707366244</x:v>
      </x:c>
      <x:c r="P43" s="243" t="n">
        <x:f>D43*G43+E43*H43+I43</x:f>
        <x:v>-0.15463446484349164</x:v>
      </x:c>
      <x:c r="Q43" s="243" t="n">
        <x:f>1/(1+EXP(-P43))</x:f>
        <x:v>0.46141823318215913</x:v>
      </x:c>
      <x:c r="R43" s="243" t="n">
        <x:f>D43*J43+E43*K43+L43</x:f>
        <x:v>1.6842372587420038</x:v>
      </x:c>
      <x:c r="S43" s="243" t="n">
        <x:f>1/(1+EXP(-R43))</x:f>
        <x:v>0.8434647991189809</x:v>
      </x:c>
      <x:c r="T43" s="243" t="n">
        <x:f>Q43*M43+S43*N43+O43</x:f>
        <x:v>-0.16184517405620258</x:v>
      </x:c>
      <x:c r="U43" s="243" t="n">
        <x:f>1/(1+EXP(-T43))</x:f>
        <x:v>0.45962679554327124</x:v>
      </x:c>
      <x:c r="V43" s="243" t="n">
        <x:f>0.5*(F43-U43)^2</x:f>
        <x:v>0.1460016000474168</x:v>
      </x:c>
      <x:c r="W43" s="244" t="n">
        <x:f>(U43-F43)*U43*(1-U43)</x:f>
        <x:v>-0.134212495147969</x:v>
      </x:c>
      <x:c r="X43" s="244" t="n">
        <x:f>W43*M43*Q43*(1-Q43)</x:f>
        <x:v>-0.038348361737363355</x:v>
      </x:c>
      <x:c r="Y43" s="244" t="n">
        <x:f>W43*N43*S43*(1-S43)</x:f>
        <x:v>0.03127739830121349</x:v>
      </x:c>
      <x:c r="Z43" s="245" t="n">
        <x:f>X43*D43</x:f>
        <x:v>-0.038348361737363355</x:v>
      </x:c>
      <x:c r="AA43" s="245" t="n">
        <x:f>X43*E43</x:f>
        <x:v>0</x:v>
      </x:c>
      <x:c r="AB43" s="245" t="n">
        <x:f>X43</x:f>
        <x:v>-0.038348361737363355</x:v>
      </x:c>
      <x:c r="AC43" s="245" t="n">
        <x:f>Y43*D43</x:f>
        <x:v>0.03127739830121349</x:v>
      </x:c>
      <x:c r="AD43" s="245" t="n">
        <x:f>Y43*E43</x:f>
        <x:v>0</x:v>
      </x:c>
      <x:c r="AE43" s="245" t="n">
        <x:f>Y43</x:f>
        <x:v>0.03127739830121349</x:v>
      </x:c>
      <x:c r="AF43" s="245" t="n">
        <x:f>W43*Q43</x:f>
        <x:v>-0.061928092382144966</x:v>
      </x:c>
      <x:c r="AG43" s="245" t="n">
        <x:f>W43*S43</x:f>
        <x:v>-0.11320351525923888</x:v>
      </x:c>
      <x:c r="AH43" s="245" t="n">
        <x:f>W43</x:f>
        <x:v>-0.134212495147969</x:v>
      </x:c>
      <x:c r="AI43" s="246" t="n">
        <x:f>G43-$B$4*Z43</x:f>
        <x:v>1.0850070605950382</x:v>
      </x:c>
      <x:c r="AJ43" s="246" t="n">
        <x:f>H43-$B$4*AA43</x:f>
        <x:v>-1.2891064977872102</x:v>
      </x:c>
      <x:c r="AK43" s="246" t="n">
        <x:f>I43-$B$4*AB43</x:f>
        <x:v>-1.162944801963803</x:v>
      </x:c>
      <x:c r="AL43" s="246" t="n">
        <x:f>J43-$B$4*AC43</x:f>
        <x:v>0.5153749007551034</x:v>
      </x:c>
      <x:c r="AM43" s="246" t="n">
        <x:f>K43-$B$4*AD43</x:f>
        <x:v>-1.76494979794471</x:v>
      </x:c>
      <x:c r="AN43" s="246" t="n">
        <x:f>L43-$B$4*AE43</x:f>
        <x:v>1.1063075613844733</x:v>
      </x:c>
      <x:c r="AO43" s="246" t="n">
        <x:f>M43-$B$4*AF43</x:f>
        <x:v>1.2116888094570082</x:v>
      </x:c>
      <x:c r="AP43" s="246" t="n">
        <x:f>N43-$B$4*AG43</x:f>
        <x:v>-1.6518533134345152</x:v>
      </x:c>
      <x:c r="AQ43" s="246" t="n">
        <x:f>O43-$B$4*AH43</x:f>
        <x:v>0.9306100658845935</x:v>
      </x:c>
      <x:c r="AR43" s="182" t="n">
        <x:f>IF(U43&gt;=$B$5,1,0)</x:f>
        <x:v>0</x:v>
      </x:c>
      <x:c r="AS43" s="182" t="n">
        <x:f>IF(AR43=F43,1,0)</x:f>
        <x:v>0</x:v>
      </x:c>
      <x:c r="AT43" s="252" t="n">
        <x:f>ABS(F43-U43)</x:f>
        <x:v>0.5403732044567288</x:v>
      </x:c>
    </x:row>
    <x:row r="44">
      <x:c r="A44" s="114" t="n">
        <x:v>28</x:v>
      </x:c>
      <x:c r="B44" s="114" t="n">
        <x:v>7</x:v>
      </x:c>
      <x:c r="C44" s="114" t="n">
        <x:v>4</x:v>
      </x:c>
      <x:c r="D44" s="168" t="n">
        <x:f>$I$8</x:f>
        <x:v>1</x:v>
      </x:c>
      <x:c r="E44" s="168" t="n">
        <x:f>$J$8</x:f>
        <x:v>1</x:v>
      </x:c>
      <x:c r="F44" s="168" t="n">
        <x:f>$K$8</x:f>
        <x:v>0</x:v>
      </x:c>
      <x:c r="G44" s="242" t="n">
        <x:f>AI43</x:f>
        <x:v>1.0850070605950382</x:v>
      </x:c>
      <x:c r="H44" s="242" t="n">
        <x:f>AJ43</x:f>
        <x:v>-1.2891064977872102</x:v>
      </x:c>
      <x:c r="I44" s="242" t="n">
        <x:f>AK43</x:f>
        <x:v>-1.162944801963803</x:v>
      </x:c>
      <x:c r="J44" s="242" t="n">
        <x:f>AL43</x:f>
        <x:v>0.5153749007551034</x:v>
      </x:c>
      <x:c r="K44" s="242" t="n">
        <x:f>AM43</x:f>
        <x:v>-1.76494979794471</x:v>
      </x:c>
      <x:c r="L44" s="242" t="n">
        <x:f>AN43</x:f>
        <x:v>1.1063075613844733</x:v>
      </x:c>
      <x:c r="M44" s="242" t="n">
        <x:f>AO43</x:f>
        <x:v>1.2116888094570082</x:v>
      </x:c>
      <x:c r="N44" s="242" t="n">
        <x:f>AP43</x:f>
        <x:v>-1.6518533134345152</x:v>
      </x:c>
      <x:c r="O44" s="242" t="n">
        <x:f>AQ43</x:f>
        <x:v>0.9306100658845935</x:v>
      </x:c>
      <x:c r="P44" s="243" t="n">
        <x:f>D44*G44+E44*H44+I44</x:f>
        <x:v>-1.367044239155975</x:v>
      </x:c>
      <x:c r="Q44" s="243" t="n">
        <x:f>1/(1+EXP(-P44))</x:f>
        <x:v>0.2030978138407451</x:v>
      </x:c>
      <x:c r="R44" s="243" t="n">
        <x:f>D44*J44+E44*K44+L44</x:f>
        <x:v>-0.1432673358051333</x:v>
      </x:c>
      <x:c r="S44" s="243" t="n">
        <x:f>1/(1+EXP(-R44))</x:f>
        <x:v>0.4642443038533822</x:v>
      </x:c>
      <x:c r="T44" s="243" t="n">
        <x:f>Q44*M44+S44*N44+O44</x:f>
        <x:v>0.4098379225772977</x:v>
      </x:c>
      <x:c r="U44" s="243" t="n">
        <x:f>1/(1+EXP(-T44))</x:f>
        <x:v>0.6010490150861955</x:v>
      </x:c>
      <x:c r="V44" s="243" t="n">
        <x:f>0.5*(F44-U44)^2</x:f>
        <x:v>0.18062995926804282</x:v>
      </x:c>
      <x:c r="W44" s="244" t="n">
        <x:f>(U44-F44)*U44*(1-U44)</x:f>
        <x:v>0.14412500030985215</x:v>
      </x:c>
      <x:c r="X44" s="244" t="n">
        <x:f>W44*M44*Q44*(1-Q44)</x:f>
        <x:v>0.028264459514936623</x:v>
      </x:c>
      <x:c r="Y44" s="244" t="n">
        <x:f>W44*N44*S44*(1-S44)</x:f>
        <x:v>-0.05921397022593215</x:v>
      </x:c>
      <x:c r="Z44" s="245" t="n">
        <x:f>X44*D44</x:f>
        <x:v>0.028264459514936623</x:v>
      </x:c>
      <x:c r="AA44" s="245" t="n">
        <x:f>X44*E44</x:f>
        <x:v>0.028264459514936623</x:v>
      </x:c>
      <x:c r="AB44" s="245" t="n">
        <x:f>X44</x:f>
        <x:v>0.028264459514936623</x:v>
      </x:c>
      <x:c r="AC44" s="245" t="n">
        <x:f>Y44*D44</x:f>
        <x:v>-0.05921397022593215</x:v>
      </x:c>
      <x:c r="AD44" s="245" t="n">
        <x:f>Y44*E44</x:f>
        <x:v>-0.05921397022593215</x:v>
      </x:c>
      <x:c r="AE44" s="245" t="n">
        <x:f>Y44</x:f>
        <x:v>-0.05921397022593215</x:v>
      </x:c>
      <x:c r="AF44" s="245" t="n">
        <x:f>W44*Q44</x:f>
        <x:v>0.02927147248272768</x:v>
      </x:c>
      <x:c r="AG44" s="245" t="n">
        <x:f>W44*S44</x:f>
        <x:v>0.06690921043671581</x:v>
      </x:c>
      <x:c r="AH44" s="245" t="n">
        <x:f>W44</x:f>
        <x:v>0.14412500030985215</x:v>
      </x:c>
      <x:c r="AI44" s="246" t="n">
        <x:f>G44-$B$4*Z44</x:f>
        <x:v>1.0567426010801015</x:v>
      </x:c>
      <x:c r="AJ44" s="246" t="n">
        <x:f>H44-$B$4*AA44</x:f>
        <x:v>-1.3173709573021468</x:v>
      </x:c>
      <x:c r="AK44" s="246" t="n">
        <x:f>I44-$B$4*AB44</x:f>
        <x:v>-1.1912092614787395</x:v>
      </x:c>
      <x:c r="AL44" s="246" t="n">
        <x:f>J44-$B$4*AC44</x:f>
        <x:v>0.5745888709810355</x:v>
      </x:c>
      <x:c r="AM44" s="246" t="n">
        <x:f>K44-$B$4*AD44</x:f>
        <x:v>-1.7057358277187777</x:v>
      </x:c>
      <x:c r="AN44" s="246" t="n">
        <x:f>L44-$B$4*AE44</x:f>
        <x:v>1.1655215316104055</x:v>
      </x:c>
      <x:c r="AO44" s="246" t="n">
        <x:f>M44-$B$4*AF44</x:f>
        <x:v>1.1824173369742805</x:v>
      </x:c>
      <x:c r="AP44" s="246" t="n">
        <x:f>N44-$B$4*AG44</x:f>
        <x:v>-1.718762523871231</x:v>
      </x:c>
      <x:c r="AQ44" s="246" t="n">
        <x:f>O44-$B$4*AH44</x:f>
        <x:v>0.7864850655747413</x:v>
      </x:c>
      <x:c r="AR44" s="182" t="n">
        <x:f>IF(U44&gt;=$B$5,1,0)</x:f>
        <x:v>1</x:v>
      </x:c>
      <x:c r="AS44" s="182" t="n">
        <x:f>IF(AR44=F44,1,0)</x:f>
        <x:v>0</x:v>
      </x:c>
      <x:c r="AT44" s="252" t="n">
        <x:f>ABS(F44-U44)</x:f>
        <x:v>0.6010490150861955</x:v>
      </x:c>
    </x:row>
    <x:row r="45">
      <x:c r="A45" s="114" t="n">
        <x:v>29</x:v>
      </x:c>
      <x:c r="B45" s="114" t="n">
        <x:v>8</x:v>
      </x:c>
      <x:c r="C45" s="114" t="n">
        <x:v>1</x:v>
      </x:c>
      <x:c r="D45" s="168" t="n">
        <x:f>$I$5</x:f>
        <x:v>0</x:v>
      </x:c>
      <x:c r="E45" s="168" t="n">
        <x:f>$J$5</x:f>
        <x:v>0</x:v>
      </x:c>
      <x:c r="F45" s="168" t="n">
        <x:f>$K$5</x:f>
        <x:v>0</x:v>
      </x:c>
      <x:c r="G45" s="242" t="n">
        <x:f>AI44</x:f>
        <x:v>1.0567426010801015</x:v>
      </x:c>
      <x:c r="H45" s="242" t="n">
        <x:f>AJ44</x:f>
        <x:v>-1.3173709573021468</x:v>
      </x:c>
      <x:c r="I45" s="242" t="n">
        <x:f>AK44</x:f>
        <x:v>-1.1912092614787395</x:v>
      </x:c>
      <x:c r="J45" s="242" t="n">
        <x:f>AL44</x:f>
        <x:v>0.5745888709810355</x:v>
      </x:c>
      <x:c r="K45" s="242" t="n">
        <x:f>AM44</x:f>
        <x:v>-1.7057358277187777</x:v>
      </x:c>
      <x:c r="L45" s="242" t="n">
        <x:f>AN44</x:f>
        <x:v>1.1655215316104055</x:v>
      </x:c>
      <x:c r="M45" s="242" t="n">
        <x:f>AO44</x:f>
        <x:v>1.1824173369742805</x:v>
      </x:c>
      <x:c r="N45" s="242" t="n">
        <x:f>AP44</x:f>
        <x:v>-1.718762523871231</x:v>
      </x:c>
      <x:c r="O45" s="242" t="n">
        <x:f>AQ44</x:f>
        <x:v>0.7864850655747413</x:v>
      </x:c>
      <x:c r="P45" s="243" t="n">
        <x:f>D45*G45+E45*H45+I45</x:f>
        <x:v>-1.1912092614787395</x:v>
      </x:c>
      <x:c r="Q45" s="243" t="n">
        <x:f>1/(1+EXP(-P45))</x:f>
        <x:v>0.2330427300833529</x:v>
      </x:c>
      <x:c r="R45" s="243" t="n">
        <x:f>D45*J45+E45*K45+L45</x:f>
        <x:v>1.1655215316104055</x:v>
      </x:c>
      <x:c r="S45" s="243" t="n">
        <x:f>1/(1+EXP(-R45))</x:f>
        <x:v>0.7623345577542103</x:v>
      </x:c>
      <x:c r="T45" s="243" t="n">
        <x:f>Q45*M45+S45*N45+O45</x:f>
        <x:v>-0.24823323863876978</x:v>
      </x:c>
      <x:c r="U45" s="243" t="n">
        <x:f>1/(1+EXP(-T45))</x:f>
        <x:v>0.4382584069632153</x:v>
      </x:c>
      <x:c r="V45" s="243" t="n">
        <x:f>0.5*(F45-U45)^2</x:f>
        <x:v>0.09603521563696761</x:v>
      </x:c>
      <x:c r="W45" s="244" t="n">
        <x:f>(U45-F45)*U45*(1-U45)</x:f>
        <x:v>0.10789395003908264</x:v>
      </x:c>
      <x:c r="X45" s="244" t="n">
        <x:f>W45*M45*Q45*(1-Q45)</x:f>
        <x:v>0.022802087598374588</x:v>
      </x:c>
      <x:c r="Y45" s="244" t="n">
        <x:f>W45*N45*S45*(1-S45)</x:f>
        <x:v>-0.03359886555216967</x:v>
      </x:c>
      <x:c r="Z45" s="245" t="n">
        <x:f>X45*D45</x:f>
        <x:v>0</x:v>
      </x:c>
      <x:c r="AA45" s="245" t="n">
        <x:f>X45*E45</x:f>
        <x:v>0</x:v>
      </x:c>
      <x:c r="AB45" s="245" t="n">
        <x:f>X45</x:f>
        <x:v>0.022802087598374588</x:v>
      </x:c>
      <x:c r="AC45" s="245" t="n">
        <x:f>Y45*D45</x:f>
        <x:v>0</x:v>
      </x:c>
      <x:c r="AD45" s="245" t="n">
        <x:f>Y45*E45</x:f>
        <x:v>0</x:v>
      </x:c>
      <x:c r="AE45" s="245" t="n">
        <x:f>Y45</x:f>
        <x:v>-0.03359886555216967</x:v>
      </x:c>
      <x:c r="AF45" s="245" t="n">
        <x:f>W45*Q45</x:f>
        <x:v>0.025143900676584702</x:v>
      </x:c>
      <x:c r="AG45" s="245" t="n">
        <x:f>W45*S45</x:f>
        <x:v>0.08225128668739894</x:v>
      </x:c>
      <x:c r="AH45" s="245" t="n">
        <x:f>W45</x:f>
        <x:v>0.10789395003908264</x:v>
      </x:c>
      <x:c r="AI45" s="246" t="n">
        <x:f>G45-$B$4*Z45</x:f>
        <x:v>1.0567426010801015</x:v>
      </x:c>
      <x:c r="AJ45" s="246" t="n">
        <x:f>H45-$B$4*AA45</x:f>
        <x:v>-1.3173709573021468</x:v>
      </x:c>
      <x:c r="AK45" s="246" t="n">
        <x:f>I45-$B$4*AB45</x:f>
        <x:v>-1.214011349077114</x:v>
      </x:c>
      <x:c r="AL45" s="246" t="n">
        <x:f>J45-$B$4*AC45</x:f>
        <x:v>0.5745888709810355</x:v>
      </x:c>
      <x:c r="AM45" s="246" t="n">
        <x:f>K45-$B$4*AD45</x:f>
        <x:v>-1.7057358277187777</x:v>
      </x:c>
      <x:c r="AN45" s="246" t="n">
        <x:f>L45-$B$4*AE45</x:f>
        <x:v>1.1991203971625752</x:v>
      </x:c>
      <x:c r="AO45" s="246" t="n">
        <x:f>M45-$B$4*AF45</x:f>
        <x:v>1.1572734362976957</x:v>
      </x:c>
      <x:c r="AP45" s="246" t="n">
        <x:f>N45-$B$4*AG45</x:f>
        <x:v>-1.80101381055863</x:v>
      </x:c>
      <x:c r="AQ45" s="246" t="n">
        <x:f>O45-$B$4*AH45</x:f>
        <x:v>0.6785911155356587</x:v>
      </x:c>
      <x:c r="AR45" s="182" t="n">
        <x:f>IF(U45&gt;=$B$5,1,0)</x:f>
        <x:v>0</x:v>
      </x:c>
      <x:c r="AS45" s="182" t="n">
        <x:f>IF(AR45=F45,1,0)</x:f>
        <x:v>1</x:v>
      </x:c>
      <x:c r="AT45" s="252" t="n">
        <x:f>ABS(F45-U45)</x:f>
        <x:v>0.4382584069632153</x:v>
      </x:c>
    </x:row>
    <x:row r="46">
      <x:c r="A46" s="114" t="n">
        <x:v>30</x:v>
      </x:c>
      <x:c r="B46" s="114" t="n">
        <x:v>8</x:v>
      </x:c>
      <x:c r="C46" s="114" t="n">
        <x:v>2</x:v>
      </x:c>
      <x:c r="D46" s="168" t="n">
        <x:f>$I$6</x:f>
        <x:v>0</x:v>
      </x:c>
      <x:c r="E46" s="168" t="n">
        <x:f>$J$6</x:f>
        <x:v>1</x:v>
      </x:c>
      <x:c r="F46" s="168" t="n">
        <x:f>$K$6</x:f>
        <x:v>1</x:v>
      </x:c>
      <x:c r="G46" s="242" t="n">
        <x:f>AI45</x:f>
        <x:v>1.0567426010801015</x:v>
      </x:c>
      <x:c r="H46" s="242" t="n">
        <x:f>AJ45</x:f>
        <x:v>-1.3173709573021468</x:v>
      </x:c>
      <x:c r="I46" s="242" t="n">
        <x:f>AK45</x:f>
        <x:v>-1.214011349077114</x:v>
      </x:c>
      <x:c r="J46" s="242" t="n">
        <x:f>AL45</x:f>
        <x:v>0.5745888709810355</x:v>
      </x:c>
      <x:c r="K46" s="242" t="n">
        <x:f>AM45</x:f>
        <x:v>-1.7057358277187777</x:v>
      </x:c>
      <x:c r="L46" s="242" t="n">
        <x:f>AN45</x:f>
        <x:v>1.1991203971625752</x:v>
      </x:c>
      <x:c r="M46" s="242" t="n">
        <x:f>AO45</x:f>
        <x:v>1.1572734362976957</x:v>
      </x:c>
      <x:c r="N46" s="242" t="n">
        <x:f>AP45</x:f>
        <x:v>-1.80101381055863</x:v>
      </x:c>
      <x:c r="O46" s="242" t="n">
        <x:f>AQ45</x:f>
        <x:v>0.6785911155356587</x:v>
      </x:c>
      <x:c r="P46" s="243" t="n">
        <x:f>D46*G46+E46*H46+I46</x:f>
        <x:v>-2.531382306379261</x:v>
      </x:c>
      <x:c r="Q46" s="243" t="n">
        <x:f>1/(1+EXP(-P46))</x:f>
        <x:v>0.07368723830333829</x:v>
      </x:c>
      <x:c r="R46" s="243" t="n">
        <x:f>D46*J46+E46*K46+L46</x:f>
        <x:v>-0.5066154305562025</x:v>
      </x:c>
      <x:c r="S46" s="243" t="n">
        <x:f>1/(1+EXP(-R46))</x:f>
        <x:v>0.37598728215626553</x:v>
      </x:c>
      <x:c r="T46" s="243" t="n">
        <x:f>Q46*M46+S46*N46+O46</x:f>
        <x:v>0.08670911126041159</x:v>
      </x:c>
      <x:c r="U46" s="243" t="n">
        <x:f>1/(1+EXP(-T46))</x:f>
        <x:v>0.5216637063551393</x:v>
      </x:c>
      <x:c r="V46" s="243" t="n">
        <x:f>0.5*(F46-U46)^2</x:f>
        <x:v>0.11440280490895122</x:v>
      </x:c>
      <x:c r="W46" s="244" t="n">
        <x:f>(U46-F46)*U46*(1-U46)</x:f>
        <x:v>-0.11935958245245483</x:v>
      </x:c>
      <x:c r="X46" s="244" t="n">
        <x:f>W46*M46*Q46*(1-Q46)</x:f>
        <x:v>-0.009428512969887521</x:v>
      </x:c>
      <x:c r="Y46" s="244" t="n">
        <x:f>W46*N46*S46*(1-S46)</x:f>
        <x:v>0.05043603414406364</x:v>
      </x:c>
      <x:c r="Z46" s="245" t="n">
        <x:f>X46*D46</x:f>
        <x:v>0</x:v>
      </x:c>
      <x:c r="AA46" s="245" t="n">
        <x:f>X46*E46</x:f>
        <x:v>-0.009428512969887521</x:v>
      </x:c>
      <x:c r="AB46" s="245" t="n">
        <x:f>X46</x:f>
        <x:v>-0.009428512969887521</x:v>
      </x:c>
      <x:c r="AC46" s="245" t="n">
        <x:f>Y46*D46</x:f>
        <x:v>0</x:v>
      </x:c>
      <x:c r="AD46" s="245" t="n">
        <x:f>Y46*E46</x:f>
        <x:v>0.05043603414406364</x:v>
      </x:c>
      <x:c r="AE46" s="245" t="n">
        <x:f>Y46</x:f>
        <x:v>0.05043603414406364</x:v>
      </x:c>
      <x:c r="AF46" s="245" t="n">
        <x:f>W46*Q46</x:f>
        <x:v>-0.008795277995960993</x:v>
      </x:c>
      <x:c r="AG46" s="245" t="n">
        <x:f>W46*S46</x:f>
        <x:v>-0.04487768500560518</x:v>
      </x:c>
      <x:c r="AH46" s="245" t="n">
        <x:f>W46</x:f>
        <x:v>-0.11935958245245483</x:v>
      </x:c>
      <x:c r="AI46" s="246" t="n">
        <x:f>G46-$B$4*Z46</x:f>
        <x:v>1.0567426010801015</x:v>
      </x:c>
      <x:c r="AJ46" s="246" t="n">
        <x:f>H46-$B$4*AA46</x:f>
        <x:v>-1.3079424443322594</x:v>
      </x:c>
      <x:c r="AK46" s="246" t="n">
        <x:f>I46-$B$4*AB46</x:f>
        <x:v>-1.2045828361072266</x:v>
      </x:c>
      <x:c r="AL46" s="246" t="n">
        <x:f>J46-$B$4*AC46</x:f>
        <x:v>0.5745888709810355</x:v>
      </x:c>
      <x:c r="AM46" s="246" t="n">
        <x:f>K46-$B$4*AD46</x:f>
        <x:v>-1.7561718618628415</x:v>
      </x:c>
      <x:c r="AN46" s="246" t="n">
        <x:f>L46-$B$4*AE46</x:f>
        <x:v>1.1486843630185115</x:v>
      </x:c>
      <x:c r="AO46" s="246" t="n">
        <x:f>M46-$B$4*AF46</x:f>
        <x:v>1.1660687142936568</x:v>
      </x:c>
      <x:c r="AP46" s="246" t="n">
        <x:f>N46-$B$4*AG46</x:f>
        <x:v>-1.7561361255530248</x:v>
      </x:c>
      <x:c r="AQ46" s="246" t="n">
        <x:f>O46-$B$4*AH46</x:f>
        <x:v>0.7979506979881135</x:v>
      </x:c>
      <x:c r="AR46" s="182" t="n">
        <x:f>IF(U46&gt;=$B$5,1,0)</x:f>
        <x:v>1</x:v>
      </x:c>
      <x:c r="AS46" s="182" t="n">
        <x:f>IF(AR46=F46,1,0)</x:f>
        <x:v>1</x:v>
      </x:c>
      <x:c r="AT46" s="252" t="n">
        <x:f>ABS(F46-U46)</x:f>
        <x:v>0.47833629364486074</x:v>
      </x:c>
    </x:row>
    <x:row r="47">
      <x:c r="A47" s="114" t="n">
        <x:v>31</x:v>
      </x:c>
      <x:c r="B47" s="114" t="n">
        <x:v>8</x:v>
      </x:c>
      <x:c r="C47" s="114" t="n">
        <x:v>3</x:v>
      </x:c>
      <x:c r="D47" s="168" t="n">
        <x:f>$I$7</x:f>
        <x:v>1</x:v>
      </x:c>
      <x:c r="E47" s="168" t="n">
        <x:f>$J$7</x:f>
        <x:v>0</x:v>
      </x:c>
      <x:c r="F47" s="168" t="n">
        <x:f>$K$7</x:f>
        <x:v>1</x:v>
      </x:c>
      <x:c r="G47" s="242" t="n">
        <x:f>AI46</x:f>
        <x:v>1.0567426010801015</x:v>
      </x:c>
      <x:c r="H47" s="242" t="n">
        <x:f>AJ46</x:f>
        <x:v>-1.3079424443322594</x:v>
      </x:c>
      <x:c r="I47" s="242" t="n">
        <x:f>AK46</x:f>
        <x:v>-1.2045828361072266</x:v>
      </x:c>
      <x:c r="J47" s="242" t="n">
        <x:f>AL46</x:f>
        <x:v>0.5745888709810355</x:v>
      </x:c>
      <x:c r="K47" s="242" t="n">
        <x:f>AM46</x:f>
        <x:v>-1.7561718618628415</x:v>
      </x:c>
      <x:c r="L47" s="242" t="n">
        <x:f>AN46</x:f>
        <x:v>1.1486843630185115</x:v>
      </x:c>
      <x:c r="M47" s="242" t="n">
        <x:f>AO46</x:f>
        <x:v>1.1660687142936568</x:v>
      </x:c>
      <x:c r="N47" s="242" t="n">
        <x:f>AP46</x:f>
        <x:v>-1.7561361255530248</x:v>
      </x:c>
      <x:c r="O47" s="242" t="n">
        <x:f>AQ46</x:f>
        <x:v>0.7979506979881135</x:v>
      </x:c>
      <x:c r="P47" s="243" t="n">
        <x:f>D47*G47+E47*H47+I47</x:f>
        <x:v>-0.14784023502712507</x:v>
      </x:c>
      <x:c r="Q47" s="243" t="n">
        <x:f>1/(1+EXP(-P47))</x:f>
        <x:v>0.46310711328199755</x:v>
      </x:c>
      <x:c r="R47" s="243" t="n">
        <x:f>D47*J47+E47*K47+L47</x:f>
        <x:v>1.7232732339995471</x:v>
      </x:c>
      <x:c r="S47" s="243" t="n">
        <x:f>1/(1+EXP(-R47))</x:f>
        <x:v>0.8485499692874094</x:v>
      </x:c>
      <x:c r="T47" s="243" t="n">
        <x:f>Q47*M47+S47*N47+O47</x:f>
        <x:v>-0.1522038412494302</x:v>
      </x:c>
      <x:c r="U47" s="243" t="n">
        <x:f>1/(1+EXP(-T47))</x:f>
        <x:v>0.4620223273224648</x:v>
      </x:c>
      <x:c r="V47" s="243" t="n">
        <x:f>0.5*(F47-U47)^2</x:f>
        <x:v>0.14470998814976857</x:v>
      </x:c>
      <x:c r="W47" s="244" t="n">
        <x:f>(U47-F47)*U47*(1-U47)</x:f>
        <x:v>-0.13371849102352476</x:v>
      </x:c>
      <x:c r="X47" s="244" t="n">
        <x:f>W47*M47*Q47*(1-Q47)</x:f>
        <x:v>-0.038769010103098224</x:v>
      </x:c>
      <x:c r="Y47" s="244" t="n">
        <x:f>W47*N47*S47*(1-S47)</x:f>
        <x:v>0.030178415367292953</x:v>
      </x:c>
      <x:c r="Z47" s="245" t="n">
        <x:f>X47*D47</x:f>
        <x:v>-0.038769010103098224</x:v>
      </x:c>
      <x:c r="AA47" s="245" t="n">
        <x:f>X47*E47</x:f>
        <x:v>0</x:v>
      </x:c>
      <x:c r="AB47" s="245" t="n">
        <x:f>X47</x:f>
        <x:v>-0.038769010103098224</x:v>
      </x:c>
      <x:c r="AC47" s="245" t="n">
        <x:f>Y47*D47</x:f>
        <x:v>0.030178415367292953</x:v>
      </x:c>
      <x:c r="AD47" s="245" t="n">
        <x:f>Y47*E47</x:f>
        <x:v>0</x:v>
      </x:c>
      <x:c r="AE47" s="245" t="n">
        <x:f>Y47</x:f>
        <x:v>0.030178415367292953</x:v>
      </x:c>
      <x:c r="AF47" s="245" t="n">
        <x:f>W47*Q47</x:f>
        <x:v>-0.06192598437032926</x:v>
      </x:c>
      <x:c r="AG47" s="245" t="n">
        <x:f>W47*S47</x:f>
        <x:v>-0.11346682145117067</x:v>
      </x:c>
      <x:c r="AH47" s="245" t="n">
        <x:f>W47</x:f>
        <x:v>-0.13371849102352476</x:v>
      </x:c>
      <x:c r="AI47" s="246" t="n">
        <x:f>G47-$B$4*Z47</x:f>
        <x:v>1.0955116111831997</x:v>
      </x:c>
      <x:c r="AJ47" s="246" t="n">
        <x:f>H47-$B$4*AA47</x:f>
        <x:v>-1.3079424443322594</x:v>
      </x:c>
      <x:c r="AK47" s="246" t="n">
        <x:f>I47-$B$4*AB47</x:f>
        <x:v>-1.1658138260041284</x:v>
      </x:c>
      <x:c r="AL47" s="246" t="n">
        <x:f>J47-$B$4*AC47</x:f>
        <x:v>0.5444104556137426</x:v>
      </x:c>
      <x:c r="AM47" s="246" t="n">
        <x:f>K47-$B$4*AD47</x:f>
        <x:v>-1.7561718618628415</x:v>
      </x:c>
      <x:c r="AN47" s="246" t="n">
        <x:f>L47-$B$4*AE47</x:f>
        <x:v>1.1185059476512185</x:v>
      </x:c>
      <x:c r="AO47" s="246" t="n">
        <x:f>M47-$B$4*AF47</x:f>
        <x:v>1.227994698663986</x:v>
      </x:c>
      <x:c r="AP47" s="246" t="n">
        <x:f>N47-$B$4*AG47</x:f>
        <x:v>-1.642669304101854</x:v>
      </x:c>
      <x:c r="AQ47" s="246" t="n">
        <x:f>O47-$B$4*AH47</x:f>
        <x:v>0.9316691890116382</x:v>
      </x:c>
      <x:c r="AR47" s="182" t="n">
        <x:f>IF(U47&gt;=$B$5,1,0)</x:f>
        <x:v>0</x:v>
      </x:c>
      <x:c r="AS47" s="182" t="n">
        <x:f>IF(AR47=F47,1,0)</x:f>
        <x:v>0</x:v>
      </x:c>
      <x:c r="AT47" s="252" t="n">
        <x:f>ABS(F47-U47)</x:f>
        <x:v>0.5379776726775352</x:v>
      </x:c>
    </x:row>
    <x:row r="48">
      <x:c r="A48" s="114" t="n">
        <x:v>32</x:v>
      </x:c>
      <x:c r="B48" s="114" t="n">
        <x:v>8</x:v>
      </x:c>
      <x:c r="C48" s="114" t="n">
        <x:v>4</x:v>
      </x:c>
      <x:c r="D48" s="168" t="n">
        <x:f>$I$8</x:f>
        <x:v>1</x:v>
      </x:c>
      <x:c r="E48" s="168" t="n">
        <x:f>$J$8</x:f>
        <x:v>1</x:v>
      </x:c>
      <x:c r="F48" s="168" t="n">
        <x:f>$K$8</x:f>
        <x:v>0</x:v>
      </x:c>
      <x:c r="G48" s="242" t="n">
        <x:f>AI47</x:f>
        <x:v>1.0955116111831997</x:v>
      </x:c>
      <x:c r="H48" s="242" t="n">
        <x:f>AJ47</x:f>
        <x:v>-1.3079424443322594</x:v>
      </x:c>
      <x:c r="I48" s="242" t="n">
        <x:f>AK47</x:f>
        <x:v>-1.1658138260041284</x:v>
      </x:c>
      <x:c r="J48" s="242" t="n">
        <x:f>AL47</x:f>
        <x:v>0.5444104556137426</x:v>
      </x:c>
      <x:c r="K48" s="242" t="n">
        <x:f>AM47</x:f>
        <x:v>-1.7561718618628415</x:v>
      </x:c>
      <x:c r="L48" s="242" t="n">
        <x:f>AN47</x:f>
        <x:v>1.1185059476512185</x:v>
      </x:c>
      <x:c r="M48" s="242" t="n">
        <x:f>AO47</x:f>
        <x:v>1.227994698663986</x:v>
      </x:c>
      <x:c r="N48" s="242" t="n">
        <x:f>AP47</x:f>
        <x:v>-1.642669304101854</x:v>
      </x:c>
      <x:c r="O48" s="242" t="n">
        <x:f>AQ47</x:f>
        <x:v>0.9316691890116382</x:v>
      </x:c>
      <x:c r="P48" s="243" t="n">
        <x:f>D48*G48+E48*H48+I48</x:f>
        <x:v>-1.378244659153188</x:v>
      </x:c>
      <x:c r="Q48" s="243" t="n">
        <x:f>1/(1+EXP(-P48))</x:f>
        <x:v>0.20129106314524808</x:v>
      </x:c>
      <x:c r="R48" s="243" t="n">
        <x:f>D48*J48+E48*K48+L48</x:f>
        <x:v>-0.09325545859788043</x:v>
      </x:c>
      <x:c r="S48" s="243" t="n">
        <x:f>1/(1+EXP(-R48))</x:f>
        <x:v>0.47670301657829023</x:v>
      </x:c>
      <x:c r="T48" s="243" t="n">
        <x:f>Q48*M48+S48*N48+O48</x:f>
        <x:v>0.39578813493652587</x:v>
      </x:c>
      <x:c r="U48" s="243" t="n">
        <x:f>1/(1+EXP(-T48))</x:f>
        <x:v>0.5976752949691432</x:v>
      </x:c>
      <x:c r="V48" s="243" t="n">
        <x:f>0.5*(F48-U48)^2</x:f>
        <x:v>0.17860787910822615</x:v>
      </x:c>
      <x:c r="W48" s="244" t="n">
        <x:f>(U48-F48)*U48*(1-U48)</x:f>
        <x:v>0.14371672455680803</x:v>
      </x:c>
      <x:c r="X48" s="244" t="n">
        <x:f>W48*M48*Q48*(1-Q48)</x:f>
        <x:v>0.028373756677550953</x:v>
      </x:c>
      <x:c r="Y48" s="244" t="n">
        <x:f>W48*N48*S48*(1-S48)</x:f>
        <x:v>-0.05889163120647368</x:v>
      </x:c>
      <x:c r="Z48" s="245" t="n">
        <x:f>X48*D48</x:f>
        <x:v>0.028373756677550953</x:v>
      </x:c>
      <x:c r="AA48" s="245" t="n">
        <x:f>X48*E48</x:f>
        <x:v>0.028373756677550953</x:v>
      </x:c>
      <x:c r="AB48" s="245" t="n">
        <x:f>X48</x:f>
        <x:v>0.028373756677550953</x:v>
      </x:c>
      <x:c r="AC48" s="245" t="n">
        <x:f>Y48*D48</x:f>
        <x:v>-0.05889163120647368</x:v>
      </x:c>
      <x:c r="AD48" s="245" t="n">
        <x:f>Y48*E48</x:f>
        <x:v>-0.05889163120647368</x:v>
      </x:c>
      <x:c r="AE48" s="245" t="n">
        <x:f>Y48</x:f>
        <x:v>-0.05889163120647368</x:v>
      </x:c>
      <x:c r="AF48" s="245" t="n">
        <x:f>W48*Q48</x:f>
        <x:v>0.028928892277792672</x:v>
      </x:c>
      <x:c r="AG48" s="245" t="n">
        <x:f>W48*S48</x:f>
        <x:v>0.06851019612898163</x:v>
      </x:c>
      <x:c r="AH48" s="245" t="n">
        <x:f>W48</x:f>
        <x:v>0.14371672455680803</x:v>
      </x:c>
      <x:c r="AI48" s="246" t="n">
        <x:f>G48-$B$4*Z48</x:f>
        <x:v>1.0671378545056487</x:v>
      </x:c>
      <x:c r="AJ48" s="246" t="n">
        <x:f>H48-$B$4*AA48</x:f>
        <x:v>-1.3363162010098104</x:v>
      </x:c>
      <x:c r="AK48" s="246" t="n">
        <x:f>I48-$B$4*AB48</x:f>
        <x:v>-1.1941875826816795</x:v>
      </x:c>
      <x:c r="AL48" s="246" t="n">
        <x:f>J48-$B$4*AC48</x:f>
        <x:v>0.6033020868202162</x:v>
      </x:c>
      <x:c r="AM48" s="246" t="n">
        <x:f>K48-$B$4*AD48</x:f>
        <x:v>-1.6972802306563677</x:v>
      </x:c>
      <x:c r="AN48" s="246" t="n">
        <x:f>L48-$B$4*AE48</x:f>
        <x:v>1.1773975788576923</x:v>
      </x:c>
      <x:c r="AO48" s="246" t="n">
        <x:f>M48-$B$4*AF48</x:f>
        <x:v>1.1990658063861934</x:v>
      </x:c>
      <x:c r="AP48" s="246" t="n">
        <x:f>N48-$B$4*AG48</x:f>
        <x:v>-1.7111795002308356</x:v>
      </x:c>
      <x:c r="AQ48" s="246" t="n">
        <x:f>O48-$B$4*AH48</x:f>
        <x:v>0.7879524644548301</x:v>
      </x:c>
      <x:c r="AR48" s="182" t="n">
        <x:f>IF(U48&gt;=$B$5,1,0)</x:f>
        <x:v>1</x:v>
      </x:c>
      <x:c r="AS48" s="182" t="n">
        <x:f>IF(AR48=F48,1,0)</x:f>
        <x:v>0</x:v>
      </x:c>
      <x:c r="AT48" s="252" t="n">
        <x:f>ABS(F48-U48)</x:f>
        <x:v>0.5976752949691432</x:v>
      </x:c>
    </x:row>
    <x:row r="49">
      <x:c r="A49" s="114" t="n">
        <x:v>33</x:v>
      </x:c>
      <x:c r="B49" s="114" t="n">
        <x:v>9</x:v>
      </x:c>
      <x:c r="C49" s="114" t="n">
        <x:v>1</x:v>
      </x:c>
      <x:c r="D49" s="168" t="n">
        <x:f>$I$5</x:f>
        <x:v>0</x:v>
      </x:c>
      <x:c r="E49" s="168" t="n">
        <x:f>$J$5</x:f>
        <x:v>0</x:v>
      </x:c>
      <x:c r="F49" s="168" t="n">
        <x:f>$K$5</x:f>
        <x:v>0</x:v>
      </x:c>
      <x:c r="G49" s="242" t="n">
        <x:f>AI48</x:f>
        <x:v>1.0671378545056487</x:v>
      </x:c>
      <x:c r="H49" s="242" t="n">
        <x:f>AJ48</x:f>
        <x:v>-1.3363162010098104</x:v>
      </x:c>
      <x:c r="I49" s="242" t="n">
        <x:f>AK48</x:f>
        <x:v>-1.1941875826816795</x:v>
      </x:c>
      <x:c r="J49" s="242" t="n">
        <x:f>AL48</x:f>
        <x:v>0.6033020868202162</x:v>
      </x:c>
      <x:c r="K49" s="242" t="n">
        <x:f>AM48</x:f>
        <x:v>-1.6972802306563677</x:v>
      </x:c>
      <x:c r="L49" s="242" t="n">
        <x:f>AN48</x:f>
        <x:v>1.1773975788576923</x:v>
      </x:c>
      <x:c r="M49" s="242" t="n">
        <x:f>AO48</x:f>
        <x:v>1.1990658063861934</x:v>
      </x:c>
      <x:c r="N49" s="242" t="n">
        <x:f>AP48</x:f>
        <x:v>-1.7111795002308356</x:v>
      </x:c>
      <x:c r="O49" s="242" t="n">
        <x:f>AQ48</x:f>
        <x:v>0.7879524644548301</x:v>
      </x:c>
      <x:c r="P49" s="243" t="n">
        <x:f>D49*G49+E49*H49+I49</x:f>
        <x:v>-1.1941875826816795</x:v>
      </x:c>
      <x:c r="Q49" s="243" t="n">
        <x:f>1/(1+EXP(-P49))</x:f>
        <x:v>0.23251082667070289</x:v>
      </x:c>
      <x:c r="R49" s="243" t="n">
        <x:f>D49*J49+E49*K49+L49</x:f>
        <x:v>1.1773975788576923</x:v>
      </x:c>
      <x:c r="S49" s="243" t="n">
        <x:f>1/(1+EXP(-R49))</x:f>
        <x:v>0.7644795589233564</x:v>
      </x:c>
      <x:c r="T49" s="243" t="n">
        <x:f>Q49*M49+S49*N49+O49</x:f>
        <x:v>-0.24141350324490185</x:v>
      </x:c>
      <x:c r="U49" s="243" t="n">
        <x:f>1/(1+EXP(-T49))</x:f>
        <x:v>0.4399380445351726</x:v>
      </x:c>
      <x:c r="V49" s="243" t="n">
        <x:f>0.5*(F49-U49)^2</x:f>
        <x:v>0.09677274151471575</x:v>
      </x:c>
      <x:c r="W49" s="244" t="n">
        <x:f>(U49-F49)*U49*(1-U49)</x:f>
        <x:v>0.10839746169684797</x:v>
      </x:c>
      <x:c r="X49" s="244" t="n">
        <x:f>W49*M49*Q49*(1-Q49)</x:f>
        <x:v>0.023194102339173524</x:v>
      </x:c>
      <x:c r="Y49" s="244" t="n">
        <x:f>W49*N49*S49*(1-S49)</x:f>
        <x:v>-0.03339713136869655</x:v>
      </x:c>
      <x:c r="Z49" s="245" t="n">
        <x:f>X49*D49</x:f>
        <x:v>0</x:v>
      </x:c>
      <x:c r="AA49" s="245" t="n">
        <x:f>X49*E49</x:f>
        <x:v>0</x:v>
      </x:c>
      <x:c r="AB49" s="245" t="n">
        <x:f>X49</x:f>
        <x:v>0.023194102339173524</x:v>
      </x:c>
      <x:c r="AC49" s="245" t="n">
        <x:f>Y49*D49</x:f>
        <x:v>0</x:v>
      </x:c>
      <x:c r="AD49" s="245" t="n">
        <x:f>Y49*E49</x:f>
        <x:v>0</x:v>
      </x:c>
      <x:c r="AE49" s="245" t="n">
        <x:f>Y49</x:f>
        <x:v>-0.03339713136869655</x:v>
      </x:c>
      <x:c r="AF49" s="245" t="n">
        <x:f>W49*Q49</x:f>
        <x:v>0.025203583428139973</x:v>
      </x:c>
      <x:c r="AG49" s="245" t="n">
        <x:f>W49*S49</x:f>
        <x:v>0.08286764370641775</x:v>
      </x:c>
      <x:c r="AH49" s="245" t="n">
        <x:f>W49</x:f>
        <x:v>0.10839746169684797</x:v>
      </x:c>
      <x:c r="AI49" s="246" t="n">
        <x:f>G49-$B$4*Z49</x:f>
        <x:v>1.0671378545056487</x:v>
      </x:c>
      <x:c r="AJ49" s="246" t="n">
        <x:f>H49-$B$4*AA49</x:f>
        <x:v>-1.3363162010098104</x:v>
      </x:c>
      <x:c r="AK49" s="246" t="n">
        <x:f>I49-$B$4*AB49</x:f>
        <x:v>-1.217381685020853</x:v>
      </x:c>
      <x:c r="AL49" s="246" t="n">
        <x:f>J49-$B$4*AC49</x:f>
        <x:v>0.6033020868202162</x:v>
      </x:c>
      <x:c r="AM49" s="246" t="n">
        <x:f>K49-$B$4*AD49</x:f>
        <x:v>-1.6972802306563677</x:v>
      </x:c>
      <x:c r="AN49" s="246" t="n">
        <x:f>L49-$B$4*AE49</x:f>
        <x:v>1.2107947102263887</x:v>
      </x:c>
      <x:c r="AO49" s="246" t="n">
        <x:f>M49-$B$4*AF49</x:f>
        <x:v>1.1738622229580535</x:v>
      </x:c>
      <x:c r="AP49" s="246" t="n">
        <x:f>N49-$B$4*AG49</x:f>
        <x:v>-1.7940471439372534</x:v>
      </x:c>
      <x:c r="AQ49" s="246" t="n">
        <x:f>O49-$B$4*AH49</x:f>
        <x:v>0.6795550027579822</x:v>
      </x:c>
      <x:c r="AR49" s="182" t="n">
        <x:f>IF(U49&gt;=$B$5,1,0)</x:f>
        <x:v>0</x:v>
      </x:c>
      <x:c r="AS49" s="182" t="n">
        <x:f>IF(AR49=F49,1,0)</x:f>
        <x:v>1</x:v>
      </x:c>
      <x:c r="AT49" s="252" t="n">
        <x:f>ABS(F49-U49)</x:f>
        <x:v>0.4399380445351726</x:v>
      </x:c>
    </x:row>
    <x:row r="50">
      <x:c r="A50" s="114" t="n">
        <x:v>34</x:v>
      </x:c>
      <x:c r="B50" s="114" t="n">
        <x:v>9</x:v>
      </x:c>
      <x:c r="C50" s="114" t="n">
        <x:v>2</x:v>
      </x:c>
      <x:c r="D50" s="168" t="n">
        <x:f>$I$6</x:f>
        <x:v>0</x:v>
      </x:c>
      <x:c r="E50" s="168" t="n">
        <x:f>$J$6</x:f>
        <x:v>1</x:v>
      </x:c>
      <x:c r="F50" s="168" t="n">
        <x:f>$K$6</x:f>
        <x:v>1</x:v>
      </x:c>
      <x:c r="G50" s="242" t="n">
        <x:f>AI49</x:f>
        <x:v>1.0671378545056487</x:v>
      </x:c>
      <x:c r="H50" s="242" t="n">
        <x:f>AJ49</x:f>
        <x:v>-1.3363162010098104</x:v>
      </x:c>
      <x:c r="I50" s="242" t="n">
        <x:f>AK49</x:f>
        <x:v>-1.217381685020853</x:v>
      </x:c>
      <x:c r="J50" s="242" t="n">
        <x:f>AL49</x:f>
        <x:v>0.6033020868202162</x:v>
      </x:c>
      <x:c r="K50" s="242" t="n">
        <x:f>AM49</x:f>
        <x:v>-1.6972802306563677</x:v>
      </x:c>
      <x:c r="L50" s="242" t="n">
        <x:f>AN49</x:f>
        <x:v>1.2107947102263887</x:v>
      </x:c>
      <x:c r="M50" s="242" t="n">
        <x:f>AO49</x:f>
        <x:v>1.1738622229580535</x:v>
      </x:c>
      <x:c r="N50" s="242" t="n">
        <x:f>AP49</x:f>
        <x:v>-1.7940471439372534</x:v>
      </x:c>
      <x:c r="O50" s="242" t="n">
        <x:f>AQ49</x:f>
        <x:v>0.6795550027579822</x:v>
      </x:c>
      <x:c r="P50" s="243" t="n">
        <x:f>D50*G50+E50*H50+I50</x:f>
        <x:v>-2.5536978860306636</x:v>
      </x:c>
      <x:c r="Q50" s="243" t="n">
        <x:f>1/(1+EXP(-P50))</x:f>
        <x:v>0.0721784505434035</x:v>
      </x:c>
      <x:c r="R50" s="243" t="n">
        <x:f>D50*J50+E50*K50+L50</x:f>
        <x:v>-0.48648552042997895</x:v>
      </x:c>
      <x:c r="S50" s="243" t="n">
        <x:f>1/(1+EXP(-R50))</x:f>
        <x:v>0.3807218380007506</x:v>
      </x:c>
      <x:c r="T50" s="243" t="n">
        <x:f>Q50*M50+S50*N50+O50</x:f>
        <x:v>0.08124963306274147</x:v>
      </x:c>
      <x:c r="U50" s="243" t="n">
        <x:f>1/(1+EXP(-T50))</x:f>
        <x:v>0.5203012412690635</x:v>
      </x:c>
      <x:c r="V50" s="243" t="n">
        <x:f>0.5*(F50-U50)^2</x:f>
        <x:v>0.1150554495640006</x:v>
      </x:c>
      <x:c r="W50" s="244" t="n">
        <x:f>(U50-F50)*U50*(1-U50)</x:f>
        <x:v>-0.1197269864458393</x:v>
      </x:c>
      <x:c r="X50" s="244" t="n">
        <x:f>W50*M50*Q50*(1-Q50)</x:f>
        <x:v>-0.009411984163894695</x:v>
      </x:c>
      <x:c r="Y50" s="244" t="n">
        <x:f>W50*N50*S50*(1-S50)</x:f>
        <x:v>0.05064300372057527</x:v>
      </x:c>
      <x:c r="Z50" s="245" t="n">
        <x:f>X50*D50</x:f>
        <x:v>0</x:v>
      </x:c>
      <x:c r="AA50" s="245" t="n">
        <x:f>X50*E50</x:f>
        <x:v>-0.009411984163894695</x:v>
      </x:c>
      <x:c r="AB50" s="245" t="n">
        <x:f>X50</x:f>
        <x:v>-0.009411984163894695</x:v>
      </x:c>
      <x:c r="AC50" s="245" t="n">
        <x:f>Y50*D50</x:f>
        <x:v>0</x:v>
      </x:c>
      <x:c r="AD50" s="245" t="n">
        <x:f>Y50*E50</x:f>
        <x:v>0.05064300372057527</x:v>
      </x:c>
      <x:c r="AE50" s="245" t="n">
        <x:f>Y50</x:f>
        <x:v>0.05064300372057527</x:v>
      </x:c>
      <x:c r="AF50" s="245" t="n">
        <x:f>W50*Q50</x:f>
        <x:v>-0.008641708369891752</x:v>
      </x:c>
      <x:c r="AG50" s="245" t="n">
        <x:f>W50*S50</x:f>
        <x:v>-0.04558267833795089</x:v>
      </x:c>
      <x:c r="AH50" s="245" t="n">
        <x:f>W50</x:f>
        <x:v>-0.1197269864458393</x:v>
      </x:c>
      <x:c r="AI50" s="246" t="n">
        <x:f>G50-$B$4*Z50</x:f>
        <x:v>1.0671378545056487</x:v>
      </x:c>
      <x:c r="AJ50" s="246" t="n">
        <x:f>H50-$B$4*AA50</x:f>
        <x:v>-1.3269042168459158</x:v>
      </x:c>
      <x:c r="AK50" s="246" t="n">
        <x:f>I50-$B$4*AB50</x:f>
        <x:v>-1.2079697008569583</x:v>
      </x:c>
      <x:c r="AL50" s="246" t="n">
        <x:f>J50-$B$4*AC50</x:f>
        <x:v>0.6033020868202162</x:v>
      </x:c>
      <x:c r="AM50" s="246" t="n">
        <x:f>K50-$B$4*AD50</x:f>
        <x:v>-1.7479232343769429</x:v>
      </x:c>
      <x:c r="AN50" s="246" t="n">
        <x:f>L50-$B$4*AE50</x:f>
        <x:v>1.1601517065058136</x:v>
      </x:c>
      <x:c r="AO50" s="246" t="n">
        <x:f>M50-$B$4*AF50</x:f>
        <x:v>1.1825039313279453</x:v>
      </x:c>
      <x:c r="AP50" s="246" t="n">
        <x:f>N50-$B$4*AG50</x:f>
        <x:v>-1.7484644655993025</x:v>
      </x:c>
      <x:c r="AQ50" s="246" t="n">
        <x:f>O50-$B$4*AH50</x:f>
        <x:v>0.7992819892038215</x:v>
      </x:c>
      <x:c r="AR50" s="182" t="n">
        <x:f>IF(U50&gt;=$B$5,1,0)</x:f>
        <x:v>1</x:v>
      </x:c>
      <x:c r="AS50" s="182" t="n">
        <x:f>IF(AR50=F50,1,0)</x:f>
        <x:v>1</x:v>
      </x:c>
      <x:c r="AT50" s="252" t="n">
        <x:f>ABS(F50-U50)</x:f>
        <x:v>0.4796987587309365</x:v>
      </x:c>
    </x:row>
    <x:row r="51">
      <x:c r="A51" s="114" t="n">
        <x:v>35</x:v>
      </x:c>
      <x:c r="B51" s="114" t="n">
        <x:v>9</x:v>
      </x:c>
      <x:c r="C51" s="114" t="n">
        <x:v>3</x:v>
      </x:c>
      <x:c r="D51" s="168" t="n">
        <x:f>$I$7</x:f>
        <x:v>1</x:v>
      </x:c>
      <x:c r="E51" s="168" t="n">
        <x:f>$J$7</x:f>
        <x:v>0</x:v>
      </x:c>
      <x:c r="F51" s="168" t="n">
        <x:f>$K$7</x:f>
        <x:v>1</x:v>
      </x:c>
      <x:c r="G51" s="242" t="n">
        <x:f>AI50</x:f>
        <x:v>1.0671378545056487</x:v>
      </x:c>
      <x:c r="H51" s="242" t="n">
        <x:f>AJ50</x:f>
        <x:v>-1.3269042168459158</x:v>
      </x:c>
      <x:c r="I51" s="242" t="n">
        <x:f>AK50</x:f>
        <x:v>-1.2079697008569583</x:v>
      </x:c>
      <x:c r="J51" s="242" t="n">
        <x:f>AL50</x:f>
        <x:v>0.6033020868202162</x:v>
      </x:c>
      <x:c r="K51" s="242" t="n">
        <x:f>AM50</x:f>
        <x:v>-1.7479232343769429</x:v>
      </x:c>
      <x:c r="L51" s="242" t="n">
        <x:f>AN50</x:f>
        <x:v>1.1601517065058136</x:v>
      </x:c>
      <x:c r="M51" s="242" t="n">
        <x:f>AO50</x:f>
        <x:v>1.1825039313279453</x:v>
      </x:c>
      <x:c r="N51" s="242" t="n">
        <x:f>AP50</x:f>
        <x:v>-1.7484644655993025</x:v>
      </x:c>
      <x:c r="O51" s="242" t="n">
        <x:f>AQ50</x:f>
        <x:v>0.7992819892038215</x:v>
      </x:c>
      <x:c r="P51" s="243" t="n">
        <x:f>D51*G51+E51*H51+I51</x:f>
        <x:v>-0.14083184635130963</x:v>
      </x:c>
      <x:c r="Q51" s="243" t="n">
        <x:f>1/(1+EXP(-P51))</x:f>
        <x:v>0.46485011497327355</x:v>
      </x:c>
      <x:c r="R51" s="243" t="n">
        <x:f>D51*J51+E51*K51+L51</x:f>
        <x:v>1.76345379332603</x:v>
      </x:c>
      <x:c r="S51" s="243" t="n">
        <x:f>1/(1+EXP(-R51))</x:f>
        <x:v>0.8536416959393508</x:v>
      </x:c>
      <x:c r="T51" s="243" t="n">
        <x:f>Q51*M51+S51*N51+O51</x:f>
        <x:v>-0.14359309406591436</x:v>
      </x:c>
      <x:c r="U51" s="243" t="n">
        <x:f>1/(1+EXP(-T51))</x:f>
        <x:v>0.464163281704727</x:v>
      </x:c>
      <x:c r="V51" s="243" t="n">
        <x:f>0.5*(F51-U51)^2</x:f>
        <x:v>0.14356049433672388</x:v>
      </x:c>
      <x:c r="W51" s="244" t="n">
        <x:f>(U51-F51)*U51*(1-U51)</x:f>
        <x:v>-0.13327102034897326</x:v>
      </x:c>
      <x:c r="X51" s="244" t="n">
        <x:f>W51*M51*Q51*(1-Q51)</x:f>
        <x:v>-0.03920366732556075</x:v>
      </x:c>
      <x:c r="Y51" s="244" t="n">
        <x:f>W51*N51*S51*(1-S51)</x:f>
        <x:v>0.02911290355318304</x:v>
      </x:c>
      <x:c r="Z51" s="245" t="n">
        <x:f>X51*D51</x:f>
        <x:v>-0.03920366732556075</x:v>
      </x:c>
      <x:c r="AA51" s="245" t="n">
        <x:f>X51*E51</x:f>
        <x:v>0</x:v>
      </x:c>
      <x:c r="AB51" s="245" t="n">
        <x:f>X51</x:f>
        <x:v>-0.03920366732556075</x:v>
      </x:c>
      <x:c r="AC51" s="245" t="n">
        <x:f>Y51*D51</x:f>
        <x:v>0.02911290355318304</x:v>
      </x:c>
      <x:c r="AD51" s="245" t="n">
        <x:f>Y51*E51</x:f>
        <x:v>0</x:v>
      </x:c>
      <x:c r="AE51" s="245" t="n">
        <x:f>Y51</x:f>
        <x:v>0.02911290355318304</x:v>
      </x:c>
      <x:c r="AF51" s="245" t="n">
        <x:f>W51*Q51</x:f>
        <x:v>-0.0619510491318257</x:v>
      </x:c>
      <x:c r="AG51" s="245" t="n">
        <x:f>W51*S51</x:f>
        <x:v>-0.11376569983026526</x:v>
      </x:c>
      <x:c r="AH51" s="245" t="n">
        <x:f>W51</x:f>
        <x:v>-0.13327102034897326</x:v>
      </x:c>
      <x:c r="AI51" s="246" t="n">
        <x:f>G51-$B$4*Z51</x:f>
        <x:v>1.1063415218312094</x:v>
      </x:c>
      <x:c r="AJ51" s="246" t="n">
        <x:f>H51-$B$4*AA51</x:f>
        <x:v>-1.3269042168459158</x:v>
      </x:c>
      <x:c r="AK51" s="246" t="n">
        <x:f>I51-$B$4*AB51</x:f>
        <x:v>-1.1687660335313976</x:v>
      </x:c>
      <x:c r="AL51" s="246" t="n">
        <x:f>J51-$B$4*AC51</x:f>
        <x:v>0.5741891832670332</x:v>
      </x:c>
      <x:c r="AM51" s="246" t="n">
        <x:f>K51-$B$4*AD51</x:f>
        <x:v>-1.7479232343769429</x:v>
      </x:c>
      <x:c r="AN51" s="246" t="n">
        <x:f>L51-$B$4*AE51</x:f>
        <x:v>1.1310388029526306</x:v>
      </x:c>
      <x:c r="AO51" s="246" t="n">
        <x:f>M51-$B$4*AF51</x:f>
        <x:v>1.2444549804597709</x:v>
      </x:c>
      <x:c r="AP51" s="246" t="n">
        <x:f>N51-$B$4*AG51</x:f>
        <x:v>-1.6346987657690373</x:v>
      </x:c>
      <x:c r="AQ51" s="246" t="n">
        <x:f>O51-$B$4*AH51</x:f>
        <x:v>0.9325530095527947</x:v>
      </x:c>
      <x:c r="AR51" s="182" t="n">
        <x:f>IF(U51&gt;=$B$5,1,0)</x:f>
        <x:v>0</x:v>
      </x:c>
      <x:c r="AS51" s="182" t="n">
        <x:f>IF(AR51=F51,1,0)</x:f>
        <x:v>0</x:v>
      </x:c>
      <x:c r="AT51" s="252" t="n">
        <x:f>ABS(F51-U51)</x:f>
        <x:v>0.535836718295273</x:v>
      </x:c>
    </x:row>
    <x:row r="52">
      <x:c r="A52" s="114" t="n">
        <x:v>36</x:v>
      </x:c>
      <x:c r="B52" s="114" t="n">
        <x:v>9</x:v>
      </x:c>
      <x:c r="C52" s="114" t="n">
        <x:v>4</x:v>
      </x:c>
      <x:c r="D52" s="168" t="n">
        <x:f>$I$8</x:f>
        <x:v>1</x:v>
      </x:c>
      <x:c r="E52" s="168" t="n">
        <x:f>$J$8</x:f>
        <x:v>1</x:v>
      </x:c>
      <x:c r="F52" s="168" t="n">
        <x:f>$K$8</x:f>
        <x:v>0</x:v>
      </x:c>
      <x:c r="G52" s="242" t="n">
        <x:f>AI51</x:f>
        <x:v>1.1063415218312094</x:v>
      </x:c>
      <x:c r="H52" s="242" t="n">
        <x:f>AJ51</x:f>
        <x:v>-1.3269042168459158</x:v>
      </x:c>
      <x:c r="I52" s="242" t="n">
        <x:f>AK51</x:f>
        <x:v>-1.1687660335313976</x:v>
      </x:c>
      <x:c r="J52" s="242" t="n">
        <x:f>AL51</x:f>
        <x:v>0.5741891832670332</x:v>
      </x:c>
      <x:c r="K52" s="242" t="n">
        <x:f>AM51</x:f>
        <x:v>-1.7479232343769429</x:v>
      </x:c>
      <x:c r="L52" s="242" t="n">
        <x:f>AN51</x:f>
        <x:v>1.1310388029526306</x:v>
      </x:c>
      <x:c r="M52" s="242" t="n">
        <x:f>AO51</x:f>
        <x:v>1.2444549804597709</x:v>
      </x:c>
      <x:c r="N52" s="242" t="n">
        <x:f>AP51</x:f>
        <x:v>-1.6346987657690373</x:v>
      </x:c>
      <x:c r="O52" s="242" t="n">
        <x:f>AQ51</x:f>
        <x:v>0.9325530095527947</x:v>
      </x:c>
      <x:c r="P52" s="243" t="n">
        <x:f>D52*G52+E52*H52+I52</x:f>
        <x:v>-1.389328728546104</x:v>
      </x:c>
      <x:c r="Q52" s="243" t="n">
        <x:f>1/(1+EXP(-P52))</x:f>
        <x:v>0.1995149431362055</x:v>
      </x:c>
      <x:c r="R52" s="243" t="n">
        <x:f>D52*J52+E52*K52+L52</x:f>
        <x:v>-0.0426952481572791</x:v>
      </x:c>
      <x:c r="S52" s="243" t="n">
        <x:f>1/(1+EXP(-R52))</x:f>
        <x:v>0.4893278090921243</x:v>
      </x:c>
      <x:c r="T52" s="243" t="n">
        <x:f>Q52*M52+S52*N52+O52</x:f>
        <x:v>0.380936808635431</x:v>
      </x:c>
      <x:c r="U52" s="243" t="n">
        <x:f>1/(1+EXP(-T52))</x:f>
        <x:v>0.5940990299011302</x:v>
      </x:c>
      <x:c r="V52" s="243" t="n">
        <x:f>0.5*(F52-U52)^2</x:f>
        <x:v>0.176476828664732</x:v>
      </x:c>
      <x:c r="W52" s="244" t="n">
        <x:f>(U52-F52)*U52*(1-U52)</x:f>
        <x:v>0.1432642319099735</x:v>
      </x:c>
      <x:c r="X52" s="244" t="n">
        <x:f>W52*M52*Q52*(1-Q52)</x:f>
        <x:v>0.02847381268450387</x:v>
      </x:c>
      <x:c r="Y52" s="244" t="n">
        <x:f>W52*N52*S52*(1-S52)</x:f>
        <x:v>-0.05852179210620411</x:v>
      </x:c>
      <x:c r="Z52" s="245" t="n">
        <x:f>X52*D52</x:f>
        <x:v>0.02847381268450387</x:v>
      </x:c>
      <x:c r="AA52" s="245" t="n">
        <x:f>X52*E52</x:f>
        <x:v>0.02847381268450387</x:v>
      </x:c>
      <x:c r="AB52" s="245" t="n">
        <x:f>X52</x:f>
        <x:v>0.02847381268450387</x:v>
      </x:c>
      <x:c r="AC52" s="245" t="n">
        <x:f>Y52*D52</x:f>
        <x:v>-0.05852179210620411</x:v>
      </x:c>
      <x:c r="AD52" s="245" t="n">
        <x:f>Y52*E52</x:f>
        <x:v>-0.05852179210620411</x:v>
      </x:c>
      <x:c r="AE52" s="245" t="n">
        <x:f>Y52</x:f>
        <x:v>-0.05852179210620411</x:v>
      </x:c>
      <x:c r="AF52" s="245" t="n">
        <x:f>W52*Q52</x:f>
        <x:v>0.02858335508297052</x:v>
      </x:c>
      <x:c r="AG52" s="245" t="n">
        <x:f>W52*S52</x:f>
        <x:v>0.07010317272177334</x:v>
      </x:c>
      <x:c r="AH52" s="245" t="n">
        <x:f>W52</x:f>
        <x:v>0.1432642319099735</x:v>
      </x:c>
      <x:c r="AI52" s="246" t="n">
        <x:f>G52-$B$4*Z52</x:f>
        <x:v>1.0778677091467055</x:v>
      </x:c>
      <x:c r="AJ52" s="246" t="n">
        <x:f>H52-$B$4*AA52</x:f>
        <x:v>-1.3553780295304196</x:v>
      </x:c>
      <x:c r="AK52" s="246" t="n">
        <x:f>I52-$B$4*AB52</x:f>
        <x:v>-1.1972398462159015</x:v>
      </x:c>
      <x:c r="AL52" s="246" t="n">
        <x:f>J52-$B$4*AC52</x:f>
        <x:v>0.6327109753732373</x:v>
      </x:c>
      <x:c r="AM52" s="246" t="n">
        <x:f>K52-$B$4*AD52</x:f>
        <x:v>-1.6894014422707389</x:v>
      </x:c>
      <x:c r="AN52" s="246" t="n">
        <x:f>L52-$B$4*AE52</x:f>
        <x:v>1.1895605950588346</x:v>
      </x:c>
      <x:c r="AO52" s="246" t="n">
        <x:f>M52-$B$4*AF52</x:f>
        <x:v>1.2158716253768003</x:v>
      </x:c>
      <x:c r="AP52" s="246" t="n">
        <x:f>N52-$B$4*AG52</x:f>
        <x:v>-1.7048019384908106</x:v>
      </x:c>
      <x:c r="AQ52" s="246" t="n">
        <x:f>O52-$B$4*AH52</x:f>
        <x:v>0.7892887776428212</x:v>
      </x:c>
      <x:c r="AR52" s="182" t="n">
        <x:f>IF(U52&gt;=$B$5,1,0)</x:f>
        <x:v>1</x:v>
      </x:c>
      <x:c r="AS52" s="182" t="n">
        <x:f>IF(AR52=F52,1,0)</x:f>
        <x:v>0</x:v>
      </x:c>
      <x:c r="AT52" s="252" t="n">
        <x:f>ABS(F52-U52)</x:f>
        <x:v>0.5940990299011302</x:v>
      </x:c>
    </x:row>
    <x:row r="53">
      <x:c r="A53" s="114" t="n">
        <x:v>37</x:v>
      </x:c>
      <x:c r="B53" s="114" t="n">
        <x:v>10</x:v>
      </x:c>
      <x:c r="C53" s="114" t="n">
        <x:v>1</x:v>
      </x:c>
      <x:c r="D53" s="168" t="n">
        <x:f>$I$5</x:f>
        <x:v>0</x:v>
      </x:c>
      <x:c r="E53" s="168" t="n">
        <x:f>$J$5</x:f>
        <x:v>0</x:v>
      </x:c>
      <x:c r="F53" s="168" t="n">
        <x:f>$K$5</x:f>
        <x:v>0</x:v>
      </x:c>
      <x:c r="G53" s="242" t="n">
        <x:f>AI52</x:f>
        <x:v>1.0778677091467055</x:v>
      </x:c>
      <x:c r="H53" s="242" t="n">
        <x:f>AJ52</x:f>
        <x:v>-1.3553780295304196</x:v>
      </x:c>
      <x:c r="I53" s="242" t="n">
        <x:f>AK52</x:f>
        <x:v>-1.1972398462159015</x:v>
      </x:c>
      <x:c r="J53" s="242" t="n">
        <x:f>AL52</x:f>
        <x:v>0.6327109753732373</x:v>
      </x:c>
      <x:c r="K53" s="242" t="n">
        <x:f>AM52</x:f>
        <x:v>-1.6894014422707389</x:v>
      </x:c>
      <x:c r="L53" s="242" t="n">
        <x:f>AN52</x:f>
        <x:v>1.1895605950588346</x:v>
      </x:c>
      <x:c r="M53" s="242" t="n">
        <x:f>AO52</x:f>
        <x:v>1.2158716253768003</x:v>
      </x:c>
      <x:c r="N53" s="242" t="n">
        <x:f>AP52</x:f>
        <x:v>-1.7048019384908106</x:v>
      </x:c>
      <x:c r="O53" s="242" t="n">
        <x:f>AQ52</x:f>
        <x:v>0.7892887776428212</x:v>
      </x:c>
      <x:c r="P53" s="243" t="n">
        <x:f>D53*G53+E53*H53+I53</x:f>
        <x:v>-1.1972398462159015</x:v>
      </x:c>
      <x:c r="Q53" s="243" t="n">
        <x:f>1/(1+EXP(-P53))</x:f>
        <x:v>0.2319665963984309</x:v>
      </x:c>
      <x:c r="R53" s="243" t="n">
        <x:f>D53*J53+E53*K53+L53</x:f>
        <x:v>1.1895605950588346</x:v>
      </x:c>
      <x:c r="S53" s="243" t="n">
        <x:f>1/(1+EXP(-R53))</x:f>
        <x:v>0.7666624677934796</x:v>
      </x:c>
      <x:c r="T53" s="243" t="n">
        <x:f>Q53*M53+S53*N53+O53</x:f>
        <x:v>-0.235677281023567</x:v>
      </x:c>
      <x:c r="U53" s="243" t="n">
        <x:f>1/(1+EXP(-T53))</x:f>
        <x:v>0.44135189025532306</x:v>
      </x:c>
      <x:c r="V53" s="243" t="n">
        <x:f>0.5*(F53-U53)^2</x:f>
        <x:v>0.09739574551597337</x:v>
      </x:c>
      <x:c r="W53" s="244" t="n">
        <x:f>(U53-F53)*U53*(1-U53)</x:f>
        <x:v>0.10881989825934424</x:v>
      </x:c>
      <x:c r="X53" s="244" t="n">
        <x:f>W53*M53*Q53*(1-Q53)</x:f>
        <x:v>0.023572280382149875</x:v>
      </x:c>
      <x:c r="Y53" s="244" t="n">
        <x:f>W53*N53*S53*(1-S53)</x:f>
        <x:v>-0.033187233367831526</x:v>
      </x:c>
      <x:c r="Z53" s="245" t="n">
        <x:f>X53*D53</x:f>
        <x:v>0</x:v>
      </x:c>
      <x:c r="AA53" s="245" t="n">
        <x:f>X53*E53</x:f>
        <x:v>0</x:v>
      </x:c>
      <x:c r="AB53" s="245" t="n">
        <x:f>X53</x:f>
        <x:v>0.023572280382149875</x:v>
      </x:c>
      <x:c r="AC53" s="245" t="n">
        <x:f>Y53*D53</x:f>
        <x:v>0</x:v>
      </x:c>
      <x:c r="AD53" s="245" t="n">
        <x:f>Y53*E53</x:f>
        <x:v>0</x:v>
      </x:c>
      <x:c r="AE53" s="245" t="n">
        <x:f>Y53</x:f>
        <x:v>-0.033187233367831526</x:v>
      </x:c>
      <x:c r="AF53" s="245" t="n">
        <x:f>W53*Q53</x:f>
        <x:v>0.02524258141964362</x:v>
      </x:c>
      <x:c r="AG53" s="245" t="n">
        <x:f>W53*S53</x:f>
        <x:v>0.08342813174454422</x:v>
      </x:c>
      <x:c r="AH53" s="245" t="n">
        <x:f>W53</x:f>
        <x:v>0.10881989825934424</x:v>
      </x:c>
      <x:c r="AI53" s="246" t="n">
        <x:f>G53-$B$4*Z53</x:f>
        <x:v>1.0778677091467055</x:v>
      </x:c>
      <x:c r="AJ53" s="246" t="n">
        <x:f>H53-$B$4*AA53</x:f>
        <x:v>-1.3553780295304196</x:v>
      </x:c>
      <x:c r="AK53" s="246" t="n">
        <x:f>I53-$B$4*AB53</x:f>
        <x:v>-1.2208121265980514</x:v>
      </x:c>
      <x:c r="AL53" s="246" t="n">
        <x:f>J53-$B$4*AC53</x:f>
        <x:v>0.6327109753732373</x:v>
      </x:c>
      <x:c r="AM53" s="246" t="n">
        <x:f>K53-$B$4*AD53</x:f>
        <x:v>-1.6894014422707389</x:v>
      </x:c>
      <x:c r="AN53" s="246" t="n">
        <x:f>L53-$B$4*AE53</x:f>
        <x:v>1.2227478284266662</x:v>
      </x:c>
      <x:c r="AO53" s="246" t="n">
        <x:f>M53-$B$4*AF53</x:f>
        <x:v>1.1906290439571567</x:v>
      </x:c>
      <x:c r="AP53" s="246" t="n">
        <x:f>N53-$B$4*AG53</x:f>
        <x:v>-1.7882300702353549</x:v>
      </x:c>
      <x:c r="AQ53" s="246" t="n">
        <x:f>O53-$B$4*AH53</x:f>
        <x:v>0.680468879383477</x:v>
      </x:c>
      <x:c r="AR53" s="182" t="n">
        <x:f>IF(U53&gt;=$B$5,1,0)</x:f>
        <x:v>0</x:v>
      </x:c>
      <x:c r="AS53" s="182" t="n">
        <x:f>IF(AR53=F53,1,0)</x:f>
        <x:v>1</x:v>
      </x:c>
      <x:c r="AT53" s="252" t="n">
        <x:f>ABS(F53-U53)</x:f>
        <x:v>0.44135189025532306</x:v>
      </x:c>
    </x:row>
    <x:row r="54">
      <x:c r="A54" s="114" t="n">
        <x:v>38</x:v>
      </x:c>
      <x:c r="B54" s="114" t="n">
        <x:v>10</x:v>
      </x:c>
      <x:c r="C54" s="114" t="n">
        <x:v>2</x:v>
      </x:c>
      <x:c r="D54" s="168" t="n">
        <x:f>$I$6</x:f>
        <x:v>0</x:v>
      </x:c>
      <x:c r="E54" s="168" t="n">
        <x:f>$J$6</x:f>
        <x:v>1</x:v>
      </x:c>
      <x:c r="F54" s="168" t="n">
        <x:f>$K$6</x:f>
        <x:v>1</x:v>
      </x:c>
      <x:c r="G54" s="242" t="n">
        <x:f>AI53</x:f>
        <x:v>1.0778677091467055</x:v>
      </x:c>
      <x:c r="H54" s="242" t="n">
        <x:f>AJ53</x:f>
        <x:v>-1.3553780295304196</x:v>
      </x:c>
      <x:c r="I54" s="242" t="n">
        <x:f>AK53</x:f>
        <x:v>-1.2208121265980514</x:v>
      </x:c>
      <x:c r="J54" s="242" t="n">
        <x:f>AL53</x:f>
        <x:v>0.6327109753732373</x:v>
      </x:c>
      <x:c r="K54" s="242" t="n">
        <x:f>AM53</x:f>
        <x:v>-1.6894014422707389</x:v>
      </x:c>
      <x:c r="L54" s="242" t="n">
        <x:f>AN53</x:f>
        <x:v>1.2227478284266662</x:v>
      </x:c>
      <x:c r="M54" s="242" t="n">
        <x:f>AO53</x:f>
        <x:v>1.1906290439571567</x:v>
      </x:c>
      <x:c r="N54" s="242" t="n">
        <x:f>AP53</x:f>
        <x:v>-1.7882300702353549</x:v>
      </x:c>
      <x:c r="O54" s="242" t="n">
        <x:f>AQ53</x:f>
        <x:v>0.680468879383477</x:v>
      </x:c>
      <x:c r="P54" s="243" t="n">
        <x:f>D54*G54+E54*H54+I54</x:f>
        <x:v>-2.576190156128471</x:v>
      </x:c>
      <x:c r="Q54" s="243" t="n">
        <x:f>1/(1+EXP(-P54))</x:f>
        <x:v>0.07068659054632688</x:v>
      </x:c>
      <x:c r="R54" s="243" t="n">
        <x:f>D54*J54+E54*K54+L54</x:f>
        <x:v>-0.46665361384407267</x:v>
      </x:c>
      <x:c r="S54" s="243" t="n">
        <x:f>1/(1+EXP(-R54))</x:f>
        <x:v>0.3854085935343752</x:v>
      </x:c>
      <x:c r="T54" s="243" t="n">
        <x:f>Q54*M54+S54*N54+O54</x:f>
        <x:v>0.0754311508209562</x:v>
      </x:c>
      <x:c r="U54" s="243" t="n">
        <x:f>1/(1+EXP(-T54))</x:f>
        <x:v>0.5188488512779109</x:v>
      </x:c>
      <x:c r="V54" s="243" t="n">
        <x:f>0.5*(F54-U54)^2</x:f>
        <x:v>0.11575321395829294</x:v>
      </x:c>
      <x:c r="W54" s="244" t="n">
        <x:f>(U54-F54)*U54*(1-U54)</x:f>
        <x:v>-0.12011684418797308</x:v>
      </x:c>
      <x:c r="X54" s="244" t="n">
        <x:f>W54*M54*Q54*(1-Q54)</x:f>
        <x:v>-0.009394628788826437</x:v>
      </x:c>
      <x:c r="Y54" s="244" t="n">
        <x:f>W54*N54*S54*(1-S54)</x:f>
        <x:v>0.05087860374098079</x:v>
      </x:c>
      <x:c r="Z54" s="245" t="n">
        <x:f>X54*D54</x:f>
        <x:v>0</x:v>
      </x:c>
      <x:c r="AA54" s="245" t="n">
        <x:f>X54*E54</x:f>
        <x:v>-0.009394628788826437</x:v>
      </x:c>
      <x:c r="AB54" s="245" t="n">
        <x:f>X54</x:f>
        <x:v>-0.009394628788826437</x:v>
      </x:c>
      <x:c r="AC54" s="245" t="n">
        <x:f>Y54*D54</x:f>
        <x:v>0</x:v>
      </x:c>
      <x:c r="AD54" s="245" t="n">
        <x:f>Y54*E54</x:f>
        <x:v>0.05087860374098079</x:v>
      </x:c>
      <x:c r="AE54" s="245" t="n">
        <x:f>Y54</x:f>
        <x:v>0.05087860374098079</x:v>
      </x:c>
      <x:c r="AF54" s="245" t="n">
        <x:f>W54*Q54</x:f>
        <x:v>-0.008490650182832196</x:v>
      </x:c>
      <x:c r="AG54" s="245" t="n">
        <x:f>W54*S54</x:f>
        <x:v>-0.046294063978274395</x:v>
      </x:c>
      <x:c r="AH54" s="245" t="n">
        <x:f>W54</x:f>
        <x:v>-0.12011684418797308</x:v>
      </x:c>
      <x:c r="AI54" s="246" t="n">
        <x:f>G54-$B$4*Z54</x:f>
        <x:v>1.0778677091467055</x:v>
      </x:c>
      <x:c r="AJ54" s="246" t="n">
        <x:f>H54-$B$4*AA54</x:f>
        <x:v>-1.3459834007415932</x:v>
      </x:c>
      <x:c r="AK54" s="246" t="n">
        <x:f>I54-$B$4*AB54</x:f>
        <x:v>-1.211417497809225</x:v>
      </x:c>
      <x:c r="AL54" s="246" t="n">
        <x:f>J54-$B$4*AC54</x:f>
        <x:v>0.6327109753732373</x:v>
      </x:c>
      <x:c r="AM54" s="246" t="n">
        <x:f>K54-$B$4*AD54</x:f>
        <x:v>-1.7402800460117196</x:v>
      </x:c>
      <x:c r="AN54" s="246" t="n">
        <x:f>L54-$B$4*AE54</x:f>
        <x:v>1.1718692246856854</x:v>
      </x:c>
      <x:c r="AO54" s="246" t="n">
        <x:f>M54-$B$4*AF54</x:f>
        <x:v>1.1991196941399889</x:v>
      </x:c>
      <x:c r="AP54" s="246" t="n">
        <x:f>N54-$B$4*AG54</x:f>
        <x:v>-1.7419360062570806</x:v>
      </x:c>
      <x:c r="AQ54" s="246" t="n">
        <x:f>O54-$B$4*AH54</x:f>
        <x:v>0.8005857235714501</x:v>
      </x:c>
      <x:c r="AR54" s="182" t="n">
        <x:f>IF(U54&gt;=$B$5,1,0)</x:f>
        <x:v>1</x:v>
      </x:c>
      <x:c r="AS54" s="182" t="n">
        <x:f>IF(AR54=F54,1,0)</x:f>
        <x:v>1</x:v>
      </x:c>
      <x:c r="AT54" s="252" t="n">
        <x:f>ABS(F54-U54)</x:f>
        <x:v>0.4811511487220891</x:v>
      </x:c>
    </x:row>
    <x:row r="55">
      <x:c r="A55" s="114" t="n">
        <x:v>39</x:v>
      </x:c>
      <x:c r="B55" s="114" t="n">
        <x:v>10</x:v>
      </x:c>
      <x:c r="C55" s="114" t="n">
        <x:v>3</x:v>
      </x:c>
      <x:c r="D55" s="168" t="n">
        <x:f>$I$7</x:f>
        <x:v>1</x:v>
      </x:c>
      <x:c r="E55" s="168" t="n">
        <x:f>$J$7</x:f>
        <x:v>0</x:v>
      </x:c>
      <x:c r="F55" s="168" t="n">
        <x:f>$K$7</x:f>
        <x:v>1</x:v>
      </x:c>
      <x:c r="G55" s="242" t="n">
        <x:f>AI54</x:f>
        <x:v>1.0778677091467055</x:v>
      </x:c>
      <x:c r="H55" s="242" t="n">
        <x:f>AJ54</x:f>
        <x:v>-1.3459834007415932</x:v>
      </x:c>
      <x:c r="I55" s="242" t="n">
        <x:f>AK54</x:f>
        <x:v>-1.211417497809225</x:v>
      </x:c>
      <x:c r="J55" s="242" t="n">
        <x:f>AL54</x:f>
        <x:v>0.6327109753732373</x:v>
      </x:c>
      <x:c r="K55" s="242" t="n">
        <x:f>AM54</x:f>
        <x:v>-1.7402800460117196</x:v>
      </x:c>
      <x:c r="L55" s="242" t="n">
        <x:f>AN54</x:f>
        <x:v>1.1718692246856854</x:v>
      </x:c>
      <x:c r="M55" s="242" t="n">
        <x:f>AO54</x:f>
        <x:v>1.1991196941399889</x:v>
      </x:c>
      <x:c r="N55" s="242" t="n">
        <x:f>AP54</x:f>
        <x:v>-1.7419360062570806</x:v>
      </x:c>
      <x:c r="O55" s="242" t="n">
        <x:f>AQ54</x:f>
        <x:v>0.8005857235714501</x:v>
      </x:c>
      <x:c r="P55" s="243" t="n">
        <x:f>D55*G55+E55*H55+I55</x:f>
        <x:v>-0.13354978866251943</x:v>
      </x:c>
      <x:c r="Q55" s="243" t="n">
        <x:f>1/(1+EXP(-P55))</x:f>
        <x:v>0.4666620881000174</x:v>
      </x:c>
      <x:c r="R55" s="243" t="n">
        <x:f>D55*J55+E55*K55+L55</x:f>
        <x:v>1.8045802000589228</x:v>
      </x:c>
      <x:c r="S55" s="243" t="n">
        <x:f>1/(1+EXP(-R55))</x:f>
        <x:v>0.8587055657644971</x:v>
      </x:c>
      <x:c r="T55" s="243" t="n">
        <x:f>Q55*M55+S55*N55+O55</x:f>
        <x:v>-0.1356407198578634</x:v>
      </x:c>
      <x:c r="U55" s="243" t="n">
        <x:f>1/(1+EXP(-T55))</x:f>
        <x:v>0.4661417156596763</x:v>
      </x:c>
      <x:c r="V55" s="243" t="n">
        <x:f>0.5*(F55-U55)^2</x:f>
        <x:v>0.14250233387939695</x:v>
      </x:c>
      <x:c r="W55" s="244" t="n">
        <x:f>(U55-F55)*U55*(1-U55)</x:f>
        <x:v>-0.13285256480010021</x:v>
      </x:c>
      <x:c r="X55" s="244" t="n">
        <x:f>W55*M55*Q55*(1-Q55)</x:f>
        <x:v>-0.03964947627998275</x:v>
      </x:c>
      <x:c r="Y55" s="244" t="n">
        <x:f>W55*N55*S55*(1-S55)</x:f>
        <x:v>0.028078342804925615</x:v>
      </x:c>
      <x:c r="Z55" s="245" t="n">
        <x:f>X55*D55</x:f>
        <x:v>-0.03964947627998275</x:v>
      </x:c>
      <x:c r="AA55" s="245" t="n">
        <x:f>X55*E55</x:f>
        <x:v>0</x:v>
      </x:c>
      <x:c r="AB55" s="245" t="n">
        <x:f>X55</x:f>
        <x:v>-0.03964947627998275</x:v>
      </x:c>
      <x:c r="AC55" s="245" t="n">
        <x:f>Y55*D55</x:f>
        <x:v>0.028078342804925615</x:v>
      </x:c>
      <x:c r="AD55" s="245" t="n">
        <x:f>Y55*E55</x:f>
        <x:v>0</x:v>
      </x:c>
      <x:c r="AE55" s="245" t="n">
        <x:f>Y55</x:f>
        <x:v>0.028078342804925615</x:v>
      </x:c>
      <x:c r="AF55" s="245" t="n">
        <x:f>W55*Q55</x:f>
        <x:v>-0.06199725529905764</x:v>
      </x:c>
      <x:c r="AG55" s="245" t="n">
        <x:f>W55*S55</x:f>
        <x:v>-0.11408123681993457</x:v>
      </x:c>
      <x:c r="AH55" s="245" t="n">
        <x:f>W55</x:f>
        <x:v>-0.13285256480010021</x:v>
      </x:c>
      <x:c r="AI55" s="246" t="n">
        <x:f>G55-$B$4*Z55</x:f>
        <x:v>1.1175171854266883</x:v>
      </x:c>
      <x:c r="AJ55" s="246" t="n">
        <x:f>H55-$B$4*AA55</x:f>
        <x:v>-1.3459834007415932</x:v>
      </x:c>
      <x:c r="AK55" s="246" t="n">
        <x:f>I55-$B$4*AB55</x:f>
        <x:v>-1.171768021529242</x:v>
      </x:c>
      <x:c r="AL55" s="246" t="n">
        <x:f>J55-$B$4*AC55</x:f>
        <x:v>0.6046326325683117</x:v>
      </x:c>
      <x:c r="AM55" s="246" t="n">
        <x:f>K55-$B$4*AD55</x:f>
        <x:v>-1.7402800460117196</x:v>
      </x:c>
      <x:c r="AN55" s="246" t="n">
        <x:f>L55-$B$4*AE55</x:f>
        <x:v>1.1437908818807598</x:v>
      </x:c>
      <x:c r="AO55" s="246" t="n">
        <x:f>M55-$B$4*AF55</x:f>
        <x:v>1.2611169494390464</x:v>
      </x:c>
      <x:c r="AP55" s="246" t="n">
        <x:f>N55-$B$4*AG55</x:f>
        <x:v>-1.627854769437146</x:v>
      </x:c>
      <x:c r="AQ55" s="246" t="n">
        <x:f>O55-$B$4*AH55</x:f>
        <x:v>0.9334382883715503</x:v>
      </x:c>
      <x:c r="AR55" s="182" t="n">
        <x:f>IF(U55&gt;=$B$5,1,0)</x:f>
        <x:v>0</x:v>
      </x:c>
      <x:c r="AS55" s="182" t="n">
        <x:f>IF(AR55=F55,1,0)</x:f>
        <x:v>0</x:v>
      </x:c>
      <x:c r="AT55" s="252" t="n">
        <x:f>ABS(F55-U55)</x:f>
        <x:v>0.5338582843403237</x:v>
      </x:c>
    </x:row>
    <x:row r="56">
      <x:c r="A56" s="114" t="n">
        <x:v>40</x:v>
      </x:c>
      <x:c r="B56" s="114" t="n">
        <x:v>10</x:v>
      </x:c>
      <x:c r="C56" s="114" t="n">
        <x:v>4</x:v>
      </x:c>
      <x:c r="D56" s="168" t="n">
        <x:f>$I$8</x:f>
        <x:v>1</x:v>
      </x:c>
      <x:c r="E56" s="168" t="n">
        <x:f>$J$8</x:f>
        <x:v>1</x:v>
      </x:c>
      <x:c r="F56" s="168" t="n">
        <x:f>$K$8</x:f>
        <x:v>0</x:v>
      </x:c>
      <x:c r="G56" s="242" t="n">
        <x:f>AI55</x:f>
        <x:v>1.1175171854266883</x:v>
      </x:c>
      <x:c r="H56" s="242" t="n">
        <x:f>AJ55</x:f>
        <x:v>-1.3459834007415932</x:v>
      </x:c>
      <x:c r="I56" s="242" t="n">
        <x:f>AK55</x:f>
        <x:v>-1.171768021529242</x:v>
      </x:c>
      <x:c r="J56" s="242" t="n">
        <x:f>AL55</x:f>
        <x:v>0.6046326325683117</x:v>
      </x:c>
      <x:c r="K56" s="242" t="n">
        <x:f>AM55</x:f>
        <x:v>-1.7402800460117196</x:v>
      </x:c>
      <x:c r="L56" s="242" t="n">
        <x:f>AN55</x:f>
        <x:v>1.1437908818807598</x:v>
      </x:c>
      <x:c r="M56" s="242" t="n">
        <x:f>AO55</x:f>
        <x:v>1.2611169494390464</x:v>
      </x:c>
      <x:c r="N56" s="242" t="n">
        <x:f>AP55</x:f>
        <x:v>-1.627854769437146</x:v>
      </x:c>
      <x:c r="O56" s="242" t="n">
        <x:f>AQ55</x:f>
        <x:v>0.9334382883715503</x:v>
      </x:c>
      <x:c r="P56" s="243" t="n">
        <x:f>D56*G56+E56*H56+I56</x:f>
        <x:v>-1.400234236844147</x:v>
      </x:c>
      <x:c r="Q56" s="243" t="n">
        <x:f>1/(1+EXP(-P56))</x:f>
        <x:v>0.19777894422277742</x:v>
      </x:c>
      <x:c r="R56" s="243" t="n">
        <x:f>D56*J56+E56*K56+L56</x:f>
        <x:v>0.008143468437351808</x:v>
      </x:c>
      <x:c r="S56" s="243" t="n">
        <x:f>1/(1+EXP(-R56))</x:f>
        <x:v>0.502035855858519</x:v>
      </x:c>
      <x:c r="T56" s="243" t="n">
        <x:f>Q56*M56+S56*N56+O56</x:f>
        <x:v>0.36561920478530496</x:v>
      </x:c>
      <x:c r="U56" s="243" t="n">
        <x:f>1/(1+EXP(-T56))</x:f>
        <x:v>0.5904000012633909</x:v>
      </x:c>
      <x:c r="V56" s="243" t="n">
        <x:f>0.5*(F56-U56)^2</x:f>
        <x:v>0.17428608074590596</x:v>
      </x:c>
      <x:c r="W56" s="244" t="n">
        <x:f>(U56-F56)*U56*(1-U56)</x:f>
        <x:v>0.1427751569066633</x:v>
      </x:c>
      <x:c r="X56" s="244" t="n">
        <x:f>W56*M56*Q56*(1-Q56)</x:f>
        <x:v>0.028568150141932258</x:v>
      </x:c>
      <x:c r="Y56" s="244" t="n">
        <x:f>W56*N56*S56*(1-S56)</x:f>
        <x:v>-0.05810334173015034</x:v>
      </x:c>
      <x:c r="Z56" s="245" t="n">
        <x:f>X56*D56</x:f>
        <x:v>0.028568150141932258</x:v>
      </x:c>
      <x:c r="AA56" s="245" t="n">
        <x:f>X56*E56</x:f>
        <x:v>0.028568150141932258</x:v>
      </x:c>
      <x:c r="AB56" s="245" t="n">
        <x:f>X56</x:f>
        <x:v>0.028568150141932258</x:v>
      </x:c>
      <x:c r="AC56" s="245" t="n">
        <x:f>Y56*D56</x:f>
        <x:v>-0.05810334173015034</x:v>
      </x:c>
      <x:c r="AD56" s="245" t="n">
        <x:f>Y56*E56</x:f>
        <x:v>-0.05810334173015034</x:v>
      </x:c>
      <x:c r="AE56" s="245" t="n">
        <x:f>Y56</x:f>
        <x:v>-0.05810334173015034</x:v>
      </x:c>
      <x:c r="AF56" s="245" t="n">
        <x:f>W56*Q56</x:f>
        <x:v>0.028237919794241253</x:v>
      </x:c>
      <x:c r="AG56" s="245" t="n">
        <x:f>W56*S56</x:f>
        <x:v>0.07167824809297103</x:v>
      </x:c>
      <x:c r="AH56" s="245" t="n">
        <x:f>W56</x:f>
        <x:v>0.1427751569066633</x:v>
      </x:c>
      <x:c r="AI56" s="246" t="n">
        <x:f>G56-$B$4*Z56</x:f>
        <x:v>1.088949035284756</x:v>
      </x:c>
      <x:c r="AJ56" s="246" t="n">
        <x:f>H56-$B$4*AA56</x:f>
        <x:v>-1.3745515508835253</x:v>
      </x:c>
      <x:c r="AK56" s="246" t="n">
        <x:f>I56-$B$4*AB56</x:f>
        <x:v>-1.2003361716711742</x:v>
      </x:c>
      <x:c r="AL56" s="246" t="n">
        <x:f>J56-$B$4*AC56</x:f>
        <x:v>0.662735974298462</x:v>
      </x:c>
      <x:c r="AM56" s="246" t="n">
        <x:f>K56-$B$4*AD56</x:f>
        <x:v>-1.6821767042815692</x:v>
      </x:c>
      <x:c r="AN56" s="246" t="n">
        <x:f>L56-$B$4*AE56</x:f>
        <x:v>1.2018942236109103</x:v>
      </x:c>
      <x:c r="AO56" s="246" t="n">
        <x:f>M56-$B$4*AF56</x:f>
        <x:v>1.2328790296448051</x:v>
      </x:c>
      <x:c r="AP56" s="246" t="n">
        <x:f>N56-$B$4*AG56</x:f>
        <x:v>-1.6995330175301169</x:v>
      </x:c>
      <x:c r="AQ56" s="246" t="n">
        <x:f>O56-$B$4*AH56</x:f>
        <x:v>0.790663131464887</x:v>
      </x:c>
      <x:c r="AR56" s="182" t="n">
        <x:f>IF(U56&gt;=$B$5,1,0)</x:f>
        <x:v>1</x:v>
      </x:c>
      <x:c r="AS56" s="182" t="n">
        <x:f>IF(AR56=F56,1,0)</x:f>
        <x:v>0</x:v>
      </x:c>
      <x:c r="AT56" s="252" t="n">
        <x:f>ABS(F56-U56)</x:f>
        <x:v>0.5904000012633909</x:v>
      </x:c>
    </x:row>
    <x:row r="57">
      <x:c r="A57" s="114" t="n">
        <x:v>41</x:v>
      </x:c>
      <x:c r="B57" s="114" t="n">
        <x:v>11</x:v>
      </x:c>
      <x:c r="C57" s="114" t="n">
        <x:v>1</x:v>
      </x:c>
      <x:c r="D57" s="168" t="n">
        <x:f>$I$5</x:f>
        <x:v>0</x:v>
      </x:c>
      <x:c r="E57" s="168" t="n">
        <x:f>$J$5</x:f>
        <x:v>0</x:v>
      </x:c>
      <x:c r="F57" s="168" t="n">
        <x:f>$K$5</x:f>
        <x:v>0</x:v>
      </x:c>
      <x:c r="G57" s="242" t="n">
        <x:f>AI56</x:f>
        <x:v>1.088949035284756</x:v>
      </x:c>
      <x:c r="H57" s="242" t="n">
        <x:f>AJ56</x:f>
        <x:v>-1.3745515508835253</x:v>
      </x:c>
      <x:c r="I57" s="242" t="n">
        <x:f>AK56</x:f>
        <x:v>-1.2003361716711742</x:v>
      </x:c>
      <x:c r="J57" s="242" t="n">
        <x:f>AL56</x:f>
        <x:v>0.662735974298462</x:v>
      </x:c>
      <x:c r="K57" s="242" t="n">
        <x:f>AM56</x:f>
        <x:v>-1.6821767042815692</x:v>
      </x:c>
      <x:c r="L57" s="242" t="n">
        <x:f>AN56</x:f>
        <x:v>1.2018942236109103</x:v>
      </x:c>
      <x:c r="M57" s="242" t="n">
        <x:f>AO56</x:f>
        <x:v>1.2328790296448051</x:v>
      </x:c>
      <x:c r="N57" s="242" t="n">
        <x:f>AP56</x:f>
        <x:v>-1.6995330175301169</x:v>
      </x:c>
      <x:c r="O57" s="242" t="n">
        <x:f>AQ56</x:f>
        <x:v>0.790663131464887</x:v>
      </x:c>
      <x:c r="P57" s="243" t="n">
        <x:f>D57*G57+E57*H57+I57</x:f>
        <x:v>-1.2003361716711742</x:v>
      </x:c>
      <x:c r="Q57" s="243" t="n">
        <x:f>1/(1+EXP(-P57))</x:f>
        <x:v>0.23141541882810202</x:v>
      </x:c>
      <x:c r="R57" s="243" t="n">
        <x:f>D57*J57+E57*K57+L57</x:f>
        <x:v>1.2018942236109103</x:v>
      </x:c>
      <x:c r="S57" s="243" t="n">
        <x:f>1/(1+EXP(-R57))</x:f>
        <x:v>0.7688615839358449</x:v>
      </x:c>
      <x:c r="T57" s="243" t="n">
        <x:f>Q57*M57+S57*N57+O57</x:f>
        <x:v>-0.2307352993349484</x:v>
      </x:c>
      <x:c r="U57" s="243" t="n">
        <x:f>1/(1+EXP(-T57))</x:f>
        <x:v>0.44257073802100383</x:v>
      </x:c>
      <x:c r="V57" s="243" t="n">
        <x:f>0.5*(F57-U57)^2</x:f>
        <x:v>0.097934429076228</x:v>
      </x:c>
      <x:c r="W57" s="244" t="n">
        <x:f>(U57-F57)*U57*(1-U57)</x:f>
        <x:v>0.10918303304459225</x:v>
      </x:c>
      <x:c r="X57" s="244" t="n">
        <x:f>W57*M57*Q57*(1-Q57)</x:f>
        <x:v>0.023941953325395494</x:v>
      </x:c>
      <x:c r="Y57" s="244" t="n">
        <x:f>W57*N57*S57*(1-S57)</x:f>
        <x:v>-0.03297653768028814</x:v>
      </x:c>
      <x:c r="Z57" s="245" t="n">
        <x:f>X57*D57</x:f>
        <x:v>0</x:v>
      </x:c>
      <x:c r="AA57" s="245" t="n">
        <x:f>X57*E57</x:f>
        <x:v>0</x:v>
      </x:c>
      <x:c r="AB57" s="245" t="n">
        <x:f>X57</x:f>
        <x:v>0.023941953325395494</x:v>
      </x:c>
      <x:c r="AC57" s="245" t="n">
        <x:f>Y57*D57</x:f>
        <x:v>0</x:v>
      </x:c>
      <x:c r="AD57" s="245" t="n">
        <x:f>Y57*E57</x:f>
        <x:v>0</x:v>
      </x:c>
      <x:c r="AE57" s="245" t="n">
        <x:f>Y57</x:f>
        <x:v>-0.03297653768028814</x:v>
      </x:c>
      <x:c r="AF57" s="245" t="n">
        <x:f>W57*Q57</x:f>
        <x:v>0.025266637320936817</x:v>
      </x:c>
      <x:c r="AG57" s="245" t="n">
        <x:f>W57*S57</x:f>
        <x:v>0.08394663972558489</x:v>
      </x:c>
      <x:c r="AH57" s="245" t="n">
        <x:f>W57</x:f>
        <x:v>0.10918303304459225</x:v>
      </x:c>
      <x:c r="AI57" s="246" t="n">
        <x:f>G57-$B$4*Z57</x:f>
        <x:v>1.088949035284756</x:v>
      </x:c>
      <x:c r="AJ57" s="246" t="n">
        <x:f>H57-$B$4*AA57</x:f>
        <x:v>-1.3745515508835253</x:v>
      </x:c>
      <x:c r="AK57" s="246" t="n">
        <x:f>I57-$B$4*AB57</x:f>
        <x:v>-1.2242781249965697</x:v>
      </x:c>
      <x:c r="AL57" s="246" t="n">
        <x:f>J57-$B$4*AC57</x:f>
        <x:v>0.662735974298462</x:v>
      </x:c>
      <x:c r="AM57" s="246" t="n">
        <x:f>K57-$B$4*AD57</x:f>
        <x:v>-1.6821767042815692</x:v>
      </x:c>
      <x:c r="AN57" s="246" t="n">
        <x:f>L57-$B$4*AE57</x:f>
        <x:v>1.2348707612911984</x:v>
      </x:c>
      <x:c r="AO57" s="246" t="n">
        <x:f>M57-$B$4*AF57</x:f>
        <x:v>1.2076123923238682</x:v>
      </x:c>
      <x:c r="AP57" s="246" t="n">
        <x:f>N57-$B$4*AG57</x:f>
        <x:v>-1.7834796572557017</x:v>
      </x:c>
      <x:c r="AQ57" s="246" t="n">
        <x:f>O57-$B$4*AH57</x:f>
        <x:v>0.6814800984202948</x:v>
      </x:c>
      <x:c r="AR57" s="182" t="n">
        <x:f>IF(U57&gt;=$B$5,1,0)</x:f>
        <x:v>0</x:v>
      </x:c>
      <x:c r="AS57" s="182" t="n">
        <x:f>IF(AR57=F57,1,0)</x:f>
        <x:v>1</x:v>
      </x:c>
      <x:c r="AT57" s="252" t="n">
        <x:f>ABS(F57-U57)</x:f>
        <x:v>0.44257073802100383</x:v>
      </x:c>
    </x:row>
    <x:row r="58">
      <x:c r="A58" s="114" t="n">
        <x:v>42</x:v>
      </x:c>
      <x:c r="B58" s="114" t="n">
        <x:v>11</x:v>
      </x:c>
      <x:c r="C58" s="114" t="n">
        <x:v>2</x:v>
      </x:c>
      <x:c r="D58" s="168" t="n">
        <x:f>$I$6</x:f>
        <x:v>0</x:v>
      </x:c>
      <x:c r="E58" s="168" t="n">
        <x:f>$J$6</x:f>
        <x:v>1</x:v>
      </x:c>
      <x:c r="F58" s="168" t="n">
        <x:f>$K$6</x:f>
        <x:v>1</x:v>
      </x:c>
      <x:c r="G58" s="242" t="n">
        <x:f>AI57</x:f>
        <x:v>1.088949035284756</x:v>
      </x:c>
      <x:c r="H58" s="242" t="n">
        <x:f>AJ57</x:f>
        <x:v>-1.3745515508835253</x:v>
      </x:c>
      <x:c r="I58" s="242" t="n">
        <x:f>AK57</x:f>
        <x:v>-1.2242781249965697</x:v>
      </x:c>
      <x:c r="J58" s="242" t="n">
        <x:f>AL57</x:f>
        <x:v>0.662735974298462</x:v>
      </x:c>
      <x:c r="K58" s="242" t="n">
        <x:f>AM57</x:f>
        <x:v>-1.6821767042815692</x:v>
      </x:c>
      <x:c r="L58" s="242" t="n">
        <x:f>AN57</x:f>
        <x:v>1.2348707612911984</x:v>
      </x:c>
      <x:c r="M58" s="242" t="n">
        <x:f>AO57</x:f>
        <x:v>1.2076123923238682</x:v>
      </x:c>
      <x:c r="N58" s="242" t="n">
        <x:f>AP57</x:f>
        <x:v>-1.7834796572557017</x:v>
      </x:c>
      <x:c r="O58" s="242" t="n">
        <x:f>AQ57</x:f>
        <x:v>0.6814800984202948</x:v>
      </x:c>
      <x:c r="P58" s="243" t="n">
        <x:f>D58*G58+E58*H58+I58</x:f>
        <x:v>-2.5988296758800953</x:v>
      </x:c>
      <x:c r="Q58" s="243" t="n">
        <x:f>1/(1+EXP(-P58))</x:f>
        <x:v>0.06921377840371558</x:v>
      </x:c>
      <x:c r="R58" s="243" t="n">
        <x:f>D58*J58+E58*K58+L58</x:f>
        <x:v>-0.44730594299037074</x:v>
      </x:c>
      <x:c r="S58" s="243" t="n">
        <x:f>1/(1+EXP(-R58))</x:f>
        <x:v>0.3900014928362091</x:v>
      </x:c>
      <x:c r="T58" s="243" t="n">
        <x:f>Q58*M58+S58*N58+O58</x:f>
        <x:v>0.06950378616744568</x:v>
      </x:c>
      <x:c r="U58" s="243" t="n">
        <x:f>1/(1+EXP(-T58))</x:f>
        <x:v>0.5173689549767607</x:v>
      </x:c>
      <x:c r="V58" s="243" t="n">
        <x:f>0.5*(F58-U58)^2</x:f>
        <x:v>0.11646636281011201</x:v>
      </x:c>
      <x:c r="W58" s="244" t="n">
        <x:f>(U58-F58)*U58*(1-U58)</x:f>
        <x:v>-0.12051216083402384</x:v>
      </x:c>
      <x:c r="X58" s="244" t="n">
        <x:f>W58*M58*Q58*(1-Q58)</x:f>
        <x:v>-0.009375640332425429</x:v>
      </x:c>
      <x:c r="Y58" s="244" t="n">
        <x:f>W58*N58*S58*(1-S58)</x:f>
        <x:v>0.05113215246653765</x:v>
      </x:c>
      <x:c r="Z58" s="245" t="n">
        <x:f>X58*D58</x:f>
        <x:v>0</x:v>
      </x:c>
      <x:c r="AA58" s="245" t="n">
        <x:f>X58*E58</x:f>
        <x:v>-0.009375640332425429</x:v>
      </x:c>
      <x:c r="AB58" s="245" t="n">
        <x:f>X58</x:f>
        <x:v>-0.009375640332425429</x:v>
      </x:c>
      <x:c r="AC58" s="245" t="n">
        <x:f>Y58*D58</x:f>
        <x:v>0</x:v>
      </x:c>
      <x:c r="AD58" s="245" t="n">
        <x:f>Y58*E58</x:f>
        <x:v>0.05113215246653765</x:v>
      </x:c>
      <x:c r="AE58" s="245" t="n">
        <x:f>Y58</x:f>
        <x:v>0.05113215246653765</x:v>
      </x:c>
      <x:c r="AF58" s="245" t="n">
        <x:f>W58*Q58</x:f>
        <x:v>-0.008341101994919059</x:v>
      </x:c>
      <x:c r="AG58" s="245" t="n">
        <x:f>W58*S58</x:f>
        <x:v>-0.04699992263018663</x:v>
      </x:c>
      <x:c r="AH58" s="245" t="n">
        <x:f>W58</x:f>
        <x:v>-0.12051216083402384</x:v>
      </x:c>
      <x:c r="AI58" s="246" t="n">
        <x:f>G58-$B$4*Z58</x:f>
        <x:v>1.088949035284756</x:v>
      </x:c>
      <x:c r="AJ58" s="246" t="n">
        <x:f>H58-$B$4*AA58</x:f>
        <x:v>-1.3651759105510999</x:v>
      </x:c>
      <x:c r="AK58" s="246" t="n">
        <x:f>I58-$B$4*AB58</x:f>
        <x:v>-1.2149024846641443</x:v>
      </x:c>
      <x:c r="AL58" s="246" t="n">
        <x:f>J58-$B$4*AC58</x:f>
        <x:v>0.662735974298462</x:v>
      </x:c>
      <x:c r="AM58" s="246" t="n">
        <x:f>K58-$B$4*AD58</x:f>
        <x:v>-1.7333088567481068</x:v>
      </x:c>
      <x:c r="AN58" s="246" t="n">
        <x:f>L58-$B$4*AE58</x:f>
        <x:v>1.1837386088246609</x:v>
      </x:c>
      <x:c r="AO58" s="246" t="n">
        <x:f>M58-$B$4*AF58</x:f>
        <x:v>1.2159534943187873</x:v>
      </x:c>
      <x:c r="AP58" s="246" t="n">
        <x:f>N58-$B$4*AG58</x:f>
        <x:v>-1.736479734625515</x:v>
      </x:c>
      <x:c r="AQ58" s="246" t="n">
        <x:f>O58-$B$4*AH58</x:f>
        <x:v>0.8019922592543186</x:v>
      </x:c>
      <x:c r="AR58" s="182" t="n">
        <x:f>IF(U58&gt;=$B$5,1,0)</x:f>
        <x:v>1</x:v>
      </x:c>
      <x:c r="AS58" s="182" t="n">
        <x:f>IF(AR58=F58,1,0)</x:f>
        <x:v>1</x:v>
      </x:c>
      <x:c r="AT58" s="252" t="n">
        <x:f>ABS(F58-U58)</x:f>
        <x:v>0.4826310450232393</x:v>
      </x:c>
    </x:row>
    <x:row r="59">
      <x:c r="A59" s="114" t="n">
        <x:v>43</x:v>
      </x:c>
      <x:c r="B59" s="114" t="n">
        <x:v>11</x:v>
      </x:c>
      <x:c r="C59" s="114" t="n">
        <x:v>3</x:v>
      </x:c>
      <x:c r="D59" s="168" t="n">
        <x:f>$I$7</x:f>
        <x:v>1</x:v>
      </x:c>
      <x:c r="E59" s="168" t="n">
        <x:f>$J$7</x:f>
        <x:v>0</x:v>
      </x:c>
      <x:c r="F59" s="168" t="n">
        <x:f>$K$7</x:f>
        <x:v>1</x:v>
      </x:c>
      <x:c r="G59" s="242" t="n">
        <x:f>AI58</x:f>
        <x:v>1.088949035284756</x:v>
      </x:c>
      <x:c r="H59" s="242" t="n">
        <x:f>AJ58</x:f>
        <x:v>-1.3651759105510999</x:v>
      </x:c>
      <x:c r="I59" s="242" t="n">
        <x:f>AK58</x:f>
        <x:v>-1.2149024846641443</x:v>
      </x:c>
      <x:c r="J59" s="242" t="n">
        <x:f>AL58</x:f>
        <x:v>0.662735974298462</x:v>
      </x:c>
      <x:c r="K59" s="242" t="n">
        <x:f>AM58</x:f>
        <x:v>-1.7333088567481068</x:v>
      </x:c>
      <x:c r="L59" s="242" t="n">
        <x:f>AN58</x:f>
        <x:v>1.1837386088246609</x:v>
      </x:c>
      <x:c r="M59" s="242" t="n">
        <x:f>AO58</x:f>
        <x:v>1.2159534943187873</x:v>
      </x:c>
      <x:c r="N59" s="242" t="n">
        <x:f>AP58</x:f>
        <x:v>-1.736479734625515</x:v>
      </x:c>
      <x:c r="O59" s="242" t="n">
        <x:f>AQ58</x:f>
        <x:v>0.8019922592543186</x:v>
      </x:c>
      <x:c r="P59" s="243" t="n">
        <x:f>D59*G59+E59*H59+I59</x:f>
        <x:v>-0.12595344937938835</x:v>
      </x:c>
      <x:c r="Q59" s="243" t="n">
        <x:f>1/(1+EXP(-P59))</x:f>
        <x:v>0.46855320004789947</x:v>
      </x:c>
      <x:c r="R59" s="243" t="n">
        <x:f>D59*J59+E59*K59+L59</x:f>
        <x:v>1.8464745831231228</x:v>
      </x:c>
      <x:c r="S59" s="243" t="n">
        <x:f>1/(1+EXP(-R59))</x:f>
        <x:v>0.8637126470656832</x:v>
      </x:c>
      <x:c r="T59" s="243" t="n">
        <x:f>Q59*M59+S59*N59+O59</x:f>
        <x:v>-0.1280883480425069</x:v>
      </x:c>
      <x:c r="U59" s="243" t="n">
        <x:f>1/(1+EXP(-T59))</x:f>
        <x:v>0.46802162247577844</x:v>
      </x:c>
      <x:c r="V59" s="243" t="n">
        <x:f>0.5*(F59-U59)^2</x:f>
        <x:v>0.14150049707665158</x:v>
      </x:c>
      <x:c r="W59" s="244" t="n">
        <x:f>(U59-F59)*U59*(1-U59)</x:f>
        <x:v>-0.13245058444588723</x:v>
      </x:c>
      <x:c r="X59" s="244" t="n">
        <x:f>W59*M59*Q59*(1-Q59)</x:f>
        <x:v>-0.04010417149339032</x:v>
      </x:c>
      <x:c r="Y59" s="244" t="n">
        <x:f>W59*N59*S59*(1-S59)</x:f>
        <x:v>0.02707375120377835</x:v>
      </x:c>
      <x:c r="Z59" s="245" t="n">
        <x:f>X59*D59</x:f>
        <x:v>-0.04010417149339032</x:v>
      </x:c>
      <x:c r="AA59" s="245" t="n">
        <x:f>X59*E59</x:f>
        <x:v>0</x:v>
      </x:c>
      <x:c r="AB59" s="245" t="n">
        <x:f>X59</x:f>
        <x:v>-0.04010417149339032</x:v>
      </x:c>
      <x:c r="AC59" s="245" t="n">
        <x:f>Y59*D59</x:f>
        <x:v>0.02707375120377835</x:v>
      </x:c>
      <x:c r="AD59" s="245" t="n">
        <x:f>Y59*E59</x:f>
        <x:v>0</x:v>
      </x:c>
      <x:c r="AE59" s="245" t="n">
        <x:f>Y59</x:f>
        <x:v>0.02707375120377835</x:v>
      </x:c>
      <x:c r="AF59" s="245" t="n">
        <x:f>W59*Q59</x:f>
        <x:v>-0.062060145190335</x:v>
      </x:c>
      <x:c r="AG59" s="245" t="n">
        <x:f>W59*S59</x:f>
        <x:v>-0.11439924489715406</x:v>
      </x:c>
      <x:c r="AH59" s="245" t="n">
        <x:f>W59</x:f>
        <x:v>-0.13245058444588723</x:v>
      </x:c>
      <x:c r="AI59" s="246" t="n">
        <x:f>G59-$B$4*Z59</x:f>
        <x:v>1.1290532067781462</x:v>
      </x:c>
      <x:c r="AJ59" s="246" t="n">
        <x:f>H59-$B$4*AA59</x:f>
        <x:v>-1.3651759105510999</x:v>
      </x:c>
      <x:c r="AK59" s="246" t="n">
        <x:f>I59-$B$4*AB59</x:f>
        <x:v>-1.174798313170754</x:v>
      </x:c>
      <x:c r="AL59" s="246" t="n">
        <x:f>J59-$B$4*AC59</x:f>
        <x:v>0.6356622230946837</x:v>
      </x:c>
      <x:c r="AM59" s="246" t="n">
        <x:f>K59-$B$4*AD59</x:f>
        <x:v>-1.7333088567481068</x:v>
      </x:c>
      <x:c r="AN59" s="246" t="n">
        <x:f>L59-$B$4*AE59</x:f>
        <x:v>1.1566648576208824</x:v>
      </x:c>
      <x:c r="AO59" s="246" t="n">
        <x:f>M59-$B$4*AF59</x:f>
        <x:v>1.2780136395091224</x:v>
      </x:c>
      <x:c r="AP59" s="246" t="n">
        <x:f>N59-$B$4*AG59</x:f>
        <x:v>-1.622080489728361</x:v>
      </x:c>
      <x:c r="AQ59" s="246" t="n">
        <x:f>O59-$B$4*AH59</x:f>
        <x:v>0.9344428437002058</x:v>
      </x:c>
      <x:c r="AR59" s="182" t="n">
        <x:f>IF(U59&gt;=$B$5,1,0)</x:f>
        <x:v>0</x:v>
      </x:c>
      <x:c r="AS59" s="182" t="n">
        <x:f>IF(AR59=F59,1,0)</x:f>
        <x:v>0</x:v>
      </x:c>
      <x:c r="AT59" s="252" t="n">
        <x:f>ABS(F59-U59)</x:f>
        <x:v>0.5319783775242215</x:v>
      </x:c>
    </x:row>
    <x:row r="60">
      <x:c r="A60" s="114" t="n">
        <x:v>44</x:v>
      </x:c>
      <x:c r="B60" s="114" t="n">
        <x:v>11</x:v>
      </x:c>
      <x:c r="C60" s="114" t="n">
        <x:v>4</x:v>
      </x:c>
      <x:c r="D60" s="168" t="n">
        <x:f>$I$8</x:f>
        <x:v>1</x:v>
      </x:c>
      <x:c r="E60" s="168" t="n">
        <x:f>$J$8</x:f>
        <x:v>1</x:v>
      </x:c>
      <x:c r="F60" s="168" t="n">
        <x:f>$K$8</x:f>
        <x:v>0</x:v>
      </x:c>
      <x:c r="G60" s="242" t="n">
        <x:f>AI59</x:f>
        <x:v>1.1290532067781462</x:v>
      </x:c>
      <x:c r="H60" s="242" t="n">
        <x:f>AJ59</x:f>
        <x:v>-1.3651759105510999</x:v>
      </x:c>
      <x:c r="I60" s="242" t="n">
        <x:f>AK59</x:f>
        <x:v>-1.174798313170754</x:v>
      </x:c>
      <x:c r="J60" s="242" t="n">
        <x:f>AL59</x:f>
        <x:v>0.6356622230946837</x:v>
      </x:c>
      <x:c r="K60" s="242" t="n">
        <x:f>AM59</x:f>
        <x:v>-1.7333088567481068</x:v>
      </x:c>
      <x:c r="L60" s="242" t="n">
        <x:f>AN59</x:f>
        <x:v>1.1566648576208824</x:v>
      </x:c>
      <x:c r="M60" s="242" t="n">
        <x:f>AO59</x:f>
        <x:v>1.2780136395091224</x:v>
      </x:c>
      <x:c r="N60" s="242" t="n">
        <x:f>AP59</x:f>
        <x:v>-1.622080489728361</x:v>
      </x:c>
      <x:c r="O60" s="242" t="n">
        <x:f>AQ59</x:f>
        <x:v>0.9344428437002058</x:v>
      </x:c>
      <x:c r="P60" s="243" t="n">
        <x:f>D60*G60+E60*H60+I60</x:f>
        <x:v>-1.4109210169437076</x:v>
      </x:c>
      <x:c r="Q60" s="243" t="n">
        <x:f>1/(1+EXP(-P60))</x:f>
        <x:v>0.19608882845688938</x:v>
      </x:c>
      <x:c r="R60" s="243" t="n">
        <x:f>D60*J60+E60*K60+L60</x:f>
        <x:v>0.05901822396745926</x:v>
      </x:c>
      <x:c r="S60" s="243" t="n">
        <x:f>1/(1+EXP(-R60))</x:f>
        <x:v>0.5147502747878232</x:v>
      </x:c>
      <x:c r="T60" s="243" t="n">
        <x:f>Q60*M60+S60*N60+O60</x:f>
        <x:v>0.35008066320783426</x:v>
      </x:c>
      <x:c r="U60" s="243" t="n">
        <x:f>1/(1+EXP(-T60))</x:f>
        <x:v>0.5866371393984273</x:v>
      </x:c>
      <x:c r="V60" s="243" t="n">
        <x:f>0.5*(F60-U60)^2</x:f>
        <x:v>0.17207156666078494</x:v>
      </x:c>
      <x:c r="W60" s="244" t="n">
        <x:f>(U60-F60)*U60*(1-U60)</x:f>
        <x:v>0.14225599004619252</x:v>
      </x:c>
      <x:c r="X60" s="244" t="n">
        <x:f>W60*M60*Q60*(1-Q60)</x:f>
        <x:v>0.02865939162287546</x:v>
      </x:c>
      <x:c r="Y60" s="244" t="n">
        <x:f>W60*N60*S60*(1-S60)</x:f>
        <x:v>-0.0576374619379205</x:v>
      </x:c>
      <x:c r="Z60" s="245" t="n">
        <x:f>X60*D60</x:f>
        <x:v>0.02865939162287546</x:v>
      </x:c>
      <x:c r="AA60" s="245" t="n">
        <x:f>X60*E60</x:f>
        <x:v>0.02865939162287546</x:v>
      </x:c>
      <x:c r="AB60" s="245" t="n">
        <x:f>X60</x:f>
        <x:v>0.02865939162287546</x:v>
      </x:c>
      <x:c r="AC60" s="245" t="n">
        <x:f>Y60*D60</x:f>
        <x:v>-0.0576374619379205</x:v>
      </x:c>
      <x:c r="AD60" s="245" t="n">
        <x:f>Y60*E60</x:f>
        <x:v>-0.0576374619379205</x:v>
      </x:c>
      <x:c r="AE60" s="245" t="n">
        <x:f>Y60</x:f>
        <x:v>-0.0576374619379205</x:v>
      </x:c>
      <x:c r="AF60" s="245" t="n">
        <x:f>W60*Q60</x:f>
        <x:v>0.027894810429132808</x:v>
      </x:c>
      <x:c r="AG60" s="245" t="n">
        <x:f>W60*S60</x:f>
        <x:v>0.07322630996649145</x:v>
      </x:c>
      <x:c r="AH60" s="245" t="n">
        <x:f>W60</x:f>
        <x:v>0.14225599004619252</x:v>
      </x:c>
      <x:c r="AI60" s="246" t="n">
        <x:f>G60-$B$4*Z60</x:f>
        <x:v>1.1003938151552708</x:v>
      </x:c>
      <x:c r="AJ60" s="246" t="n">
        <x:f>H60-$B$4*AA60</x:f>
        <x:v>-1.3938353021739753</x:v>
      </x:c>
      <x:c r="AK60" s="246" t="n">
        <x:f>I60-$B$4*AB60</x:f>
        <x:v>-1.2034577047936295</x:v>
      </x:c>
      <x:c r="AL60" s="246" t="n">
        <x:f>J60-$B$4*AC60</x:f>
        <x:v>0.6932996850326042</x:v>
      </x:c>
      <x:c r="AM60" s="246" t="n">
        <x:f>K60-$B$4*AD60</x:f>
        <x:v>-1.6756713948101862</x:v>
      </x:c>
      <x:c r="AN60" s="246" t="n">
        <x:f>L60-$B$4*AE60</x:f>
        <x:v>1.214302319558803</x:v>
      </x:c>
      <x:c r="AO60" s="246" t="n">
        <x:f>M60-$B$4*AF60</x:f>
        <x:v>1.2501188290799896</x:v>
      </x:c>
      <x:c r="AP60" s="246" t="n">
        <x:f>N60-$B$4*AG60</x:f>
        <x:v>-1.6953067996948523</x:v>
      </x:c>
      <x:c r="AQ60" s="246" t="n">
        <x:f>O60-$B$4*AH60</x:f>
        <x:v>0.7921868536540133</x:v>
      </x:c>
      <x:c r="AR60" s="182" t="n">
        <x:f>IF(U60&gt;=$B$5,1,0)</x:f>
        <x:v>1</x:v>
      </x:c>
      <x:c r="AS60" s="182" t="n">
        <x:f>IF(AR60=F60,1,0)</x:f>
        <x:v>0</x:v>
      </x:c>
      <x:c r="AT60" s="252" t="n">
        <x:f>ABS(F60-U60)</x:f>
        <x:v>0.5866371393984273</x:v>
      </x:c>
    </x:row>
    <x:row r="61">
      <x:c r="A61" s="114" t="n">
        <x:v>45</x:v>
      </x:c>
      <x:c r="B61" s="114" t="n">
        <x:v>12</x:v>
      </x:c>
      <x:c r="C61" s="114" t="n">
        <x:v>1</x:v>
      </x:c>
      <x:c r="D61" s="168" t="n">
        <x:f>$I$5</x:f>
        <x:v>0</x:v>
      </x:c>
      <x:c r="E61" s="168" t="n">
        <x:f>$J$5</x:f>
        <x:v>0</x:v>
      </x:c>
      <x:c r="F61" s="168" t="n">
        <x:f>$K$5</x:f>
        <x:v>0</x:v>
      </x:c>
      <x:c r="G61" s="242" t="n">
        <x:f>AI60</x:f>
        <x:v>1.1003938151552708</x:v>
      </x:c>
      <x:c r="H61" s="242" t="n">
        <x:f>AJ60</x:f>
        <x:v>-1.3938353021739753</x:v>
      </x:c>
      <x:c r="I61" s="242" t="n">
        <x:f>AK60</x:f>
        <x:v>-1.2034577047936295</x:v>
      </x:c>
      <x:c r="J61" s="242" t="n">
        <x:f>AL60</x:f>
        <x:v>0.6932996850326042</x:v>
      </x:c>
      <x:c r="K61" s="242" t="n">
        <x:f>AM60</x:f>
        <x:v>-1.6756713948101862</x:v>
      </x:c>
      <x:c r="L61" s="242" t="n">
        <x:f>AN60</x:f>
        <x:v>1.214302319558803</x:v>
      </x:c>
      <x:c r="M61" s="242" t="n">
        <x:f>AO60</x:f>
        <x:v>1.2501188290799896</x:v>
      </x:c>
      <x:c r="N61" s="242" t="n">
        <x:f>AP60</x:f>
        <x:v>-1.6953067996948523</x:v>
      </x:c>
      <x:c r="O61" s="242" t="n">
        <x:f>AQ60</x:f>
        <x:v>0.7921868536540133</x:v>
      </x:c>
      <x:c r="P61" s="243" t="n">
        <x:f>D61*G61+E61*H61+I61</x:f>
        <x:v>-1.2034577047936295</x:v>
      </x:c>
      <x:c r="Q61" s="243" t="n">
        <x:f>1/(1+EXP(-P61))</x:f>
        <x:v>0.2308606812364183</x:v>
      </x:c>
      <x:c r="R61" s="243" t="n">
        <x:f>D61*J61+E61*K61+L61</x:f>
        <x:v>1.214302319558803</x:v>
      </x:c>
      <x:c r="S61" s="243" t="n">
        <x:f>1/(1+EXP(-R61))</x:f>
        <x:v>0.7710593095163135</x:v>
      </x:c>
      <x:c r="T61" s="243" t="n">
        <x:f>Q61*M61+S61*N61+O61</x:f>
        <x:v>-0.22639195222913067</x:v>
      </x:c>
      <x:c r="U61" s="243" t="n">
        <x:f>1/(1+EXP(-T61))</x:f>
        <x:v>0.4436425155711053</x:v>
      </x:c>
      <x:c r="V61" s="243" t="n">
        <x:f>0.5*(F61-U61)^2</x:f>
        <x:v>0.0984093408111292</x:v>
      </x:c>
      <x:c r="W61" s="244" t="n">
        <x:f>(U61-F61)*U61*(1-U61)</x:f>
        <x:v>0.10950154659597122</x:v>
      </x:c>
      <x:c r="X61" s="244" t="n">
        <x:f>W61*M61*Q61*(1-Q61)</x:f>
        <x:v>0.024306729940899854</x:v>
      </x:c>
      <x:c r="Y61" s="244" t="n">
        <x:f>W61*N61*S61*(1-S61)</x:f>
        <x:v>-0.032770218000042255</x:v>
      </x:c>
      <x:c r="Z61" s="245" t="n">
        <x:f>X61*D61</x:f>
        <x:v>0</x:v>
      </x:c>
      <x:c r="AA61" s="245" t="n">
        <x:f>X61*E61</x:f>
        <x:v>0</x:v>
      </x:c>
      <x:c r="AB61" s="245" t="n">
        <x:f>X61</x:f>
        <x:v>0.024306729940899854</x:v>
      </x:c>
      <x:c r="AC61" s="245" t="n">
        <x:f>Y61*D61</x:f>
        <x:v>0</x:v>
      </x:c>
      <x:c r="AD61" s="245" t="n">
        <x:f>Y61*E61</x:f>
        <x:v>0</x:v>
      </x:c>
      <x:c r="AE61" s="245" t="n">
        <x:f>Y61</x:f>
        <x:v>-0.032770218000042255</x:v>
      </x:c>
      <x:c r="AF61" s="245" t="n">
        <x:f>W61*Q61</x:f>
        <x:v>0.025279601643587318</x:v>
      </x:c>
      <x:c r="AG61" s="245" t="n">
        <x:f>W61*S61</x:f>
        <x:v>0.084432186909258</x:v>
      </x:c>
      <x:c r="AH61" s="245" t="n">
        <x:f>W61</x:f>
        <x:v>0.10950154659597122</x:v>
      </x:c>
      <x:c r="AI61" s="246" t="n">
        <x:f>G61-$B$4*Z61</x:f>
        <x:v>1.1003938151552708</x:v>
      </x:c>
      <x:c r="AJ61" s="246" t="n">
        <x:f>H61-$B$4*AA61</x:f>
        <x:v>-1.3938353021739753</x:v>
      </x:c>
      <x:c r="AK61" s="246" t="n">
        <x:f>I61-$B$4*AB61</x:f>
        <x:v>-1.2277644347345293</x:v>
      </x:c>
      <x:c r="AL61" s="246" t="n">
        <x:f>J61-$B$4*AC61</x:f>
        <x:v>0.6932996850326042</x:v>
      </x:c>
      <x:c r="AM61" s="246" t="n">
        <x:f>K61-$B$4*AD61</x:f>
        <x:v>-1.6756713948101862</x:v>
      </x:c>
      <x:c r="AN61" s="246" t="n">
        <x:f>L61-$B$4*AE61</x:f>
        <x:v>1.2470725375588452</x:v>
      </x:c>
      <x:c r="AO61" s="246" t="n">
        <x:f>M61-$B$4*AF61</x:f>
        <x:v>1.2248392274364024</x:v>
      </x:c>
      <x:c r="AP61" s="246" t="n">
        <x:f>N61-$B$4*AG61</x:f>
        <x:v>-1.7797389866041102</x:v>
      </x:c>
      <x:c r="AQ61" s="246" t="n">
        <x:f>O61-$B$4*AH61</x:f>
        <x:v>0.6826853070580421</x:v>
      </x:c>
      <x:c r="AR61" s="182" t="n">
        <x:f>IF(U61&gt;=$B$5,1,0)</x:f>
        <x:v>0</x:v>
      </x:c>
      <x:c r="AS61" s="182" t="n">
        <x:f>IF(AR61=F61,1,0)</x:f>
        <x:v>1</x:v>
      </x:c>
      <x:c r="AT61" s="252" t="n">
        <x:f>ABS(F61-U61)</x:f>
        <x:v>0.4436425155711053</x:v>
      </x:c>
    </x:row>
    <x:row r="62">
      <x:c r="A62" s="114" t="n">
        <x:v>46</x:v>
      </x:c>
      <x:c r="B62" s="114" t="n">
        <x:v>12</x:v>
      </x:c>
      <x:c r="C62" s="114" t="n">
        <x:v>2</x:v>
      </x:c>
      <x:c r="D62" s="168" t="n">
        <x:f>$I$6</x:f>
        <x:v>0</x:v>
      </x:c>
      <x:c r="E62" s="168" t="n">
        <x:f>$J$6</x:f>
        <x:v>1</x:v>
      </x:c>
      <x:c r="F62" s="168" t="n">
        <x:f>$K$6</x:f>
        <x:v>1</x:v>
      </x:c>
      <x:c r="G62" s="242" t="n">
        <x:f>AI61</x:f>
        <x:v>1.1003938151552708</x:v>
      </x:c>
      <x:c r="H62" s="242" t="n">
        <x:f>AJ61</x:f>
        <x:v>-1.3938353021739753</x:v>
      </x:c>
      <x:c r="I62" s="242" t="n">
        <x:f>AK61</x:f>
        <x:v>-1.2277644347345293</x:v>
      </x:c>
      <x:c r="J62" s="242" t="n">
        <x:f>AL61</x:f>
        <x:v>0.6932996850326042</x:v>
      </x:c>
      <x:c r="K62" s="242" t="n">
        <x:f>AM61</x:f>
        <x:v>-1.6756713948101862</x:v>
      </x:c>
      <x:c r="L62" s="242" t="n">
        <x:f>AN61</x:f>
        <x:v>1.2470725375588452</x:v>
      </x:c>
      <x:c r="M62" s="242" t="n">
        <x:f>AO61</x:f>
        <x:v>1.2248392274364024</x:v>
      </x:c>
      <x:c r="N62" s="242" t="n">
        <x:f>AP61</x:f>
        <x:v>-1.7797389866041102</x:v>
      </x:c>
      <x:c r="O62" s="242" t="n">
        <x:f>AQ61</x:f>
        <x:v>0.6826853070580421</x:v>
      </x:c>
      <x:c r="P62" s="243" t="n">
        <x:f>D62*G62+E62*H62+I62</x:f>
        <x:v>-2.6215997369085047</x:v>
      </x:c>
      <x:c r="Q62" s="243" t="n">
        <x:f>1/(1+EXP(-P62))</x:f>
        <x:v>0.06776116894476972</x:v>
      </x:c>
      <x:c r="R62" s="243" t="n">
        <x:f>D62*J62+E62*K62+L62</x:f>
        <x:v>-0.42859885725134106</x:v>
      </x:c>
      <x:c r="S62" s="243" t="n">
        <x:f>1/(1+EXP(-R62))</x:f>
        <x:v>0.3944609611045129</x:v>
      </x:c>
      <x:c r="T62" s="243" t="n">
        <x:f>Q62*M62+S62*N62+O62</x:f>
        <x:v>0.06364429370751223</x:v>
      </x:c>
      <x:c r="U62" s="243" t="n">
        <x:f>1/(1+EXP(-T62))</x:f>
        <x:v>0.5159057048237792</x:v>
      </x:c>
      <x:c r="V62" s="243" t="n">
        <x:f>0.5*(F62-U62)^2</x:f>
        <x:v>0.117173643311081</x:v>
      </x:c>
      <x:c r="W62" s="244" t="n">
        <x:f>(U62-F62)*U62*(1-U62)</x:f>
        <x:v>-0.1209011020783467</x:v>
      </x:c>
      <x:c r="X62" s="244" t="n">
        <x:f>W62*M62*Q62*(1-Q62)</x:f>
        <x:v>-0.009354432054451106</x:v>
      </x:c>
      <x:c r="Y62" s="244" t="n">
        <x:f>W62*N62*S62*(1-S62)</x:f>
        <x:v>0.05139640581594849</x:v>
      </x:c>
      <x:c r="Z62" s="245" t="n">
        <x:f>X62*D62</x:f>
        <x:v>0</x:v>
      </x:c>
      <x:c r="AA62" s="245" t="n">
        <x:f>X62*E62</x:f>
        <x:v>-0.009354432054451106</x:v>
      </x:c>
      <x:c r="AB62" s="245" t="n">
        <x:f>X62</x:f>
        <x:v>-0.009354432054451106</x:v>
      </x:c>
      <x:c r="AC62" s="245" t="n">
        <x:f>Y62*D62</x:f>
        <x:v>0</x:v>
      </x:c>
      <x:c r="AD62" s="245" t="n">
        <x:f>Y62*E62</x:f>
        <x:v>0.05139640581594849</x:v>
      </x:c>
      <x:c r="AE62" s="245" t="n">
        <x:f>Y62</x:f>
        <x:v>0.05139640581594849</x:v>
      </x:c>
      <x:c r="AF62" s="245" t="n">
        <x:f>W62*Q62</x:f>
        <x:v>-0.0081924000035397</x:v>
      </x:c>
      <x:c r="AG62" s="245" t="n">
        <x:f>W62*S62</x:f>
        <x:v>-0.04769076492441946</x:v>
      </x:c>
      <x:c r="AH62" s="245" t="n">
        <x:f>W62</x:f>
        <x:v>-0.1209011020783467</x:v>
      </x:c>
      <x:c r="AI62" s="246" t="n">
        <x:f>G62-$B$4*Z62</x:f>
        <x:v>1.1003938151552708</x:v>
      </x:c>
      <x:c r="AJ62" s="246" t="n">
        <x:f>H62-$B$4*AA62</x:f>
        <x:v>-1.3844808701195241</x:v>
      </x:c>
      <x:c r="AK62" s="246" t="n">
        <x:f>I62-$B$4*AB62</x:f>
        <x:v>-1.2184100026800782</x:v>
      </x:c>
      <x:c r="AL62" s="246" t="n">
        <x:f>J62-$B$4*AC62</x:f>
        <x:v>0.6932996850326042</x:v>
      </x:c>
      <x:c r="AM62" s="246" t="n">
        <x:f>K62-$B$4*AD62</x:f>
        <x:v>-1.7270678006261346</x:v>
      </x:c>
      <x:c r="AN62" s="246" t="n">
        <x:f>L62-$B$4*AE62</x:f>
        <x:v>1.1956761317428968</x:v>
      </x:c>
      <x:c r="AO62" s="246" t="n">
        <x:f>M62-$B$4*AF62</x:f>
        <x:v>1.233031627439942</x:v>
      </x:c>
      <x:c r="AP62" s="246" t="n">
        <x:f>N62-$B$4*AG62</x:f>
        <x:v>-1.7320482216796909</x:v>
      </x:c>
      <x:c r="AQ62" s="246" t="n">
        <x:f>O62-$B$4*AH62</x:f>
        <x:v>0.8035864091363888</x:v>
      </x:c>
      <x:c r="AR62" s="182" t="n">
        <x:f>IF(U62&gt;=$B$5,1,0)</x:f>
        <x:v>1</x:v>
      </x:c>
      <x:c r="AS62" s="182" t="n">
        <x:f>IF(AR62=F62,1,0)</x:f>
        <x:v>1</x:v>
      </x:c>
      <x:c r="AT62" s="252" t="n">
        <x:f>ABS(F62-U62)</x:f>
        <x:v>0.4840942951762208</x:v>
      </x:c>
    </x:row>
    <x:row r="63">
      <x:c r="A63" s="114" t="n">
        <x:v>47</x:v>
      </x:c>
      <x:c r="B63" s="114" t="n">
        <x:v>12</x:v>
      </x:c>
      <x:c r="C63" s="114" t="n">
        <x:v>3</x:v>
      </x:c>
      <x:c r="D63" s="168" t="n">
        <x:f>$I$7</x:f>
        <x:v>1</x:v>
      </x:c>
      <x:c r="E63" s="168" t="n">
        <x:f>$J$7</x:f>
        <x:v>0</x:v>
      </x:c>
      <x:c r="F63" s="168" t="n">
        <x:f>$K$7</x:f>
        <x:v>1</x:v>
      </x:c>
      <x:c r="G63" s="242" t="n">
        <x:f>AI62</x:f>
        <x:v>1.1003938151552708</x:v>
      </x:c>
      <x:c r="H63" s="242" t="n">
        <x:f>AJ62</x:f>
        <x:v>-1.3844808701195241</x:v>
      </x:c>
      <x:c r="I63" s="242" t="n">
        <x:f>AK62</x:f>
        <x:v>-1.2184100026800782</x:v>
      </x:c>
      <x:c r="J63" s="242" t="n">
        <x:f>AL62</x:f>
        <x:v>0.6932996850326042</x:v>
      </x:c>
      <x:c r="K63" s="242" t="n">
        <x:f>AM62</x:f>
        <x:v>-1.7270678006261346</x:v>
      </x:c>
      <x:c r="L63" s="242" t="n">
        <x:f>AN62</x:f>
        <x:v>1.1956761317428968</x:v>
      </x:c>
      <x:c r="M63" s="242" t="n">
        <x:f>AO62</x:f>
        <x:v>1.233031627439942</x:v>
      </x:c>
      <x:c r="N63" s="242" t="n">
        <x:f>AP62</x:f>
        <x:v>-1.7320482216796909</x:v>
      </x:c>
      <x:c r="O63" s="242" t="n">
        <x:f>AQ62</x:f>
        <x:v>0.8035864091363888</x:v>
      </x:c>
      <x:c r="P63" s="243" t="n">
        <x:f>D63*G63+E63*H63+I63</x:f>
        <x:v>-0.11801618752480736</x:v>
      </x:c>
      <x:c r="Q63" s="243" t="n">
        <x:f>1/(1+EXP(-P63))</x:f>
        <x:v>0.47053014941406085</x:v>
      </x:c>
      <x:c r="R63" s="243" t="n">
        <x:f>D63*J63+E63*K63+L63</x:f>
        <x:v>1.8889758167755009</x:v>
      </x:c>
      <x:c r="S63" s="243" t="n">
        <x:f>1/(1+EXP(-R63))</x:f>
        <x:v>0.868638709737162</x:v>
      </x:c>
      <x:c r="T63" s="243" t="n">
        <x:f>Q63*M63+S63*N63+O63</x:f>
        <x:v>-0.12075916745442528</x:v>
      </x:c>
      <x:c r="U63" s="243" t="n">
        <x:f>1/(1+EXP(-T63))</x:f>
        <x:v>0.4698468422968819</x:v>
      </x:c>
      <x:c r="V63" s="243" t="n">
        <x:f>0.5*(F63-U63)^2</x:f>
        <x:v>0.1405311853112936</x:v>
      </x:c>
      <x:c r="W63" s="244" t="n">
        <x:f>(U63-F63)*U63*(1-U63)</x:f>
        <x:v>-0.13205626732549852</x:v>
      </x:c>
      <x:c r="X63" s="244" t="n">
        <x:f>W63*M63*Q63*(1-Q63)</x:f>
        <x:v>-0.04056597562965959</x:v>
      </x:c>
      <x:c r="Y63" s="244" t="n">
        <x:f>W63*N63*S63*(1-S63)</x:f>
        <x:v>0.02609910299038469</x:v>
      </x:c>
      <x:c r="Z63" s="245" t="n">
        <x:f>X63*D63</x:f>
        <x:v>-0.04056597562965959</x:v>
      </x:c>
      <x:c r="AA63" s="245" t="n">
        <x:f>X63*E63</x:f>
        <x:v>0</x:v>
      </x:c>
      <x:c r="AB63" s="245" t="n">
        <x:f>X63</x:f>
        <x:v>-0.04056597562965959</x:v>
      </x:c>
      <x:c r="AC63" s="245" t="n">
        <x:f>Y63*D63</x:f>
        <x:v>0.02609910299038469</x:v>
      </x:c>
      <x:c r="AD63" s="245" t="n">
        <x:f>Y63*E63</x:f>
        <x:v>0</x:v>
      </x:c>
      <x:c r="AE63" s="245" t="n">
        <x:f>Y63</x:f>
        <x:v>0.02609910299038469</x:v>
      </x:c>
      <x:c r="AF63" s="245" t="n">
        <x:f>W63*Q63</x:f>
        <x:v>-0.06213645519572998</x:v>
      </x:c>
      <x:c r="AG63" s="245" t="n">
        <x:f>W63*S63</x:f>
        <x:v>-0.11470918566232677</x:v>
      </x:c>
      <x:c r="AH63" s="245" t="n">
        <x:f>W63</x:f>
        <x:v>-0.13205626732549852</x:v>
      </x:c>
      <x:c r="AI63" s="246" t="n">
        <x:f>G63-$B$4*Z63</x:f>
        <x:v>1.1409597907849305</x:v>
      </x:c>
      <x:c r="AJ63" s="246" t="n">
        <x:f>H63-$B$4*AA63</x:f>
        <x:v>-1.3844808701195241</x:v>
      </x:c>
      <x:c r="AK63" s="246" t="n">
        <x:f>I63-$B$4*AB63</x:f>
        <x:v>-1.1778440270504185</x:v>
      </x:c>
      <x:c r="AL63" s="246" t="n">
        <x:f>J63-$B$4*AC63</x:f>
        <x:v>0.6672005820422195</x:v>
      </x:c>
      <x:c r="AM63" s="246" t="n">
        <x:f>K63-$B$4*AD63</x:f>
        <x:v>-1.7270678006261346</x:v>
      </x:c>
      <x:c r="AN63" s="246" t="n">
        <x:f>L63-$B$4*AE63</x:f>
        <x:v>1.169577028752512</x:v>
      </x:c>
      <x:c r="AO63" s="246" t="n">
        <x:f>M63-$B$4*AF63</x:f>
        <x:v>1.295168082635672</x:v>
      </x:c>
      <x:c r="AP63" s="246" t="n">
        <x:f>N63-$B$4*AG63</x:f>
        <x:v>-1.617339036017364</x:v>
      </x:c>
      <x:c r="AQ63" s="246" t="n">
        <x:f>O63-$B$4*AH63</x:f>
        <x:v>0.9356426764618873</x:v>
      </x:c>
      <x:c r="AR63" s="182" t="n">
        <x:f>IF(U63&gt;=$B$5,1,0)</x:f>
        <x:v>0</x:v>
      </x:c>
      <x:c r="AS63" s="182" t="n">
        <x:f>IF(AR63=F63,1,0)</x:f>
        <x:v>0</x:v>
      </x:c>
      <x:c r="AT63" s="252" t="n">
        <x:f>ABS(F63-U63)</x:f>
        <x:v>0.5301531577031181</x:v>
      </x:c>
    </x:row>
    <x:row r="64">
      <x:c r="A64" s="114" t="n">
        <x:v>48</x:v>
      </x:c>
      <x:c r="B64" s="114" t="n">
        <x:v>12</x:v>
      </x:c>
      <x:c r="C64" s="114" t="n">
        <x:v>4</x:v>
      </x:c>
      <x:c r="D64" s="168" t="n">
        <x:f>$I$8</x:f>
        <x:v>1</x:v>
      </x:c>
      <x:c r="E64" s="168" t="n">
        <x:f>$J$8</x:f>
        <x:v>1</x:v>
      </x:c>
      <x:c r="F64" s="168" t="n">
        <x:f>$K$8</x:f>
        <x:v>0</x:v>
      </x:c>
      <x:c r="G64" s="242" t="n">
        <x:f>AI63</x:f>
        <x:v>1.1409597907849305</x:v>
      </x:c>
      <x:c r="H64" s="242" t="n">
        <x:f>AJ63</x:f>
        <x:v>-1.3844808701195241</x:v>
      </x:c>
      <x:c r="I64" s="242" t="n">
        <x:f>AK63</x:f>
        <x:v>-1.1778440270504185</x:v>
      </x:c>
      <x:c r="J64" s="242" t="n">
        <x:f>AL63</x:f>
        <x:v>0.6672005820422195</x:v>
      </x:c>
      <x:c r="K64" s="242" t="n">
        <x:f>AM63</x:f>
        <x:v>-1.7270678006261346</x:v>
      </x:c>
      <x:c r="L64" s="242" t="n">
        <x:f>AN63</x:f>
        <x:v>1.169577028752512</x:v>
      </x:c>
      <x:c r="M64" s="242" t="n">
        <x:f>AO63</x:f>
        <x:v>1.295168082635672</x:v>
      </x:c>
      <x:c r="N64" s="242" t="n">
        <x:f>AP63</x:f>
        <x:v>-1.617339036017364</x:v>
      </x:c>
      <x:c r="O64" s="242" t="n">
        <x:f>AQ63</x:f>
        <x:v>0.9356426764618873</x:v>
      </x:c>
      <x:c r="P64" s="243" t="n">
        <x:f>D64*G64+E64*H64+I64</x:f>
        <x:v>-1.4213651063850121</x:v>
      </x:c>
      <x:c r="Q64" s="243" t="n">
        <x:f>1/(1+EXP(-P64))</x:f>
        <x:v>0.19444766717525097</x:v>
      </x:c>
      <x:c r="R64" s="243" t="n">
        <x:f>D64*J64+E64*K64+L64</x:f>
        <x:v>0.10970981016859693</x:v>
      </x:c>
      <x:c r="S64" s="243" t="n">
        <x:f>1/(1+EXP(-R64))</x:f>
        <x:v>0.527399975324878</x:v>
      </x:c>
      <x:c r="T64" s="243" t="n">
        <x:f>Q64*M64+S64*N64+O64</x:f>
        <x:v>0.33450052104271655</x:v>
      </x:c>
      <x:c r="U64" s="243" t="n">
        <x:f>1/(1+EXP(-T64))</x:f>
        <x:v>0.5828540183072135</x:v>
      </x:c>
      <x:c r="V64" s="243" t="n">
        <x:f>0.5*(F64-U64)^2</x:f>
        <x:v>0.1698594033284328</x:v>
      </x:c>
      <x:c r="W64" s="244" t="n">
        <x:f>(U64-F64)*U64*(1-U64)</x:f>
        <x:v>0.14171233510238013</x:v>
      </x:c>
      <x:c r="X64" s="244" t="n">
        <x:f>W64*M64*Q64*(1-Q64)</x:f>
        <x:v>0.028749499241463052</x:v>
      </x:c>
      <x:c r="Y64" s="244" t="n">
        <x:f>W64*N64*S64*(1-S64)</x:f>
        <x:v>-0.05712715131326023</x:v>
      </x:c>
      <x:c r="Z64" s="245" t="n">
        <x:f>X64*D64</x:f>
        <x:v>0.028749499241463052</x:v>
      </x:c>
      <x:c r="AA64" s="245" t="n">
        <x:f>X64*E64</x:f>
        <x:v>0.028749499241463052</x:v>
      </x:c>
      <x:c r="AB64" s="245" t="n">
        <x:f>X64</x:f>
        <x:v>0.028749499241463052</x:v>
      </x:c>
      <x:c r="AC64" s="245" t="n">
        <x:f>Y64*D64</x:f>
        <x:v>-0.05712715131326023</x:v>
      </x:c>
      <x:c r="AD64" s="245" t="n">
        <x:f>Y64*E64</x:f>
        <x:v>-0.05712715131326023</x:v>
      </x:c>
      <x:c r="AE64" s="245" t="n">
        <x:f>Y64</x:f>
        <x:v>-0.05712715131326023</x:v>
      </x:c>
      <x:c r="AF64" s="245" t="n">
        <x:f>W64*Q64</x:f>
        <x:v>0.027555632970615244</x:v>
      </x:c>
      <x:c r="AG64" s="245" t="n">
        <x:f>W64*S64</x:f>
        <x:v>0.07473908203622613</x:v>
      </x:c>
      <x:c r="AH64" s="245" t="n">
        <x:f>W64</x:f>
        <x:v>0.14171233510238013</x:v>
      </x:c>
      <x:c r="AI64" s="246" t="n">
        <x:f>G64-$B$4*Z64</x:f>
        <x:v>1.1122102915434675</x:v>
      </x:c>
      <x:c r="AJ64" s="246" t="n">
        <x:f>H64-$B$4*AA64</x:f>
        <x:v>-1.4132303693609871</x:v>
      </x:c>
      <x:c r="AK64" s="246" t="n">
        <x:f>I64-$B$4*AB64</x:f>
        <x:v>-1.2065935262918814</x:v>
      </x:c>
      <x:c r="AL64" s="246" t="n">
        <x:f>J64-$B$4*AC64</x:f>
        <x:v>0.7243277333554797</x:v>
      </x:c>
      <x:c r="AM64" s="246" t="n">
        <x:f>K64-$B$4*AD64</x:f>
        <x:v>-1.6699406493128743</x:v>
      </x:c>
      <x:c r="AN64" s="246" t="n">
        <x:f>L64-$B$4*AE64</x:f>
        <x:v>1.2267041800657723</x:v>
      </x:c>
      <x:c r="AO64" s="246" t="n">
        <x:f>M64-$B$4*AF64</x:f>
        <x:v>1.2676124496650567</x:v>
      </x:c>
      <x:c r="AP64" s="246" t="n">
        <x:f>N64-$B$4*AG64</x:f>
        <x:v>-1.6920781180535902</x:v>
      </x:c>
      <x:c r="AQ64" s="246" t="n">
        <x:f>O64-$B$4*AH64</x:f>
        <x:v>0.7939303413595071</x:v>
      </x:c>
      <x:c r="AR64" s="182" t="n">
        <x:f>IF(U64&gt;=$B$5,1,0)</x:f>
        <x:v>1</x:v>
      </x:c>
      <x:c r="AS64" s="182" t="n">
        <x:f>IF(AR64=F64,1,0)</x:f>
        <x:v>0</x:v>
      </x:c>
      <x:c r="AT64" s="252" t="n">
        <x:f>ABS(F64-U64)</x:f>
        <x:v>0.5828540183072135</x:v>
      </x:c>
    </x:row>
    <x:row r="65">
      <x:c r="A65" s="114" t="n">
        <x:v>49</x:v>
      </x:c>
      <x:c r="B65" s="114" t="n">
        <x:v>13</x:v>
      </x:c>
      <x:c r="C65" s="114" t="n">
        <x:v>1</x:v>
      </x:c>
      <x:c r="D65" s="168" t="n">
        <x:f>$I$5</x:f>
        <x:v>0</x:v>
      </x:c>
      <x:c r="E65" s="168" t="n">
        <x:f>$J$5</x:f>
        <x:v>0</x:v>
      </x:c>
      <x:c r="F65" s="168" t="n">
        <x:f>$K$5</x:f>
        <x:v>0</x:v>
      </x:c>
      <x:c r="G65" s="242" t="n">
        <x:f>AI64</x:f>
        <x:v>1.1122102915434675</x:v>
      </x:c>
      <x:c r="H65" s="242" t="n">
        <x:f>AJ64</x:f>
        <x:v>-1.4132303693609871</x:v>
      </x:c>
      <x:c r="I65" s="242" t="n">
        <x:f>AK64</x:f>
        <x:v>-1.2065935262918814</x:v>
      </x:c>
      <x:c r="J65" s="242" t="n">
        <x:f>AL64</x:f>
        <x:v>0.7243277333554797</x:v>
      </x:c>
      <x:c r="K65" s="242" t="n">
        <x:f>AM64</x:f>
        <x:v>-1.6699406493128743</x:v>
      </x:c>
      <x:c r="L65" s="242" t="n">
        <x:f>AN64</x:f>
        <x:v>1.2267041800657723</x:v>
      </x:c>
      <x:c r="M65" s="242" t="n">
        <x:f>AO64</x:f>
        <x:v>1.2676124496650567</x:v>
      </x:c>
      <x:c r="N65" s="242" t="n">
        <x:f>AP64</x:f>
        <x:v>-1.6920781180535902</x:v>
      </x:c>
      <x:c r="O65" s="242" t="n">
        <x:f>AQ64</x:f>
        <x:v>0.7939303413595071</x:v>
      </x:c>
      <x:c r="P65" s="243" t="n">
        <x:f>D65*G65+E65*H65+I65</x:f>
        <x:v>-1.2065935262918814</x:v>
      </x:c>
      <x:c r="Q65" s="243" t="n">
        <x:f>1/(1+EXP(-P65))</x:f>
        <x:v>0.23030434213393153</x:v>
      </x:c>
      <x:c r="R65" s="243" t="n">
        <x:f>D65*J65+E65*K65+L65</x:f>
        <x:v>1.2267041800657723</x:v>
      </x:c>
      <x:c r="S65" s="243" t="n">
        <x:f>1/(1+EXP(-R65))</x:f>
        <x:v>0.7732412081717793</x:v>
      </x:c>
      <x:c r="T65" s="243" t="n">
        <x:f>Q65*M65+S65*N65+O65</x:f>
        <x:v>-0.22251753566438937</x:v>
      </x:c>
      <x:c r="U65" s="243" t="n">
        <x:f>1/(1+EXP(-T65))</x:f>
        <x:v>0.4445990215807677</x:v>
      </x:c>
      <x:c r="V65" s="243" t="n">
        <x:f>0.5*(F65-U65)^2</x:f>
        <x:v>0.09883414499528798</x:v>
      </x:c>
      <x:c r="W65" s="244" t="n">
        <x:f>(U65-F65)*U65*(1-U65)</x:f>
        <x:v>0.10978516166322243</x:v>
      </x:c>
      <x:c r="X65" s="244" t="n">
        <x:f>W65*M65*Q65*(1-Q65)</x:f>
        <x:v>0.024668986332549166</x:v>
      </x:c>
      <x:c r="Y65" s="244" t="n">
        <x:f>W65*N65*S65*(1-S65)</x:f>
        <x:v>-0.03257190654695073</x:v>
      </x:c>
      <x:c r="Z65" s="245" t="n">
        <x:f>X65*D65</x:f>
        <x:v>0</x:v>
      </x:c>
      <x:c r="AA65" s="245" t="n">
        <x:f>X65*E65</x:f>
        <x:v>0</x:v>
      </x:c>
      <x:c r="AB65" s="245" t="n">
        <x:f>X65</x:f>
        <x:v>0.024668986332549166</x:v>
      </x:c>
      <x:c r="AC65" s="245" t="n">
        <x:f>Y65*D65</x:f>
        <x:v>0</x:v>
      </x:c>
      <x:c r="AD65" s="245" t="n">
        <x:f>Y65*E65</x:f>
        <x:v>0</x:v>
      </x:c>
      <x:c r="AE65" s="245" t="n">
        <x:f>Y65</x:f>
        <x:v>-0.03257190654695073</x:v>
      </x:c>
      <x:c r="AF65" s="245" t="n">
        <x:f>W65*Q65</x:f>
        <x:v>0.02528399943291576</x:v>
      </x:c>
      <x:c r="AG65" s="245" t="n">
        <x:f>W65*S65</x:f>
        <x:v>0.08489041104380422</x:v>
      </x:c>
      <x:c r="AH65" s="245" t="n">
        <x:f>W65</x:f>
        <x:v>0.10978516166322243</x:v>
      </x:c>
      <x:c r="AI65" s="246" t="n">
        <x:f>G65-$B$4*Z65</x:f>
        <x:v>1.1122102915434675</x:v>
      </x:c>
      <x:c r="AJ65" s="246" t="n">
        <x:f>H65-$B$4*AA65</x:f>
        <x:v>-1.4132303693609871</x:v>
      </x:c>
      <x:c r="AK65" s="246" t="n">
        <x:f>I65-$B$4*AB65</x:f>
        <x:v>-1.2312625126244305</x:v>
      </x:c>
      <x:c r="AL65" s="246" t="n">
        <x:f>J65-$B$4*AC65</x:f>
        <x:v>0.7243277333554797</x:v>
      </x:c>
      <x:c r="AM65" s="246" t="n">
        <x:f>K65-$B$4*AD65</x:f>
        <x:v>-1.6699406493128743</x:v>
      </x:c>
      <x:c r="AN65" s="246" t="n">
        <x:f>L65-$B$4*AE65</x:f>
        <x:v>1.259276086612723</x:v>
      </x:c>
      <x:c r="AO65" s="246" t="n">
        <x:f>M65-$B$4*AF65</x:f>
        <x:v>1.242328450232141</x:v>
      </x:c>
      <x:c r="AP65" s="246" t="n">
        <x:f>N65-$B$4*AG65</x:f>
        <x:v>-1.7769685290973944</x:v>
      </x:c>
      <x:c r="AQ65" s="246" t="n">
        <x:f>O65-$B$4*AH65</x:f>
        <x:v>0.6841451796962847</x:v>
      </x:c>
      <x:c r="AR65" s="182" t="n">
        <x:f>IF(U65&gt;=$B$5,1,0)</x:f>
        <x:v>0</x:v>
      </x:c>
      <x:c r="AS65" s="182" t="n">
        <x:f>IF(AR65=F65,1,0)</x:f>
        <x:v>1</x:v>
      </x:c>
      <x:c r="AT65" s="252" t="n">
        <x:f>ABS(F65-U65)</x:f>
        <x:v>0.4445990215807677</x:v>
      </x:c>
    </x:row>
    <x:row r="66">
      <x:c r="A66" s="114" t="n">
        <x:v>50</x:v>
      </x:c>
      <x:c r="B66" s="114" t="n">
        <x:v>13</x:v>
      </x:c>
      <x:c r="C66" s="114" t="n">
        <x:v>2</x:v>
      </x:c>
      <x:c r="D66" s="168" t="n">
        <x:f>$I$6</x:f>
        <x:v>0</x:v>
      </x:c>
      <x:c r="E66" s="168" t="n">
        <x:f>$J$6</x:f>
        <x:v>1</x:v>
      </x:c>
      <x:c r="F66" s="168" t="n">
        <x:f>$K$6</x:f>
        <x:v>1</x:v>
      </x:c>
      <x:c r="G66" s="242" t="n">
        <x:f>AI65</x:f>
        <x:v>1.1122102915434675</x:v>
      </x:c>
      <x:c r="H66" s="242" t="n">
        <x:f>AJ65</x:f>
        <x:v>-1.4132303693609871</x:v>
      </x:c>
      <x:c r="I66" s="242" t="n">
        <x:f>AK65</x:f>
        <x:v>-1.2312625126244305</x:v>
      </x:c>
      <x:c r="J66" s="242" t="n">
        <x:f>AL65</x:f>
        <x:v>0.7243277333554797</x:v>
      </x:c>
      <x:c r="K66" s="242" t="n">
        <x:f>AM65</x:f>
        <x:v>-1.6699406493128743</x:v>
      </x:c>
      <x:c r="L66" s="242" t="n">
        <x:f>AN65</x:f>
        <x:v>1.259276086612723</x:v>
      </x:c>
      <x:c r="M66" s="242" t="n">
        <x:f>AO65</x:f>
        <x:v>1.242328450232141</x:v>
      </x:c>
      <x:c r="N66" s="242" t="n">
        <x:f>AP65</x:f>
        <x:v>-1.7769685290973944</x:v>
      </x:c>
      <x:c r="O66" s="242" t="n">
        <x:f>AQ65</x:f>
        <x:v>0.6841451796962847</x:v>
      </x:c>
      <x:c r="P66" s="243" t="n">
        <x:f>D66*G66+E66*H66+I66</x:f>
        <x:v>-2.6444928819854177</x:v>
      </x:c>
      <x:c r="Q66" s="243" t="n">
        <x:f>1/(1+EXP(-P66))</x:f>
        <x:v>0.06632925010295165</x:v>
      </x:c>
      <x:c r="R66" s="243" t="n">
        <x:f>D66*J66+E66*K66+L66</x:f>
        <x:v>-0.4106645627001513</x:v>
      </x:c>
      <x:c r="S66" s="243" t="n">
        <x:f>1/(1+EXP(-R66))</x:f>
        <x:v>0.3987527821929653</x:v>
      </x:c>
      <x:c r="T66" s="243" t="n">
        <x:f>Q66*M66+S66*N66+O66</x:f>
        <x:v>0.05797674933481756</x:v>
      </x:c>
      <x:c r="U66" s="243" t="n">
        <x:f>1/(1+EXP(-T66))</x:f>
        <x:v>0.5144901287510714</x:v>
      </x:c>
      <x:c r="V66" s="243" t="n">
        <x:f>0.5*(F66-U66)^2</x:f>
        <x:v>0.11785991754007563</x:v>
      </x:c>
      <x:c r="W66" s="244" t="n">
        <x:f>(U66-F66)*U66*(1-U66)</x:f>
        <x:v>-0.12127552829956834</x:v>
      </x:c>
      <x:c r="X66" s="244" t="n">
        <x:f>W66*M66*Q66*(1-Q66)</x:f>
        <x:v>-0.00933057583343881</x:v>
      </x:c>
      <x:c r="Y66" s="244" t="n">
        <x:f>W66*N66*S66*(1-S66)</x:f>
        <x:v>0.05166658030204443</x:v>
      </x:c>
      <x:c r="Z66" s="245" t="n">
        <x:f>X66*D66</x:f>
        <x:v>0</x:v>
      </x:c>
      <x:c r="AA66" s="245" t="n">
        <x:f>X66*E66</x:f>
        <x:v>-0.00933057583343881</x:v>
      </x:c>
      <x:c r="AB66" s="245" t="n">
        <x:f>X66</x:f>
        <x:v>-0.00933057583343881</x:v>
      </x:c>
      <x:c r="AC66" s="245" t="n">
        <x:f>Y66*D66</x:f>
        <x:v>0</x:v>
      </x:c>
      <x:c r="AD66" s="245" t="n">
        <x:f>Y66*E66</x:f>
        <x:v>0.05166658030204443</x:v>
      </x:c>
      <x:c r="AE66" s="245" t="n">
        <x:f>Y66</x:f>
        <x:v>0.05166658030204443</x:v>
      </x:c>
      <x:c r="AF66" s="245" t="n">
        <x:f>W66*Q66</x:f>
        <x:v>-0.00804411484794966</x:v>
      </x:c>
      <x:c r="AG66" s="245" t="n">
        <x:f>W66*S66</x:f>
        <x:v>-0.04835895432137457</x:v>
      </x:c>
      <x:c r="AH66" s="245" t="n">
        <x:f>W66</x:f>
        <x:v>-0.12127552829956834</x:v>
      </x:c>
      <x:c r="AI66" s="246" t="n">
        <x:f>G66-$B$4*Z66</x:f>
        <x:v>1.1122102915434675</x:v>
      </x:c>
      <x:c r="AJ66" s="246" t="n">
        <x:f>H66-$B$4*AA66</x:f>
        <x:v>-1.4038997935275483</x:v>
      </x:c>
      <x:c r="AK66" s="246" t="n">
        <x:f>I66-$B$4*AB66</x:f>
        <x:v>-1.2219319367909918</x:v>
      </x:c>
      <x:c r="AL66" s="246" t="n">
        <x:f>J66-$B$4*AC66</x:f>
        <x:v>0.7243277333554797</x:v>
      </x:c>
      <x:c r="AM66" s="246" t="n">
        <x:f>K66-$B$4*AD66</x:f>
        <x:v>-1.7216072296149187</x:v>
      </x:c>
      <x:c r="AN66" s="246" t="n">
        <x:f>L66-$B$4*AE66</x:f>
        <x:v>1.2076095063106786</x:v>
      </x:c>
      <x:c r="AO66" s="246" t="n">
        <x:f>M66-$B$4*AF66</x:f>
        <x:v>1.2503725650800908</x:v>
      </x:c>
      <x:c r="AP66" s="246" t="n">
        <x:f>N66-$B$4*AG66</x:f>
        <x:v>-1.72860957477602</x:v>
      </x:c>
      <x:c r="AQ66" s="246" t="n">
        <x:f>O66-$B$4*AH66</x:f>
        <x:v>0.8054207079958531</x:v>
      </x:c>
      <x:c r="AR66" s="182" t="n">
        <x:f>IF(U66&gt;=$B$5,1,0)</x:f>
        <x:v>1</x:v>
      </x:c>
      <x:c r="AS66" s="182" t="n">
        <x:f>IF(AR66=F66,1,0)</x:f>
        <x:v>1</x:v>
      </x:c>
      <x:c r="AT66" s="252" t="n">
        <x:f>ABS(F66-U66)</x:f>
        <x:v>0.48550987124892864</x:v>
      </x:c>
    </x:row>
    <x:row r="67">
      <x:c r="A67" s="114" t="n">
        <x:v>51</x:v>
      </x:c>
      <x:c r="B67" s="114" t="n">
        <x:v>13</x:v>
      </x:c>
      <x:c r="C67" s="114" t="n">
        <x:v>3</x:v>
      </x:c>
      <x:c r="D67" s="168" t="n">
        <x:f>$I$7</x:f>
        <x:v>1</x:v>
      </x:c>
      <x:c r="E67" s="168" t="n">
        <x:f>$J$7</x:f>
        <x:v>0</x:v>
      </x:c>
      <x:c r="F67" s="168" t="n">
        <x:f>$K$7</x:f>
        <x:v>1</x:v>
      </x:c>
      <x:c r="G67" s="242" t="n">
        <x:f>AI66</x:f>
        <x:v>1.1122102915434675</x:v>
      </x:c>
      <x:c r="H67" s="242" t="n">
        <x:f>AJ66</x:f>
        <x:v>-1.4038997935275483</x:v>
      </x:c>
      <x:c r="I67" s="242" t="n">
        <x:f>AK66</x:f>
        <x:v>-1.2219319367909918</x:v>
      </x:c>
      <x:c r="J67" s="242" t="n">
        <x:f>AL66</x:f>
        <x:v>0.7243277333554797</x:v>
      </x:c>
      <x:c r="K67" s="242" t="n">
        <x:f>AM66</x:f>
        <x:v>-1.7216072296149187</x:v>
      </x:c>
      <x:c r="L67" s="242" t="n">
        <x:f>AN66</x:f>
        <x:v>1.2076095063106786</x:v>
      </x:c>
      <x:c r="M67" s="242" t="n">
        <x:f>AO66</x:f>
        <x:v>1.2503725650800908</x:v>
      </x:c>
      <x:c r="N67" s="242" t="n">
        <x:f>AP66</x:f>
        <x:v>-1.72860957477602</x:v>
      </x:c>
      <x:c r="O67" s="242" t="n">
        <x:f>AQ66</x:f>
        <x:v>0.8054207079958531</x:v>
      </x:c>
      <x:c r="P67" s="243" t="n">
        <x:f>D67*G67+E67*H67+I67</x:f>
        <x:v>-0.10972164524752426</x:v>
      </x:c>
      <x:c r="Q67" s="243" t="n">
        <x:f>1/(1+EXP(-P67))</x:f>
        <x:v>0.47259707479163465</x:v>
      </x:c>
      <x:c r="R67" s="243" t="n">
        <x:f>D67*J67+E67*K67+L67</x:f>
        <x:v>1.9319372396661585</x:v>
      </x:c>
      <x:c r="S67" s="243" t="n">
        <x:f>1/(1+EXP(-R67))</x:f>
        <x:v>0.8734636880009237</x:v>
      </x:c>
      <x:c r="T67" s="243" t="n">
        <x:f>Q67*M67+S67*N67+O67</x:f>
        <x:v>-0.11353456964515407</x:v>
      </x:c>
      <x:c r="U67" s="243" t="n">
        <x:f>1/(1+EXP(-T67))</x:f>
        <x:v>0.47164680733484077</x:v>
      </x:c>
      <x:c r="V67" s="243" t="n">
        <x:f>0.5*(F67-U67)^2</x:f>
        <x:v>0.13957854809973344</x:v>
      </x:c>
      <x:c r="W67" s="244" t="n">
        <x:f>(U67-F67)*U67*(1-U67)</x:f>
        <x:v>-0.13166355316734354</x:v>
      </x:c>
      <x:c r="X67" s="244" t="n">
        <x:f>W67*M67*Q67*(1-Q67)</x:f>
        <x:v>-0.04103350079508062</x:v>
      </x:c>
      <x:c r="Y67" s="244" t="n">
        <x:f>W67*N67*S67*(1-S67)</x:f>
        <x:v>0.02515489522819599</x:v>
      </x:c>
      <x:c r="Z67" s="245" t="n">
        <x:f>X67*D67</x:f>
        <x:v>-0.04103350079508062</x:v>
      </x:c>
      <x:c r="AA67" s="245" t="n">
        <x:f>X67*E67</x:f>
        <x:v>0</x:v>
      </x:c>
      <x:c r="AB67" s="245" t="n">
        <x:f>X67</x:f>
        <x:v>-0.04103350079508062</x:v>
      </x:c>
      <x:c r="AC67" s="245" t="n">
        <x:f>Y67*D67</x:f>
        <x:v>0.02515489522819599</x:v>
      </x:c>
      <x:c r="AD67" s="245" t="n">
        <x:f>Y67*E67</x:f>
        <x:v>0</x:v>
      </x:c>
      <x:c r="AE67" s="245" t="n">
        <x:f>Y67</x:f>
        <x:v>0.02515489522819599</x:v>
      </x:c>
      <x:c r="AF67" s="245" t="n">
        <x:f>W67*Q67</x:f>
        <x:v>-0.06222381008355942</x:v>
      </x:c>
      <x:c r="AG67" s="245" t="n">
        <x:f>W67*S67</x:f>
        <x:v>-0.11500333272485358</x:v>
      </x:c>
      <x:c r="AH67" s="245" t="n">
        <x:f>W67</x:f>
        <x:v>-0.13166355316734354</x:v>
      </x:c>
      <x:c r="AI67" s="246" t="n">
        <x:f>G67-$B$4*Z67</x:f>
        <x:v>1.1532437923385481</x:v>
      </x:c>
      <x:c r="AJ67" s="246" t="n">
        <x:f>H67-$B$4*AA67</x:f>
        <x:v>-1.4038997935275483</x:v>
      </x:c>
      <x:c r="AK67" s="246" t="n">
        <x:f>I67-$B$4*AB67</x:f>
        <x:v>-1.1808984359959112</x:v>
      </x:c>
      <x:c r="AL67" s="246" t="n">
        <x:f>J67-$B$4*AC67</x:f>
        <x:v>0.6991728381272837</x:v>
      </x:c>
      <x:c r="AM67" s="246" t="n">
        <x:f>K67-$B$4*AD67</x:f>
        <x:v>-1.7216072296149187</x:v>
      </x:c>
      <x:c r="AN67" s="246" t="n">
        <x:f>L67-$B$4*AE67</x:f>
        <x:v>1.1824546110824827</x:v>
      </x:c>
      <x:c r="AO67" s="246" t="n">
        <x:f>M67-$B$4*AF67</x:f>
        <x:v>1.3125963751636502</x:v>
      </x:c>
      <x:c r="AP67" s="246" t="n">
        <x:f>N67-$B$4*AG67</x:f>
        <x:v>-1.6136062420511663</x:v>
      </x:c>
      <x:c r="AQ67" s="246" t="n">
        <x:f>O67-$B$4*AH67</x:f>
        <x:v>0.9370842611631967</x:v>
      </x:c>
      <x:c r="AR67" s="182" t="n">
        <x:f>IF(U67&gt;=$B$5,1,0)</x:f>
        <x:v>0</x:v>
      </x:c>
      <x:c r="AS67" s="182" t="n">
        <x:f>IF(AR67=F67,1,0)</x:f>
        <x:v>0</x:v>
      </x:c>
      <x:c r="AT67" s="252" t="n">
        <x:f>ABS(F67-U67)</x:f>
        <x:v>0.5283531926651592</x:v>
      </x:c>
    </x:row>
    <x:row r="68">
      <x:c r="A68" s="114" t="n">
        <x:v>52</x:v>
      </x:c>
      <x:c r="B68" s="114" t="n">
        <x:v>13</x:v>
      </x:c>
      <x:c r="C68" s="114" t="n">
        <x:v>4</x:v>
      </x:c>
      <x:c r="D68" s="168" t="n">
        <x:f>$I$8</x:f>
        <x:v>1</x:v>
      </x:c>
      <x:c r="E68" s="168" t="n">
        <x:f>$J$8</x:f>
        <x:v>1</x:v>
      </x:c>
      <x:c r="F68" s="168" t="n">
        <x:f>$K$8</x:f>
        <x:v>0</x:v>
      </x:c>
      <x:c r="G68" s="242" t="n">
        <x:f>AI67</x:f>
        <x:v>1.1532437923385481</x:v>
      </x:c>
      <x:c r="H68" s="242" t="n">
        <x:f>AJ67</x:f>
        <x:v>-1.4038997935275483</x:v>
      </x:c>
      <x:c r="I68" s="242" t="n">
        <x:f>AK67</x:f>
        <x:v>-1.1808984359959112</x:v>
      </x:c>
      <x:c r="J68" s="242" t="n">
        <x:f>AL67</x:f>
        <x:v>0.6991728381272837</x:v>
      </x:c>
      <x:c r="K68" s="242" t="n">
        <x:f>AM67</x:f>
        <x:v>-1.7216072296149187</x:v>
      </x:c>
      <x:c r="L68" s="242" t="n">
        <x:f>AN67</x:f>
        <x:v>1.1824546110824827</x:v>
      </x:c>
      <x:c r="M68" s="242" t="n">
        <x:f>AO67</x:f>
        <x:v>1.3125963751636502</x:v>
      </x:c>
      <x:c r="N68" s="242" t="n">
        <x:f>AP67</x:f>
        <x:v>-1.6136062420511663</x:v>
      </x:c>
      <x:c r="O68" s="242" t="n">
        <x:f>AQ67</x:f>
        <x:v>0.9370842611631967</x:v>
      </x:c>
      <x:c r="P68" s="243" t="n">
        <x:f>D68*G68+E68*H68+I68</x:f>
        <x:v>-1.4315544371849114</x:v>
      </x:c>
      <x:c r="Q68" s="243" t="n">
        <x:f>1/(1+EXP(-P68))</x:f>
        <x:v>0.19285660045267122</x:v>
      </x:c>
      <x:c r="R68" s="243" t="n">
        <x:f>D68*J68+E68*K68+L68</x:f>
        <x:v>0.1600202195948477</x:v>
      </x:c>
      <x:c r="S68" s="243" t="n">
        <x:f>1/(1+EXP(-R68))</x:f>
        <x:v>0.5399199072364055</x:v>
      </x:c>
      <x:c r="T68" s="243" t="n">
        <x:f>Q68*M68+S68*N68+O68</x:f>
        <x:v>0.31900900331940674</x:v>
      </x:c>
      <x:c r="U68" s="243" t="n">
        <x:f>1/(1+EXP(-T68))</x:f>
        <x:v>0.5790827196965442</x:v>
      </x:c>
      <x:c r="V68" s="243" t="n">
        <x:f>0.5*(F68-U68)^2</x:f>
        <x:v>0.16766839812557321</x:v>
      </x:c>
      <x:c r="W68" s="244" t="n">
        <x:f>(U68-F68)*U68*(1-U68)</x:f>
        <x:v>0.14114905226370664</x:v>
      </x:c>
      <x:c r="X68" s="244" t="n">
        <x:f>W68*M68*Q68*(1-Q68)</x:f>
        <x:v>0.02883994140828214</x:v>
      </x:c>
      <x:c r="Y68" s="244" t="n">
        <x:f>W68*N68*S68*(1-S68)</x:f>
        <x:v>-0.05657679144794006</x:v>
      </x:c>
      <x:c r="Z68" s="245" t="n">
        <x:f>X68*D68</x:f>
        <x:v>0.02883994140828214</x:v>
      </x:c>
      <x:c r="AA68" s="245" t="n">
        <x:f>X68*E68</x:f>
        <x:v>0.02883994140828214</x:v>
      </x:c>
      <x:c r="AB68" s="245" t="n">
        <x:f>X68</x:f>
        <x:v>0.02883994140828214</x:v>
      </x:c>
      <x:c r="AC68" s="245" t="n">
        <x:f>Y68*D68</x:f>
        <x:v>-0.05657679144794006</x:v>
      </x:c>
      <x:c r="AD68" s="245" t="n">
        <x:f>Y68*E68</x:f>
        <x:v>-0.05657679144794006</x:v>
      </x:c>
      <x:c r="AE68" s="245" t="n">
        <x:f>Y68</x:f>
        <x:v>-0.05657679144794006</x:v>
      </x:c>
      <x:c r="AF68" s="245" t="n">
        <x:f>W68*Q68</x:f>
        <x:v>0.02722152637669488</x:v>
      </x:c>
      <x:c r="AG68" s="245" t="n">
        <x:f>W68*S68</x:f>
        <x:v>0.07620918320472704</x:v>
      </x:c>
      <x:c r="AH68" s="245" t="n">
        <x:f>W68</x:f>
        <x:v>0.14114905226370664</x:v>
      </x:c>
      <x:c r="AI68" s="246" t="n">
        <x:f>G68-$B$4*Z68</x:f>
        <x:v>1.124403850930266</x:v>
      </x:c>
      <x:c r="AJ68" s="246" t="n">
        <x:f>H68-$B$4*AA68</x:f>
        <x:v>-1.4327397349358304</x:v>
      </x:c>
      <x:c r="AK68" s="246" t="n">
        <x:f>I68-$B$4*AB68</x:f>
        <x:v>-1.2097383774041932</x:v>
      </x:c>
      <x:c r="AL68" s="246" t="n">
        <x:f>J68-$B$4*AC68</x:f>
        <x:v>0.7557496295752237</x:v>
      </x:c>
      <x:c r="AM68" s="246" t="n">
        <x:f>K68-$B$4*AD68</x:f>
        <x:v>-1.6650304381669787</x:v>
      </x:c>
      <x:c r="AN68" s="246" t="n">
        <x:f>L68-$B$4*AE68</x:f>
        <x:v>1.2390314025304228</x:v>
      </x:c>
      <x:c r="AO68" s="246" t="n">
        <x:f>M68-$B$4*AF68</x:f>
        <x:v>1.2853748487869554</x:v>
      </x:c>
      <x:c r="AP68" s="246" t="n">
        <x:f>N68-$B$4*AG68</x:f>
        <x:v>-1.6898154252558935</x:v>
      </x:c>
      <x:c r="AQ68" s="246" t="n">
        <x:f>O68-$B$4*AH68</x:f>
        <x:v>0.79593520889949</x:v>
      </x:c>
      <x:c r="AR68" s="182" t="n">
        <x:f>IF(U68&gt;=$B$5,1,0)</x:f>
        <x:v>1</x:v>
      </x:c>
      <x:c r="AS68" s="182" t="n">
        <x:f>IF(AR68=F68,1,0)</x:f>
        <x:v>0</x:v>
      </x:c>
      <x:c r="AT68" s="252" t="n">
        <x:f>ABS(F68-U68)</x:f>
        <x:v>0.5790827196965442</x:v>
      </x:c>
    </x:row>
    <x:row r="69">
      <x:c r="A69" s="114" t="n">
        <x:v>53</x:v>
      </x:c>
      <x:c r="B69" s="114" t="n">
        <x:v>14</x:v>
      </x:c>
      <x:c r="C69" s="114" t="n">
        <x:v>1</x:v>
      </x:c>
      <x:c r="D69" s="168" t="n">
        <x:f>$I$5</x:f>
        <x:v>0</x:v>
      </x:c>
      <x:c r="E69" s="168" t="n">
        <x:f>$J$5</x:f>
        <x:v>0</x:v>
      </x:c>
      <x:c r="F69" s="168" t="n">
        <x:f>$K$5</x:f>
        <x:v>0</x:v>
      </x:c>
      <x:c r="G69" s="242" t="n">
        <x:f>AI68</x:f>
        <x:v>1.124403850930266</x:v>
      </x:c>
      <x:c r="H69" s="242" t="n">
        <x:f>AJ68</x:f>
        <x:v>-1.4327397349358304</x:v>
      </x:c>
      <x:c r="I69" s="242" t="n">
        <x:f>AK68</x:f>
        <x:v>-1.2097383774041932</x:v>
      </x:c>
      <x:c r="J69" s="242" t="n">
        <x:f>AL68</x:f>
        <x:v>0.7557496295752237</x:v>
      </x:c>
      <x:c r="K69" s="242" t="n">
        <x:f>AM68</x:f>
        <x:v>-1.6650304381669787</x:v>
      </x:c>
      <x:c r="L69" s="242" t="n">
        <x:f>AN68</x:f>
        <x:v>1.2390314025304228</x:v>
      </x:c>
      <x:c r="M69" s="242" t="n">
        <x:f>AO68</x:f>
        <x:v>1.2853748487869554</x:v>
      </x:c>
      <x:c r="N69" s="242" t="n">
        <x:f>AP68</x:f>
        <x:v>-1.6898154252558935</x:v>
      </x:c>
      <x:c r="O69" s="242" t="n">
        <x:f>AQ68</x:f>
        <x:v>0.79593520889949</x:v>
      </x:c>
      <x:c r="P69" s="243" t="n">
        <x:f>D69*G69+E69*H69+I69</x:f>
        <x:v>-1.2097383774041932</x:v>
      </x:c>
      <x:c r="Q69" s="243" t="n">
        <x:f>1/(1+EXP(-P69))</x:f>
        <x:v>0.22974734533085198</x:v>
      </x:c>
      <x:c r="R69" s="243" t="n">
        <x:f>D69*J69+E69*K69+L69</x:f>
        <x:v>1.2390314025304228</x:v>
      </x:c>
      <x:c r="S69" s="243" t="n">
        <x:f>1/(1+EXP(-R69))</x:f>
        <x:v>0.7753953708604453</x:v>
      </x:c>
      <x:c r="T69" s="243" t="n">
        <x:f>Q69*M69+S69*N69+O69</x:f>
        <x:v>-0.2190283901886565</x:v>
      </x:c>
      <x:c r="U69" s="243" t="n">
        <x:f>1/(1+EXP(-T69))</x:f>
        <x:v>0.44546076452816546</x:v>
      </x:c>
      <x:c r="V69" s="243" t="n">
        <x:f>0.5*(F69-U69)^2</x:f>
        <x:v>0.09921764636700885</x:v>
      </x:c>
      <x:c r="W69" s="244" t="n">
        <x:f>(U69-F69)*U69*(1-U69)</x:f>
        <x:v>0.11004015552335186</x:v>
      </x:c>
      <x:c r="X69" s="244" t="n">
        <x:f>W69*M69*Q69*(1-Q69)</x:f>
        <x:v>0.025030221853191422</x:v>
      </x:c>
      <x:c r="Y69" s="244" t="n">
        <x:f>W69*N69*S69*(1-S69)</x:f>
        <x:v>-0.03238414031402246</x:v>
      </x:c>
      <x:c r="Z69" s="245" t="n">
        <x:f>X69*D69</x:f>
        <x:v>0</x:v>
      </x:c>
      <x:c r="AA69" s="245" t="n">
        <x:f>X69*E69</x:f>
        <x:v>0</x:v>
      </x:c>
      <x:c r="AB69" s="245" t="n">
        <x:f>X69</x:f>
        <x:v>0.025030221853191422</x:v>
      </x:c>
      <x:c r="AC69" s="245" t="n">
        <x:f>Y69*D69</x:f>
        <x:v>0</x:v>
      </x:c>
      <x:c r="AD69" s="245" t="n">
        <x:f>Y69*E69</x:f>
        <x:v>0</x:v>
      </x:c>
      <x:c r="AE69" s="245" t="n">
        <x:f>Y69</x:f>
        <x:v>-0.03238414031402246</x:v>
      </x:c>
      <x:c r="AF69" s="245" t="n">
        <x:f>W69*Q69</x:f>
        <x:v>0.02528143361128418</x:v>
      </x:c>
      <x:c r="AG69" s="245" t="n">
        <x:f>W69*S69</x:f>
        <x:v>0.0853246272015705</x:v>
      </x:c>
      <x:c r="AH69" s="245" t="n">
        <x:f>W69</x:f>
        <x:v>0.11004015552335186</x:v>
      </x:c>
      <x:c r="AI69" s="246" t="n">
        <x:f>G69-$B$4*Z69</x:f>
        <x:v>1.124403850930266</x:v>
      </x:c>
      <x:c r="AJ69" s="246" t="n">
        <x:f>H69-$B$4*AA69</x:f>
        <x:v>-1.4327397349358304</x:v>
      </x:c>
      <x:c r="AK69" s="246" t="n">
        <x:f>I69-$B$4*AB69</x:f>
        <x:v>-1.2347685992573847</x:v>
      </x:c>
      <x:c r="AL69" s="246" t="n">
        <x:f>J69-$B$4*AC69</x:f>
        <x:v>0.7557496295752237</x:v>
      </x:c>
      <x:c r="AM69" s="246" t="n">
        <x:f>K69-$B$4*AD69</x:f>
        <x:v>-1.6650304381669787</x:v>
      </x:c>
      <x:c r="AN69" s="246" t="n">
        <x:f>L69-$B$4*AE69</x:f>
        <x:v>1.2714155428444451</x:v>
      </x:c>
      <x:c r="AO69" s="246" t="n">
        <x:f>M69-$B$4*AF69</x:f>
        <x:v>1.2600934151756713</x:v>
      </x:c>
      <x:c r="AP69" s="246" t="n">
        <x:f>N69-$B$4*AG69</x:f>
        <x:v>-1.7751400524574639</x:v>
      </x:c>
      <x:c r="AQ69" s="246" t="n">
        <x:f>O69-$B$4*AH69</x:f>
        <x:v>0.6858950533761381</x:v>
      </x:c>
      <x:c r="AR69" s="182" t="n">
        <x:f>IF(U69&gt;=$B$5,1,0)</x:f>
        <x:v>0</x:v>
      </x:c>
      <x:c r="AS69" s="182" t="n">
        <x:f>IF(AR69=F69,1,0)</x:f>
        <x:v>1</x:v>
      </x:c>
      <x:c r="AT69" s="252" t="n">
        <x:f>ABS(F69-U69)</x:f>
        <x:v>0.44546076452816546</x:v>
      </x:c>
    </x:row>
    <x:row r="70">
      <x:c r="A70" s="114" t="n">
        <x:v>54</x:v>
      </x:c>
      <x:c r="B70" s="114" t="n">
        <x:v>14</x:v>
      </x:c>
      <x:c r="C70" s="114" t="n">
        <x:v>2</x:v>
      </x:c>
      <x:c r="D70" s="168" t="n">
        <x:f>$I$6</x:f>
        <x:v>0</x:v>
      </x:c>
      <x:c r="E70" s="168" t="n">
        <x:f>$J$6</x:f>
        <x:v>1</x:v>
      </x:c>
      <x:c r="F70" s="168" t="n">
        <x:f>$K$6</x:f>
        <x:v>1</x:v>
      </x:c>
      <x:c r="G70" s="242" t="n">
        <x:f>AI69</x:f>
        <x:v>1.124403850930266</x:v>
      </x:c>
      <x:c r="H70" s="242" t="n">
        <x:f>AJ69</x:f>
        <x:v>-1.4327397349358304</x:v>
      </x:c>
      <x:c r="I70" s="242" t="n">
        <x:f>AK69</x:f>
        <x:v>-1.2347685992573847</x:v>
      </x:c>
      <x:c r="J70" s="242" t="n">
        <x:f>AL69</x:f>
        <x:v>0.7557496295752237</x:v>
      </x:c>
      <x:c r="K70" s="242" t="n">
        <x:f>AM69</x:f>
        <x:v>-1.6650304381669787</x:v>
      </x:c>
      <x:c r="L70" s="242" t="n">
        <x:f>AN69</x:f>
        <x:v>1.2714155428444451</x:v>
      </x:c>
      <x:c r="M70" s="242" t="n">
        <x:f>AO69</x:f>
        <x:v>1.2600934151756713</x:v>
      </x:c>
      <x:c r="N70" s="242" t="n">
        <x:f>AP69</x:f>
        <x:v>-1.7751400524574639</x:v>
      </x:c>
      <x:c r="O70" s="242" t="n">
        <x:f>AQ69</x:f>
        <x:v>0.6858950533761381</x:v>
      </x:c>
      <x:c r="P70" s="243" t="n">
        <x:f>D70*G70+E70*H70+I70</x:f>
        <x:v>-2.667508334193215</x:v>
      </x:c>
      <x:c r="Q70" s="243" t="n">
        <x:f>1/(1+EXP(-P70))</x:f>
        <x:v>0.06491805807886253</x:v>
      </x:c>
      <x:c r="R70" s="243" t="n">
        <x:f>D70*J70+E70*K70+L70</x:f>
        <x:v>-0.3936148953225336</x:v>
      </x:c>
      <x:c r="S70" s="243" t="n">
        <x:f>1/(1+EXP(-R70))</x:f>
        <x:v>0.40284739196767794</x:v>
      </x:c>
      <x:c r="T70" s="243" t="n">
        <x:f>Q70*M70+S70*N70+O70</x:f>
        <x:v>0.05258733037744823</x:v>
      </x:c>
      <x:c r="U70" s="243" t="n">
        <x:f>1/(1+EXP(-T70))</x:f>
        <x:v>0.5131438037144759</x:v>
      </x:c>
      <x:c r="V70" s="243" t="n">
        <x:f>0.5*(F70-U70)^2</x:f>
        <x:v>0.1185144779308044</x:v>
      </x:c>
      <x:c r="W70" s="244" t="n">
        <x:f>(U70-F70)*U70*(1-U70)</x:f>
        <x:v>-0.12162994000129655</x:v>
      </x:c>
      <x:c r="X70" s="244" t="n">
        <x:f>W70*M70*Q70*(1-Q70)</x:f>
        <x:v>-0.009303758414962691</x:v>
      </x:c>
      <x:c r="Y70" s="244" t="n">
        <x:f>W70*N70*S70*(1-S70)</x:f>
        <x:v>0.0519396483969738</x:v>
      </x:c>
      <x:c r="Z70" s="245" t="n">
        <x:f>X70*D70</x:f>
        <x:v>0</x:v>
      </x:c>
      <x:c r="AA70" s="245" t="n">
        <x:f>X70*E70</x:f>
        <x:v>-0.009303758414962691</x:v>
      </x:c>
      <x:c r="AB70" s="245" t="n">
        <x:f>X70</x:f>
        <x:v>-0.009303758414962691</x:v>
      </x:c>
      <x:c r="AC70" s="245" t="n">
        <x:f>Y70*D70</x:f>
        <x:v>0</x:v>
      </x:c>
      <x:c r="AD70" s="245" t="n">
        <x:f>Y70*E70</x:f>
        <x:v>0.0519396483969738</x:v>
      </x:c>
      <x:c r="AE70" s="245" t="n">
        <x:f>Y70</x:f>
        <x:v>0.0519396483969738</x:v>
      </x:c>
      <x:c r="AF70" s="245" t="n">
        <x:f>W70*Q70</x:f>
        <x:v>-0.007895979509132733</x:v>
      </x:c>
      <x:c r="AG70" s="245" t="n">
        <x:f>W70*S70</x:f>
        <x:v>-0.048998304114707465</x:v>
      </x:c>
      <x:c r="AH70" s="245" t="n">
        <x:f>W70</x:f>
        <x:v>-0.12162994000129655</x:v>
      </x:c>
      <x:c r="AI70" s="246" t="n">
        <x:f>G70-$B$4*Z70</x:f>
        <x:v>1.124403850930266</x:v>
      </x:c>
      <x:c r="AJ70" s="246" t="n">
        <x:f>H70-$B$4*AA70</x:f>
        <x:v>-1.4234359765208677</x:v>
      </x:c>
      <x:c r="AK70" s="246" t="n">
        <x:f>I70-$B$4*AB70</x:f>
        <x:v>-1.225464840842422</x:v>
      </x:c>
      <x:c r="AL70" s="246" t="n">
        <x:f>J70-$B$4*AC70</x:f>
        <x:v>0.7557496295752237</x:v>
      </x:c>
      <x:c r="AM70" s="246" t="n">
        <x:f>K70-$B$4*AD70</x:f>
        <x:v>-1.7169700865639526</x:v>
      </x:c>
      <x:c r="AN70" s="246" t="n">
        <x:f>L70-$B$4*AE70</x:f>
        <x:v>1.2194758944474713</x:v>
      </x:c>
      <x:c r="AO70" s="246" t="n">
        <x:f>M70-$B$4*AF70</x:f>
        <x:v>1.267989394684804</x:v>
      </x:c>
      <x:c r="AP70" s="246" t="n">
        <x:f>N70-$B$4*AG70</x:f>
        <x:v>-1.7261417483427564</x:v>
      </x:c>
      <x:c r="AQ70" s="246" t="n">
        <x:f>O70-$B$4*AH70</x:f>
        <x:v>0.8075249933774347</x:v>
      </x:c>
      <x:c r="AR70" s="182" t="n">
        <x:f>IF(U70&gt;=$B$5,1,0)</x:f>
        <x:v>1</x:v>
      </x:c>
      <x:c r="AS70" s="182" t="n">
        <x:f>IF(AR70=F70,1,0)</x:f>
        <x:v>1</x:v>
      </x:c>
      <x:c r="AT70" s="252" t="n">
        <x:f>ABS(F70-U70)</x:f>
        <x:v>0.4868561962855241</x:v>
      </x:c>
    </x:row>
    <x:row r="71">
      <x:c r="A71" s="114" t="n">
        <x:v>55</x:v>
      </x:c>
      <x:c r="B71" s="114" t="n">
        <x:v>14</x:v>
      </x:c>
      <x:c r="C71" s="114" t="n">
        <x:v>3</x:v>
      </x:c>
      <x:c r="D71" s="168" t="n">
        <x:f>$I$7</x:f>
        <x:v>1</x:v>
      </x:c>
      <x:c r="E71" s="168" t="n">
        <x:f>$J$7</x:f>
        <x:v>0</x:v>
      </x:c>
      <x:c r="F71" s="168" t="n">
        <x:f>$K$7</x:f>
        <x:v>1</x:v>
      </x:c>
      <x:c r="G71" s="242" t="n">
        <x:f>AI70</x:f>
        <x:v>1.124403850930266</x:v>
      </x:c>
      <x:c r="H71" s="242" t="n">
        <x:f>AJ70</x:f>
        <x:v>-1.4234359765208677</x:v>
      </x:c>
      <x:c r="I71" s="242" t="n">
        <x:f>AK70</x:f>
        <x:v>-1.225464840842422</x:v>
      </x:c>
      <x:c r="J71" s="242" t="n">
        <x:f>AL70</x:f>
        <x:v>0.7557496295752237</x:v>
      </x:c>
      <x:c r="K71" s="242" t="n">
        <x:f>AM70</x:f>
        <x:v>-1.7169700865639526</x:v>
      </x:c>
      <x:c r="L71" s="242" t="n">
        <x:f>AN70</x:f>
        <x:v>1.2194758944474713</x:v>
      </x:c>
      <x:c r="M71" s="242" t="n">
        <x:f>AO70</x:f>
        <x:v>1.267989394684804</x:v>
      </x:c>
      <x:c r="N71" s="242" t="n">
        <x:f>AP70</x:f>
        <x:v>-1.7261417483427564</x:v>
      </x:c>
      <x:c r="O71" s="242" t="n">
        <x:f>AQ70</x:f>
        <x:v>0.8075249933774347</x:v>
      </x:c>
      <x:c r="P71" s="243" t="n">
        <x:f>D71*G71+E71*H71+I71</x:f>
        <x:v>-0.10106098991215595</x:v>
      </x:c>
      <x:c r="Q71" s="243" t="n">
        <x:f>1/(1+EXP(-P71))</x:f>
        <x:v>0.4747562340949353</x:v>
      </x:c>
      <x:c r="R71" s="243" t="n">
        <x:f>D71*J71+E71*K71+L71</x:f>
        <x:v>1.975225524022695</x:v>
      </x:c>
      <x:c r="S71" s="243" t="n">
        <x:f>1/(1+EXP(-R71))</x:f>
        <x:v>0.8781712793103889</x:v>
      </x:c>
      <x:c r="T71" s="243" t="n">
        <x:f>Q71*M71+S71*N71+O71</x:f>
        <x:v>-0.106337244142921</x:v>
      </x:c>
      <x:c r="U71" s="243" t="n">
        <x:f>1/(1+EXP(-T71))</x:f>
        <x:v>0.4734407110879273</x:v>
      </x:c>
      <x:c r="V71" s="243" t="n">
        <x:f>0.5*(F71-U71)^2</x:f>
        <x:v>0.13863234236979383</x:v>
      </x:c>
      <x:c r="W71" s="244" t="n">
        <x:f>(U71-F71)*U71*(1-U71)</x:f>
        <x:v>-0.13126838950268035</x:v>
      </x:c>
      <x:c r="X71" s="244" t="n">
        <x:f>W71*M71*Q71*(1-Q71)</x:f>
        <x:v>-0.041505663513242794</x:v>
      </x:c>
      <x:c r="Y71" s="244" t="n">
        <x:f>W71*N71*S71*(1-S71)</x:f>
        <x:v>0.024241836993773604</x:v>
      </x:c>
      <x:c r="Z71" s="245" t="n">
        <x:f>X71*D71</x:f>
        <x:v>-0.041505663513242794</x:v>
      </x:c>
      <x:c r="AA71" s="245" t="n">
        <x:f>X71*E71</x:f>
        <x:v>0</x:v>
      </x:c>
      <x:c r="AB71" s="245" t="n">
        <x:f>X71</x:f>
        <x:v>-0.041505663513242794</x:v>
      </x:c>
      <x:c r="AC71" s="245" t="n">
        <x:f>Y71*D71</x:f>
        <x:v>0.024241836993773604</x:v>
      </x:c>
      <x:c r="AD71" s="245" t="n">
        <x:f>Y71*E71</x:f>
        <x:v>0</x:v>
      </x:c>
      <x:c r="AE71" s="245" t="n">
        <x:f>Y71</x:f>
        <x:v>0.024241836993773604</x:v>
      </x:c>
      <x:c r="AF71" s="245" t="n">
        <x:f>W71*Q71</x:f>
        <x:v>-0.06232048625599966</x:v>
      </x:c>
      <x:c r="AG71" s="245" t="n">
        <x:f>W71*S71</x:f>
        <x:v>-0.11527612954258322</x:v>
      </x:c>
      <x:c r="AH71" s="245" t="n">
        <x:f>W71</x:f>
        <x:v>-0.13126838950268035</x:v>
      </x:c>
      <x:c r="AI71" s="246" t="n">
        <x:f>G71-$B$4*Z71</x:f>
        <x:v>1.1659095144435088</x:v>
      </x:c>
      <x:c r="AJ71" s="246" t="n">
        <x:f>H71-$B$4*AA71</x:f>
        <x:v>-1.4234359765208677</x:v>
      </x:c>
      <x:c r="AK71" s="246" t="n">
        <x:f>I71-$B$4*AB71</x:f>
        <x:v>-1.1839591773291793</x:v>
      </x:c>
      <x:c r="AL71" s="246" t="n">
        <x:f>J71-$B$4*AC71</x:f>
        <x:v>0.7315077925814502</x:v>
      </x:c>
      <x:c r="AM71" s="246" t="n">
        <x:f>K71-$B$4*AD71</x:f>
        <x:v>-1.7169700865639526</x:v>
      </x:c>
      <x:c r="AN71" s="246" t="n">
        <x:f>L71-$B$4*AE71</x:f>
        <x:v>1.1952340574536977</x:v>
      </x:c>
      <x:c r="AO71" s="246" t="n">
        <x:f>M71-$B$4*AF71</x:f>
        <x:v>1.3303098809408036</x:v>
      </x:c>
      <x:c r="AP71" s="246" t="n">
        <x:f>N71-$B$4*AG71</x:f>
        <x:v>-1.610865618800173</x:v>
      </x:c>
      <x:c r="AQ71" s="246" t="n">
        <x:f>O71-$B$4*AH71</x:f>
        <x:v>0.938793382880115</x:v>
      </x:c>
      <x:c r="AR71" s="182" t="n">
        <x:f>IF(U71&gt;=$B$5,1,0)</x:f>
        <x:v>0</x:v>
      </x:c>
      <x:c r="AS71" s="182" t="n">
        <x:f>IF(AR71=F71,1,0)</x:f>
        <x:v>0</x:v>
      </x:c>
      <x:c r="AT71" s="252" t="n">
        <x:f>ABS(F71-U71)</x:f>
        <x:v>0.5265592889120727</x:v>
      </x:c>
    </x:row>
    <x:row r="72">
      <x:c r="A72" s="114" t="n">
        <x:v>56</x:v>
      </x:c>
      <x:c r="B72" s="114" t="n">
        <x:v>14</x:v>
      </x:c>
      <x:c r="C72" s="114" t="n">
        <x:v>4</x:v>
      </x:c>
      <x:c r="D72" s="168" t="n">
        <x:f>$I$8</x:f>
        <x:v>1</x:v>
      </x:c>
      <x:c r="E72" s="168" t="n">
        <x:f>$J$8</x:f>
        <x:v>1</x:v>
      </x:c>
      <x:c r="F72" s="168" t="n">
        <x:f>$K$8</x:f>
        <x:v>0</x:v>
      </x:c>
      <x:c r="G72" s="242" t="n">
        <x:f>AI71</x:f>
        <x:v>1.1659095144435088</x:v>
      </x:c>
      <x:c r="H72" s="242" t="n">
        <x:f>AJ71</x:f>
        <x:v>-1.4234359765208677</x:v>
      </x:c>
      <x:c r="I72" s="242" t="n">
        <x:f>AK71</x:f>
        <x:v>-1.1839591773291793</x:v>
      </x:c>
      <x:c r="J72" s="242" t="n">
        <x:f>AL71</x:f>
        <x:v>0.7315077925814502</x:v>
      </x:c>
      <x:c r="K72" s="242" t="n">
        <x:f>AM71</x:f>
        <x:v>-1.7169700865639526</x:v>
      </x:c>
      <x:c r="L72" s="242" t="n">
        <x:f>AN71</x:f>
        <x:v>1.1952340574536977</x:v>
      </x:c>
      <x:c r="M72" s="242" t="n">
        <x:f>AO71</x:f>
        <x:v>1.3303098809408036</x:v>
      </x:c>
      <x:c r="N72" s="242" t="n">
        <x:f>AP71</x:f>
        <x:v>-1.610865618800173</x:v>
      </x:c>
      <x:c r="O72" s="242" t="n">
        <x:f>AQ71</x:f>
        <x:v>0.938793382880115</x:v>
      </x:c>
      <x:c r="P72" s="243" t="n">
        <x:f>D72*G72+E72*H72+I72</x:f>
        <x:v>-1.4414856394065383</x:v>
      </x:c>
      <x:c r="Q72" s="243" t="n">
        <x:f>1/(1+EXP(-P72))</x:f>
        <x:v>0.19131539420903904</x:v>
      </x:c>
      <x:c r="R72" s="243" t="n">
        <x:f>D72*J72+E72*K72+L72</x:f>
        <x:v>0.2097717634711953</x:v>
      </x:c>
      <x:c r="S72" s="243" t="n">
        <x:f>1/(1+EXP(-R72))</x:f>
        <x:v>0.5522514742505503</x:v>
      </x:c>
      <x:c r="T72" s="243" t="n">
        <x:f>Q72*M72+S72*N72+O72</x:f>
        <x:v>0.30369922937056404</x:v>
      </x:c>
      <x:c r="U72" s="243" t="n">
        <x:f>1/(1+EXP(-T72))</x:f>
        <x:v>0.5753465741879247</x:v>
      </x:c>
      <x:c r="V72" s="243" t="n">
        <x:f>0.5*(F72-U72)^2</x:f>
        <x:v>0.16551184021489054</x:v>
      </x:c>
      <x:c r="W72" s="244" t="n">
        <x:f>(U72-F72)*U72*(1-U72)</x:f>
        <x:v>0.14057033991942816</x:v>
      </x:c>
      <x:c r="X72" s="244" t="n">
        <x:f>W72*M72*Q72*(1-Q72)</x:f>
        <x:v>0.028931810026258623</x:v>
      </x:c>
      <x:c r="Y72" s="244" t="n">
        <x:f>W72*N72*S72*(1-S72)</x:f>
        <x:v>-0.05599175185933135</x:v>
      </x:c>
      <x:c r="Z72" s="245" t="n">
        <x:f>X72*D72</x:f>
        <x:v>0.028931810026258623</x:v>
      </x:c>
      <x:c r="AA72" s="245" t="n">
        <x:f>X72*E72</x:f>
        <x:v>0.028931810026258623</x:v>
      </x:c>
      <x:c r="AB72" s="245" t="n">
        <x:f>X72</x:f>
        <x:v>0.028931810026258623</x:v>
      </x:c>
      <x:c r="AC72" s="245" t="n">
        <x:f>Y72*D72</x:f>
        <x:v>-0.05599175185933135</x:v>
      </x:c>
      <x:c r="AD72" s="245" t="n">
        <x:f>Y72*E72</x:f>
        <x:v>-0.05599175185933135</x:v>
      </x:c>
      <x:c r="AE72" s="245" t="n">
        <x:f>Y72</x:f>
        <x:v>-0.05599175185933135</x:v>
      </x:c>
      <x:c r="AF72" s="245" t="n">
        <x:f>W72*Q72</x:f>
        <x:v>0.026893269995784015</x:v>
      </x:c>
      <x:c r="AG72" s="245" t="n">
        <x:f>W72*S72</x:f>
        <x:v>0.07763017745640519</x:v>
      </x:c>
      <x:c r="AH72" s="245" t="n">
        <x:f>W72</x:f>
        <x:v>0.14057033991942816</x:v>
      </x:c>
      <x:c r="AI72" s="246" t="n">
        <x:f>G72-$B$4*Z72</x:f>
        <x:v>1.1369777044172502</x:v>
      </x:c>
      <x:c r="AJ72" s="246" t="n">
        <x:f>H72-$B$4*AA72</x:f>
        <x:v>-1.4523677865471263</x:v>
      </x:c>
      <x:c r="AK72" s="246" t="n">
        <x:f>I72-$B$4*AB72</x:f>
        <x:v>-1.2128909873554379</x:v>
      </x:c>
      <x:c r="AL72" s="246" t="n">
        <x:f>J72-$B$4*AC72</x:f>
        <x:v>0.7874995444407815</x:v>
      </x:c>
      <x:c r="AM72" s="246" t="n">
        <x:f>K72-$B$4*AD72</x:f>
        <x:v>-1.6609783347046212</x:v>
      </x:c>
      <x:c r="AN72" s="246" t="n">
        <x:f>L72-$B$4*AE72</x:f>
        <x:v>1.251225809313029</x:v>
      </x:c>
      <x:c r="AO72" s="246" t="n">
        <x:f>M72-$B$4*AF72</x:f>
        <x:v>1.3034166109450196</x:v>
      </x:c>
      <x:c r="AP72" s="246" t="n">
        <x:f>N72-$B$4*AG72</x:f>
        <x:v>-1.6884957962565783</x:v>
      </x:c>
      <x:c r="AQ72" s="246" t="n">
        <x:f>O72-$B$4*AH72</x:f>
        <x:v>0.7982230429606869</x:v>
      </x:c>
      <x:c r="AR72" s="182" t="n">
        <x:f>IF(U72&gt;=$B$5,1,0)</x:f>
        <x:v>1</x:v>
      </x:c>
      <x:c r="AS72" s="182" t="n">
        <x:f>IF(AR72=F72,1,0)</x:f>
        <x:v>0</x:v>
      </x:c>
      <x:c r="AT72" s="252" t="n">
        <x:f>ABS(F72-U72)</x:f>
        <x:v>0.5753465741879247</x:v>
      </x:c>
    </x:row>
    <x:row r="73">
      <x:c r="A73" s="114" t="n">
        <x:v>57</x:v>
      </x:c>
      <x:c r="B73" s="114" t="n">
        <x:v>15</x:v>
      </x:c>
      <x:c r="C73" s="114" t="n">
        <x:v>1</x:v>
      </x:c>
      <x:c r="D73" s="168" t="n">
        <x:f>$I$5</x:f>
        <x:v>0</x:v>
      </x:c>
      <x:c r="E73" s="168" t="n">
        <x:f>$J$5</x:f>
        <x:v>0</x:v>
      </x:c>
      <x:c r="F73" s="168" t="n">
        <x:f>$K$5</x:f>
        <x:v>0</x:v>
      </x:c>
      <x:c r="G73" s="242" t="n">
        <x:f>AI72</x:f>
        <x:v>1.1369777044172502</x:v>
      </x:c>
      <x:c r="H73" s="242" t="n">
        <x:f>AJ72</x:f>
        <x:v>-1.4523677865471263</x:v>
      </x:c>
      <x:c r="I73" s="242" t="n">
        <x:f>AK72</x:f>
        <x:v>-1.2128909873554379</x:v>
      </x:c>
      <x:c r="J73" s="242" t="n">
        <x:f>AL72</x:f>
        <x:v>0.7874995444407815</x:v>
      </x:c>
      <x:c r="K73" s="242" t="n">
        <x:f>AM72</x:f>
        <x:v>-1.6609783347046212</x:v>
      </x:c>
      <x:c r="L73" s="242" t="n">
        <x:f>AN72</x:f>
        <x:v>1.251225809313029</x:v>
      </x:c>
      <x:c r="M73" s="242" t="n">
        <x:f>AO72</x:f>
        <x:v>1.3034166109450196</x:v>
      </x:c>
      <x:c r="N73" s="242" t="n">
        <x:f>AP72</x:f>
        <x:v>-1.6884957962565783</x:v>
      </x:c>
      <x:c r="O73" s="242" t="n">
        <x:f>AQ72</x:f>
        <x:v>0.7982230429606869</x:v>
      </x:c>
      <x:c r="P73" s="243" t="n">
        <x:f>D73*G73+E73*H73+I73</x:f>
        <x:v>-1.2128909873554379</x:v>
      </x:c>
      <x:c r="Q73" s="243" t="n">
        <x:f>1/(1+EXP(-P73))</x:f>
        <x:v>0.229189923816894</x:v>
      </x:c>
      <x:c r="R73" s="243" t="n">
        <x:f>D73*J73+E73*K73+L73</x:f>
        <x:v>1.251225809313029</x:v>
      </x:c>
      <x:c r="S73" s="243" t="n">
        <x:f>1/(1+EXP(-R73))</x:f>
        <x:v>0.7775119825045615</x:v>
      </x:c>
      <x:c r="T73" s="243" t="n">
        <x:f>Q73*M73+S73*N73+O73</x:f>
        <x:v>-0.21587271727322022</x:v>
      </x:c>
      <x:c r="U73" s="243" t="n">
        <x:f>1/(1+EXP(-T73))</x:f>
        <x:v>0.44624042965851657</x:v>
      </x:c>
      <x:c r="V73" s="243" t="n">
        <x:f>0.5*(F73-U73)^2</x:f>
        <x:v>0.09956526053090874</x:v>
      </x:c>
      <x:c r="W73" s="244" t="n">
        <x:f>(U73-F73)*U73*(1-U73)</x:f>
        <x:v>0.11027043178506778</x:v>
      </x:c>
      <x:c r="X73" s="244" t="n">
        <x:f>W73*M73*Q73*(1-Q73)</x:f>
        <x:v>0.025391317146459577</x:v>
      </x:c>
      <x:c r="Y73" s="244" t="n">
        <x:f>W73*N73*S73*(1-S73)</x:f>
        <x:v>-0.0322086688233384</x:v>
      </x:c>
      <x:c r="Z73" s="245" t="n">
        <x:f>X73*D73</x:f>
        <x:v>0</x:v>
      </x:c>
      <x:c r="AA73" s="245" t="n">
        <x:f>X73*E73</x:f>
        <x:v>0</x:v>
      </x:c>
      <x:c r="AB73" s="245" t="n">
        <x:f>X73</x:f>
        <x:v>0.025391317146459577</x:v>
      </x:c>
      <x:c r="AC73" s="245" t="n">
        <x:f>Y73*D73</x:f>
        <x:v>0</x:v>
      </x:c>
      <x:c r="AD73" s="245" t="n">
        <x:f>Y73*E73</x:f>
        <x:v>0</x:v>
      </x:c>
      <x:c r="AE73" s="245" t="n">
        <x:f>Y73</x:f>
        <x:v>-0.0322086688233384</x:v>
      </x:c>
      <x:c r="AF73" s="245" t="n">
        <x:f>W73*Q73</x:f>
        <x:v>0.02527287186007569</x:v>
      </x:c>
      <x:c r="AG73" s="245" t="n">
        <x:f>W73*S73</x:f>
        <x:v>0.08573658202884206</x:v>
      </x:c>
      <x:c r="AH73" s="245" t="n">
        <x:f>W73</x:f>
        <x:v>0.11027043178506778</x:v>
      </x:c>
      <x:c r="AI73" s="246" t="n">
        <x:f>G73-$B$4*Z73</x:f>
        <x:v>1.1369777044172502</x:v>
      </x:c>
      <x:c r="AJ73" s="246" t="n">
        <x:f>H73-$B$4*AA73</x:f>
        <x:v>-1.4523677865471263</x:v>
      </x:c>
      <x:c r="AK73" s="246" t="n">
        <x:f>I73-$B$4*AB73</x:f>
        <x:v>-1.2382823045018974</x:v>
      </x:c>
      <x:c r="AL73" s="246" t="n">
        <x:f>J73-$B$4*AC73</x:f>
        <x:v>0.7874995444407815</x:v>
      </x:c>
      <x:c r="AM73" s="246" t="n">
        <x:f>K73-$B$4*AD73</x:f>
        <x:v>-1.6609783347046212</x:v>
      </x:c>
      <x:c r="AN73" s="246" t="n">
        <x:f>L73-$B$4*AE73</x:f>
        <x:v>1.2834344781363676</x:v>
      </x:c>
      <x:c r="AO73" s="246" t="n">
        <x:f>M73-$B$4*AF73</x:f>
        <x:v>1.278143739084944</x:v>
      </x:c>
      <x:c r="AP73" s="246" t="n">
        <x:f>N73-$B$4*AG73</x:f>
        <x:v>-1.7742323782854204</x:v>
      </x:c>
      <x:c r="AQ73" s="246" t="n">
        <x:f>O73-$B$4*AH73</x:f>
        <x:v>0.6879526111756191</x:v>
      </x:c>
      <x:c r="AR73" s="182" t="n">
        <x:f>IF(U73&gt;=$B$5,1,0)</x:f>
        <x:v>0</x:v>
      </x:c>
      <x:c r="AS73" s="182" t="n">
        <x:f>IF(AR73=F73,1,0)</x:f>
        <x:v>1</x:v>
      </x:c>
      <x:c r="AT73" s="252" t="n">
        <x:f>ABS(F73-U73)</x:f>
        <x:v>0.44624042965851657</x:v>
      </x:c>
    </x:row>
    <x:row r="74">
      <x:c r="A74" s="114" t="n">
        <x:v>58</x:v>
      </x:c>
      <x:c r="B74" s="114" t="n">
        <x:v>15</x:v>
      </x:c>
      <x:c r="C74" s="114" t="n">
        <x:v>2</x:v>
      </x:c>
      <x:c r="D74" s="168" t="n">
        <x:f>$I$6</x:f>
        <x:v>0</x:v>
      </x:c>
      <x:c r="E74" s="168" t="n">
        <x:f>$J$6</x:f>
        <x:v>1</x:v>
      </x:c>
      <x:c r="F74" s="168" t="n">
        <x:f>$K$6</x:f>
        <x:v>1</x:v>
      </x:c>
      <x:c r="G74" s="242" t="n">
        <x:f>AI73</x:f>
        <x:v>1.1369777044172502</x:v>
      </x:c>
      <x:c r="H74" s="242" t="n">
        <x:f>AJ73</x:f>
        <x:v>-1.4523677865471263</x:v>
      </x:c>
      <x:c r="I74" s="242" t="n">
        <x:f>AK73</x:f>
        <x:v>-1.2382823045018974</x:v>
      </x:c>
      <x:c r="J74" s="242" t="n">
        <x:f>AL73</x:f>
        <x:v>0.7874995444407815</x:v>
      </x:c>
      <x:c r="K74" s="242" t="n">
        <x:f>AM73</x:f>
        <x:v>-1.6609783347046212</x:v>
      </x:c>
      <x:c r="L74" s="242" t="n">
        <x:f>AN73</x:f>
        <x:v>1.2834344781363676</x:v>
      </x:c>
      <x:c r="M74" s="242" t="n">
        <x:f>AO73</x:f>
        <x:v>1.278143739084944</x:v>
      </x:c>
      <x:c r="N74" s="242" t="n">
        <x:f>AP73</x:f>
        <x:v>-1.7742323782854204</x:v>
      </x:c>
      <x:c r="O74" s="242" t="n">
        <x:f>AQ73</x:f>
        <x:v>0.6879526111756191</x:v>
      </x:c>
      <x:c r="P74" s="243" t="n">
        <x:f>D74*G74+E74*H74+I74</x:f>
        <x:v>-2.6906500910490236</x:v>
      </x:c>
      <x:c r="Q74" s="243" t="n">
        <x:f>1/(1+EXP(-P74))</x:f>
        <x:v>0.06352733239596402</x:v>
      </x:c>
      <x:c r="R74" s="243" t="n">
        <x:f>D74*J74+E74*K74+L74</x:f>
        <x:v>-0.3775438565682536</x:v>
      </x:c>
      <x:c r="S74" s="243" t="n">
        <x:f>1/(1+EXP(-R74))</x:f>
        <x:v>0.4067194253151073</x:v>
      </x:c>
      <x:c r="T74" s="243" t="n">
        <x:f>Q74*M74+S74*N74+O74</x:f>
        <x:v>0.04753490006658645</x:v>
      </x:c>
      <x:c r="U74" s="243" t="n">
        <x:f>1/(1+EXP(-T74))</x:f>
        <x:v>0.5118814878496807</x:v>
      </x:c>
      <x:c r="V74" s="243" t="n">
        <x:f>0.5*(F74-U74)^2</x:f>
        <x:v>0.11912984095192071</x:v>
      </x:c>
      <x:c r="W74" s="244" t="n">
        <x:f>(U74-F74)*U74*(1-U74)</x:f>
        <x:v>-0.12196072046753</x:v>
      </x:c>
      <x:c r="X74" s="244" t="n">
        <x:f>W74*M74*Q74*(1-Q74)</x:f>
        <x:v>-0.009273750417751879</x:v>
      </x:c>
      <x:c r="Y74" s="244" t="n">
        <x:f>W74*N74*S74*(1-S74)</x:f>
        <x:v>0.05221382698678794</x:v>
      </x:c>
      <x:c r="Z74" s="245" t="n">
        <x:f>X74*D74</x:f>
        <x:v>0</x:v>
      </x:c>
      <x:c r="AA74" s="245" t="n">
        <x:f>X74*E74</x:f>
        <x:v>-0.009273750417751879</x:v>
      </x:c>
      <x:c r="AB74" s="245" t="n">
        <x:f>X74</x:f>
        <x:v>-0.009273750417751879</x:v>
      </x:c>
      <x:c r="AC74" s="245" t="n">
        <x:f>Y74*D74</x:f>
        <x:v>0</x:v>
      </x:c>
      <x:c r="AD74" s="245" t="n">
        <x:f>Y74*E74</x:f>
        <x:v>0.05221382698678794</x:v>
      </x:c>
      <x:c r="AE74" s="245" t="n">
        <x:f>Y74</x:f>
        <x:v>0.05221382698678794</x:v>
      </x:c>
      <x:c r="AF74" s="245" t="n">
        <x:f>W74*Q74</x:f>
        <x:v>-0.00774783922839203</x:v>
      </x:c>
      <x:c r="AG74" s="245" t="n">
        <x:f>W74*S74</x:f>
        <x:v>-0.049603794139570244</x:v>
      </x:c>
      <x:c r="AH74" s="245" t="n">
        <x:f>W74</x:f>
        <x:v>-0.12196072046753</x:v>
      </x:c>
      <x:c r="AI74" s="246" t="n">
        <x:f>G74-$B$4*Z74</x:f>
        <x:v>1.1369777044172502</x:v>
      </x:c>
      <x:c r="AJ74" s="246" t="n">
        <x:f>H74-$B$4*AA74</x:f>
        <x:v>-1.4430940361293745</x:v>
      </x:c>
      <x:c r="AK74" s="246" t="n">
        <x:f>I74-$B$4*AB74</x:f>
        <x:v>-1.2290085540841456</x:v>
      </x:c>
      <x:c r="AL74" s="246" t="n">
        <x:f>J74-$B$4*AC74</x:f>
        <x:v>0.7874995444407815</x:v>
      </x:c>
      <x:c r="AM74" s="246" t="n">
        <x:f>K74-$B$4*AD74</x:f>
        <x:v>-1.7131921616914092</x:v>
      </x:c>
      <x:c r="AN74" s="246" t="n">
        <x:f>L74-$B$4*AE74</x:f>
        <x:v>1.2312206511495796</x:v>
      </x:c>
      <x:c r="AO74" s="246" t="n">
        <x:f>M74-$B$4*AF74</x:f>
        <x:v>1.285891578313336</x:v>
      </x:c>
      <x:c r="AP74" s="246" t="n">
        <x:f>N74-$B$4*AG74</x:f>
        <x:v>-1.7246285841458502</x:v>
      </x:c>
      <x:c r="AQ74" s="246" t="n">
        <x:f>O74-$B$4*AH74</x:f>
        <x:v>0.8099133316431492</x:v>
      </x:c>
      <x:c r="AR74" s="182" t="n">
        <x:f>IF(U74&gt;=$B$5,1,0)</x:f>
        <x:v>1</x:v>
      </x:c>
      <x:c r="AS74" s="182" t="n">
        <x:f>IF(AR74=F74,1,0)</x:f>
        <x:v>1</x:v>
      </x:c>
      <x:c r="AT74" s="252" t="n">
        <x:f>ABS(F74-U74)</x:f>
        <x:v>0.4881185121503193</x:v>
      </x:c>
    </x:row>
    <x:row r="75">
      <x:c r="A75" s="114" t="n">
        <x:v>59</x:v>
      </x:c>
      <x:c r="B75" s="114" t="n">
        <x:v>15</x:v>
      </x:c>
      <x:c r="C75" s="114" t="n">
        <x:v>3</x:v>
      </x:c>
      <x:c r="D75" s="168" t="n">
        <x:f>$I$7</x:f>
        <x:v>1</x:v>
      </x:c>
      <x:c r="E75" s="168" t="n">
        <x:f>$J$7</x:f>
        <x:v>0</x:v>
      </x:c>
      <x:c r="F75" s="168" t="n">
        <x:f>$K$7</x:f>
        <x:v>1</x:v>
      </x:c>
      <x:c r="G75" s="242" t="n">
        <x:f>AI74</x:f>
        <x:v>1.1369777044172502</x:v>
      </x:c>
      <x:c r="H75" s="242" t="n">
        <x:f>AJ74</x:f>
        <x:v>-1.4430940361293745</x:v>
      </x:c>
      <x:c r="I75" s="242" t="n">
        <x:f>AK74</x:f>
        <x:v>-1.2290085540841456</x:v>
      </x:c>
      <x:c r="J75" s="242" t="n">
        <x:f>AL74</x:f>
        <x:v>0.7874995444407815</x:v>
      </x:c>
      <x:c r="K75" s="242" t="n">
        <x:f>AM74</x:f>
        <x:v>-1.7131921616914092</x:v>
      </x:c>
      <x:c r="L75" s="242" t="n">
        <x:f>AN74</x:f>
        <x:v>1.2312206511495796</x:v>
      </x:c>
      <x:c r="M75" s="242" t="n">
        <x:f>AO74</x:f>
        <x:v>1.285891578313336</x:v>
      </x:c>
      <x:c r="N75" s="242" t="n">
        <x:f>AP74</x:f>
        <x:v>-1.7246285841458502</x:v>
      </x:c>
      <x:c r="O75" s="242" t="n">
        <x:f>AQ74</x:f>
        <x:v>0.8099133316431492</x:v>
      </x:c>
      <x:c r="P75" s="243" t="n">
        <x:f>D75*G75+E75*H75+I75</x:f>
        <x:v>-0.09203084966689534</x:v>
      </x:c>
      <x:c r="Q75" s="243" t="n">
        <x:f>1/(1+EXP(-P75))</x:f>
        <x:v>0.4770085128327654</x:v>
      </x:c>
      <x:c r="R75" s="243" t="n">
        <x:f>D75*J75+E75*K75+L75</x:f>
        <x:v>2.018720195590361</x:v>
      </x:c>
      <x:c r="S75" s="243" t="n">
        <x:f>1/(1+EXP(-R75))</x:f>
        <x:v>0.8827486097593167</x:v>
      </x:c>
      <x:c r="T75" s="243" t="n">
        <x:f>Q75*M75+S75*N75+O75</x:f>
        <x:v>-0.09911892392735677</x:v>
      </x:c>
      <x:c r="U75" s="243" t="n">
        <x:f>1/(1+EXP(-T75))</x:f>
        <x:v>0.4752405366047619</x:v>
      </x:c>
      <x:c r="V75" s="243" t="n">
        <x:f>0.5*(F75-U75)^2</x:f>
        <x:v>0.13768624721142914</x:v>
      </x:c>
      <x:c r="W75" s="244" t="n">
        <x:f>(U75-F75)*U75*(1-U75)</x:f>
        <x:v>-0.13086817201571097</x:v>
      </x:c>
      <x:c r="X75" s="244" t="n">
        <x:f>W75*M75*Q75*(1-Q75)</x:f>
        <x:v>-0.04198161462532082</x:v>
      </x:c>
      <x:c r="Y75" s="244" t="n">
        <x:f>W75*N75*S75*(1-S75)</x:f>
        <x:v>0.023360635823385295</x:v>
      </x:c>
      <x:c r="Z75" s="245" t="n">
        <x:f>X75*D75</x:f>
        <x:v>-0.04198161462532082</x:v>
      </x:c>
      <x:c r="AA75" s="245" t="n">
        <x:f>X75*E75</x:f>
        <x:v>0</x:v>
      </x:c>
      <x:c r="AB75" s="245" t="n">
        <x:f>X75</x:f>
        <x:v>-0.04198161462532082</x:v>
      </x:c>
      <x:c r="AC75" s="245" t="n">
        <x:f>Y75*D75</x:f>
        <x:v>0.023360635823385295</x:v>
      </x:c>
      <x:c r="AD75" s="245" t="n">
        <x:f>Y75*E75</x:f>
        <x:v>0</x:v>
      </x:c>
      <x:c r="AE75" s="245" t="n">
        <x:f>Y75</x:f>
        <x:v>0.023360635823385295</x:v>
      </x:c>
      <x:c r="AF75" s="245" t="n">
        <x:f>W75*Q75</x:f>
        <x:v>-0.06242523211035682</x:v>
      </x:c>
      <x:c r="AG75" s="245" t="n">
        <x:f>W75*S75</x:f>
        <x:v>-0.11552369690861197</x:v>
      </x:c>
      <x:c r="AH75" s="245" t="n">
        <x:f>W75</x:f>
        <x:v>-0.13086817201571097</x:v>
      </x:c>
      <x:c r="AI75" s="246" t="n">
        <x:f>G75-$B$4*Z75</x:f>
        <x:v>1.1789593190425711</x:v>
      </x:c>
      <x:c r="AJ75" s="246" t="n">
        <x:f>H75-$B$4*AA75</x:f>
        <x:v>-1.4430940361293745</x:v>
      </x:c>
      <x:c r="AK75" s="246" t="n">
        <x:f>I75-$B$4*AB75</x:f>
        <x:v>-1.1870269394588246</x:v>
      </x:c>
      <x:c r="AL75" s="246" t="n">
        <x:f>J75-$B$4*AC75</x:f>
        <x:v>0.7641389086173962</x:v>
      </x:c>
      <x:c r="AM75" s="246" t="n">
        <x:f>K75-$B$4*AD75</x:f>
        <x:v>-1.7131921616914092</x:v>
      </x:c>
      <x:c r="AN75" s="246" t="n">
        <x:f>L75-$B$4*AE75</x:f>
        <x:v>1.2078600153261942</x:v>
      </x:c>
      <x:c r="AO75" s="246" t="n">
        <x:f>M75-$B$4*AF75</x:f>
        <x:v>1.348316810423693</x:v>
      </x:c>
      <x:c r="AP75" s="246" t="n">
        <x:f>N75-$B$4*AG75</x:f>
        <x:v>-1.6091048872372382</x:v>
      </x:c>
      <x:c r="AQ75" s="246" t="n">
        <x:f>O75-$B$4*AH75</x:f>
        <x:v>0.9407815036588602</x:v>
      </x:c>
      <x:c r="AR75" s="182" t="n">
        <x:f>IF(U75&gt;=$B$5,1,0)</x:f>
        <x:v>0</x:v>
      </x:c>
      <x:c r="AS75" s="182" t="n">
        <x:f>IF(AR75=F75,1,0)</x:f>
        <x:v>0</x:v>
      </x:c>
      <x:c r="AT75" s="252" t="n">
        <x:f>ABS(F75-U75)</x:f>
        <x:v>0.5247594633952382</x:v>
      </x:c>
    </x:row>
    <x:row r="76">
      <x:c r="A76" s="114" t="n">
        <x:v>60</x:v>
      </x:c>
      <x:c r="B76" s="114" t="n">
        <x:v>15</x:v>
      </x:c>
      <x:c r="C76" s="114" t="n">
        <x:v>4</x:v>
      </x:c>
      <x:c r="D76" s="168" t="n">
        <x:f>$I$8</x:f>
        <x:v>1</x:v>
      </x:c>
      <x:c r="E76" s="168" t="n">
        <x:f>$J$8</x:f>
        <x:v>1</x:v>
      </x:c>
      <x:c r="F76" s="168" t="n">
        <x:f>$K$8</x:f>
        <x:v>0</x:v>
      </x:c>
      <x:c r="G76" s="242" t="n">
        <x:f>AI75</x:f>
        <x:v>1.1789593190425711</x:v>
      </x:c>
      <x:c r="H76" s="242" t="n">
        <x:f>AJ75</x:f>
        <x:v>-1.4430940361293745</x:v>
      </x:c>
      <x:c r="I76" s="242" t="n">
        <x:f>AK75</x:f>
        <x:v>-1.1870269394588246</x:v>
      </x:c>
      <x:c r="J76" s="242" t="n">
        <x:f>AL75</x:f>
        <x:v>0.7641389086173962</x:v>
      </x:c>
      <x:c r="K76" s="242" t="n">
        <x:f>AM75</x:f>
        <x:v>-1.7131921616914092</x:v>
      </x:c>
      <x:c r="L76" s="242" t="n">
        <x:f>AN75</x:f>
        <x:v>1.2078600153261942</x:v>
      </x:c>
      <x:c r="M76" s="242" t="n">
        <x:f>AO75</x:f>
        <x:v>1.348316810423693</x:v>
      </x:c>
      <x:c r="N76" s="242" t="n">
        <x:f>AP75</x:f>
        <x:v>-1.6091048872372382</x:v>
      </x:c>
      <x:c r="O76" s="242" t="n">
        <x:f>AQ75</x:f>
        <x:v>0.9407815036588602</x:v>
      </x:c>
      <x:c r="P76" s="243" t="n">
        <x:f>D76*G76+E76*H76+I76</x:f>
        <x:v>-1.451161656545628</x:v>
      </x:c>
      <x:c r="Q76" s="243" t="n">
        <x:f>1/(1+EXP(-P76))</x:f>
        <x:v>0.18982285032276797</x:v>
      </x:c>
      <x:c r="R76" s="243" t="n">
        <x:f>D76*J76+E76*K76+L76</x:f>
        <x:v>0.25880676225218124</x:v>
      </x:c>
      <x:c r="S76" s="243" t="n">
        <x:f>1/(1+EXP(-R76))</x:f>
        <x:v>0.5643429449446598</x:v>
      </x:c>
      <x:c r="T76" s="243" t="n">
        <x:f>Q76*M76+S76*N76+O76</x:f>
        <x:v>0.288635852963281</x:v>
      </x:c>
      <x:c r="U76" s="243" t="n">
        <x:f>1/(1+EXP(-T76))</x:f>
        <x:v>0.5716621343996545</x:v>
      </x:c>
      <x:c r="V76" s="243" t="n">
        <x:f>0.5*(F76-U76)^2</x:f>
        <x:v>0.16339879795318432</x:v>
      </x:c>
      <x:c r="W76" s="244" t="n">
        <x:f>(U76-F76)*U76*(1-U76)</x:f>
        <x:v>0.13997978471385814</x:v>
      </x:c>
      <x:c r="X76" s="244" t="n">
        <x:f>W76*M76*Q76*(1-Q76)</x:f>
        <x:v>0.029025903758351474</x:v>
      </x:c>
      <x:c r="Y76" s="244" t="n">
        <x:f>W76*N76*S76*(1-S76)</x:f>
        <x:v>-0.05537803311932293</x:v>
      </x:c>
      <x:c r="Z76" s="245" t="n">
        <x:f>X76*D76</x:f>
        <x:v>0.029025903758351474</x:v>
      </x:c>
      <x:c r="AA76" s="245" t="n">
        <x:f>X76*E76</x:f>
        <x:v>0.029025903758351474</x:v>
      </x:c>
      <x:c r="AB76" s="245" t="n">
        <x:f>X76</x:f>
        <x:v>0.029025903758351474</x:v>
      </x:c>
      <x:c r="AC76" s="245" t="n">
        <x:f>Y76*D76</x:f>
        <x:v>-0.05537803311932293</x:v>
      </x:c>
      <x:c r="AD76" s="245" t="n">
        <x:f>Y76*E76</x:f>
        <x:v>-0.05537803311932293</x:v>
      </x:c>
      <x:c r="AE76" s="245" t="n">
        <x:f>Y76</x:f>
        <x:v>-0.05537803311932293</x:v>
      </x:c>
      <x:c r="AF76" s="245" t="n">
        <x:f>W76*Q76</x:f>
        <x:v>0.026571361721951976</x:v>
      </x:c>
      <x:c r="AG76" s="245" t="n">
        <x:f>W76*S76</x:f>
        <x:v>0.07899660393813816</x:v>
      </x:c>
      <x:c r="AH76" s="245" t="n">
        <x:f>W76</x:f>
        <x:v>0.13997978471385814</x:v>
      </x:c>
      <x:c r="AI76" s="246" t="n">
        <x:f>G76-$B$4*Z76</x:f>
        <x:v>1.1499334152842196</x:v>
      </x:c>
      <x:c r="AJ76" s="246" t="n">
        <x:f>H76-$B$4*AA76</x:f>
        <x:v>-1.472119939887726</x:v>
      </x:c>
      <x:c r="AK76" s="246" t="n">
        <x:f>I76-$B$4*AB76</x:f>
        <x:v>-1.2160528432171762</x:v>
      </x:c>
      <x:c r="AL76" s="246" t="n">
        <x:f>J76-$B$4*AC76</x:f>
        <x:v>0.8195169417367191</x:v>
      </x:c>
      <x:c r="AM76" s="246" t="n">
        <x:f>K76-$B$4*AD76</x:f>
        <x:v>-1.6578141285720862</x:v>
      </x:c>
      <x:c r="AN76" s="246" t="n">
        <x:f>L76-$B$4*AE76</x:f>
        <x:v>1.2632380484455172</x:v>
      </x:c>
      <x:c r="AO76" s="246" t="n">
        <x:f>M76-$B$4*AF76</x:f>
        <x:v>1.3217454487017408</x:v>
      </x:c>
      <x:c r="AP76" s="246" t="n">
        <x:f>N76-$B$4*AG76</x:f>
        <x:v>-1.6881014911753764</x:v>
      </x:c>
      <x:c r="AQ76" s="246" t="n">
        <x:f>O76-$B$4*AH76</x:f>
        <x:v>0.8008017189450021</x:v>
      </x:c>
      <x:c r="AR76" s="182" t="n">
        <x:f>IF(U76&gt;=$B$5,1,0)</x:f>
        <x:v>1</x:v>
      </x:c>
      <x:c r="AS76" s="182" t="n">
        <x:f>IF(AR76=F76,1,0)</x:f>
        <x:v>0</x:v>
      </x:c>
      <x:c r="AT76" s="252" t="n">
        <x:f>ABS(F76-U76)</x:f>
        <x:v>0.5716621343996545</x:v>
      </x:c>
    </x:row>
    <x:row r="77">
      <x:c r="A77" s="114" t="n">
        <x:v>61</x:v>
      </x:c>
      <x:c r="B77" s="114" t="n">
        <x:v>16</x:v>
      </x:c>
      <x:c r="C77" s="114" t="n">
        <x:v>1</x:v>
      </x:c>
      <x:c r="D77" s="168" t="n">
        <x:f>$I$5</x:f>
        <x:v>0</x:v>
      </x:c>
      <x:c r="E77" s="168" t="n">
        <x:f>$J$5</x:f>
        <x:v>0</x:v>
      </x:c>
      <x:c r="F77" s="168" t="n">
        <x:f>$K$5</x:f>
        <x:v>0</x:v>
      </x:c>
      <x:c r="G77" s="242" t="n">
        <x:f>AI76</x:f>
        <x:v>1.1499334152842196</x:v>
      </x:c>
      <x:c r="H77" s="242" t="n">
        <x:f>AJ76</x:f>
        <x:v>-1.472119939887726</x:v>
      </x:c>
      <x:c r="I77" s="242" t="n">
        <x:f>AK76</x:f>
        <x:v>-1.2160528432171762</x:v>
      </x:c>
      <x:c r="J77" s="242" t="n">
        <x:f>AL76</x:f>
        <x:v>0.8195169417367191</x:v>
      </x:c>
      <x:c r="K77" s="242" t="n">
        <x:f>AM76</x:f>
        <x:v>-1.6578141285720862</x:v>
      </x:c>
      <x:c r="L77" s="242" t="n">
        <x:f>AN76</x:f>
        <x:v>1.2632380484455172</x:v>
      </x:c>
      <x:c r="M77" s="242" t="n">
        <x:f>AO76</x:f>
        <x:v>1.3217454487017408</x:v>
      </x:c>
      <x:c r="N77" s="242" t="n">
        <x:f>AP76</x:f>
        <x:v>-1.6881014911753764</x:v>
      </x:c>
      <x:c r="O77" s="242" t="n">
        <x:f>AQ76</x:f>
        <x:v>0.8008017189450021</x:v>
      </x:c>
      <x:c r="P77" s="243" t="n">
        <x:f>D77*G77+E77*H77+I77</x:f>
        <x:v>-1.2160528432171762</x:v>
      </x:c>
      <x:c r="Q77" s="243" t="n">
        <x:f>1/(1+EXP(-P77))</x:f>
        <x:v>0.2286318226904781</x:v>
      </x:c>
      <x:c r="R77" s="243" t="n">
        <x:f>D77*J77+E77*K77+L77</x:f>
        <x:v>1.2632380484455172</x:v>
      </x:c>
      <x:c r="S77" s="243" t="n">
        <x:f>1/(1+EXP(-R77))</x:f>
        <x:v>0.7795830161342648</x:v>
      </x:c>
      <x:c r="T77" s="243" t="n">
        <x:f>Q77*M77+S77*N77+O77</x:f>
        <x:v>-0.2130204620167251</x:v>
      </x:c>
      <x:c r="U77" s="243" t="n">
        <x:f>1/(1+EXP(-T77))</x:f>
        <x:v>0.4469453578072146</x:v>
      </x:c>
      <x:c r="V77" s="243" t="n">
        <x:f>0.5*(F77-U77)^2</x:f>
        <x:v>0.09988007643270955</x:v>
      </x:c>
      <x:c r="W77" s="244" t="n">
        <x:f>(U77-F77)*U77*(1-U77)</x:f>
        <x:v>0.11047827986736046</x:v>
      </x:c>
      <x:c r="X77" s="244" t="n">
        <x:f>W77*M77*Q77*(1-Q77)</x:f>
        <x:v>0.025752721077193563</x:v>
      </x:c>
      <x:c r="Y77" s="244" t="n">
        <x:f>W77*N77*S77*(1-S77)</x:f>
        <x:v>-0.03204666803467056</x:v>
      </x:c>
      <x:c r="Z77" s="245" t="n">
        <x:f>X77*D77</x:f>
        <x:v>0</x:v>
      </x:c>
      <x:c r="AA77" s="245" t="n">
        <x:f>X77*E77</x:f>
        <x:v>0</x:v>
      </x:c>
      <x:c r="AB77" s="245" t="n">
        <x:f>X77</x:f>
        <x:v>0.025752721077193563</x:v>
      </x:c>
      <x:c r="AC77" s="245" t="n">
        <x:f>Y77*D77</x:f>
        <x:v>0</x:v>
      </x:c>
      <x:c r="AD77" s="245" t="n">
        <x:f>Y77*E77</x:f>
        <x:v>0</x:v>
      </x:c>
      <x:c r="AE77" s="245" t="n">
        <x:f>Y77</x:f>
        <x:v>-0.03204666803467056</x:v>
      </x:c>
      <x:c r="AF77" s="245" t="n">
        <x:f>W77*Q77</x:f>
        <x:v>0.025258850493783375</x:v>
      </x:c>
      <x:c r="AG77" s="245" t="n">
        <x:f>W77*S77</x:f>
        <x:v>0.0861269906363223</x:v>
      </x:c>
      <x:c r="AH77" s="245" t="n">
        <x:f>W77</x:f>
        <x:v>0.11047827986736046</x:v>
      </x:c>
      <x:c r="AI77" s="246" t="n">
        <x:f>G77-$B$4*Z77</x:f>
        <x:v>1.1499334152842196</x:v>
      </x:c>
      <x:c r="AJ77" s="246" t="n">
        <x:f>H77-$B$4*AA77</x:f>
        <x:v>-1.472119939887726</x:v>
      </x:c>
      <x:c r="AK77" s="246" t="n">
        <x:f>I77-$B$4*AB77</x:f>
        <x:v>-1.2418055642943697</x:v>
      </x:c>
      <x:c r="AL77" s="246" t="n">
        <x:f>J77-$B$4*AC77</x:f>
        <x:v>0.8195169417367191</x:v>
      </x:c>
      <x:c r="AM77" s="246" t="n">
        <x:f>K77-$B$4*AD77</x:f>
        <x:v>-1.6578141285720862</x:v>
      </x:c>
      <x:c r="AN77" s="246" t="n">
        <x:f>L77-$B$4*AE77</x:f>
        <x:v>1.2952847164801877</x:v>
      </x:c>
      <x:c r="AO77" s="246" t="n">
        <x:f>M77-$B$4*AF77</x:f>
        <x:v>1.2964865982079574</x:v>
      </x:c>
      <x:c r="AP77" s="246" t="n">
        <x:f>N77-$B$4*AG77</x:f>
        <x:v>-1.7742284818116987</x:v>
      </x:c>
      <x:c r="AQ77" s="246" t="n">
        <x:f>O77-$B$4*AH77</x:f>
        <x:v>0.6903234390776416</x:v>
      </x:c>
      <x:c r="AR77" s="182" t="n">
        <x:f>IF(U77&gt;=$B$5,1,0)</x:f>
        <x:v>0</x:v>
      </x:c>
      <x:c r="AS77" s="182" t="n">
        <x:f>IF(AR77=F77,1,0)</x:f>
        <x:v>1</x:v>
      </x:c>
      <x:c r="AT77" s="252" t="n">
        <x:f>ABS(F77-U77)</x:f>
        <x:v>0.4469453578072146</x:v>
      </x:c>
    </x:row>
    <x:row r="78">
      <x:c r="A78" s="114" t="n">
        <x:v>62</x:v>
      </x:c>
      <x:c r="B78" s="114" t="n">
        <x:v>16</x:v>
      </x:c>
      <x:c r="C78" s="114" t="n">
        <x:v>2</x:v>
      </x:c>
      <x:c r="D78" s="168" t="n">
        <x:f>$I$6</x:f>
        <x:v>0</x:v>
      </x:c>
      <x:c r="E78" s="168" t="n">
        <x:f>$J$6</x:f>
        <x:v>1</x:v>
      </x:c>
      <x:c r="F78" s="168" t="n">
        <x:f>$K$6</x:f>
        <x:v>1</x:v>
      </x:c>
      <x:c r="G78" s="242" t="n">
        <x:f>AI77</x:f>
        <x:v>1.1499334152842196</x:v>
      </x:c>
      <x:c r="H78" s="242" t="n">
        <x:f>AJ77</x:f>
        <x:v>-1.472119939887726</x:v>
      </x:c>
      <x:c r="I78" s="242" t="n">
        <x:f>AK77</x:f>
        <x:v>-1.2418055642943697</x:v>
      </x:c>
      <x:c r="J78" s="242" t="n">
        <x:f>AL77</x:f>
        <x:v>0.8195169417367191</x:v>
      </x:c>
      <x:c r="K78" s="242" t="n">
        <x:f>AM77</x:f>
        <x:v>-1.6578141285720862</x:v>
      </x:c>
      <x:c r="L78" s="242" t="n">
        <x:f>AN77</x:f>
        <x:v>1.2952847164801877</x:v>
      </x:c>
      <x:c r="M78" s="242" t="n">
        <x:f>AO77</x:f>
        <x:v>1.2964865982079574</x:v>
      </x:c>
      <x:c r="N78" s="242" t="n">
        <x:f>AP77</x:f>
        <x:v>-1.7742284818116987</x:v>
      </x:c>
      <x:c r="O78" s="242" t="n">
        <x:f>AQ77</x:f>
        <x:v>0.6903234390776416</x:v>
      </x:c>
      <x:c r="P78" s="243" t="n">
        <x:f>D78*G78+E78*H78+I78</x:f>
        <x:v>-2.7139255041820958</x:v>
      </x:c>
      <x:c r="Q78" s="243" t="n">
        <x:f>1/(1+EXP(-P78))</x:f>
        <x:v>0.06215662756789184</x:v>
      </x:c>
      <x:c r="R78" s="243" t="n">
        <x:f>D78*J78+E78*K78+L78</x:f>
        <x:v>-0.3625294120918985</x:v>
      </x:c>
      <x:c r="S78" s="243" t="n">
        <x:f>1/(1+EXP(-R78))</x:f>
        <x:v>0.4103474047978008</x:v>
      </x:c>
      <x:c r="T78" s="243" t="n">
        <x:f>Q78*M78+S78*N78+O78</x:f>
        <x:v>0.042858620679444015</x:v>
      </x:c>
      <x:c r="U78" s="243" t="n">
        <x:f>1/(1+EXP(-T78))</x:f>
        <x:v>0.5107130153597259</x:v>
      </x:c>
      <x:c r="V78" s="243" t="n">
        <x:f>0.5*(F78-U78)^2</x:f>
        <x:v>0.11970087666918591</x:v>
      </x:c>
      <x:c r="W78" s="244" t="n">
        <x:f>(U78-F78)*U78*(1-U78)</x:f>
        <x:v>-0.1222655913298452</x:v>
      </x:c>
      <x:c r="X78" s="244" t="n">
        <x:f>W78*M78*Q78*(1-Q78)</x:f>
        <x:v>-0.009240384459758772</x:v>
      </x:c>
      <x:c r="Y78" s="244" t="n">
        <x:f>W78*N78*S78*(1-S78)</x:f>
        <x:v>0.05248820304688824</x:v>
      </x:c>
      <x:c r="Z78" s="245" t="n">
        <x:f>X78*D78</x:f>
        <x:v>0</x:v>
      </x:c>
      <x:c r="AA78" s="245" t="n">
        <x:f>X78*E78</x:f>
        <x:v>-0.009240384459758772</x:v>
      </x:c>
      <x:c r="AB78" s="245" t="n">
        <x:f>X78</x:f>
        <x:v>-0.009240384459758772</x:v>
      </x:c>
      <x:c r="AC78" s="245" t="n">
        <x:f>Y78*D78</x:f>
        <x:v>0</x:v>
      </x:c>
      <x:c r="AD78" s="245" t="n">
        <x:f>Y78*E78</x:f>
        <x:v>0.05248820304688824</x:v>
      </x:c>
      <x:c r="AE78" s="245" t="n">
        <x:f>Y78</x:f>
        <x:v>0.05248820304688824</x:v>
      </x:c>
      <x:c r="AF78" s="245" t="n">
        <x:f>W78*Q78</x:f>
        <x:v>-0.007599616824657253</x:v>
      </x:c>
      <x:c r="AG78" s="245" t="n">
        <x:f>W78*S78</x:f>
        <x:v>-0.05017136809827047</x:v>
      </x:c>
      <x:c r="AH78" s="245" t="n">
        <x:f>W78</x:f>
        <x:v>-0.1222655913298452</x:v>
      </x:c>
      <x:c r="AI78" s="246" t="n">
        <x:f>G78-$B$4*Z78</x:f>
        <x:v>1.1499334152842196</x:v>
      </x:c>
      <x:c r="AJ78" s="246" t="n">
        <x:f>H78-$B$4*AA78</x:f>
        <x:v>-1.4628795554279672</x:v>
      </x:c>
      <x:c r="AK78" s="246" t="n">
        <x:f>I78-$B$4*AB78</x:f>
        <x:v>-1.232565179834611</x:v>
      </x:c>
      <x:c r="AL78" s="246" t="n">
        <x:f>J78-$B$4*AC78</x:f>
        <x:v>0.8195169417367191</x:v>
      </x:c>
      <x:c r="AM78" s="246" t="n">
        <x:f>K78-$B$4*AD78</x:f>
        <x:v>-1.7103023316189745</x:v>
      </x:c>
      <x:c r="AN78" s="246" t="n">
        <x:f>L78-$B$4*AE78</x:f>
        <x:v>1.2427965134332994</x:v>
      </x:c>
      <x:c r="AO78" s="246" t="n">
        <x:f>M78-$B$4*AF78</x:f>
        <x:v>1.3040862150326147</x:v>
      </x:c>
      <x:c r="AP78" s="246" t="n">
        <x:f>N78-$B$4*AG78</x:f>
        <x:v>-1.7240571137134282</x:v>
      </x:c>
      <x:c r="AQ78" s="246" t="n">
        <x:f>O78-$B$4*AH78</x:f>
        <x:v>0.8125890304074868</x:v>
      </x:c>
      <x:c r="AR78" s="182" t="n">
        <x:f>IF(U78&gt;=$B$5,1,0)</x:f>
        <x:v>1</x:v>
      </x:c>
      <x:c r="AS78" s="182" t="n">
        <x:f>IF(AR78=F78,1,0)</x:f>
        <x:v>1</x:v>
      </x:c>
      <x:c r="AT78" s="252" t="n">
        <x:f>ABS(F78-U78)</x:f>
        <x:v>0.4892869846402741</x:v>
      </x:c>
    </x:row>
    <x:row r="79">
      <x:c r="A79" s="114" t="n">
        <x:v>63</x:v>
      </x:c>
      <x:c r="B79" s="114" t="n">
        <x:v>16</x:v>
      </x:c>
      <x:c r="C79" s="114" t="n">
        <x:v>3</x:v>
      </x:c>
      <x:c r="D79" s="168" t="n">
        <x:f>$I$7</x:f>
        <x:v>1</x:v>
      </x:c>
      <x:c r="E79" s="168" t="n">
        <x:f>$J$7</x:f>
        <x:v>0</x:v>
      </x:c>
      <x:c r="F79" s="168" t="n">
        <x:f>$K$7</x:f>
        <x:v>1</x:v>
      </x:c>
      <x:c r="G79" s="242" t="n">
        <x:f>AI78</x:f>
        <x:v>1.1499334152842196</x:v>
      </x:c>
      <x:c r="H79" s="242" t="n">
        <x:f>AJ78</x:f>
        <x:v>-1.4628795554279672</x:v>
      </x:c>
      <x:c r="I79" s="242" t="n">
        <x:f>AK78</x:f>
        <x:v>-1.232565179834611</x:v>
      </x:c>
      <x:c r="J79" s="242" t="n">
        <x:f>AL78</x:f>
        <x:v>0.8195169417367191</x:v>
      </x:c>
      <x:c r="K79" s="242" t="n">
        <x:f>AM78</x:f>
        <x:v>-1.7103023316189745</x:v>
      </x:c>
      <x:c r="L79" s="242" t="n">
        <x:f>AN78</x:f>
        <x:v>1.2427965134332994</x:v>
      </x:c>
      <x:c r="M79" s="242" t="n">
        <x:f>AO78</x:f>
        <x:v>1.3040862150326147</x:v>
      </x:c>
      <x:c r="N79" s="242" t="n">
        <x:f>AP78</x:f>
        <x:v>-1.7240571137134282</x:v>
      </x:c>
      <x:c r="O79" s="242" t="n">
        <x:f>AQ78</x:f>
        <x:v>0.8125890304074868</x:v>
      </x:c>
      <x:c r="P79" s="243" t="n">
        <x:f>D79*G79+E79*H79+I79</x:f>
        <x:v>-0.08263176455039134</x:v>
      </x:c>
      <x:c r="Q79" s="243" t="n">
        <x:f>1/(1+EXP(-P79))</x:f>
        <x:v>0.47935380522520277</x:v>
      </x:c>
      <x:c r="R79" s="243" t="n">
        <x:f>D79*J79+E79*K79+L79</x:f>
        <x:v>2.0623134551700186</x:v>
      </x:c>
      <x:c r="S79" s="243" t="n">
        <x:f>1/(1+EXP(-R79))</x:f>
        <x:v>0.8871859243420144</x:v>
      </x:c>
      <x:c r="T79" s="243" t="n">
        <x:f>Q79*M79+S79*N79+O79</x:f>
        <x:v>-0.09185148412317046</x:v>
      </x:c>
      <x:c r="U79" s="243" t="n">
        <x:f>1/(1+EXP(-T79))</x:f>
        <x:v>0.477053259588959</x:v>
      </x:c>
      <x:c r="V79" s="243" t="n">
        <x:f>0.5*(F79-U79)^2</x:f>
        <x:v>0.13673664665326637</x:v>
      </x:c>
      <x:c r="W79" s="244" t="n">
        <x:f>(U79-F79)*U79*(1-U79)</x:f>
        <x:v>-0.1304613259824089</x:v>
      </x:c>
      <x:c r="X79" s="244" t="n">
        <x:f>W79*M79*Q79*(1-Q79)</x:f>
        <x:v>-0.042460682475954</x:v>
      </x:c>
      <x:c r="Y79" s="244" t="n">
        <x:f>W79*N79*S79*(1-S79)</x:f>
        <x:v>0.022511859487492455</x:v>
      </x:c>
      <x:c r="Z79" s="245" t="n">
        <x:f>X79*D79</x:f>
        <x:v>-0.042460682475954</x:v>
      </x:c>
      <x:c r="AA79" s="245" t="n">
        <x:f>X79*E79</x:f>
        <x:v>0</x:v>
      </x:c>
      <x:c r="AB79" s="245" t="n">
        <x:f>X79</x:f>
        <x:v>-0.042460682475954</x:v>
      </x:c>
      <x:c r="AC79" s="245" t="n">
        <x:f>Y79*D79</x:f>
        <x:v>0.022511859487492455</x:v>
      </x:c>
      <x:c r="AD79" s="245" t="n">
        <x:f>Y79*E79</x:f>
        <x:v>0</x:v>
      </x:c>
      <x:c r="AE79" s="245" t="n">
        <x:f>Y79</x:f>
        <x:v>0.022511859487492455</x:v>
      </x:c>
      <x:c r="AF79" s="245" t="n">
        <x:f>W79*Q79</x:f>
        <x:v>-0.06253713304439332</x:v>
      </x:c>
      <x:c r="AG79" s="245" t="n">
        <x:f>W79*S79</x:f>
        <x:v>-0.1157434520825883</x:v>
      </x:c>
      <x:c r="AH79" s="245" t="n">
        <x:f>W79</x:f>
        <x:v>-0.1304613259824089</x:v>
      </x:c>
      <x:c r="AI79" s="246" t="n">
        <x:f>G79-$B$4*Z79</x:f>
        <x:v>1.1923940977601735</x:v>
      </x:c>
      <x:c r="AJ79" s="246" t="n">
        <x:f>H79-$B$4*AA79</x:f>
        <x:v>-1.4628795554279672</x:v>
      </x:c>
      <x:c r="AK79" s="246" t="n">
        <x:f>I79-$B$4*AB79</x:f>
        <x:v>-1.190104497358657</x:v>
      </x:c>
      <x:c r="AL79" s="246" t="n">
        <x:f>J79-$B$4*AC79</x:f>
        <x:v>0.7970050822492266</x:v>
      </x:c>
      <x:c r="AM79" s="246" t="n">
        <x:f>K79-$B$4*AD79</x:f>
        <x:v>-1.7103023316189745</x:v>
      </x:c>
      <x:c r="AN79" s="246" t="n">
        <x:f>L79-$B$4*AE79</x:f>
        <x:v>1.220284653945807</x:v>
      </x:c>
      <x:c r="AO79" s="246" t="n">
        <x:f>M79-$B$4*AF79</x:f>
        <x:v>1.366623348077008</x:v>
      </x:c>
      <x:c r="AP79" s="246" t="n">
        <x:f>N79-$B$4*AG79</x:f>
        <x:v>-1.6083136616308398</x:v>
      </x:c>
      <x:c r="AQ79" s="246" t="n">
        <x:f>O79-$B$4*AH79</x:f>
        <x:v>0.9430503563898956</x:v>
      </x:c>
      <x:c r="AR79" s="182" t="n">
        <x:f>IF(U79&gt;=$B$5,1,0)</x:f>
        <x:v>0</x:v>
      </x:c>
      <x:c r="AS79" s="182" t="n">
        <x:f>IF(AR79=F79,1,0)</x:f>
        <x:v>0</x:v>
      </x:c>
      <x:c r="AT79" s="252" t="n">
        <x:f>ABS(F79-U79)</x:f>
        <x:v>0.5229467404110411</x:v>
      </x:c>
    </x:row>
    <x:row r="80">
      <x:c r="A80" s="114" t="n">
        <x:v>64</x:v>
      </x:c>
      <x:c r="B80" s="114" t="n">
        <x:v>16</x:v>
      </x:c>
      <x:c r="C80" s="114" t="n">
        <x:v>4</x:v>
      </x:c>
      <x:c r="D80" s="168" t="n">
        <x:f>$I$8</x:f>
        <x:v>1</x:v>
      </x:c>
      <x:c r="E80" s="168" t="n">
        <x:f>$J$8</x:f>
        <x:v>1</x:v>
      </x:c>
      <x:c r="F80" s="168" t="n">
        <x:f>$K$8</x:f>
        <x:v>0</x:v>
      </x:c>
      <x:c r="G80" s="242" t="n">
        <x:f>AI79</x:f>
        <x:v>1.1923940977601735</x:v>
      </x:c>
      <x:c r="H80" s="242" t="n">
        <x:f>AJ79</x:f>
        <x:v>-1.4628795554279672</x:v>
      </x:c>
      <x:c r="I80" s="242" t="n">
        <x:f>AK79</x:f>
        <x:v>-1.190104497358657</x:v>
      </x:c>
      <x:c r="J80" s="242" t="n">
        <x:f>AL79</x:f>
        <x:v>0.7970050822492266</x:v>
      </x:c>
      <x:c r="K80" s="242" t="n">
        <x:f>AM79</x:f>
        <x:v>-1.7103023316189745</x:v>
      </x:c>
      <x:c r="L80" s="242" t="n">
        <x:f>AN79</x:f>
        <x:v>1.220284653945807</x:v>
      </x:c>
      <x:c r="M80" s="242" t="n">
        <x:f>AO79</x:f>
        <x:v>1.366623348077008</x:v>
      </x:c>
      <x:c r="N80" s="242" t="n">
        <x:f>AP79</x:f>
        <x:v>-1.6083136616308398</x:v>
      </x:c>
      <x:c r="O80" s="242" t="n">
        <x:f>AQ79</x:f>
        <x:v>0.9430503563898956</x:v>
      </x:c>
      <x:c r="P80" s="243" t="n">
        <x:f>D80*G80+E80*H80+I80</x:f>
        <x:v>-1.4605899550264507</x:v>
      </x:c>
      <x:c r="Q80" s="243" t="n">
        <x:f>1/(1+EXP(-P80))</x:f>
        <x:v>0.18837710971415503</x:v>
      </x:c>
      <x:c r="R80" s="243" t="n">
        <x:f>D80*J80+E80*K80+L80</x:f>
        <x:v>0.3069874045760591</x:v>
      </x:c>
      <x:c r="S80" s="243" t="n">
        <x:f>1/(1+EXP(-R80))</x:f>
        <x:v>0.5761497509564038</x:v>
      </x:c>
      <x:c r="T80" s="243" t="n">
        <x:f>Q80*M80+S80*N80+O80</x:f>
        <x:v>0.2738613971601339</x:v>
      </x:c>
      <x:c r="U80" s="243" t="n">
        <x:f>1/(1+EXP(-T80))</x:f>
        <x:v>0.5680406256329527</x:v>
      </x:c>
      <x:c r="V80" s="243" t="n">
        <x:f>0.5*(F80-U80)^2</x:f>
        <x:v>0.16133507618473814</x:v>
      </x:c>
      <x:c r="W80" s="244" t="n">
        <x:f>(U80-F80)*U80*(1-U80)</x:f>
        <x:v>0.1393803971444388</x:v>
      </x:c>
      <x:c r="X80" s="244" t="n">
        <x:f>W80*M80*Q80*(1-Q80)</x:f>
        <x:v>0.029122788081443942</x:v>
      </x:c>
      <x:c r="Y80" s="244" t="n">
        <x:f>W80*N80*S80*(1-S80)</x:f>
        <x:v>-0.05474195078038314</x:v>
      </x:c>
      <x:c r="Z80" s="245" t="n">
        <x:f>X80*D80</x:f>
        <x:v>0.029122788081443942</x:v>
      </x:c>
      <x:c r="AA80" s="245" t="n">
        <x:f>X80*E80</x:f>
        <x:v>0.029122788081443942</x:v>
      </x:c>
      <x:c r="AB80" s="245" t="n">
        <x:f>X80</x:f>
        <x:v>0.029122788081443942</x:v>
      </x:c>
      <x:c r="AC80" s="245" t="n">
        <x:f>Y80*D80</x:f>
        <x:v>-0.05474195078038314</x:v>
      </x:c>
      <x:c r="AD80" s="245" t="n">
        <x:f>Y80*E80</x:f>
        <x:v>-0.05474195078038314</x:v>
      </x:c>
      <x:c r="AE80" s="245" t="n">
        <x:f>Y80</x:f>
        <x:v>-0.05474195078038314</x:v>
      </x:c>
      <x:c r="AF80" s="245" t="n">
        <x:f>W80*Q80</x:f>
        <x:v>0.02625607636488045</x:v>
      </x:c>
      <x:c r="AG80" s="245" t="n">
        <x:f>W80*S80</x:f>
        <x:v>0.08030398110297307</x:v>
      </x:c>
      <x:c r="AH80" s="245" t="n">
        <x:f>W80</x:f>
        <x:v>0.1393803971444388</x:v>
      </x:c>
      <x:c r="AI80" s="246" t="n">
        <x:f>G80-$B$4*Z80</x:f>
        <x:v>1.1632713096787295</x:v>
      </x:c>
      <x:c r="AJ80" s="246" t="n">
        <x:f>H80-$B$4*AA80</x:f>
        <x:v>-1.4920023435094112</x:v>
      </x:c>
      <x:c r="AK80" s="246" t="n">
        <x:f>I80-$B$4*AB80</x:f>
        <x:v>-1.219227285440101</x:v>
      </x:c>
      <x:c r="AL80" s="246" t="n">
        <x:f>J80-$B$4*AC80</x:f>
        <x:v>0.8517470330296097</x:v>
      </x:c>
      <x:c r="AM80" s="246" t="n">
        <x:f>K80-$B$4*AD80</x:f>
        <x:v>-1.6555603808385913</x:v>
      </x:c>
      <x:c r="AN80" s="246" t="n">
        <x:f>L80-$B$4*AE80</x:f>
        <x:v>1.2750266047261902</x:v>
      </x:c>
      <x:c r="AO80" s="246" t="n">
        <x:f>M80-$B$4*AF80</x:f>
        <x:v>1.3403672717121276</x:v>
      </x:c>
      <x:c r="AP80" s="246" t="n">
        <x:f>N80-$B$4*AG80</x:f>
        <x:v>-1.6886176427338129</x:v>
      </x:c>
      <x:c r="AQ80" s="246" t="n">
        <x:f>O80-$B$4*AH80</x:f>
        <x:v>0.8036699592454568</x:v>
      </x:c>
      <x:c r="AR80" s="182" t="n">
        <x:f>IF(U80&gt;=$B$5,1,0)</x:f>
        <x:v>1</x:v>
      </x:c>
      <x:c r="AS80" s="182" t="n">
        <x:f>IF(AR80=F80,1,0)</x:f>
        <x:v>0</x:v>
      </x:c>
      <x:c r="AT80" s="252" t="n">
        <x:f>ABS(F80-U80)</x:f>
        <x:v>0.5680406256329527</x:v>
      </x:c>
    </x:row>
    <x:row r="81">
      <x:c r="A81" s="114" t="n">
        <x:v>65</x:v>
      </x:c>
      <x:c r="B81" s="114" t="n">
        <x:v>17</x:v>
      </x:c>
      <x:c r="C81" s="114" t="n">
        <x:v>1</x:v>
      </x:c>
      <x:c r="D81" s="168" t="n">
        <x:f>$I$5</x:f>
        <x:v>0</x:v>
      </x:c>
      <x:c r="E81" s="168" t="n">
        <x:f>$J$5</x:f>
        <x:v>0</x:v>
      </x:c>
      <x:c r="F81" s="168" t="n">
        <x:f>$K$5</x:f>
        <x:v>0</x:v>
      </x:c>
      <x:c r="G81" s="242" t="n">
        <x:f>AI80</x:f>
        <x:v>1.1632713096787295</x:v>
      </x:c>
      <x:c r="H81" s="242" t="n">
        <x:f>AJ80</x:f>
        <x:v>-1.4920023435094112</x:v>
      </x:c>
      <x:c r="I81" s="242" t="n">
        <x:f>AK80</x:f>
        <x:v>-1.219227285440101</x:v>
      </x:c>
      <x:c r="J81" s="242" t="n">
        <x:f>AL80</x:f>
        <x:v>0.8517470330296097</x:v>
      </x:c>
      <x:c r="K81" s="242" t="n">
        <x:f>AM80</x:f>
        <x:v>-1.6555603808385913</x:v>
      </x:c>
      <x:c r="L81" s="242" t="n">
        <x:f>AN80</x:f>
        <x:v>1.2750266047261902</x:v>
      </x:c>
      <x:c r="M81" s="242" t="n">
        <x:f>AO80</x:f>
        <x:v>1.3403672717121276</x:v>
      </x:c>
      <x:c r="N81" s="242" t="n">
        <x:f>AP80</x:f>
        <x:v>-1.6886176427338129</x:v>
      </x:c>
      <x:c r="O81" s="242" t="n">
        <x:f>AQ80</x:f>
        <x:v>0.8036699592454568</x:v>
      </x:c>
      <x:c r="P81" s="243" t="n">
        <x:f>D81*G81+E81*H81+I81</x:f>
        <x:v>-1.219227285440101</x:v>
      </x:c>
      <x:c r="Q81" s="243" t="n">
        <x:f>1/(1+EXP(-P81))</x:f>
        <x:v>0.22807246256933186</x:v>
      </x:c>
      <x:c r="R81" s="243" t="n">
        <x:f>D81*J81+E81*K81+L81</x:f>
        <x:v>1.2750266047261902</x:v>
      </x:c>
      <x:c r="S81" s="243" t="n">
        <x:f>1/(1+EXP(-R81))</x:f>
        <x:v>0.781602005371413</x:v>
      </x:c>
      <x:c r="T81" s="243" t="n">
        <x:f>Q81*M81+S81*N81+O81</x:f>
        <x:v>-0.21045611221411797</x:v>
      </x:c>
      <x:c r="U81" s="243" t="n">
        <x:f>1/(1+EXP(-T81))</x:f>
        <x:v>0.44757931304134174</x:v>
      </x:c>
      <x:c r="V81" s="243" t="n">
        <x:f>0.5*(F81-U81)^2</x:f>
        <x:v>0.1001636207312797</x:v>
      </x:c>
      <x:c r="W81" s="244" t="n">
        <x:f>(U81-F81)*U81*(1-U81)</x:f>
        <x:v>0.11066491234528009</x:v>
      </x:c>
      <x:c r="X81" s="244" t="n">
        <x:f>W81*M81*Q81*(1-Q81)</x:f>
        <x:v>0.026114585993819574</x:v>
      </x:c>
      <x:c r="Y81" s="244" t="n">
        <x:f>W81*N81*S81*(1-S81)</x:f>
        <x:v>-0.03189889052401356</x:v>
      </x:c>
      <x:c r="Z81" s="245" t="n">
        <x:f>X81*D81</x:f>
        <x:v>0</x:v>
      </x:c>
      <x:c r="AA81" s="245" t="n">
        <x:f>X81*E81</x:f>
        <x:v>0</x:v>
      </x:c>
      <x:c r="AB81" s="245" t="n">
        <x:f>X81</x:f>
        <x:v>0.026114585993819574</x:v>
      </x:c>
      <x:c r="AC81" s="245" t="n">
        <x:f>Y81*D81</x:f>
        <x:v>0</x:v>
      </x:c>
      <x:c r="AD81" s="245" t="n">
        <x:f>Y81*E81</x:f>
        <x:v>0</x:v>
      </x:c>
      <x:c r="AE81" s="245" t="n">
        <x:f>Y81</x:f>
        <x:v>-0.03189889052401356</x:v>
      </x:c>
      <x:c r="AF81" s="245" t="n">
        <x:f>W81*Q81</x:f>
        <x:v>0.025239619078607285</x:v>
      </x:c>
      <x:c r="AG81" s="245" t="n">
        <x:f>W81*S81</x:f>
        <x:v>0.08649591741332255</x:v>
      </x:c>
      <x:c r="AH81" s="245" t="n">
        <x:f>W81</x:f>
        <x:v>0.11066491234528009</x:v>
      </x:c>
      <x:c r="AI81" s="246" t="n">
        <x:f>G81-$B$4*Z81</x:f>
        <x:v>1.1632713096787295</x:v>
      </x:c>
      <x:c r="AJ81" s="246" t="n">
        <x:f>H81-$B$4*AA81</x:f>
        <x:v>-1.4920023435094112</x:v>
      </x:c>
      <x:c r="AK81" s="246" t="n">
        <x:f>I81-$B$4*AB81</x:f>
        <x:v>-1.2453418714339206</x:v>
      </x:c>
      <x:c r="AL81" s="246" t="n">
        <x:f>J81-$B$4*AC81</x:f>
        <x:v>0.8517470330296097</x:v>
      </x:c>
      <x:c r="AM81" s="246" t="n">
        <x:f>K81-$B$4*AD81</x:f>
        <x:v>-1.6555603808385913</x:v>
      </x:c>
      <x:c r="AN81" s="246" t="n">
        <x:f>L81-$B$4*AE81</x:f>
        <x:v>1.3069254952502039</x:v>
      </x:c>
      <x:c r="AO81" s="246" t="n">
        <x:f>M81-$B$4*AF81</x:f>
        <x:v>1.3151276526335203</x:v>
      </x:c>
      <x:c r="AP81" s="246" t="n">
        <x:f>N81-$B$4*AG81</x:f>
        <x:v>-1.7751135601471355</x:v>
      </x:c>
      <x:c r="AQ81" s="246" t="n">
        <x:f>O81-$B$4*AH81</x:f>
        <x:v>0.6930050469001767</x:v>
      </x:c>
      <x:c r="AR81" s="182" t="n">
        <x:f>IF(U81&gt;=$B$5,1,0)</x:f>
        <x:v>0</x:v>
      </x:c>
      <x:c r="AS81" s="182" t="n">
        <x:f>IF(AR81=F81,1,0)</x:f>
        <x:v>1</x:v>
      </x:c>
      <x:c r="AT81" s="252" t="n">
        <x:f>ABS(F81-U81)</x:f>
        <x:v>0.44757931304134174</x:v>
      </x:c>
    </x:row>
    <x:row r="82">
      <x:c r="A82" s="114" t="n">
        <x:v>66</x:v>
      </x:c>
      <x:c r="B82" s="114" t="n">
        <x:v>17</x:v>
      </x:c>
      <x:c r="C82" s="114" t="n">
        <x:v>2</x:v>
      </x:c>
      <x:c r="D82" s="168" t="n">
        <x:f>$I$6</x:f>
        <x:v>0</x:v>
      </x:c>
      <x:c r="E82" s="168" t="n">
        <x:f>$J$6</x:f>
        <x:v>1</x:v>
      </x:c>
      <x:c r="F82" s="168" t="n">
        <x:f>$K$6</x:f>
        <x:v>1</x:v>
      </x:c>
      <x:c r="G82" s="242" t="n">
        <x:f>AI81</x:f>
        <x:v>1.1632713096787295</x:v>
      </x:c>
      <x:c r="H82" s="242" t="n">
        <x:f>AJ81</x:f>
        <x:v>-1.4920023435094112</x:v>
      </x:c>
      <x:c r="I82" s="242" t="n">
        <x:f>AK81</x:f>
        <x:v>-1.2453418714339206</x:v>
      </x:c>
      <x:c r="J82" s="242" t="n">
        <x:f>AL81</x:f>
        <x:v>0.8517470330296097</x:v>
      </x:c>
      <x:c r="K82" s="242" t="n">
        <x:f>AM81</x:f>
        <x:v>-1.6555603808385913</x:v>
      </x:c>
      <x:c r="L82" s="242" t="n">
        <x:f>AN81</x:f>
        <x:v>1.3069254952502039</x:v>
      </x:c>
      <x:c r="M82" s="242" t="n">
        <x:f>AO81</x:f>
        <x:v>1.3151276526335203</x:v>
      </x:c>
      <x:c r="N82" s="242" t="n">
        <x:f>AP81</x:f>
        <x:v>-1.7751135601471355</x:v>
      </x:c>
      <x:c r="O82" s="242" t="n">
        <x:f>AQ81</x:f>
        <x:v>0.6930050469001767</x:v>
      </x:c>
      <x:c r="P82" s="243" t="n">
        <x:f>D82*G82+E82*H82+I82</x:f>
        <x:v>-2.737344214943332</x:v>
      </x:c>
      <x:c r="Q82" s="243" t="n">
        <x:f>1/(1+EXP(-P82))</x:f>
        <x:v>0.0608053933595934</x:v>
      </x:c>
      <x:c r="R82" s="243" t="n">
        <x:f>D82*J82+E82*K82+L82</x:f>
        <x:v>-0.3486348855883874</x:v>
      </x:c>
      <x:c r="S82" s="243" t="n">
        <x:f>1/(1+EXP(-R82))</x:f>
        <x:v>0.413713496867342</x:v>
      </x:c>
      <x:c r="T82" s="243" t="n">
        <x:f>Q82*M82+S82*N82+O82</x:f>
        <x:v>0.03858346283152836</x:v>
      </x:c>
      <x:c r="U82" s="243" t="n">
        <x:f>1/(1+EXP(-T82))</x:f>
        <x:v>0.5096446692491527</x:v>
      </x:c>
      <x:c r="V82" s="243" t="n">
        <x:f>0.5*(F82-U82)^2</x:f>
        <x:v>0.1202241751978864</x:v>
      </x:c>
      <x:c r="W82" s="244" t="n">
        <x:f>(U82-F82)*U82*(1-U82)</x:f>
        <x:v>-0.12254322000895801</x:v>
      </x:c>
      <x:c r="X82" s="244" t="n">
        <x:f>W82*M82*Q82*(1-Q82)</x:f>
        <x:v>-0.009203539695080304</x:v>
      </x:c>
      <x:c r="Y82" s="244" t="n">
        <x:f>W82*N82*S82*(1-S82)</x:f>
        <x:v>0.052762457500551224</x:v>
      </x:c>
      <x:c r="Z82" s="245" t="n">
        <x:f>X82*D82</x:f>
        <x:v>0</x:v>
      </x:c>
      <x:c r="AA82" s="245" t="n">
        <x:f>X82*E82</x:f>
        <x:v>-0.009203539695080304</x:v>
      </x:c>
      <x:c r="AB82" s="245" t="n">
        <x:f>X82</x:f>
        <x:v>-0.009203539695080304</x:v>
      </x:c>
      <x:c r="AC82" s="245" t="n">
        <x:f>Y82*D82</x:f>
        <x:v>0</x:v>
      </x:c>
      <x:c r="AD82" s="245" t="n">
        <x:f>Y82*E82</x:f>
        <x:v>0.052762457500551224</x:v>
      </x:c>
      <x:c r="AE82" s="245" t="n">
        <x:f>Y82</x:f>
        <x:v>0.052762457500551224</x:v>
      </x:c>
      <x:c r="AF82" s="245" t="n">
        <x:f>W82*Q82</x:f>
        <x:v>-0.007451288696195889</x:v>
      </x:c>
      <x:c r="AG82" s="245" t="n">
        <x:f>W82*S82</x:f>
        <x:v>-0.05069778406729005</x:v>
      </x:c>
      <x:c r="AH82" s="245" t="n">
        <x:f>W82</x:f>
        <x:v>-0.12254322000895801</x:v>
      </x:c>
      <x:c r="AI82" s="246" t="n">
        <x:f>G82-$B$4*Z82</x:f>
        <x:v>1.1632713096787295</x:v>
      </x:c>
      <x:c r="AJ82" s="246" t="n">
        <x:f>H82-$B$4*AA82</x:f>
        <x:v>-1.482798803814331</x:v>
      </x:c>
      <x:c r="AK82" s="246" t="n">
        <x:f>I82-$B$4*AB82</x:f>
        <x:v>-1.2361383317388404</x:v>
      </x:c>
      <x:c r="AL82" s="246" t="n">
        <x:f>J82-$B$4*AC82</x:f>
        <x:v>0.8517470330296097</x:v>
      </x:c>
      <x:c r="AM82" s="246" t="n">
        <x:f>K82-$B$4*AD82</x:f>
        <x:v>-1.7083228383391424</x:v>
      </x:c>
      <x:c r="AN82" s="246" t="n">
        <x:f>L82-$B$4*AE82</x:f>
        <x:v>1.2541630377496527</x:v>
      </x:c>
      <x:c r="AO82" s="246" t="n">
        <x:f>M82-$B$4*AF82</x:f>
        <x:v>1.3225789413297162</x:v>
      </x:c>
      <x:c r="AP82" s="246" t="n">
        <x:f>N82-$B$4*AG82</x:f>
        <x:v>-1.7244157760798455</x:v>
      </x:c>
      <x:c r="AQ82" s="246" t="n">
        <x:f>O82-$B$4*AH82</x:f>
        <x:v>0.8155482669091347</x:v>
      </x:c>
      <x:c r="AR82" s="182" t="n">
        <x:f>IF(U82&gt;=$B$5,1,0)</x:f>
        <x:v>1</x:v>
      </x:c>
      <x:c r="AS82" s="182" t="n">
        <x:f>IF(AR82=F82,1,0)</x:f>
        <x:v>1</x:v>
      </x:c>
      <x:c r="AT82" s="252" t="n">
        <x:f>ABS(F82-U82)</x:f>
        <x:v>0.49035533075084725</x:v>
      </x:c>
    </x:row>
    <x:row r="83">
      <x:c r="A83" s="114" t="n">
        <x:v>67</x:v>
      </x:c>
      <x:c r="B83" s="114" t="n">
        <x:v>17</x:v>
      </x:c>
      <x:c r="C83" s="114" t="n">
        <x:v>3</x:v>
      </x:c>
      <x:c r="D83" s="168" t="n">
        <x:f>$I$7</x:f>
        <x:v>1</x:v>
      </x:c>
      <x:c r="E83" s="168" t="n">
        <x:f>$J$7</x:f>
        <x:v>0</x:v>
      </x:c>
      <x:c r="F83" s="168" t="n">
        <x:f>$K$7</x:f>
        <x:v>1</x:v>
      </x:c>
      <x:c r="G83" s="242" t="n">
        <x:f>AI82</x:f>
        <x:v>1.1632713096787295</x:v>
      </x:c>
      <x:c r="H83" s="242" t="n">
        <x:f>AJ82</x:f>
        <x:v>-1.482798803814331</x:v>
      </x:c>
      <x:c r="I83" s="242" t="n">
        <x:f>AK82</x:f>
        <x:v>-1.2361383317388404</x:v>
      </x:c>
      <x:c r="J83" s="242" t="n">
        <x:f>AL82</x:f>
        <x:v>0.8517470330296097</x:v>
      </x:c>
      <x:c r="K83" s="242" t="n">
        <x:f>AM82</x:f>
        <x:v>-1.7083228383391424</x:v>
      </x:c>
      <x:c r="L83" s="242" t="n">
        <x:f>AN82</x:f>
        <x:v>1.2541630377496527</x:v>
      </x:c>
      <x:c r="M83" s="242" t="n">
        <x:f>AO82</x:f>
        <x:v>1.3225789413297162</x:v>
      </x:c>
      <x:c r="N83" s="242" t="n">
        <x:f>AP82</x:f>
        <x:v>-1.7244157760798455</x:v>
      </x:c>
      <x:c r="O83" s="242" t="n">
        <x:f>AQ82</x:f>
        <x:v>0.8155482669091347</x:v>
      </x:c>
      <x:c r="P83" s="243" t="n">
        <x:f>D83*G83+E83*H83+I83</x:f>
        <x:v>-0.07286702206011086</x:v>
      </x:c>
      <x:c r="Q83" s="243" t="n">
        <x:f>1/(1+EXP(-P83))</x:f>
        <x:v>0.48179130051906366</x:v>
      </x:c>
      <x:c r="R83" s="243" t="n">
        <x:f>D83*J83+E83*K83+L83</x:f>
        <x:v>2.105910070779262</x:v>
      </x:c>
      <x:c r="S83" s="243" t="n">
        <x:f>1/(1+EXP(-R83))</x:f>
        <x:v>0.8914762807034566</x:v>
      </x:c>
      <x:c r="T83" s="243" t="n">
        <x:f>Q83*M83+S83*N83+O83</x:f>
        <x:v>-0.08452046735452023</x:v>
      </x:c>
      <x:c r="U83" s="243" t="n">
        <x:f>1/(1+EXP(-T83))</x:f>
        <x:v>0.47888245313301736</x:v>
      </x:c>
      <x:c r="V83" s="243" t="n">
        <x:f>0.5*(F83-U83)^2</x:f>
        <x:v>0.13578174882633093</x:v>
      </x:c>
      <x:c r="W83" s="244" t="n">
        <x:f>(U83-F83)*U83*(1-U83)</x:f>
        <x:v>-0.1300469939372891</x:v>
      </x:c>
      <x:c r="X83" s="244" t="n">
        <x:f>W83*M83*Q83*(1-Q83)</x:f>
        <x:v>-0.04294232698933252</x:v>
      </x:c>
      <x:c r="Y83" s="244" t="n">
        <x:f>W83*N83*S83*(1-S83)</x:f>
        <x:v>0.02169585487232824</x:v>
      </x:c>
      <x:c r="Z83" s="245" t="n">
        <x:f>X83*D83</x:f>
        <x:v>-0.04294232698933252</x:v>
      </x:c>
      <x:c r="AA83" s="245" t="n">
        <x:f>X83*E83</x:f>
        <x:v>0</x:v>
      </x:c>
      <x:c r="AB83" s="245" t="n">
        <x:f>X83</x:f>
        <x:v>-0.04294232698933252</x:v>
      </x:c>
      <x:c r="AC83" s="245" t="n">
        <x:f>Y83*D83</x:f>
        <x:v>0.02169585487232824</x:v>
      </x:c>
      <x:c r="AD83" s="245" t="n">
        <x:f>Y83*E83</x:f>
        <x:v>0</x:v>
      </x:c>
      <x:c r="AE83" s="245" t="n">
        <x:f>Y83</x:f>
        <x:v>0.02169585487232824</x:v>
      </x:c>
      <x:c r="AF83" s="245" t="n">
        <x:f>W83*Q83</x:f>
        <x:v>-0.0626555103376413</x:v>
      </x:c>
      <x:c r="AG83" s="245" t="n">
        <x:f>W83*S83</x:f>
        <x:v>-0.11593381047187946</x:v>
      </x:c>
      <x:c r="AH83" s="245" t="n">
        <x:f>W83</x:f>
        <x:v>-0.1300469939372891</x:v>
      </x:c>
      <x:c r="AI83" s="246" t="n">
        <x:f>G83-$B$4*Z83</x:f>
        <x:v>1.206213636668062</x:v>
      </x:c>
      <x:c r="AJ83" s="246" t="n">
        <x:f>H83-$B$4*AA83</x:f>
        <x:v>-1.482798803814331</x:v>
      </x:c>
      <x:c r="AK83" s="246" t="n">
        <x:f>I83-$B$4*AB83</x:f>
        <x:v>-1.1931960047495078</x:v>
      </x:c>
      <x:c r="AL83" s="246" t="n">
        <x:f>J83-$B$4*AC83</x:f>
        <x:v>0.8300511781572815</x:v>
      </x:c>
      <x:c r="AM83" s="246" t="n">
        <x:f>K83-$B$4*AD83</x:f>
        <x:v>-1.7083228383391424</x:v>
      </x:c>
      <x:c r="AN83" s="246" t="n">
        <x:f>L83-$B$4*AE83</x:f>
        <x:v>1.2324671828773244</x:v>
      </x:c>
      <x:c r="AO83" s="246" t="n">
        <x:f>M83-$B$4*AF83</x:f>
        <x:v>1.3852344516673576</x:v>
      </x:c>
      <x:c r="AP83" s="246" t="n">
        <x:f>N83-$B$4*AG83</x:f>
        <x:v>-1.608481965607966</x:v>
      </x:c>
      <x:c r="AQ83" s="246" t="n">
        <x:f>O83-$B$4*AH83</x:f>
        <x:v>0.9455952608464239</x:v>
      </x:c>
      <x:c r="AR83" s="182" t="n">
        <x:f>IF(U83&gt;=$B$5,1,0)</x:f>
        <x:v>0</x:v>
      </x:c>
      <x:c r="AS83" s="182" t="n">
        <x:f>IF(AR83=F83,1,0)</x:f>
        <x:v>0</x:v>
      </x:c>
      <x:c r="AT83" s="252" t="n">
        <x:f>ABS(F83-U83)</x:f>
        <x:v>0.5211175468669826</x:v>
      </x:c>
    </x:row>
    <x:row r="84">
      <x:c r="A84" s="114" t="n">
        <x:v>68</x:v>
      </x:c>
      <x:c r="B84" s="114" t="n">
        <x:v>17</x:v>
      </x:c>
      <x:c r="C84" s="114" t="n">
        <x:v>4</x:v>
      </x:c>
      <x:c r="D84" s="168" t="n">
        <x:f>$I$8</x:f>
        <x:v>1</x:v>
      </x:c>
      <x:c r="E84" s="168" t="n">
        <x:f>$J$8</x:f>
        <x:v>1</x:v>
      </x:c>
      <x:c r="F84" s="168" t="n">
        <x:f>$K$8</x:f>
        <x:v>0</x:v>
      </x:c>
      <x:c r="G84" s="242" t="n">
        <x:f>AI83</x:f>
        <x:v>1.206213636668062</x:v>
      </x:c>
      <x:c r="H84" s="242" t="n">
        <x:f>AJ83</x:f>
        <x:v>-1.482798803814331</x:v>
      </x:c>
      <x:c r="I84" s="242" t="n">
        <x:f>AK83</x:f>
        <x:v>-1.1931960047495078</x:v>
      </x:c>
      <x:c r="J84" s="242" t="n">
        <x:f>AL83</x:f>
        <x:v>0.8300511781572815</x:v>
      </x:c>
      <x:c r="K84" s="242" t="n">
        <x:f>AM83</x:f>
        <x:v>-1.7083228383391424</x:v>
      </x:c>
      <x:c r="L84" s="242" t="n">
        <x:f>AN83</x:f>
        <x:v>1.2324671828773244</x:v>
      </x:c>
      <x:c r="M84" s="242" t="n">
        <x:f>AO83</x:f>
        <x:v>1.3852344516673576</x:v>
      </x:c>
      <x:c r="N84" s="242" t="n">
        <x:f>AP83</x:f>
        <x:v>-1.608481965607966</x:v>
      </x:c>
      <x:c r="O84" s="242" t="n">
        <x:f>AQ83</x:f>
        <x:v>0.9455952608464239</x:v>
      </x:c>
      <x:c r="P84" s="243" t="n">
        <x:f>D84*G84+E84*H84+I84</x:f>
        <x:v>-1.4697811718957767</x:v>
      </x:c>
      <x:c r="Q84" s="243" t="n">
        <x:f>1/(1+EXP(-P84))</x:f>
        <x:v>0.1869758770403125</x:v>
      </x:c>
      <x:c r="R84" s="243" t="n">
        <x:f>D84*J84+E84*K84+L84</x:f>
        <x:v>0.3541955226954634</x:v>
      </x:c>
      <x:c r="S84" s="243" t="n">
        <x:f>1/(1+EXP(-R84))</x:f>
        <x:v>0.587634611154251</x:v>
      </x:c>
      <x:c r="T84" s="243" t="n">
        <x:f>Q84*M84+S84*N84+O84</x:f>
        <x:v>0.25940101294472195</x:v>
      </x:c>
      <x:c r="U84" s="243" t="n">
        <x:f>1/(1+EXP(-T84))</x:f>
        <x:v>0.5644890418208369</x:v>
      </x:c>
      <x:c r="V84" s="243" t="n">
        <x:f>0.5*(F84-U84)^2</x:f>
        <x:v>0.1593239391679033</x:v>
      </x:c>
      <x:c r="W84" s="244" t="n">
        <x:f>(U84-F84)*U84*(1-U84)</x:f>
        <x:v>0.1387746428157845</x:v>
      </x:c>
      <x:c r="X84" s="244" t="n">
        <x:f>W84*M84*Q84*(1-Q84)</x:f>
        <x:v>0.029222839513684467</x:v>
      </x:c>
      <x:c r="Y84" s="244" t="n">
        <x:f>W84*N84*S84*(1-S84)</x:f>
        <x:v>-0.054089863811259735</x:v>
      </x:c>
      <x:c r="Z84" s="245" t="n">
        <x:f>X84*D84</x:f>
        <x:v>0.029222839513684467</x:v>
      </x:c>
      <x:c r="AA84" s="245" t="n">
        <x:f>X84*E84</x:f>
        <x:v>0.029222839513684467</x:v>
      </x:c>
      <x:c r="AB84" s="245" t="n">
        <x:f>X84</x:f>
        <x:v>0.029222839513684467</x:v>
      </x:c>
      <x:c r="AC84" s="245" t="n">
        <x:f>Y84*D84</x:f>
        <x:v>-0.054089863811259735</x:v>
      </x:c>
      <x:c r="AD84" s="245" t="n">
        <x:f>Y84*E84</x:f>
        <x:v>-0.054089863811259735</x:v>
      </x:c>
      <x:c r="AE84" s="245" t="n">
        <x:f>Y84</x:f>
        <x:v>-0.054089863811259735</x:v>
      </x:c>
      <x:c r="AF84" s="245" t="n">
        <x:f>W84*Q84</x:f>
        <x:v>0.025947510551437406</x:v>
      </x:c>
      <x:c r="AG84" s="245" t="n">
        <x:f>W84*S84</x:f>
        <x:v>0.0815487832691236</x:v>
      </x:c>
      <x:c r="AH84" s="245" t="n">
        <x:f>W84</x:f>
        <x:v>0.1387746428157845</x:v>
      </x:c>
      <x:c r="AI84" s="246" t="n">
        <x:f>G84-$B$4*Z84</x:f>
        <x:v>1.1769907971543776</x:v>
      </x:c>
      <x:c r="AJ84" s="246" t="n">
        <x:f>H84-$B$4*AA84</x:f>
        <x:v>-1.5120216433280154</x:v>
      </x:c>
      <x:c r="AK84" s="246" t="n">
        <x:f>I84-$B$4*AB84</x:f>
        <x:v>-1.2224188442631923</x:v>
      </x:c>
      <x:c r="AL84" s="246" t="n">
        <x:f>J84-$B$4*AC84</x:f>
        <x:v>0.8841410419685412</x:v>
      </x:c>
      <x:c r="AM84" s="246" t="n">
        <x:f>K84-$B$4*AD84</x:f>
        <x:v>-1.6542329745278828</x:v>
      </x:c>
      <x:c r="AN84" s="246" t="n">
        <x:f>L84-$B$4*AE84</x:f>
        <x:v>1.286557046688584</x:v>
      </x:c>
      <x:c r="AO84" s="246" t="n">
        <x:f>M84-$B$4*AF84</x:f>
        <x:v>1.35928694111592</x:v>
      </x:c>
      <x:c r="AP84" s="246" t="n">
        <x:f>N84-$B$4*AG84</x:f>
        <x:v>-1.6900307488770896</x:v>
      </x:c>
      <x:c r="AQ84" s="246" t="n">
        <x:f>O84-$B$4*AH84</x:f>
        <x:v>0.8068206180306394</x:v>
      </x:c>
      <x:c r="AR84" s="182" t="n">
        <x:f>IF(U84&gt;=$B$5,1,0)</x:f>
        <x:v>1</x:v>
      </x:c>
      <x:c r="AS84" s="182" t="n">
        <x:f>IF(AR84=F84,1,0)</x:f>
        <x:v>0</x:v>
      </x:c>
      <x:c r="AT84" s="252" t="n">
        <x:f>ABS(F84-U84)</x:f>
        <x:v>0.5644890418208369</x:v>
      </x:c>
    </x:row>
    <x:row r="85">
      <x:c r="A85" s="114" t="n">
        <x:v>69</x:v>
      </x:c>
      <x:c r="B85" s="114" t="n">
        <x:v>18</x:v>
      </x:c>
      <x:c r="C85" s="114" t="n">
        <x:v>1</x:v>
      </x:c>
      <x:c r="D85" s="168" t="n">
        <x:f>$I$5</x:f>
        <x:v>0</x:v>
      </x:c>
      <x:c r="E85" s="168" t="n">
        <x:f>$J$5</x:f>
        <x:v>0</x:v>
      </x:c>
      <x:c r="F85" s="168" t="n">
        <x:f>$K$5</x:f>
        <x:v>0</x:v>
      </x:c>
      <x:c r="G85" s="242" t="n">
        <x:f>AI84</x:f>
        <x:v>1.1769907971543776</x:v>
      </x:c>
      <x:c r="H85" s="242" t="n">
        <x:f>AJ84</x:f>
        <x:v>-1.5120216433280154</x:v>
      </x:c>
      <x:c r="I85" s="242" t="n">
        <x:f>AK84</x:f>
        <x:v>-1.2224188442631923</x:v>
      </x:c>
      <x:c r="J85" s="242" t="n">
        <x:f>AL84</x:f>
        <x:v>0.8841410419685412</x:v>
      </x:c>
      <x:c r="K85" s="242" t="n">
        <x:f>AM84</x:f>
        <x:v>-1.6542329745278828</x:v>
      </x:c>
      <x:c r="L85" s="242" t="n">
        <x:f>AN84</x:f>
        <x:v>1.286557046688584</x:v>
      </x:c>
      <x:c r="M85" s="242" t="n">
        <x:f>AO84</x:f>
        <x:v>1.35928694111592</x:v>
      </x:c>
      <x:c r="N85" s="242" t="n">
        <x:f>AP84</x:f>
        <x:v>-1.6900307488770896</x:v>
      </x:c>
      <x:c r="O85" s="242" t="n">
        <x:f>AQ84</x:f>
        <x:v>0.8068206180306394</x:v>
      </x:c>
      <x:c r="P85" s="243" t="n">
        <x:f>D85*G85+E85*H85+I85</x:f>
        <x:v>-1.2224188442631923</x:v>
      </x:c>
      <x:c r="Q85" s="243" t="n">
        <x:f>1/(1+EXP(-P85))</x:f>
        <x:v>0.22751105906152821</x:v>
      </x:c>
      <x:c r="R85" s="243" t="n">
        <x:f>D85*J85+E85*K85+L85</x:f>
        <x:v>1.286557046688584</x:v>
      </x:c>
      <x:c r="S85" s="243" t="n">
        <x:f>1/(1+EXP(-R85))</x:f>
        <x:v>0.7835638635148094</x:v>
      </x:c>
      <x:c r="T85" s="243" t="n">
        <x:f>Q85*M85+S85*N85+O85</x:f>
        <x:v>-0.20817359347653142</x:v>
      </x:c>
      <x:c r="U85" s="243" t="n">
        <x:f>1/(1+EXP(-T85))</x:f>
        <x:v>0.4481437378166798</x:v>
      </x:c>
      <x:c r="V85" s="243" t="n">
        <x:f>0.5*(F85-U85)^2</x:f>
        <x:v>0.10041640487215253</x:v>
      </x:c>
      <x:c r="W85" s="244" t="n">
        <x:f>(U85-F85)*U85*(1-U85)</x:f>
        <x:v>0.11083084370926607</x:v>
      </x:c>
      <x:c r="X85" s="244" t="n">
        <x:f>W85*M85*Q85*(1-Q85)</x:f>
        <x:v>0.02647686534591929</x:v>
      </x:c>
      <x:c r="Y85" s="244" t="n">
        <x:f>W85*N85*S85*(1-S85)</x:f>
        <x:v>-0.03176577223075458</x:v>
      </x:c>
      <x:c r="Z85" s="245" t="n">
        <x:f>X85*D85</x:f>
        <x:v>0</x:v>
      </x:c>
      <x:c r="AA85" s="245" t="n">
        <x:f>X85*E85</x:f>
        <x:v>0</x:v>
      </x:c>
      <x:c r="AB85" s="245" t="n">
        <x:f>X85</x:f>
        <x:v>0.02647686534591929</x:v>
      </x:c>
      <x:c r="AC85" s="245" t="n">
        <x:f>Y85*D85</x:f>
        <x:v>0</x:v>
      </x:c>
      <x:c r="AD85" s="245" t="n">
        <x:f>Y85*E85</x:f>
        <x:v>0</x:v>
      </x:c>
      <x:c r="AE85" s="245" t="n">
        <x:f>Y85</x:f>
        <x:v>-0.03176577223075458</x:v>
      </x:c>
      <x:c r="AF85" s="245" t="n">
        <x:f>W85*Q85</x:f>
        <x:v>0.025215242628977837</x:v>
      </x:c>
      <x:c r="AG85" s="245" t="n">
        <x:f>W85*S85</x:f>
        <x:v>0.08684304409343854</x:v>
      </x:c>
      <x:c r="AH85" s="245" t="n">
        <x:f>W85</x:f>
        <x:v>0.11083084370926607</x:v>
      </x:c>
      <x:c r="AI85" s="246" t="n">
        <x:f>G85-$B$4*Z85</x:f>
        <x:v>1.1769907971543776</x:v>
      </x:c>
      <x:c r="AJ85" s="246" t="n">
        <x:f>H85-$B$4*AA85</x:f>
        <x:v>-1.5120216433280154</x:v>
      </x:c>
      <x:c r="AK85" s="246" t="n">
        <x:f>I85-$B$4*AB85</x:f>
        <x:v>-1.2488957096091116</x:v>
      </x:c>
      <x:c r="AL85" s="246" t="n">
        <x:f>J85-$B$4*AC85</x:f>
        <x:v>0.8841410419685412</x:v>
      </x:c>
      <x:c r="AM85" s="246" t="n">
        <x:f>K85-$B$4*AD85</x:f>
        <x:v>-1.6542329745278828</x:v>
      </x:c>
      <x:c r="AN85" s="246" t="n">
        <x:f>L85-$B$4*AE85</x:f>
        <x:v>1.3183228189193386</x:v>
      </x:c>
      <x:c r="AO85" s="246" t="n">
        <x:f>M85-$B$4*AF85</x:f>
        <x:v>1.3340716984869423</x:v>
      </x:c>
      <x:c r="AP85" s="246" t="n">
        <x:f>N85-$B$4*AG85</x:f>
        <x:v>-1.776873792970528</x:v>
      </x:c>
      <x:c r="AQ85" s="246" t="n">
        <x:f>O85-$B$4*AH85</x:f>
        <x:v>0.6959897743213733</x:v>
      </x:c>
      <x:c r="AR85" s="182" t="n">
        <x:f>IF(U85&gt;=$B$5,1,0)</x:f>
        <x:v>0</x:v>
      </x:c>
      <x:c r="AS85" s="182" t="n">
        <x:f>IF(AR85=F85,1,0)</x:f>
        <x:v>1</x:v>
      </x:c>
      <x:c r="AT85" s="252" t="n">
        <x:f>ABS(F85-U85)</x:f>
        <x:v>0.4481437378166798</x:v>
      </x:c>
    </x:row>
    <x:row r="86">
      <x:c r="A86" s="114" t="n">
        <x:v>70</x:v>
      </x:c>
      <x:c r="B86" s="114" t="n">
        <x:v>18</x:v>
      </x:c>
      <x:c r="C86" s="114" t="n">
        <x:v>2</x:v>
      </x:c>
      <x:c r="D86" s="168" t="n">
        <x:f>$I$6</x:f>
        <x:v>0</x:v>
      </x:c>
      <x:c r="E86" s="168" t="n">
        <x:f>$J$6</x:f>
        <x:v>1</x:v>
      </x:c>
      <x:c r="F86" s="168" t="n">
        <x:f>$K$6</x:f>
        <x:v>1</x:v>
      </x:c>
      <x:c r="G86" s="242" t="n">
        <x:f>AI85</x:f>
        <x:v>1.1769907971543776</x:v>
      </x:c>
      <x:c r="H86" s="242" t="n">
        <x:f>AJ85</x:f>
        <x:v>-1.5120216433280154</x:v>
      </x:c>
      <x:c r="I86" s="242" t="n">
        <x:f>AK85</x:f>
        <x:v>-1.2488957096091116</x:v>
      </x:c>
      <x:c r="J86" s="242" t="n">
        <x:f>AL85</x:f>
        <x:v>0.8841410419685412</x:v>
      </x:c>
      <x:c r="K86" s="242" t="n">
        <x:f>AM85</x:f>
        <x:v>-1.6542329745278828</x:v>
      </x:c>
      <x:c r="L86" s="242" t="n">
        <x:f>AN85</x:f>
        <x:v>1.3183228189193386</x:v>
      </x:c>
      <x:c r="M86" s="242" t="n">
        <x:f>AO85</x:f>
        <x:v>1.3340716984869423</x:v>
      </x:c>
      <x:c r="N86" s="242" t="n">
        <x:f>AP85</x:f>
        <x:v>-1.776873792970528</x:v>
      </x:c>
      <x:c r="O86" s="242" t="n">
        <x:f>AQ85</x:f>
        <x:v>0.6959897743213733</x:v>
      </x:c>
      <x:c r="P86" s="243" t="n">
        <x:f>D86*G86+E86*H86+I86</x:f>
        <x:v>-2.7609173529371267</x:v>
      </x:c>
      <x:c r="Q86" s="243" t="n">
        <x:f>1/(1+EXP(-P86))</x:f>
        <x:v>0.05947303218986056</x:v>
      </x:c>
      <x:c r="R86" s="243" t="n">
        <x:f>D86*J86+E86*K86+L86</x:f>
        <x:v>-0.3359101556085442</x:v>
      </x:c>
      <x:c r="S86" s="243" t="n">
        <x:f>1/(1+EXP(-R86))</x:f>
        <x:v>0.4168032899753184</x:v>
      </x:c>
      <x:c r="T86" s="243" t="n">
        <x:f>Q86*M86+S86*N86+O86</x:f>
        <x:v>0.034724220608030376</x:v>
      </x:c>
      <x:c r="U86" s="243" t="n">
        <x:f>1/(1+EXP(-T86))</x:f>
        <x:v>0.5086801829764332</x:v>
      </x:c>
      <x:c r="V86" s="243" t="n">
        <x:f>0.5*(F86-U86)^2</x:f>
        <x:v>0.12069758130003555</x:v>
      </x:c>
      <x:c r="W86" s="244" t="n">
        <x:f>(U86-F86)*U86*(1-U86)</x:f>
        <x:v>-0.12279293548103004</x:v>
      </x:c>
      <x:c r="X86" s="244" t="n">
        <x:f>W86*M86*Q86*(1-Q86)</x:f>
        <x:v>-0.009163130812230786</x:v>
      </x:c>
      <x:c r="Y86" s="244" t="n">
        <x:f>W86*N86*S86*(1-S86)</x:f>
        <x:v>0.053036660120050386</x:v>
      </x:c>
      <x:c r="Z86" s="245" t="n">
        <x:f>X86*D86</x:f>
        <x:v>0</x:v>
      </x:c>
      <x:c r="AA86" s="245" t="n">
        <x:f>X86*E86</x:f>
        <x:v>-0.009163130812230786</x:v>
      </x:c>
      <x:c r="AB86" s="245" t="n">
        <x:f>X86</x:f>
        <x:v>-0.009163130812230786</x:v>
      </x:c>
      <x:c r="AC86" s="245" t="n">
        <x:f>Y86*D86</x:f>
        <x:v>0</x:v>
      </x:c>
      <x:c r="AD86" s="245" t="n">
        <x:f>Y86*E86</x:f>
        <x:v>0.053036660120050386</x:v>
      </x:c>
      <x:c r="AE86" s="245" t="n">
        <x:f>Y86</x:f>
        <x:v>0.053036660120050386</x:v>
      </x:c>
      <x:c r="AF86" s="245" t="n">
        <x:f>W86*Q86</x:f>
        <x:v>-0.00730286820455077</x:v>
      </x:c>
      <x:c r="AG86" s="245" t="n">
        <x:f>W86*S86</x:f>
        <x:v>-0.05118049949422033</x:v>
      </x:c>
      <x:c r="AH86" s="245" t="n">
        <x:f>W86</x:f>
        <x:v>-0.12279293548103004</x:v>
      </x:c>
      <x:c r="AI86" s="246" t="n">
        <x:f>G86-$B$4*Z86</x:f>
        <x:v>1.1769907971543776</x:v>
      </x:c>
      <x:c r="AJ86" s="246" t="n">
        <x:f>H86-$B$4*AA86</x:f>
        <x:v>-1.5028585125157845</x:v>
      </x:c>
      <x:c r="AK86" s="246" t="n">
        <x:f>I86-$B$4*AB86</x:f>
        <x:v>-1.2397325787968807</x:v>
      </x:c>
      <x:c r="AL86" s="246" t="n">
        <x:f>J86-$B$4*AC86</x:f>
        <x:v>0.8841410419685412</x:v>
      </x:c>
      <x:c r="AM86" s="246" t="n">
        <x:f>K86-$B$4*AD86</x:f>
        <x:v>-1.7072696346479332</x:v>
      </x:c>
      <x:c r="AN86" s="246" t="n">
        <x:f>L86-$B$4*AE86</x:f>
        <x:v>1.265286158799288</x:v>
      </x:c>
      <x:c r="AO86" s="246" t="n">
        <x:f>M86-$B$4*AF86</x:f>
        <x:v>1.3413745666914931</x:v>
      </x:c>
      <x:c r="AP86" s="246" t="n">
        <x:f>N86-$B$4*AG86</x:f>
        <x:v>-1.7256932934763076</x:v>
      </x:c>
      <x:c r="AQ86" s="246" t="n">
        <x:f>O86-$B$4*AH86</x:f>
        <x:v>0.8187827098024034</x:v>
      </x:c>
      <x:c r="AR86" s="182" t="n">
        <x:f>IF(U86&gt;=$B$5,1,0)</x:f>
        <x:v>1</x:v>
      </x:c>
      <x:c r="AS86" s="182" t="n">
        <x:f>IF(AR86=F86,1,0)</x:f>
        <x:v>1</x:v>
      </x:c>
      <x:c r="AT86" s="252" t="n">
        <x:f>ABS(F86-U86)</x:f>
        <x:v>0.49131981702356675</x:v>
      </x:c>
    </x:row>
    <x:row r="87">
      <x:c r="A87" s="114" t="n">
        <x:v>71</x:v>
      </x:c>
      <x:c r="B87" s="114" t="n">
        <x:v>18</x:v>
      </x:c>
      <x:c r="C87" s="114" t="n">
        <x:v>3</x:v>
      </x:c>
      <x:c r="D87" s="168" t="n">
        <x:f>$I$7</x:f>
        <x:v>1</x:v>
      </x:c>
      <x:c r="E87" s="168" t="n">
        <x:f>$J$7</x:f>
        <x:v>0</x:v>
      </x:c>
      <x:c r="F87" s="168" t="n">
        <x:f>$K$7</x:f>
        <x:v>1</x:v>
      </x:c>
      <x:c r="G87" s="242" t="n">
        <x:f>AI86</x:f>
        <x:v>1.1769907971543776</x:v>
      </x:c>
      <x:c r="H87" s="242" t="n">
        <x:f>AJ86</x:f>
        <x:v>-1.5028585125157845</x:v>
      </x:c>
      <x:c r="I87" s="242" t="n">
        <x:f>AK86</x:f>
        <x:v>-1.2397325787968807</x:v>
      </x:c>
      <x:c r="J87" s="242" t="n">
        <x:f>AL86</x:f>
        <x:v>0.8841410419685412</x:v>
      </x:c>
      <x:c r="K87" s="242" t="n">
        <x:f>AM86</x:f>
        <x:v>-1.7072696346479332</x:v>
      </x:c>
      <x:c r="L87" s="242" t="n">
        <x:f>AN86</x:f>
        <x:v>1.265286158799288</x:v>
      </x:c>
      <x:c r="M87" s="242" t="n">
        <x:f>AO86</x:f>
        <x:v>1.3413745666914931</x:v>
      </x:c>
      <x:c r="N87" s="242" t="n">
        <x:f>AP86</x:f>
        <x:v>-1.7256932934763076</x:v>
      </x:c>
      <x:c r="O87" s="242" t="n">
        <x:f>AQ86</x:f>
        <x:v>0.8187827098024034</x:v>
      </x:c>
      <x:c r="P87" s="243" t="n">
        <x:f>D87*G87+E87*H87+I87</x:f>
        <x:v>-0.0627417816425031</x:v>
      </x:c>
      <x:c r="Q87" s="243" t="n">
        <x:f>1/(1+EXP(-P87))</x:f>
        <x:v>0.48431969808502023</x:v>
      </x:c>
      <x:c r="R87" s="243" t="n">
        <x:f>D87*J87+E87*K87+L87</x:f>
        <x:v>2.1494272007678292</x:v>
      </x:c>
      <x:c r="S87" s="243" t="n">
        <x:f>1/(1+EXP(-R87))</x:f>
        <x:v>0.8956152388261703</x:v>
      </x:c>
      <x:c r="T87" s="243" t="n">
        <x:f>Q87*M87+S87*N87+O87</x:f>
        <x:v>-0.07712037621615153</x:v>
      </x:c>
      <x:c r="U87" s="243" t="n">
        <x:f>1/(1+EXP(-T87))</x:f>
        <x:v>0.4807294560468796</x:v>
      </x:c>
      <x:c r="V87" s="243" t="n">
        <x:f>0.5*(F87-U87)^2</x:f>
        <x:v>0.1348209489086848</x:v>
      </x:c>
      <x:c r="W87" s="244" t="n">
        <x:f>(U87-F87)*U87*(1-U87)</x:f>
        <x:v>-0.12962480286519237</x:v>
      </x:c>
      <x:c r="X87" s="244" t="n">
        <x:f>W87*M87*Q87*(1-Q87)</x:f>
        <x:v>-0.0434261023711324</x:v>
      </x:c>
      <x:c r="Y87" s="244" t="n">
        <x:f>W87*N87*S87*(1-S87)</x:f>
        <x:v>0.020912709111089462</x:v>
      </x:c>
      <x:c r="Z87" s="245" t="n">
        <x:f>X87*D87</x:f>
        <x:v>-0.0434261023711324</x:v>
      </x:c>
      <x:c r="AA87" s="245" t="n">
        <x:f>X87*E87</x:f>
        <x:v>0</x:v>
      </x:c>
      <x:c r="AB87" s="245" t="n">
        <x:f>X87</x:f>
        <x:v>-0.0434261023711324</x:v>
      </x:c>
      <x:c r="AC87" s="245" t="n">
        <x:f>Y87*D87</x:f>
        <x:v>0.020912709111089462</x:v>
      </x:c>
      <x:c r="AD87" s="245" t="n">
        <x:f>Y87*E87</x:f>
        <x:v>0</x:v>
      </x:c>
      <x:c r="AE87" s="245" t="n">
        <x:f>Y87</x:f>
        <x:v>0.020912709111089462</x:v>
      </x:c>
      <x:c r="AF87" s="245" t="n">
        <x:f>W87*Q87</x:f>
        <x:v>-0.06277984538800023</x:v>
      </x:c>
      <x:c r="AG87" s="245" t="n">
        <x:f>W87*S87</x:f>
        <x:v>-0.11609394877590451</x:v>
      </x:c>
      <x:c r="AH87" s="245" t="n">
        <x:f>W87</x:f>
        <x:v>-0.12962480286519237</x:v>
      </x:c>
      <x:c r="AI87" s="246" t="n">
        <x:f>G87-$B$4*Z87</x:f>
        <x:v>1.22041689952551</x:v>
      </x:c>
      <x:c r="AJ87" s="246" t="n">
        <x:f>H87-$B$4*AA87</x:f>
        <x:v>-1.5028585125157845</x:v>
      </x:c>
      <x:c r="AK87" s="246" t="n">
        <x:f>I87-$B$4*AB87</x:f>
        <x:v>-1.1963064764257483</x:v>
      </x:c>
      <x:c r="AL87" s="246" t="n">
        <x:f>J87-$B$4*AC87</x:f>
        <x:v>0.8632283328574517</x:v>
      </x:c>
      <x:c r="AM87" s="246" t="n">
        <x:f>K87-$B$4*AD87</x:f>
        <x:v>-1.7072696346479332</x:v>
      </x:c>
      <x:c r="AN87" s="246" t="n">
        <x:f>L87-$B$4*AE87</x:f>
        <x:v>1.2443734496881986</x:v>
      </x:c>
      <x:c r="AO87" s="246" t="n">
        <x:f>M87-$B$4*AF87</x:f>
        <x:v>1.4041544120794933</x:v>
      </x:c>
      <x:c r="AP87" s="246" t="n">
        <x:f>N87-$B$4*AG87</x:f>
        <x:v>-1.6095993447004031</x:v>
      </x:c>
      <x:c r="AQ87" s="246" t="n">
        <x:f>O87-$B$4*AH87</x:f>
        <x:v>0.9484075126675958</x:v>
      </x:c>
      <x:c r="AR87" s="182" t="n">
        <x:f>IF(U87&gt;=$B$5,1,0)</x:f>
        <x:v>0</x:v>
      </x:c>
      <x:c r="AS87" s="182" t="n">
        <x:f>IF(AR87=F87,1,0)</x:f>
        <x:v>0</x:v>
      </x:c>
      <x:c r="AT87" s="252" t="n">
        <x:f>ABS(F87-U87)</x:f>
        <x:v>0.5192705439531204</x:v>
      </x:c>
    </x:row>
    <x:row r="88">
      <x:c r="A88" s="114" t="n">
        <x:v>72</x:v>
      </x:c>
      <x:c r="B88" s="114" t="n">
        <x:v>18</x:v>
      </x:c>
      <x:c r="C88" s="114" t="n">
        <x:v>4</x:v>
      </x:c>
      <x:c r="D88" s="168" t="n">
        <x:f>$I$8</x:f>
        <x:v>1</x:v>
      </x:c>
      <x:c r="E88" s="168" t="n">
        <x:f>$J$8</x:f>
        <x:v>1</x:v>
      </x:c>
      <x:c r="F88" s="168" t="n">
        <x:f>$K$8</x:f>
        <x:v>0</x:v>
      </x:c>
      <x:c r="G88" s="242" t="n">
        <x:f>AI87</x:f>
        <x:v>1.22041689952551</x:v>
      </x:c>
      <x:c r="H88" s="242" t="n">
        <x:f>AJ87</x:f>
        <x:v>-1.5028585125157845</x:v>
      </x:c>
      <x:c r="I88" s="242" t="n">
        <x:f>AK87</x:f>
        <x:v>-1.1963064764257483</x:v>
      </x:c>
      <x:c r="J88" s="242" t="n">
        <x:f>AL87</x:f>
        <x:v>0.8632283328574517</x:v>
      </x:c>
      <x:c r="K88" s="242" t="n">
        <x:f>AM87</x:f>
        <x:v>-1.7072696346479332</x:v>
      </x:c>
      <x:c r="L88" s="242" t="n">
        <x:f>AN87</x:f>
        <x:v>1.2443734496881986</x:v>
      </x:c>
      <x:c r="M88" s="242" t="n">
        <x:f>AO87</x:f>
        <x:v>1.4041544120794933</x:v>
      </x:c>
      <x:c r="N88" s="242" t="n">
        <x:f>AP87</x:f>
        <x:v>-1.6095993447004031</x:v>
      </x:c>
      <x:c r="O88" s="242" t="n">
        <x:f>AQ87</x:f>
        <x:v>0.9484075126675958</x:v>
      </x:c>
      <x:c r="P88" s="243" t="n">
        <x:f>D88*G88+E88*H88+I88</x:f>
        <x:v>-1.4787480894160228</x:v>
      </x:c>
      <x:c r="Q88" s="243" t="n">
        <x:f>1/(1+EXP(-P88))</x:f>
        <x:v>0.18561658746262327</x:v>
      </x:c>
      <x:c r="R88" s="243" t="n">
        <x:f>D88*J88+E88*K88+L88</x:f>
        <x:v>0.4003321478977171</x:v>
      </x:c>
      <x:c r="S88" s="243" t="n">
        <x:f>1/(1+EXP(-R88))</x:f>
        <x:v>0.5987674595975812</x:v>
      </x:c>
      <x:c r="T88" s="243" t="n">
        <x:f>Q88*M88+S88*N88+O88</x:f>
        <x:v>0.24526615231218574</x:v>
      </x:c>
      <x:c r="U88" s="243" t="n">
        <x:f>1/(1+EXP(-T88))</x:f>
        <x:v>0.5610109987568436</x:v>
      </x:c>
      <x:c r="V88" s="243" t="n">
        <x:f>0.5*(F88-U88)^2</x:f>
        <x:v>0.15736667036307556</x:v>
      </x:c>
      <x:c r="W88" s="244" t="n">
        <x:f>(U88-F88)*U88*(1-U88)</x:f>
        <x:v>0.13816447490329511</x:v>
      </x:c>
      <x:c r="X88" s="244" t="n">
        <x:f>W88*M88*Q88*(1-Q88)</x:f>
        <x:v>0.029326279070180185</x:v>
      </x:c>
      <x:c r="Y88" s="244" t="n">
        <x:f>W88*N88*S88*(1-S88)</x:f>
        <x:v>-0.0534279505354344</x:v>
      </x:c>
      <x:c r="Z88" s="245" t="n">
        <x:f>X88*D88</x:f>
        <x:v>0.029326279070180185</x:v>
      </x:c>
      <x:c r="AA88" s="245" t="n">
        <x:f>X88*E88</x:f>
        <x:v>0.029326279070180185</x:v>
      </x:c>
      <x:c r="AB88" s="245" t="n">
        <x:f>X88</x:f>
        <x:v>0.029326279070180185</x:v>
      </x:c>
      <x:c r="AC88" s="245" t="n">
        <x:f>Y88*D88</x:f>
        <x:v>-0.0534279505354344</x:v>
      </x:c>
      <x:c r="AD88" s="245" t="n">
        <x:f>Y88*E88</x:f>
        <x:v>-0.0534279505354344</x:v>
      </x:c>
      <x:c r="AE88" s="245" t="n">
        <x:f>Y88</x:f>
        <x:v>-0.0534279505354344</x:v>
      </x:c>
      <x:c r="AF88" s="245" t="n">
        <x:f>W88*Q88</x:f>
        <x:v>0.025645618340114897</x:v>
      </x:c>
      <x:c r="AG88" s="245" t="n">
        <x:f>W88*S88</x:f>
        <x:v>0.08272839164447977</x:v>
      </x:c>
      <x:c r="AH88" s="245" t="n">
        <x:f>W88</x:f>
        <x:v>0.13816447490329511</x:v>
      </x:c>
      <x:c r="AI88" s="246" t="n">
        <x:f>G88-$B$4*Z88</x:f>
        <x:v>1.1910906204553298</x:v>
      </x:c>
      <x:c r="AJ88" s="246" t="n">
        <x:f>H88-$B$4*AA88</x:f>
        <x:v>-1.5321847915859648</x:v>
      </x:c>
      <x:c r="AK88" s="246" t="n">
        <x:f>I88-$B$4*AB88</x:f>
        <x:v>-1.2256327554959285</x:v>
      </x:c>
      <x:c r="AL88" s="246" t="n">
        <x:f>J88-$B$4*AC88</x:f>
        <x:v>0.9166562833928861</x:v>
      </x:c>
      <x:c r="AM88" s="246" t="n">
        <x:f>K88-$B$4*AD88</x:f>
        <x:v>-1.6538416841124988</x:v>
      </x:c>
      <x:c r="AN88" s="246" t="n">
        <x:f>L88-$B$4*AE88</x:f>
        <x:v>1.297801400223633</x:v>
      </x:c>
      <x:c r="AO88" s="246" t="n">
        <x:f>M88-$B$4*AF88</x:f>
        <x:v>1.3785087937393785</x:v>
      </x:c>
      <x:c r="AP88" s="246" t="n">
        <x:f>N88-$B$4*AG88</x:f>
        <x:v>-1.692327736344883</x:v>
      </x:c>
      <x:c r="AQ88" s="246" t="n">
        <x:f>O88-$B$4*AH88</x:f>
        <x:v>0.8102430377643007</x:v>
      </x:c>
      <x:c r="AR88" s="182" t="n">
        <x:f>IF(U88&gt;=$B$5,1,0)</x:f>
        <x:v>1</x:v>
      </x:c>
      <x:c r="AS88" s="182" t="n">
        <x:f>IF(AR88=F88,1,0)</x:f>
        <x:v>0</x:v>
      </x:c>
      <x:c r="AT88" s="252" t="n">
        <x:f>ABS(F88-U88)</x:f>
        <x:v>0.5610109987568436</x:v>
      </x:c>
    </x:row>
    <x:row r="89">
      <x:c r="A89" s="114" t="n">
        <x:v>73</x:v>
      </x:c>
      <x:c r="B89" s="114" t="n">
        <x:v>19</x:v>
      </x:c>
      <x:c r="C89" s="114" t="n">
        <x:v>1</x:v>
      </x:c>
      <x:c r="D89" s="168" t="n">
        <x:f>$I$5</x:f>
        <x:v>0</x:v>
      </x:c>
      <x:c r="E89" s="168" t="n">
        <x:f>$J$5</x:f>
        <x:v>0</x:v>
      </x:c>
      <x:c r="F89" s="168" t="n">
        <x:f>$K$5</x:f>
        <x:v>0</x:v>
      </x:c>
      <x:c r="G89" s="242" t="n">
        <x:f>AI88</x:f>
        <x:v>1.1910906204553298</x:v>
      </x:c>
      <x:c r="H89" s="242" t="n">
        <x:f>AJ88</x:f>
        <x:v>-1.5321847915859648</x:v>
      </x:c>
      <x:c r="I89" s="242" t="n">
        <x:f>AK88</x:f>
        <x:v>-1.2256327554959285</x:v>
      </x:c>
      <x:c r="J89" s="242" t="n">
        <x:f>AL88</x:f>
        <x:v>0.9166562833928861</x:v>
      </x:c>
      <x:c r="K89" s="242" t="n">
        <x:f>AM88</x:f>
        <x:v>-1.6538416841124988</x:v>
      </x:c>
      <x:c r="L89" s="242" t="n">
        <x:f>AN88</x:f>
        <x:v>1.297801400223633</x:v>
      </x:c>
      <x:c r="M89" s="242" t="n">
        <x:f>AO88</x:f>
        <x:v>1.3785087937393785</x:v>
      </x:c>
      <x:c r="N89" s="242" t="n">
        <x:f>AP88</x:f>
        <x:v>-1.692327736344883</x:v>
      </x:c>
      <x:c r="O89" s="242" t="n">
        <x:f>AQ88</x:f>
        <x:v>0.8102430377643007</x:v>
      </x:c>
      <x:c r="P89" s="243" t="n">
        <x:f>D89*G89+E89*H89+I89</x:f>
        <x:v>-1.2256327554959285</x:v>
      </x:c>
      <x:c r="Q89" s="243" t="n">
        <x:f>1/(1+EXP(-P89))</x:f>
        <x:v>0.2269467095966554</x:v>
      </x:c>
      <x:c r="R89" s="243" t="n">
        <x:f>D89*J89+E89*K89+L89</x:f>
        <x:v>1.297801400223633</x:v>
      </x:c>
      <x:c r="S89" s="243" t="n">
        <x:f>1/(1+EXP(-R89))</x:f>
        <x:v>0.7854647297688602</x:v>
      </x:c>
      <x:c r="T89" s="243" t="n">
        <x:f>Q89*M89+S89*N89+O89</x:f>
        <x:v>-0.2061726754549732</x:v>
      </x:c>
      <x:c r="U89" s="243" t="n">
        <x:f>1/(1+EXP(-T89))</x:f>
        <x:v>0.44863863789536623</x:v>
      </x:c>
      <x:c r="V89" s="243" t="n">
        <x:f>0.5*(F89-U89)^2</x:f>
        <x:v>0.10063831370630477</x:v>
      </x:c>
      <x:c r="W89" s="244" t="n">
        <x:f>(U89-F89)*U89*(1-U89)</x:f>
        <x:v>0.11097615545004327</x:v>
      </x:c>
      <x:c r="X89" s="244" t="n">
        <x:f>W89*M89*Q89*(1-Q89)</x:f>
        <x:v>0.02683938374561985</x:v>
      </x:c>
      <x:c r="Y89" s="244" t="n">
        <x:f>W89*N89*S89*(1-S89)</x:f>
        <x:v>-0.031647509427715284</x:v>
      </x:c>
      <x:c r="Z89" s="245" t="n">
        <x:f>X89*D89</x:f>
        <x:v>0</x:v>
      </x:c>
      <x:c r="AA89" s="245" t="n">
        <x:f>X89*E89</x:f>
        <x:v>0</x:v>
      </x:c>
      <x:c r="AB89" s="245" t="n">
        <x:f>X89</x:f>
        <x:v>0.02683938374561985</x:v>
      </x:c>
      <x:c r="AC89" s="245" t="n">
        <x:f>Y89*D89</x:f>
        <x:v>0</x:v>
      </x:c>
      <x:c r="AD89" s="245" t="n">
        <x:f>Y89*E89</x:f>
        <x:v>0</x:v>
      </x:c>
      <x:c r="AE89" s="245" t="n">
        <x:f>Y89</x:f>
        <x:v>-0.031647509427715284</x:v>
      </x:c>
      <x:c r="AF89" s="245" t="n">
        <x:f>W89*Q89</x:f>
        <x:v>0.025185673323074257</x:v>
      </x:c>
      <x:c r="AG89" s="245" t="n">
        <x:f>W89*S89</x:f>
        <x:v>0.08716785595135526</x:v>
      </x:c>
      <x:c r="AH89" s="245" t="n">
        <x:f>W89</x:f>
        <x:v>0.11097615545004327</x:v>
      </x:c>
      <x:c r="AI89" s="246" t="n">
        <x:f>G89-$B$4*Z89</x:f>
        <x:v>1.1910906204553298</x:v>
      </x:c>
      <x:c r="AJ89" s="246" t="n">
        <x:f>H89-$B$4*AA89</x:f>
        <x:v>-1.5321847915859648</x:v>
      </x:c>
      <x:c r="AK89" s="246" t="n">
        <x:f>I89-$B$4*AB89</x:f>
        <x:v>-1.2524721392415483</x:v>
      </x:c>
      <x:c r="AL89" s="246" t="n">
        <x:f>J89-$B$4*AC89</x:f>
        <x:v>0.9166562833928861</x:v>
      </x:c>
      <x:c r="AM89" s="246" t="n">
        <x:f>K89-$B$4*AD89</x:f>
        <x:v>-1.6538416841124988</x:v>
      </x:c>
      <x:c r="AN89" s="246" t="n">
        <x:f>L89-$B$4*AE89</x:f>
        <x:v>1.3294489096513484</x:v>
      </x:c>
      <x:c r="AO89" s="246" t="n">
        <x:f>M89-$B$4*AF89</x:f>
        <x:v>1.3533231204163043</x:v>
      </x:c>
      <x:c r="AP89" s="246" t="n">
        <x:f>N89-$B$4*AG89</x:f>
        <x:v>-1.7794955922962383</x:v>
      </x:c>
      <x:c r="AQ89" s="246" t="n">
        <x:f>O89-$B$4*AH89</x:f>
        <x:v>0.6992668823142575</x:v>
      </x:c>
      <x:c r="AR89" s="182" t="n">
        <x:f>IF(U89&gt;=$B$5,1,0)</x:f>
        <x:v>0</x:v>
      </x:c>
      <x:c r="AS89" s="182" t="n">
        <x:f>IF(AR89=F89,1,0)</x:f>
        <x:v>1</x:v>
      </x:c>
      <x:c r="AT89" s="252" t="n">
        <x:f>ABS(F89-U89)</x:f>
        <x:v>0.44863863789536623</x:v>
      </x:c>
    </x:row>
    <x:row r="90">
      <x:c r="A90" s="114" t="n">
        <x:v>74</x:v>
      </x:c>
      <x:c r="B90" s="114" t="n">
        <x:v>19</x:v>
      </x:c>
      <x:c r="C90" s="114" t="n">
        <x:v>2</x:v>
      </x:c>
      <x:c r="D90" s="168" t="n">
        <x:f>$I$6</x:f>
        <x:v>0</x:v>
      </x:c>
      <x:c r="E90" s="168" t="n">
        <x:f>$J$6</x:f>
        <x:v>1</x:v>
      </x:c>
      <x:c r="F90" s="168" t="n">
        <x:f>$K$6</x:f>
        <x:v>1</x:v>
      </x:c>
      <x:c r="G90" s="242" t="n">
        <x:f>AI89</x:f>
        <x:v>1.1910906204553298</x:v>
      </x:c>
      <x:c r="H90" s="242" t="n">
        <x:f>AJ89</x:f>
        <x:v>-1.5321847915859648</x:v>
      </x:c>
      <x:c r="I90" s="242" t="n">
        <x:f>AK89</x:f>
        <x:v>-1.2524721392415483</x:v>
      </x:c>
      <x:c r="J90" s="242" t="n">
        <x:f>AL89</x:f>
        <x:v>0.9166562833928861</x:v>
      </x:c>
      <x:c r="K90" s="242" t="n">
        <x:f>AM89</x:f>
        <x:v>-1.6538416841124988</x:v>
      </x:c>
      <x:c r="L90" s="242" t="n">
        <x:f>AN89</x:f>
        <x:v>1.3294489096513484</x:v>
      </x:c>
      <x:c r="M90" s="242" t="n">
        <x:f>AO89</x:f>
        <x:v>1.3533231204163043</x:v>
      </x:c>
      <x:c r="N90" s="242" t="n">
        <x:f>AP89</x:f>
        <x:v>-1.7794955922962383</x:v>
      </x:c>
      <x:c r="O90" s="242" t="n">
        <x:f>AQ89</x:f>
        <x:v>0.6992668823142575</x:v>
      </x:c>
      <x:c r="P90" s="243" t="n">
        <x:f>D90*G90+E90*H90+I90</x:f>
        <x:v>-2.784656930827513</x:v>
      </x:c>
      <x:c r="Q90" s="243" t="n">
        <x:f>1/(1+EXP(-P90))</x:f>
        <x:v>0.058158939776718294</x:v>
      </x:c>
      <x:c r="R90" s="243" t="n">
        <x:f>D90*J90+E90*K90+L90</x:f>
        <x:v>-0.32439277446115033</x:v>
      </x:c>
      <x:c r="S90" s="243" t="n">
        <x:f>1/(1+EXP(-R90))</x:f>
        <x:v>0.41960556968141405</x:v>
      </x:c>
      <x:c r="T90" s="243" t="n">
        <x:f>Q90*M90+S90*N90+O90</x:f>
        <x:v>0.031288458421961485</x:v>
      </x:c>
      <x:c r="U90" s="243" t="n">
        <x:f>1/(1+EXP(-T90))</x:f>
        <x:v>0.507821476534872</x:v>
      </x:c>
      <x:c r="V90" s="243" t="n">
        <x:f>0.5*(F90-U90)^2</x:f>
        <x:v>0.12111984948015679</x:v>
      </x:c>
      <x:c r="W90" s="244" t="n">
        <x:f>(U90-F90)*U90*(1-U90)</x:f>
        <x:v>-0.12301452160138933</x:v>
      </x:c>
      <x:c r="X90" s="244" t="n">
        <x:f>W90*M90*Q90*(1-Q90)</x:f>
        <x:v>-0.009119100125462343</x:v>
      </x:c>
      <x:c r="Y90" s="244" t="n">
        <x:f>W90*N90*S90*(1-S90)</x:f>
        <x:v>0.053311116607819536</x:v>
      </x:c>
      <x:c r="Z90" s="245" t="n">
        <x:f>X90*D90</x:f>
        <x:v>0</x:v>
      </x:c>
      <x:c r="AA90" s="245" t="n">
        <x:f>X90*E90</x:f>
        <x:v>-0.009119100125462343</x:v>
      </x:c>
      <x:c r="AB90" s="245" t="n">
        <x:f>X90</x:f>
        <x:v>-0.009119100125462343</x:v>
      </x:c>
      <x:c r="AC90" s="245" t="n">
        <x:f>Y90*D90</x:f>
        <x:v>0</x:v>
      </x:c>
      <x:c r="AD90" s="245" t="n">
        <x:f>Y90*E90</x:f>
        <x:v>0.053311116607819536</x:v>
      </x:c>
      <x:c r="AE90" s="245" t="n">
        <x:f>Y90</x:f>
        <x:v>0.053311116607819536</x:v>
      </x:c>
      <x:c r="AF90" s="245" t="n">
        <x:f>W90*Q90</x:f>
        <x:v>-0.007154394153477014</x:v>
      </x:c>
      <x:c r="AG90" s="245" t="n">
        <x:f>W90*S90</x:f>
        <x:v>-0.051617578415637584</x:v>
      </x:c>
      <x:c r="AH90" s="245" t="n">
        <x:f>W90</x:f>
        <x:v>-0.12301452160138933</x:v>
      </x:c>
      <x:c r="AI90" s="246" t="n">
        <x:f>G90-$B$4*Z90</x:f>
        <x:v>1.1910906204553298</x:v>
      </x:c>
      <x:c r="AJ90" s="246" t="n">
        <x:f>H90-$B$4*AA90</x:f>
        <x:v>-1.5230656914605025</x:v>
      </x:c>
      <x:c r="AK90" s="246" t="n">
        <x:f>I90-$B$4*AB90</x:f>
        <x:v>-1.243353039116086</x:v>
      </x:c>
      <x:c r="AL90" s="246" t="n">
        <x:f>J90-$B$4*AC90</x:f>
        <x:v>0.9166562833928861</x:v>
      </x:c>
      <x:c r="AM90" s="246" t="n">
        <x:f>K90-$B$4*AD90</x:f>
        <x:v>-1.7071528007203183</x:v>
      </x:c>
      <x:c r="AN90" s="246" t="n">
        <x:f>L90-$B$4*AE90</x:f>
        <x:v>1.276137793043529</x:v>
      </x:c>
      <x:c r="AO90" s="246" t="n">
        <x:f>M90-$B$4*AF90</x:f>
        <x:v>1.3604775145697814</x:v>
      </x:c>
      <x:c r="AP90" s="246" t="n">
        <x:f>N90-$B$4*AG90</x:f>
        <x:v>-1.7278780138806007</x:v>
      </x:c>
      <x:c r="AQ90" s="246" t="n">
        <x:f>O90-$B$4*AH90</x:f>
        <x:v>0.8222814039156469</x:v>
      </x:c>
      <x:c r="AR90" s="182" t="n">
        <x:f>IF(U90&gt;=$B$5,1,0)</x:f>
        <x:v>1</x:v>
      </x:c>
      <x:c r="AS90" s="182" t="n">
        <x:f>IF(AR90=F90,1,0)</x:f>
        <x:v>1</x:v>
      </x:c>
      <x:c r="AT90" s="252" t="n">
        <x:f>ABS(F90-U90)</x:f>
        <x:v>0.492178523465128</x:v>
      </x:c>
    </x:row>
    <x:row r="91">
      <x:c r="A91" s="114" t="n">
        <x:v>75</x:v>
      </x:c>
      <x:c r="B91" s="114" t="n">
        <x:v>19</x:v>
      </x:c>
      <x:c r="C91" s="114" t="n">
        <x:v>3</x:v>
      </x:c>
      <x:c r="D91" s="168" t="n">
        <x:f>$I$7</x:f>
        <x:v>1</x:v>
      </x:c>
      <x:c r="E91" s="168" t="n">
        <x:f>$J$7</x:f>
        <x:v>0</x:v>
      </x:c>
      <x:c r="F91" s="168" t="n">
        <x:f>$K$7</x:f>
        <x:v>1</x:v>
      </x:c>
      <x:c r="G91" s="242" t="n">
        <x:f>AI90</x:f>
        <x:v>1.1910906204553298</x:v>
      </x:c>
      <x:c r="H91" s="242" t="n">
        <x:f>AJ90</x:f>
        <x:v>-1.5230656914605025</x:v>
      </x:c>
      <x:c r="I91" s="242" t="n">
        <x:f>AK90</x:f>
        <x:v>-1.243353039116086</x:v>
      </x:c>
      <x:c r="J91" s="242" t="n">
        <x:f>AL90</x:f>
        <x:v>0.9166562833928861</x:v>
      </x:c>
      <x:c r="K91" s="242" t="n">
        <x:f>AM90</x:f>
        <x:v>-1.7071528007203183</x:v>
      </x:c>
      <x:c r="L91" s="242" t="n">
        <x:f>AN90</x:f>
        <x:v>1.276137793043529</x:v>
      </x:c>
      <x:c r="M91" s="242" t="n">
        <x:f>AO90</x:f>
        <x:v>1.3604775145697814</x:v>
      </x:c>
      <x:c r="N91" s="242" t="n">
        <x:f>AP90</x:f>
        <x:v>-1.7278780138806007</x:v>
      </x:c>
      <x:c r="O91" s="242" t="n">
        <x:f>AQ90</x:f>
        <x:v>0.8222814039156469</x:v>
      </x:c>
      <x:c r="P91" s="243" t="n">
        <x:f>D91*G91+E91*H91+I91</x:f>
        <x:v>-0.052262418660756316</x:v>
      </x:c>
      <x:c r="Q91" s="243" t="n">
        <x:f>1/(1+EXP(-P91))</x:f>
        <x:v>0.4869373684290244</x:v>
      </x:c>
      <x:c r="R91" s="243" t="n">
        <x:f>D91*J91+E91*K91+L91</x:f>
        <x:v>2.192794076436415</x:v>
      </x:c>
      <x:c r="S91" s="243" t="n">
        <x:f>1/(1+EXP(-R91))</x:f>
        <x:v>0.8996005476628572</x:v>
      </x:c>
      <x:c r="T91" s="243" t="n">
        <x:f>Q91*M91+S91*N91+O91</x:f>
        <x:v>-0.06965126291448254</x:v>
      </x:c>
      <x:c r="U91" s="243" t="n">
        <x:f>1/(1+EXP(-T91))</x:f>
        <x:v>0.4825942204217467</x:v>
      </x:c>
      <x:c r="V91" s="243" t="n">
        <x:f>0.5*(F91-U91)^2</x:f>
        <x:v>0.13385437037049003</x:v>
      </x:c>
      <x:c r="W91" s="244" t="n">
        <x:f>(U91-F91)*U91*(1-U91)</x:f>
        <x:v>-0.12919469103798076</x:v>
      </x:c>
      <x:c r="X91" s="244" t="n">
        <x:f>W91*M91*Q91*(1-Q91)</x:f>
        <x:v>-0.043911626594677136</x:v>
      </x:c>
      <x:c r="Y91" s="244" t="n">
        <x:f>W91*N91*S91*(1-S91)</x:f>
        <x:v>0.020162240982605276</x:v>
      </x:c>
      <x:c r="Z91" s="245" t="n">
        <x:f>X91*D91</x:f>
        <x:v>-0.043911626594677136</x:v>
      </x:c>
      <x:c r="AA91" s="245" t="n">
        <x:f>X91*E91</x:f>
        <x:v>0</x:v>
      </x:c>
      <x:c r="AB91" s="245" t="n">
        <x:f>X91</x:f>
        <x:v>-0.043911626594677136</x:v>
      </x:c>
      <x:c r="AC91" s="245" t="n">
        <x:f>Y91*D91</x:f>
        <x:v>0.020162240982605276</x:v>
      </x:c>
      <x:c r="AD91" s="245" t="n">
        <x:f>Y91*E91</x:f>
        <x:v>0</x:v>
      </x:c>
      <x:c r="AE91" s="245" t="n">
        <x:f>Y91</x:f>
        <x:v>0.020162240982605276</x:v>
      </x:c>
      <x:c r="AF91" s="245" t="n">
        <x:f>W91*Q91</x:f>
        <x:v>-0.06290972286903522</x:v>
      </x:c>
      <x:c r="AG91" s="245" t="n">
        <x:f>W91*S91</x:f>
        <x:v>-0.11622361481290112</x:v>
      </x:c>
      <x:c r="AH91" s="245" t="n">
        <x:f>W91</x:f>
        <x:v>-0.12919469103798076</x:v>
      </x:c>
      <x:c r="AI91" s="246" t="n">
        <x:f>G91-$B$4*Z91</x:f>
        <x:v>1.2350022470500068</x:v>
      </x:c>
      <x:c r="AJ91" s="246" t="n">
        <x:f>H91-$B$4*AA91</x:f>
        <x:v>-1.5230656914605025</x:v>
      </x:c>
      <x:c r="AK91" s="246" t="n">
        <x:f>I91-$B$4*AB91</x:f>
        <x:v>-1.199441412521409</x:v>
      </x:c>
      <x:c r="AL91" s="246" t="n">
        <x:f>J91-$B$4*AC91</x:f>
        <x:v>0.8964940424102807</x:v>
      </x:c>
      <x:c r="AM91" s="246" t="n">
        <x:f>K91-$B$4*AD91</x:f>
        <x:v>-1.7071528007203183</x:v>
      </x:c>
      <x:c r="AN91" s="246" t="n">
        <x:f>L91-$B$4*AE91</x:f>
        <x:v>1.2559755520609237</x:v>
      </x:c>
      <x:c r="AO91" s="246" t="n">
        <x:f>M91-$B$4*AF91</x:f>
        <x:v>1.4233872374388166</x:v>
      </x:c>
      <x:c r="AP91" s="246" t="n">
        <x:f>N91-$B$4*AG91</x:f>
        <x:v>-1.6116543990676995</x:v>
      </x:c>
      <x:c r="AQ91" s="246" t="n">
        <x:f>O91-$B$4*AH91</x:f>
        <x:v>0.9514760949536276</x:v>
      </x:c>
      <x:c r="AR91" s="182" t="n">
        <x:f>IF(U91&gt;=$B$5,1,0)</x:f>
        <x:v>0</x:v>
      </x:c>
      <x:c r="AS91" s="182" t="n">
        <x:f>IF(AR91=F91,1,0)</x:f>
        <x:v>0</x:v>
      </x:c>
      <x:c r="AT91" s="252" t="n">
        <x:f>ABS(F91-U91)</x:f>
        <x:v>0.5174057795782533</x:v>
      </x:c>
    </x:row>
    <x:row r="92">
      <x:c r="A92" s="114" t="n">
        <x:v>76</x:v>
      </x:c>
      <x:c r="B92" s="114" t="n">
        <x:v>19</x:v>
      </x:c>
      <x:c r="C92" s="114" t="n">
        <x:v>4</x:v>
      </x:c>
      <x:c r="D92" s="168" t="n">
        <x:f>$I$8</x:f>
        <x:v>1</x:v>
      </x:c>
      <x:c r="E92" s="168" t="n">
        <x:f>$J$8</x:f>
        <x:v>1</x:v>
      </x:c>
      <x:c r="F92" s="168" t="n">
        <x:f>$K$8</x:f>
        <x:v>0</x:v>
      </x:c>
      <x:c r="G92" s="242" t="n">
        <x:f>AI91</x:f>
        <x:v>1.2350022470500068</x:v>
      </x:c>
      <x:c r="H92" s="242" t="n">
        <x:f>AJ91</x:f>
        <x:v>-1.5230656914605025</x:v>
      </x:c>
      <x:c r="I92" s="242" t="n">
        <x:f>AK91</x:f>
        <x:v>-1.199441412521409</x:v>
      </x:c>
      <x:c r="J92" s="242" t="n">
        <x:f>AL91</x:f>
        <x:v>0.8964940424102807</x:v>
      </x:c>
      <x:c r="K92" s="242" t="n">
        <x:f>AM91</x:f>
        <x:v>-1.7071528007203183</x:v>
      </x:c>
      <x:c r="L92" s="242" t="n">
        <x:f>AN91</x:f>
        <x:v>1.2559755520609237</x:v>
      </x:c>
      <x:c r="M92" s="242" t="n">
        <x:f>AO91</x:f>
        <x:v>1.4233872374388166</x:v>
      </x:c>
      <x:c r="N92" s="242" t="n">
        <x:f>AP91</x:f>
        <x:v>-1.6116543990676995</x:v>
      </x:c>
      <x:c r="O92" s="242" t="n">
        <x:f>AQ91</x:f>
        <x:v>0.9514760949536276</x:v>
      </x:c>
      <x:c r="P92" s="243" t="n">
        <x:f>D92*G92+E92*H92+I92</x:f>
        <x:v>-1.4875048569319047</x:v>
      </x:c>
      <x:c r="Q92" s="243" t="n">
        <x:f>1/(1+EXP(-P92))</x:f>
        <x:v>0.1842965301322674</x:v>
      </x:c>
      <x:c r="R92" s="243" t="n">
        <x:f>D92*J92+E92*K92+L92</x:f>
        <x:v>0.4453167937508862</x:v>
      </x:c>
      <x:c r="S92" s="243" t="n">
        <x:f>1/(1+EXP(-R92))</x:f>
        <x:v>0.6095251844978739</x:v>
      </x:c>
      <x:c r="T92" s="243" t="n">
        <x:f>Q92*M92+S92*N92+O92</x:f>
        <x:v>0.23145747890960577</x:v>
      </x:c>
      <x:c r="U92" s="243" t="n">
        <x:f>1/(1+EXP(-T92))</x:f>
        <x:v>0.557607417641053</x:v>
      </x:c>
      <x:c r="V92" s="243" t="n">
        <x:f>0.5*(F92-U92)^2</x:f>
        <x:v>0.15546301610416188</x:v>
      </x:c>
      <x:c r="W92" s="244" t="n">
        <x:f>(U92-F92)*U92*(1-U92)</x:f>
        <x:v>0.13755137031126147</x:v>
      </x:c>
      <x:c r="X92" s="244" t="n">
        <x:f>W92*M92*Q92*(1-Q92)</x:f>
        <x:v>0.0294331983421681</x:v>
      </x:c>
      <x:c r="Y92" s="244" t="n">
        <x:f>W92*N92*S92*(1-S92)</x:f>
        <x:v>-0.05276203311899138</x:v>
      </x:c>
      <x:c r="Z92" s="245" t="n">
        <x:f>X92*D92</x:f>
        <x:v>0.0294331983421681</x:v>
      </x:c>
      <x:c r="AA92" s="245" t="n">
        <x:f>X92*E92</x:f>
        <x:v>0.0294331983421681</x:v>
      </x:c>
      <x:c r="AB92" s="245" t="n">
        <x:f>X92</x:f>
        <x:v>0.0294331983421681</x:v>
      </x:c>
      <x:c r="AC92" s="245" t="n">
        <x:f>Y92*D92</x:f>
        <x:v>-0.05276203311899138</x:v>
      </x:c>
      <x:c r="AD92" s="245" t="n">
        <x:f>Y92*E92</x:f>
        <x:v>-0.05276203311899138</x:v>
      </x:c>
      <x:c r="AE92" s="245" t="n">
        <x:f>Y92</x:f>
        <x:v>-0.05276203311899138</x:v>
      </x:c>
      <x:c r="AF92" s="245" t="n">
        <x:f>W92*Q92</x:f>
        <x:v>0.025350240263304073</x:v>
      </x:c>
      <x:c r="AG92" s="245" t="n">
        <x:f>W92*S92</x:f>
        <x:v>0.08384102436690702</x:v>
      </x:c>
      <x:c r="AH92" s="245" t="n">
        <x:f>W92</x:f>
        <x:v>0.13755137031126147</x:v>
      </x:c>
      <x:c r="AI92" s="246" t="n">
        <x:f>G92-$B$4*Z92</x:f>
        <x:v>1.2055690487078388</x:v>
      </x:c>
      <x:c r="AJ92" s="246" t="n">
        <x:f>H92-$B$4*AA92</x:f>
        <x:v>-1.5524988898026706</x:v>
      </x:c>
      <x:c r="AK92" s="246" t="n">
        <x:f>I92-$B$4*AB92</x:f>
        <x:v>-1.228874610863577</x:v>
      </x:c>
      <x:c r="AL92" s="246" t="n">
        <x:f>J92-$B$4*AC92</x:f>
        <x:v>0.9492560755292722</x:v>
      </x:c>
      <x:c r="AM92" s="246" t="n">
        <x:f>K92-$B$4*AD92</x:f>
        <x:v>-1.654390767601327</x:v>
      </x:c>
      <x:c r="AN92" s="246" t="n">
        <x:f>L92-$B$4*AE92</x:f>
        <x:v>1.308737585179915</x:v>
      </x:c>
      <x:c r="AO92" s="246" t="n">
        <x:f>M92-$B$4*AF92</x:f>
        <x:v>1.3980369971755124</x:v>
      </x:c>
      <x:c r="AP92" s="246" t="n">
        <x:f>N92-$B$4*AG92</x:f>
        <x:v>-1.6954954234346065</x:v>
      </x:c>
      <x:c r="AQ92" s="246" t="n">
        <x:f>O92-$B$4*AH92</x:f>
        <x:v>0.8139247246423662</x:v>
      </x:c>
      <x:c r="AR92" s="182" t="n">
        <x:f>IF(U92&gt;=$B$5,1,0)</x:f>
        <x:v>1</x:v>
      </x:c>
      <x:c r="AS92" s="182" t="n">
        <x:f>IF(AR92=F92,1,0)</x:f>
        <x:v>0</x:v>
      </x:c>
      <x:c r="AT92" s="252" t="n">
        <x:f>ABS(F92-U92)</x:f>
        <x:v>0.557607417641053</x:v>
      </x:c>
    </x:row>
    <x:row r="93">
      <x:c r="A93" s="114" t="n">
        <x:v>77</x:v>
      </x:c>
      <x:c r="B93" s="114" t="n">
        <x:v>20</x:v>
      </x:c>
      <x:c r="C93" s="114" t="n">
        <x:v>1</x:v>
      </x:c>
      <x:c r="D93" s="168" t="n">
        <x:f>$I$5</x:f>
        <x:v>0</x:v>
      </x:c>
      <x:c r="E93" s="168" t="n">
        <x:f>$J$5</x:f>
        <x:v>0</x:v>
      </x:c>
      <x:c r="F93" s="168" t="n">
        <x:f>$K$5</x:f>
        <x:v>0</x:v>
      </x:c>
      <x:c r="G93" s="242" t="n">
        <x:f>AI92</x:f>
        <x:v>1.2055690487078388</x:v>
      </x:c>
      <x:c r="H93" s="242" t="n">
        <x:f>AJ92</x:f>
        <x:v>-1.5524988898026706</x:v>
      </x:c>
      <x:c r="I93" s="242" t="n">
        <x:f>AK92</x:f>
        <x:v>-1.228874610863577</x:v>
      </x:c>
      <x:c r="J93" s="242" t="n">
        <x:f>AL92</x:f>
        <x:v>0.9492560755292722</x:v>
      </x:c>
      <x:c r="K93" s="242" t="n">
        <x:f>AM92</x:f>
        <x:v>-1.654390767601327</x:v>
      </x:c>
      <x:c r="L93" s="242" t="n">
        <x:f>AN92</x:f>
        <x:v>1.308737585179915</x:v>
      </x:c>
      <x:c r="M93" s="242" t="n">
        <x:f>AO92</x:f>
        <x:v>1.3980369971755124</x:v>
      </x:c>
      <x:c r="N93" s="242" t="n">
        <x:f>AP92</x:f>
        <x:v>-1.6954954234346065</x:v>
      </x:c>
      <x:c r="O93" s="242" t="n">
        <x:f>AQ92</x:f>
        <x:v>0.8139247246423662</x:v>
      </x:c>
      <x:c r="P93" s="243" t="n">
        <x:f>D93*G93+E93*H93+I93</x:f>
        <x:v>-1.228874610863577</x:v>
      </x:c>
      <x:c r="Q93" s="243" t="n">
        <x:f>1/(1+EXP(-P93))</x:f>
        <x:v>0.226378455844972</x:v>
      </x:c>
      <x:c r="R93" s="243" t="n">
        <x:f>D93*J93+E93*K93+L93</x:f>
        <x:v>1.308737585179915</x:v>
      </x:c>
      <x:c r="S93" s="243" t="n">
        <x:f>1/(1+EXP(-R93))</x:f>
        <x:v>0.7873018315229253</x:v>
      </x:c>
      <x:c r="T93" s="243" t="n">
        <x:f>Q93*M93+S93*N93+O93</x:f>
        <x:v>-0.20445647093170338</x:v>
      </x:c>
      <x:c r="U93" s="243" t="n">
        <x:f>1/(1+EXP(-T93))</x:f>
        <x:v>0.44906319901605496</x:v>
      </x:c>
      <x:c r="V93" s="243" t="n">
        <x:f>0.5*(F93-U93)^2</x:f>
        <x:v>0.1008288783552665</x:v>
      </x:c>
      <x:c r="W93" s="244" t="n">
        <x:f>(U93-F93)*U93*(1-U93)</x:f>
        <x:v>0.11110067937569972</x:v>
      </x:c>
      <x:c r="X93" s="244" t="n">
        <x:f>W93*M93*Q93*(1-Q93)</x:f>
        <x:v>0.027201886745836085</x:v>
      </x:c>
      <x:c r="Y93" s="244" t="n">
        <x:f>W93*N93*S93*(1-S93)</x:f>
        <x:v>-0.03154411508160455</x:v>
      </x:c>
      <x:c r="Z93" s="245" t="n">
        <x:f>X93*D93</x:f>
        <x:v>0</x:v>
      </x:c>
      <x:c r="AA93" s="245" t="n">
        <x:f>X93*E93</x:f>
        <x:v>0</x:v>
      </x:c>
      <x:c r="AB93" s="245" t="n">
        <x:f>X93</x:f>
        <x:v>0.027201886745836085</x:v>
      </x:c>
      <x:c r="AC93" s="245" t="n">
        <x:f>Y93*D93</x:f>
        <x:v>0</x:v>
      </x:c>
      <x:c r="AD93" s="245" t="n">
        <x:f>Y93*E93</x:f>
        <x:v>0</x:v>
      </x:c>
      <x:c r="AE93" s="245" t="n">
        <x:f>Y93</x:f>
        <x:v>-0.03154411508160455</x:v>
      </x:c>
      <x:c r="AF93" s="245" t="n">
        <x:f>W93*Q93</x:f>
        <x:v>0.025150800240398227</x:v>
      </x:c>
      <x:c r="AG93" s="245" t="n">
        <x:f>W93*S93</x:f>
        <x:v>0.08746976835592968</x:v>
      </x:c>
      <x:c r="AH93" s="245" t="n">
        <x:f>W93</x:f>
        <x:v>0.11110067937569972</x:v>
      </x:c>
      <x:c r="AI93" s="246" t="n">
        <x:f>G93-$B$4*Z93</x:f>
        <x:v>1.2055690487078388</x:v>
      </x:c>
      <x:c r="AJ93" s="246" t="n">
        <x:f>H93-$B$4*AA93</x:f>
        <x:v>-1.5524988898026706</x:v>
      </x:c>
      <x:c r="AK93" s="246" t="n">
        <x:f>I93-$B$4*AB93</x:f>
        <x:v>-1.2560764976094132</x:v>
      </x:c>
      <x:c r="AL93" s="246" t="n">
        <x:f>J93-$B$4*AC93</x:f>
        <x:v>0.9492560755292722</x:v>
      </x:c>
      <x:c r="AM93" s="246" t="n">
        <x:f>K93-$B$4*AD93</x:f>
        <x:v>-1.654390767601327</x:v>
      </x:c>
      <x:c r="AN93" s="246" t="n">
        <x:f>L93-$B$4*AE93</x:f>
        <x:v>1.3402817002615195</x:v>
      </x:c>
      <x:c r="AO93" s="246" t="n">
        <x:f>M93-$B$4*AF93</x:f>
        <x:v>1.3728861969351143</x:v>
      </x:c>
      <x:c r="AP93" s="246" t="n">
        <x:f>N93-$B$4*AG93</x:f>
        <x:v>-1.7829651917905363</x:v>
      </x:c>
      <x:c r="AQ93" s="246" t="n">
        <x:f>O93-$B$4*AH93</x:f>
        <x:v>0.7028240452666665</x:v>
      </x:c>
      <x:c r="AR93" s="182" t="n">
        <x:f>IF(U93&gt;=$B$5,1,0)</x:f>
        <x:v>0</x:v>
      </x:c>
      <x:c r="AS93" s="182" t="n">
        <x:f>IF(AR93=F93,1,0)</x:f>
        <x:v>1</x:v>
      </x:c>
      <x:c r="AT93" s="252" t="n">
        <x:f>ABS(F93-U93)</x:f>
        <x:v>0.44906319901605496</x:v>
      </x:c>
    </x:row>
    <x:row r="94">
      <x:c r="A94" s="114" t="n">
        <x:v>78</x:v>
      </x:c>
      <x:c r="B94" s="114" t="n">
        <x:v>20</x:v>
      </x:c>
      <x:c r="C94" s="114" t="n">
        <x:v>2</x:v>
      </x:c>
      <x:c r="D94" s="168" t="n">
        <x:f>$I$6</x:f>
        <x:v>0</x:v>
      </x:c>
      <x:c r="E94" s="168" t="n">
        <x:f>$J$6</x:f>
        <x:v>1</x:v>
      </x:c>
      <x:c r="F94" s="168" t="n">
        <x:f>$K$6</x:f>
        <x:v>1</x:v>
      </x:c>
      <x:c r="G94" s="242" t="n">
        <x:f>AI93</x:f>
        <x:v>1.2055690487078388</x:v>
      </x:c>
      <x:c r="H94" s="242" t="n">
        <x:f>AJ93</x:f>
        <x:v>-1.5524988898026706</x:v>
      </x:c>
      <x:c r="I94" s="242" t="n">
        <x:f>AK93</x:f>
        <x:v>-1.2560764976094132</x:v>
      </x:c>
      <x:c r="J94" s="242" t="n">
        <x:f>AL93</x:f>
        <x:v>0.9492560755292722</x:v>
      </x:c>
      <x:c r="K94" s="242" t="n">
        <x:f>AM93</x:f>
        <x:v>-1.654390767601327</x:v>
      </x:c>
      <x:c r="L94" s="242" t="n">
        <x:f>AN93</x:f>
        <x:v>1.3402817002615195</x:v>
      </x:c>
      <x:c r="M94" s="242" t="n">
        <x:f>AO93</x:f>
        <x:v>1.3728861969351143</x:v>
      </x:c>
      <x:c r="N94" s="242" t="n">
        <x:f>AP93</x:f>
        <x:v>-1.7829651917905363</x:v>
      </x:c>
      <x:c r="O94" s="242" t="n">
        <x:f>AQ93</x:f>
        <x:v>0.7028240452666665</x:v>
      </x:c>
      <x:c r="P94" s="243" t="n">
        <x:f>D94*G94+E94*H94+I94</x:f>
        <x:v>-2.808575387412084</x:v>
      </x:c>
      <x:c r="Q94" s="243" t="n">
        <x:f>1/(1+EXP(-P94))</x:f>
        <x:v>0.056862533407570505</x:v>
      </x:c>
      <x:c r="R94" s="243" t="n">
        <x:f>D94*J94+E94*K94+L94</x:f>
        <x:v>-0.3141090673398075</x:v>
      </x:c>
      <x:c r="S94" s="243" t="n">
        <x:f>1/(1+EXP(-R94))</x:f>
        <x:v>0.422112080318415</x:v>
      </x:c>
      <x:c r="T94" s="243" t="n">
        <x:f>Q94*M94+S94*N94+O94</x:f>
        <x:v>0.028278686262656838</x:v>
      </x:c>
      <x:c r="U94" s="243" t="n">
        <x:f>1/(1+EXP(-T94))</x:f>
        <x:v>0.5070692004780096</x:v>
      </x:c>
      <x:c r="V94" s="243" t="n">
        <x:f>0.5*(F94-U94)^2</x:f>
        <x:v>0.12149038655869433</x:v>
      </x:c>
      <x:c r="W94" s="244" t="n">
        <x:f>(U94-F94)*U94*(1-U94)</x:f>
        <x:v>-0.12320806635616292</x:v>
      </x:c>
      <x:c r="X94" s="244" t="n">
        <x:f>W94*M94*Q94*(1-Q94)</x:f>
        <x:v>-0.009071411816295198</x:v>
      </x:c>
      <x:c r="Y94" s="244" t="n">
        <x:f>W94*N94*S94*(1-S94)</x:f>
        <x:v>0.05358625466160025</x:v>
      </x:c>
      <x:c r="Z94" s="245" t="n">
        <x:f>X94*D94</x:f>
        <x:v>0</x:v>
      </x:c>
      <x:c r="AA94" s="245" t="n">
        <x:f>X94*E94</x:f>
        <x:v>-0.009071411816295198</x:v>
      </x:c>
      <x:c r="AB94" s="245" t="n">
        <x:f>X94</x:f>
        <x:v>-0.009071411816295198</x:v>
      </x:c>
      <x:c r="AC94" s="245" t="n">
        <x:f>Y94*D94</x:f>
        <x:v>0</x:v>
      </x:c>
      <x:c r="AD94" s="245" t="n">
        <x:f>Y94*E94</x:f>
        <x:v>0.05358625466160025</x:v>
      </x:c>
      <x:c r="AE94" s="245" t="n">
        <x:f>Y94</x:f>
        <x:v>0.05358625466160025</x:v>
      </x:c>
      <x:c r="AF94" s="245" t="n">
        <x:f>W94*Q94</x:f>
        <x:v>-0.007005922789259478</x:v>
      </x:c>
      <x:c r="AG94" s="245" t="n">
        <x:f>W94*S94</x:f>
        <x:v>-0.05200761320160925</x:v>
      </x:c>
      <x:c r="AH94" s="245" t="n">
        <x:f>W94</x:f>
        <x:v>-0.12320806635616292</x:v>
      </x:c>
      <x:c r="AI94" s="246" t="n">
        <x:f>G94-$B$4*Z94</x:f>
        <x:v>1.2055690487078388</x:v>
      </x:c>
      <x:c r="AJ94" s="246" t="n">
        <x:f>H94-$B$4*AA94</x:f>
        <x:v>-1.5434274779863755</x:v>
      </x:c>
      <x:c r="AK94" s="246" t="n">
        <x:f>I94-$B$4*AB94</x:f>
        <x:v>-1.247005085793118</x:v>
      </x:c>
      <x:c r="AL94" s="246" t="n">
        <x:f>J94-$B$4*AC94</x:f>
        <x:v>0.9492560755292722</x:v>
      </x:c>
      <x:c r="AM94" s="246" t="n">
        <x:f>K94-$B$4*AD94</x:f>
        <x:v>-1.7079770222629271</x:v>
      </x:c>
      <x:c r="AN94" s="246" t="n">
        <x:f>L94-$B$4*AE94</x:f>
        <x:v>1.2866954455999193</x:v>
      </x:c>
      <x:c r="AO94" s="246" t="n">
        <x:f>M94-$B$4*AF94</x:f>
        <x:v>1.3798921197243736</x:v>
      </x:c>
      <x:c r="AP94" s="246" t="n">
        <x:f>N94-$B$4*AG94</x:f>
        <x:v>-1.730957578588927</x:v>
      </x:c>
      <x:c r="AQ94" s="246" t="n">
        <x:f>O94-$B$4*AH94</x:f>
        <x:v>0.8260321116228294</x:v>
      </x:c>
      <x:c r="AR94" s="182" t="n">
        <x:f>IF(U94&gt;=$B$5,1,0)</x:f>
        <x:v>1</x:v>
      </x:c>
      <x:c r="AS94" s="182" t="n">
        <x:f>IF(AR94=F94,1,0)</x:f>
        <x:v>1</x:v>
      </x:c>
      <x:c r="AT94" s="252" t="n">
        <x:f>ABS(F94-U94)</x:f>
        <x:v>0.49293079952199037</x:v>
      </x:c>
    </x:row>
    <x:row r="95">
      <x:c r="A95" s="114" t="n">
        <x:v>79</x:v>
      </x:c>
      <x:c r="B95" s="114" t="n">
        <x:v>20</x:v>
      </x:c>
      <x:c r="C95" s="114" t="n">
        <x:v>3</x:v>
      </x:c>
      <x:c r="D95" s="168" t="n">
        <x:f>$I$7</x:f>
        <x:v>1</x:v>
      </x:c>
      <x:c r="E95" s="168" t="n">
        <x:f>$J$7</x:f>
        <x:v>0</x:v>
      </x:c>
      <x:c r="F95" s="168" t="n">
        <x:f>$K$7</x:f>
        <x:v>1</x:v>
      </x:c>
      <x:c r="G95" s="242" t="n">
        <x:f>AI94</x:f>
        <x:v>1.2055690487078388</x:v>
      </x:c>
      <x:c r="H95" s="242" t="n">
        <x:f>AJ94</x:f>
        <x:v>-1.5434274779863755</x:v>
      </x:c>
      <x:c r="I95" s="242" t="n">
        <x:f>AK94</x:f>
        <x:v>-1.247005085793118</x:v>
      </x:c>
      <x:c r="J95" s="242" t="n">
        <x:f>AL94</x:f>
        <x:v>0.9492560755292722</x:v>
      </x:c>
      <x:c r="K95" s="242" t="n">
        <x:f>AM94</x:f>
        <x:v>-1.7079770222629271</x:v>
      </x:c>
      <x:c r="L95" s="242" t="n">
        <x:f>AN94</x:f>
        <x:v>1.2866954455999193</x:v>
      </x:c>
      <x:c r="M95" s="242" t="n">
        <x:f>AO94</x:f>
        <x:v>1.3798921197243736</x:v>
      </x:c>
      <x:c r="N95" s="242" t="n">
        <x:f>AP94</x:f>
        <x:v>-1.730957578588927</x:v>
      </x:c>
      <x:c r="O95" s="242" t="n">
        <x:f>AQ94</x:f>
        <x:v>0.8260321116228294</x:v>
      </x:c>
      <x:c r="P95" s="243" t="n">
        <x:f>D95*G95+E95*H95+I95</x:f>
        <x:v>-0.04143603708527932</x:v>
      </x:c>
      <x:c r="Q95" s="243" t="n">
        <x:f>1/(1+EXP(-P95))</x:f>
        <x:v>0.48964247262849053</x:v>
      </x:c>
      <x:c r="R95" s="243" t="n">
        <x:f>D95*J95+E95*K95+L95</x:f>
        <x:v>2.2359515211291914</x:v>
      </x:c>
      <x:c r="S95" s="243" t="n">
        <x:f>1/(1+EXP(-R95))</x:f>
        <x:v>0.9034318342558835</x:v>
      </x:c>
      <x:c r="T95" s="243" t="n">
        <x:f>Q95*M95+S95*N95+O95</x:f>
        <x:v>-0.06211627915847617</x:v>
      </x:c>
      <x:c r="U95" s="243" t="n">
        <x:f>1/(1+EXP(-T95))</x:f>
        <x:v>0.4844759214397184</x:v>
      </x:c>
      <x:c r="V95" s="243" t="n">
        <x:f>0.5*(F95-U95)^2</x:f>
        <x:v>0.1328825377877137</x:v>
      </x:c>
      <x:c r="W95" s="244" t="n">
        <x:f>(U95-F95)*U95*(1-U95)</x:f>
        <x:v>-0.1287567798759016</x:v>
      </x:c>
      <x:c r="X95" s="244" t="n">
        <x:f>W95*M95*Q95*(1-Q95)</x:f>
        <x:v>-0.044398556279402736</x:v>
      </x:c>
      <x:c r="Y95" s="244" t="n">
        <x:f>W95*N95*S95*(1-S95)</x:f>
        <x:v>0.019444013024940806</x:v>
      </x:c>
      <x:c r="Z95" s="245" t="n">
        <x:f>X95*D95</x:f>
        <x:v>-0.044398556279402736</x:v>
      </x:c>
      <x:c r="AA95" s="245" t="n">
        <x:f>X95*E95</x:f>
        <x:v>0</x:v>
      </x:c>
      <x:c r="AB95" s="245" t="n">
        <x:f>X95</x:f>
        <x:v>-0.044398556279402736</x:v>
      </x:c>
      <x:c r="AC95" s="245" t="n">
        <x:f>Y95*D95</x:f>
        <x:v>0.019444013024940806</x:v>
      </x:c>
      <x:c r="AD95" s="245" t="n">
        <x:f>Y95*E95</x:f>
        <x:v>0</x:v>
      </x:c>
      <x:c r="AE95" s="245" t="n">
        <x:f>Y95</x:f>
        <x:v>0.019444013024940806</x:v>
      </x:c>
      <x:c r="AF95" s="245" t="n">
        <x:f>W95*Q95</x:f>
        <x:v>-0.06304478806611873</x:v>
      </x:c>
      <x:c r="AG95" s="245" t="n">
        <x:f>W95*S95</x:f>
        <x:v>-0.1163229738161668</x:v>
      </x:c>
      <x:c r="AH95" s="245" t="n">
        <x:f>W95</x:f>
        <x:v>-0.1287567798759016</x:v>
      </x:c>
      <x:c r="AI95" s="246" t="n">
        <x:f>G95-$B$4*Z95</x:f>
        <x:v>1.2499676049872415</x:v>
      </x:c>
      <x:c r="AJ95" s="246" t="n">
        <x:f>H95-$B$4*AA95</x:f>
        <x:v>-1.5434274779863755</x:v>
      </x:c>
      <x:c r="AK95" s="246" t="n">
        <x:f>I95-$B$4*AB95</x:f>
        <x:v>-1.2026065295137154</x:v>
      </x:c>
      <x:c r="AL95" s="246" t="n">
        <x:f>J95-$B$4*AC95</x:f>
        <x:v>0.9298120625043313</x:v>
      </x:c>
      <x:c r="AM95" s="246" t="n">
        <x:f>K95-$B$4*AD95</x:f>
        <x:v>-1.7079770222629271</x:v>
      </x:c>
      <x:c r="AN95" s="246" t="n">
        <x:f>L95-$B$4*AE95</x:f>
        <x:v>1.2672514325749786</x:v>
      </x:c>
      <x:c r="AO95" s="246" t="n">
        <x:f>M95-$B$4*AF95</x:f>
        <x:v>1.4429369077904923</x:v>
      </x:c>
      <x:c r="AP95" s="246" t="n">
        <x:f>N95-$B$4*AG95</x:f>
        <x:v>-1.6146346047727602</x:v>
      </x:c>
      <x:c r="AQ95" s="246" t="n">
        <x:f>O95-$B$4*AH95</x:f>
        <x:v>0.954788891498731</x:v>
      </x:c>
      <x:c r="AR95" s="182" t="n">
        <x:f>IF(U95&gt;=$B$5,1,0)</x:f>
        <x:v>0</x:v>
      </x:c>
      <x:c r="AS95" s="182" t="n">
        <x:f>IF(AR95=F95,1,0)</x:f>
        <x:v>0</x:v>
      </x:c>
      <x:c r="AT95" s="252" t="n">
        <x:f>ABS(F95-U95)</x:f>
        <x:v>0.5155240785602816</x:v>
      </x:c>
    </x:row>
    <x:row r="96">
      <x:c r="A96" s="114" t="n">
        <x:v>80</x:v>
      </x:c>
      <x:c r="B96" s="114" t="n">
        <x:v>20</x:v>
      </x:c>
      <x:c r="C96" s="114" t="n">
        <x:v>4</x:v>
      </x:c>
      <x:c r="D96" s="168" t="n">
        <x:f>$I$8</x:f>
        <x:v>1</x:v>
      </x:c>
      <x:c r="E96" s="168" t="n">
        <x:f>$J$8</x:f>
        <x:v>1</x:v>
      </x:c>
      <x:c r="F96" s="168" t="n">
        <x:f>$K$8</x:f>
        <x:v>0</x:v>
      </x:c>
      <x:c r="G96" s="242" t="n">
        <x:f>AI95</x:f>
        <x:v>1.2499676049872415</x:v>
      </x:c>
      <x:c r="H96" s="242" t="n">
        <x:f>AJ95</x:f>
        <x:v>-1.5434274779863755</x:v>
      </x:c>
      <x:c r="I96" s="242" t="n">
        <x:f>AK95</x:f>
        <x:v>-1.2026065295137154</x:v>
      </x:c>
      <x:c r="J96" s="242" t="n">
        <x:f>AL95</x:f>
        <x:v>0.9298120625043313</x:v>
      </x:c>
      <x:c r="K96" s="242" t="n">
        <x:f>AM95</x:f>
        <x:v>-1.7079770222629271</x:v>
      </x:c>
      <x:c r="L96" s="242" t="n">
        <x:f>AN95</x:f>
        <x:v>1.2672514325749786</x:v>
      </x:c>
      <x:c r="M96" s="242" t="n">
        <x:f>AO95</x:f>
        <x:v>1.4429369077904923</x:v>
      </x:c>
      <x:c r="N96" s="242" t="n">
        <x:f>AP95</x:f>
        <x:v>-1.6146346047727602</x:v>
      </x:c>
      <x:c r="O96" s="242" t="n">
        <x:f>AQ95</x:f>
        <x:v>0.954788891498731</x:v>
      </x:c>
      <x:c r="P96" s="243" t="n">
        <x:f>D96*G96+E96*H96+I96</x:f>
        <x:v>-1.4960664025128494</x:v>
      </x:c>
      <x:c r="Q96" s="243" t="n">
        <x:f>1/(1+EXP(-P96))</x:f>
        <x:v>0.18301293896298837</x:v>
      </x:c>
      <x:c r="R96" s="243" t="n">
        <x:f>D96*J96+E96*K96+L96</x:f>
        <x:v>0.48908647281638284</x:v>
      </x:c>
      <x:c r="S96" s="243" t="n">
        <x:f>1/(1+EXP(-R96))</x:f>
        <x:v>0.6198912050840268</x:v>
      </x:c>
      <x:c r="T96" s="243" t="n">
        <x:f>Q96*M96+S96*N96+O96</x:f>
        <x:v>0.21796722480867792</x:v>
      </x:c>
      <x:c r="U96" s="243" t="n">
        <x:f>1/(1+EXP(-T96))</x:f>
        <x:v>0.5542770854458219</x:v>
      </x:c>
      <x:c r="V96" s="243" t="n">
        <x:f>0.5*(F96-U96)^2</x:f>
        <x:v>0.15361154372515748</x:v>
      </x:c>
      <x:c r="W96" s="244" t="n">
        <x:f>(U96-F96)*U96*(1-U96)</x:f>
        <x:v>0.13693636995668754</x:v>
      </x:c>
      <x:c r="X96" s="244" t="n">
        <x:f>W96*M96*Q96*(1-Q96)</x:f>
        <x:v>0.0295435804211694</x:v>
      </x:c>
      <x:c r="Y96" s="244" t="n">
        <x:f>W96*N96*S96*(1-S96)</x:f>
        <x:v>-0.05209744922706492</x:v>
      </x:c>
      <x:c r="Z96" s="245" t="n">
        <x:f>X96*D96</x:f>
        <x:v>0.0295435804211694</x:v>
      </x:c>
      <x:c r="AA96" s="245" t="n">
        <x:f>X96*E96</x:f>
        <x:v>0.0295435804211694</x:v>
      </x:c>
      <x:c r="AB96" s="245" t="n">
        <x:f>X96</x:f>
        <x:v>0.0295435804211694</x:v>
      </x:c>
      <x:c r="AC96" s="245" t="n">
        <x:f>Y96*D96</x:f>
        <x:v>-0.05209744922706492</x:v>
      </x:c>
      <x:c r="AD96" s="245" t="n">
        <x:f>Y96*E96</x:f>
        <x:v>-0.05209744922706492</x:v>
      </x:c>
      <x:c r="AE96" s="245" t="n">
        <x:f>Y96</x:f>
        <x:v>-0.05209744922706492</x:v>
      </x:c>
      <x:c r="AF96" s="245" t="n">
        <x:f>W96*Q96</x:f>
        <x:v>0.025061127516696452</x:v>
      </x:c>
      <x:c r="AG96" s="245" t="n">
        <x:f>W96*S96</x:f>
        <x:v>0.08488565139228317</x:v>
      </x:c>
      <x:c r="AH96" s="245" t="n">
        <x:f>W96</x:f>
        <x:v>0.13693636995668754</x:v>
      </x:c>
      <x:c r="AI96" s="246" t="n">
        <x:f>G96-$B$4*Z96</x:f>
        <x:v>1.220424024566072</x:v>
      </x:c>
      <x:c r="AJ96" s="246" t="n">
        <x:f>H96-$B$4*AA96</x:f>
        <x:v>-1.572971058407545</x:v>
      </x:c>
      <x:c r="AK96" s="246" t="n">
        <x:f>I96-$B$4*AB96</x:f>
        <x:v>-1.2321501099348848</x:v>
      </x:c>
      <x:c r="AL96" s="246" t="n">
        <x:f>J96-$B$4*AC96</x:f>
        <x:v>0.9819095117313963</x:v>
      </x:c>
      <x:c r="AM96" s="246" t="n">
        <x:f>K96-$B$4*AD96</x:f>
        <x:v>-1.6558795730358622</x:v>
      </x:c>
      <x:c r="AN96" s="246" t="n">
        <x:f>L96-$B$4*AE96</x:f>
        <x:v>1.3193488818020436</x:v>
      </x:c>
      <x:c r="AO96" s="246" t="n">
        <x:f>M96-$B$4*AF96</x:f>
        <x:v>1.4178757802737958</x:v>
      </x:c>
      <x:c r="AP96" s="246" t="n">
        <x:f>N96-$B$4*AG96</x:f>
        <x:v>-1.6995202561650433</x:v>
      </x:c>
      <x:c r="AQ96" s="246" t="n">
        <x:f>O96-$B$4*AH96</x:f>
        <x:v>0.8178525215420435</x:v>
      </x:c>
      <x:c r="AR96" s="182" t="n">
        <x:f>IF(U96&gt;=$B$5,1,0)</x:f>
        <x:v>1</x:v>
      </x:c>
      <x:c r="AS96" s="182" t="n">
        <x:f>IF(AR96=F96,1,0)</x:f>
        <x:v>0</x:v>
      </x:c>
      <x:c r="AT96" s="252" t="n">
        <x:f>ABS(F96-U96)</x:f>
        <x:v>0.5542770854458219</x:v>
      </x:c>
    </x:row>
    <x:row r="97">
      <x:c r="A97" s="114" t="n">
        <x:v>81</x:v>
      </x:c>
      <x:c r="B97" s="114" t="n">
        <x:v>21</x:v>
      </x:c>
      <x:c r="C97" s="114" t="n">
        <x:v>1</x:v>
      </x:c>
      <x:c r="D97" s="168" t="n">
        <x:f>$I$5</x:f>
        <x:v>0</x:v>
      </x:c>
      <x:c r="E97" s="168" t="n">
        <x:f>$J$5</x:f>
        <x:v>0</x:v>
      </x:c>
      <x:c r="F97" s="168" t="n">
        <x:f>$K$5</x:f>
        <x:v>0</x:v>
      </x:c>
      <x:c r="G97" s="242" t="n">
        <x:f>AI96</x:f>
        <x:v>1.220424024566072</x:v>
      </x:c>
      <x:c r="H97" s="242" t="n">
        <x:f>AJ96</x:f>
        <x:v>-1.572971058407545</x:v>
      </x:c>
      <x:c r="I97" s="242" t="n">
        <x:f>AK96</x:f>
        <x:v>-1.2321501099348848</x:v>
      </x:c>
      <x:c r="J97" s="242" t="n">
        <x:f>AL96</x:f>
        <x:v>0.9819095117313963</x:v>
      </x:c>
      <x:c r="K97" s="242" t="n">
        <x:f>AM96</x:f>
        <x:v>-1.6558795730358622</x:v>
      </x:c>
      <x:c r="L97" s="242" t="n">
        <x:f>AN96</x:f>
        <x:v>1.3193488818020436</x:v>
      </x:c>
      <x:c r="M97" s="242" t="n">
        <x:f>AO96</x:f>
        <x:v>1.4178757802737958</x:v>
      </x:c>
      <x:c r="N97" s="242" t="n">
        <x:f>AP96</x:f>
        <x:v>-1.6995202561650433</x:v>
      </x:c>
      <x:c r="O97" s="242" t="n">
        <x:f>AQ96</x:f>
        <x:v>0.8178525215420435</x:v>
      </x:c>
      <x:c r="P97" s="243" t="n">
        <x:f>D97*G97+E97*H97+I97</x:f>
        <x:v>-1.2321501099348848</x:v>
      </x:c>
      <x:c r="Q97" s="243" t="n">
        <x:f>1/(1+EXP(-P97))</x:f>
        <x:v>0.22580532777315848</x:v>
      </x:c>
      <x:c r="R97" s="243" t="n">
        <x:f>D97*J97+E97*K97+L97</x:f>
        <x:v>1.3193488818020436</x:v>
      </x:c>
      <x:c r="S97" s="243" t="n">
        <x:f>1/(1+EXP(-R97))</x:f>
        <x:v>0.7890733570243957</x:v>
      </x:c>
      <x:c r="T97" s="243" t="n">
        <x:f>Q97*M97+S97*N97+O97</x:f>
        <x:v>-0.20302972701472088</x:v>
      </x:c>
      <x:c r="U97" s="243" t="n">
        <x:f>1/(1+EXP(-T97))</x:f>
        <x:v>0.44941620882056427</x:v>
      </x:c>
      <x:c r="V97" s="243" t="n">
        <x:f>0.5*(F97-U97)^2</x:f>
        <x:v>0.10098746437532452</x:v>
      </x:c>
      <x:c r="W97" s="244" t="n">
        <x:f>(U97-F97)*U97*(1-U97)</x:f>
        <x:v>0.11120412199472877</x:v>
      </x:c>
      <x:c r="X97" s="244" t="n">
        <x:f>W97*M97*Q97*(1-Q97)</x:f>
        <x:v>0.027564075613192938</x:v>
      </x:c>
      <x:c r="Y97" s="244" t="n">
        <x:f>W97*N97*S97*(1-S97)</x:f>
        <x:v>-0.03145546075720826</x:v>
      </x:c>
      <x:c r="Z97" s="245" t="n">
        <x:f>X97*D97</x:f>
        <x:v>0</x:v>
      </x:c>
      <x:c r="AA97" s="245" t="n">
        <x:f>X97*E97</x:f>
        <x:v>0</x:v>
      </x:c>
      <x:c r="AB97" s="245" t="n">
        <x:f>X97</x:f>
        <x:v>0.027564075613192938</x:v>
      </x:c>
      <x:c r="AC97" s="245" t="n">
        <x:f>Y97*D97</x:f>
        <x:v>0</x:v>
      </x:c>
      <x:c r="AD97" s="245" t="n">
        <x:f>Y97*E97</x:f>
        <x:v>0</x:v>
      </x:c>
      <x:c r="AE97" s="245" t="n">
        <x:f>Y97</x:f>
        <x:v>-0.03145546075720826</x:v>
      </x:c>
      <x:c r="AF97" s="245" t="n">
        <x:f>W97*Q97</x:f>
        <x:v>0.025110483216746034</x:v>
      </x:c>
      <x:c r="AG97" s="245" t="n">
        <x:f>W97*S97</x:f>
        <x:v>0.08774820985733107</x:v>
      </x:c>
      <x:c r="AH97" s="245" t="n">
        <x:f>W97</x:f>
        <x:v>0.11120412199472877</x:v>
      </x:c>
      <x:c r="AI97" s="246" t="n">
        <x:f>G97-$B$4*Z97</x:f>
        <x:v>1.220424024566072</x:v>
      </x:c>
      <x:c r="AJ97" s="246" t="n">
        <x:f>H97-$B$4*AA97</x:f>
        <x:v>-1.572971058407545</x:v>
      </x:c>
      <x:c r="AK97" s="246" t="n">
        <x:f>I97-$B$4*AB97</x:f>
        <x:v>-1.2597141855480778</x:v>
      </x:c>
      <x:c r="AL97" s="246" t="n">
        <x:f>J97-$B$4*AC97</x:f>
        <x:v>0.9819095117313963</x:v>
      </x:c>
      <x:c r="AM97" s="246" t="n">
        <x:f>K97-$B$4*AD97</x:f>
        <x:v>-1.6558795730358622</x:v>
      </x:c>
      <x:c r="AN97" s="246" t="n">
        <x:f>L97-$B$4*AE97</x:f>
        <x:v>1.3508043425592517</x:v>
      </x:c>
      <x:c r="AO97" s="246" t="n">
        <x:f>M97-$B$4*AF97</x:f>
        <x:v>1.3927652970570497</x:v>
      </x:c>
      <x:c r="AP97" s="246" t="n">
        <x:f>N97-$B$4*AG97</x:f>
        <x:v>-1.7872684660223743</x:v>
      </x:c>
      <x:c r="AQ97" s="246" t="n">
        <x:f>O97-$B$4*AH97</x:f>
        <x:v>0.7066483995473147</x:v>
      </x:c>
      <x:c r="AR97" s="182" t="n">
        <x:f>IF(U97&gt;=$B$5,1,0)</x:f>
        <x:v>0</x:v>
      </x:c>
      <x:c r="AS97" s="182" t="n">
        <x:f>IF(AR97=F97,1,0)</x:f>
        <x:v>1</x:v>
      </x:c>
      <x:c r="AT97" s="252" t="n">
        <x:f>ABS(F97-U97)</x:f>
        <x:v>0.44941620882056427</x:v>
      </x:c>
    </x:row>
    <x:row r="98">
      <x:c r="A98" s="114" t="n">
        <x:v>82</x:v>
      </x:c>
      <x:c r="B98" s="114" t="n">
        <x:v>21</x:v>
      </x:c>
      <x:c r="C98" s="114" t="n">
        <x:v>2</x:v>
      </x:c>
      <x:c r="D98" s="168" t="n">
        <x:f>$I$6</x:f>
        <x:v>0</x:v>
      </x:c>
      <x:c r="E98" s="168" t="n">
        <x:f>$J$6</x:f>
        <x:v>1</x:v>
      </x:c>
      <x:c r="F98" s="168" t="n">
        <x:f>$K$6</x:f>
        <x:v>1</x:v>
      </x:c>
      <x:c r="G98" s="242" t="n">
        <x:f>AI97</x:f>
        <x:v>1.220424024566072</x:v>
      </x:c>
      <x:c r="H98" s="242" t="n">
        <x:f>AJ97</x:f>
        <x:v>-1.572971058407545</x:v>
      </x:c>
      <x:c r="I98" s="242" t="n">
        <x:f>AK97</x:f>
        <x:v>-1.2597141855480778</x:v>
      </x:c>
      <x:c r="J98" s="242" t="n">
        <x:f>AL97</x:f>
        <x:v>0.9819095117313963</x:v>
      </x:c>
      <x:c r="K98" s="242" t="n">
        <x:f>AM97</x:f>
        <x:v>-1.6558795730358622</x:v>
      </x:c>
      <x:c r="L98" s="242" t="n">
        <x:f>AN97</x:f>
        <x:v>1.3508043425592517</x:v>
      </x:c>
      <x:c r="M98" s="242" t="n">
        <x:f>AO97</x:f>
        <x:v>1.3927652970570497</x:v>
      </x:c>
      <x:c r="N98" s="242" t="n">
        <x:f>AP97</x:f>
        <x:v>-1.7872684660223743</x:v>
      </x:c>
      <x:c r="O98" s="242" t="n">
        <x:f>AQ97</x:f>
        <x:v>0.7066483995473147</x:v>
      </x:c>
      <x:c r="P98" s="243" t="n">
        <x:f>D98*G98+E98*H98+I98</x:f>
        <x:v>-2.8326852439556225</x:v>
      </x:c>
      <x:c r="Q98" s="243" t="n">
        <x:f>1/(1+EXP(-P98))</x:f>
        <x:v>0.05558327101593451</x:v>
      </x:c>
      <x:c r="R98" s="243" t="n">
        <x:f>D98*J98+E98*K98+L98</x:f>
        <x:v>-0.30507523047661045</x:v>
      </x:c>
      <x:c r="S98" s="243" t="n">
        <x:f>1/(1+EXP(-R98))</x:f>
        <x:v>0.4243172721444639</x:v>
      </x:c>
      <x:c r="T98" s="243" t="n">
        <x:f>Q98*M98+S98*N98+O98</x:f>
        <x:v>0.02569397042279098</x:v>
      </x:c>
      <x:c r="U98" s="243" t="n">
        <x:f>1/(1+EXP(-T98))</x:f>
        <x:v>0.5064231392405183</x:v>
      </x:c>
      <x:c r="V98" s="243" t="n">
        <x:f>0.5*(F98-U98)^2</x:f>
        <x:v>0.1218090587385924</x:v>
      </x:c>
      <x:c r="W98" s="244" t="n">
        <x:f>(U98-F98)*U98*(1-U98)</x:f>
        <x:v>-0.1233738518286613</x:v>
      </x:c>
      <x:c r="X98" s="244" t="n">
        <x:f>W98*M98*Q98*(1-Q98)</x:f>
        <x:v>-0.009020047683710935</x:v>
      </x:c>
      <x:c r="Y98" s="244" t="n">
        <x:f>W98*N98*S98*(1-S98)</x:f>
        <x:v>0.05386253965143623</x:v>
      </x:c>
      <x:c r="Z98" s="245" t="n">
        <x:f>X98*D98</x:f>
        <x:v>0</x:v>
      </x:c>
      <x:c r="AA98" s="245" t="n">
        <x:f>X98*E98</x:f>
        <x:v>-0.009020047683710935</x:v>
      </x:c>
      <x:c r="AB98" s="245" t="n">
        <x:f>X98</x:f>
        <x:v>-0.009020047683710935</x:v>
      </x:c>
      <x:c r="AC98" s="245" t="n">
        <x:f>Y98*D98</x:f>
        <x:v>0</x:v>
      </x:c>
      <x:c r="AD98" s="245" t="n">
        <x:f>Y98*E98</x:f>
        <x:v>0.05386253965143623</x:v>
      </x:c>
      <x:c r="AE98" s="245" t="n">
        <x:f>Y98</x:f>
        <x:v>0.05386253965143623</x:v>
      </x:c>
      <x:c r="AF98" s="245" t="n">
        <x:f>W98*Q98</x:f>
        <x:v>-0.0068575222424722285</x:v>
      </x:c>
      <x:c r="AG98" s="245" t="n">
        <x:f>W98*S98</x:f>
        <x:v>-0.05234965626189284</x:v>
      </x:c>
      <x:c r="AH98" s="245" t="n">
        <x:f>W98</x:f>
        <x:v>-0.1233738518286613</x:v>
      </x:c>
      <x:c r="AI98" s="246" t="n">
        <x:f>G98-$B$4*Z98</x:f>
        <x:v>1.220424024566072</x:v>
      </x:c>
      <x:c r="AJ98" s="246" t="n">
        <x:f>H98-$B$4*AA98</x:f>
        <x:v>-1.563951010723834</x:v>
      </x:c>
      <x:c r="AK98" s="246" t="n">
        <x:f>I98-$B$4*AB98</x:f>
        <x:v>-1.2506941378643668</x:v>
      </x:c>
      <x:c r="AL98" s="246" t="n">
        <x:f>J98-$B$4*AC98</x:f>
        <x:v>0.9819095117313963</x:v>
      </x:c>
      <x:c r="AM98" s="246" t="n">
        <x:f>K98-$B$4*AD98</x:f>
        <x:v>-1.7097421126872985</x:v>
      </x:c>
      <x:c r="AN98" s="246" t="n">
        <x:f>L98-$B$4*AE98</x:f>
        <x:v>1.2969418029078155</x:v>
      </x:c>
      <x:c r="AO98" s="246" t="n">
        <x:f>M98-$B$4*AF98</x:f>
        <x:v>1.399622819299522</x:v>
      </x:c>
      <x:c r="AP98" s="246" t="n">
        <x:f>N98-$B$4*AG98</x:f>
        <x:v>-1.7349188097604815</x:v>
      </x:c>
      <x:c r="AQ98" s="246" t="n">
        <x:f>O98-$B$4*AH98</x:f>
        <x:v>0.8300222513759761</x:v>
      </x:c>
      <x:c r="AR98" s="182" t="n">
        <x:f>IF(U98&gt;=$B$5,1,0)</x:f>
        <x:v>1</x:v>
      </x:c>
      <x:c r="AS98" s="182" t="n">
        <x:f>IF(AR98=F98,1,0)</x:f>
        <x:v>1</x:v>
      </x:c>
      <x:c r="AT98" s="252" t="n">
        <x:f>ABS(F98-U98)</x:f>
        <x:v>0.4935768607594817</x:v>
      </x:c>
    </x:row>
    <x:row r="99">
      <x:c r="A99" s="114" t="n">
        <x:v>83</x:v>
      </x:c>
      <x:c r="B99" s="114" t="n">
        <x:v>21</x:v>
      </x:c>
      <x:c r="C99" s="114" t="n">
        <x:v>3</x:v>
      </x:c>
      <x:c r="D99" s="168" t="n">
        <x:f>$I$7</x:f>
        <x:v>1</x:v>
      </x:c>
      <x:c r="E99" s="168" t="n">
        <x:f>$J$7</x:f>
        <x:v>0</x:v>
      </x:c>
      <x:c r="F99" s="168" t="n">
        <x:f>$K$7</x:f>
        <x:v>1</x:v>
      </x:c>
      <x:c r="G99" s="242" t="n">
        <x:f>AI98</x:f>
        <x:v>1.220424024566072</x:v>
      </x:c>
      <x:c r="H99" s="242" t="n">
        <x:f>AJ98</x:f>
        <x:v>-1.563951010723834</x:v>
      </x:c>
      <x:c r="I99" s="242" t="n">
        <x:f>AK98</x:f>
        <x:v>-1.2506941378643668</x:v>
      </x:c>
      <x:c r="J99" s="242" t="n">
        <x:f>AL98</x:f>
        <x:v>0.9819095117313963</x:v>
      </x:c>
      <x:c r="K99" s="242" t="n">
        <x:f>AM98</x:f>
        <x:v>-1.7097421126872985</x:v>
      </x:c>
      <x:c r="L99" s="242" t="n">
        <x:f>AN98</x:f>
        <x:v>1.2969418029078155</x:v>
      </x:c>
      <x:c r="M99" s="242" t="n">
        <x:f>AO98</x:f>
        <x:v>1.399622819299522</x:v>
      </x:c>
      <x:c r="N99" s="242" t="n">
        <x:f>AP98</x:f>
        <x:v>-1.7349188097604815</x:v>
      </x:c>
      <x:c r="O99" s="242" t="n">
        <x:f>AQ98</x:f>
        <x:v>0.8300222513759761</x:v>
      </x:c>
      <x:c r="P99" s="243" t="n">
        <x:f>D99*G99+E99*H99+I99</x:f>
        <x:v>-0.030270113298294765</x:v>
      </x:c>
      <x:c r="Q99" s="243" t="n">
        <x:f>1/(1+EXP(-P99))</x:f>
        <x:v>0.4924330494535716</x:v>
      </x:c>
      <x:c r="R99" s="243" t="n">
        <x:f>D99*J99+E99*K99+L99</x:f>
        <x:v>2.278851314639212</x:v>
      </x:c>
      <x:c r="S99" s="243" t="n">
        <x:f>1/(1+EXP(-R99))</x:f>
        <x:v>0.9071103025264369</x:v>
      </x:c>
      <x:c r="T99" s="243" t="n">
        <x:f>Q99*M99+S99*N99+O99</x:f>
        <x:v>-0.05451994201219135</x:v>
      </x:c>
      <x:c r="U99" s="243" t="n">
        <x:f>1/(1+EXP(-T99))</x:f>
        <x:v>0.4863733896684682</x:v>
      </x:c>
      <x:c r="V99" s="243" t="n">
        <x:f>0.5*(F99-U99)^2</x:f>
        <x:v>0.1319061474203296</x:v>
      </x:c>
      <x:c r="W99" s="244" t="n">
        <x:f>(U99-F99)*U99*(1-U99)</x:f>
        <x:v>-0.12831128007786877</x:v>
      </x:c>
      <x:c r="X99" s="244" t="n">
        <x:f>W99*M99*Q99*(1-Q99)</x:f>
        <x:v>-0.04488656594453632</x:v>
      </x:c>
      <x:c r="Y99" s="244" t="n">
        <x:f>W99*N99*S99*(1-S99)</x:f>
        <x:v>0.018757356870632583</x:v>
      </x:c>
      <x:c r="Z99" s="245" t="n">
        <x:f>X99*D99</x:f>
        <x:v>-0.04488656594453632</x:v>
      </x:c>
      <x:c r="AA99" s="245" t="n">
        <x:f>X99*E99</x:f>
        <x:v>0</x:v>
      </x:c>
      <x:c r="AB99" s="245" t="n">
        <x:f>X99</x:f>
        <x:v>-0.04488656594453632</x:v>
      </x:c>
      <x:c r="AC99" s="245" t="n">
        <x:f>Y99*D99</x:f>
        <x:v>0.018757356870632583</x:v>
      </x:c>
      <x:c r="AD99" s="245" t="n">
        <x:f>Y99*E99</x:f>
        <x:v>0</x:v>
      </x:c>
      <x:c r="AE99" s="245" t="n">
        <x:f>Y99</x:f>
        <x:v>0.018757356870632583</x:v>
      </x:c>
      <x:c r="AF99" s="245" t="n">
        <x:f>W99*Q99</x:f>
        <x:v>-0.06318471492803622</x:v>
      </x:c>
      <x:c r="AG99" s="245" t="n">
        <x:f>W99*S99</x:f>
        <x:v>-0.1163924840889899</x:v>
      </x:c>
      <x:c r="AH99" s="245" t="n">
        <x:f>W99</x:f>
        <x:v>-0.12831128007786877</x:v>
      </x:c>
      <x:c r="AI99" s="246" t="n">
        <x:f>G99-$B$4*Z99</x:f>
        <x:v>1.2653105905106083</x:v>
      </x:c>
      <x:c r="AJ99" s="246" t="n">
        <x:f>H99-$B$4*AA99</x:f>
        <x:v>-1.563951010723834</x:v>
      </x:c>
      <x:c r="AK99" s="246" t="n">
        <x:f>I99-$B$4*AB99</x:f>
        <x:v>-1.2058075719198305</x:v>
      </x:c>
      <x:c r="AL99" s="246" t="n">
        <x:f>J99-$B$4*AC99</x:f>
        <x:v>0.9631521548607637</x:v>
      </x:c>
      <x:c r="AM99" s="246" t="n">
        <x:f>K99-$B$4*AD99</x:f>
        <x:v>-1.7097421126872985</x:v>
      </x:c>
      <x:c r="AN99" s="246" t="n">
        <x:f>L99-$B$4*AE99</x:f>
        <x:v>1.278184446037183</x:v>
      </x:c>
      <x:c r="AO99" s="246" t="n">
        <x:f>M99-$B$4*AF99</x:f>
        <x:v>1.4628075342275582</x:v>
      </x:c>
      <x:c r="AP99" s="246" t="n">
        <x:f>N99-$B$4*AG99</x:f>
        <x:v>-1.6185263256714917</x:v>
      </x:c>
      <x:c r="AQ99" s="246" t="n">
        <x:f>O99-$B$4*AH99</x:f>
        <x:v>0.9583335314538448</x:v>
      </x:c>
      <x:c r="AR99" s="182" t="n">
        <x:f>IF(U99&gt;=$B$5,1,0)</x:f>
        <x:v>0</x:v>
      </x:c>
      <x:c r="AS99" s="182" t="n">
        <x:f>IF(AR99=F99,1,0)</x:f>
        <x:v>0</x:v>
      </x:c>
      <x:c r="AT99" s="252" t="n">
        <x:f>ABS(F99-U99)</x:f>
        <x:v>0.5136266103315318</x:v>
      </x:c>
    </x:row>
    <x:row r="100">
      <x:c r="A100" s="114" t="n">
        <x:v>84</x:v>
      </x:c>
      <x:c r="B100" s="114" t="n">
        <x:v>21</x:v>
      </x:c>
      <x:c r="C100" s="114" t="n">
        <x:v>4</x:v>
      </x:c>
      <x:c r="D100" s="168" t="n">
        <x:f>$I$8</x:f>
        <x:v>1</x:v>
      </x:c>
      <x:c r="E100" s="168" t="n">
        <x:f>$J$8</x:f>
        <x:v>1</x:v>
      </x:c>
      <x:c r="F100" s="168" t="n">
        <x:f>$K$8</x:f>
        <x:v>0</x:v>
      </x:c>
      <x:c r="G100" s="242" t="n">
        <x:f>AI99</x:f>
        <x:v>1.2653105905106083</x:v>
      </x:c>
      <x:c r="H100" s="242" t="n">
        <x:f>AJ99</x:f>
        <x:v>-1.563951010723834</x:v>
      </x:c>
      <x:c r="I100" s="242" t="n">
        <x:f>AK99</x:f>
        <x:v>-1.2058075719198305</x:v>
      </x:c>
      <x:c r="J100" s="242" t="n">
        <x:f>AL99</x:f>
        <x:v>0.9631521548607637</x:v>
      </x:c>
      <x:c r="K100" s="242" t="n">
        <x:f>AM99</x:f>
        <x:v>-1.7097421126872985</x:v>
      </x:c>
      <x:c r="L100" s="242" t="n">
        <x:f>AN99</x:f>
        <x:v>1.278184446037183</x:v>
      </x:c>
      <x:c r="M100" s="242" t="n">
        <x:f>AO99</x:f>
        <x:v>1.4628075342275582</x:v>
      </x:c>
      <x:c r="N100" s="242" t="n">
        <x:f>AP99</x:f>
        <x:v>-1.6185263256714917</x:v>
      </x:c>
      <x:c r="O100" s="242" t="n">
        <x:f>AQ99</x:f>
        <x:v>0.9583335314538448</x:v>
      </x:c>
      <x:c r="P100" s="243" t="n">
        <x:f>D100*G100+E100*H100+I100</x:f>
        <x:v>-1.504447992133056</x:v>
      </x:c>
      <x:c r="Q100" s="243" t="n">
        <x:f>1/(1+EXP(-P100))</x:f>
        <x:v>0.1817630584309951</x:v>
      </x:c>
      <x:c r="R100" s="243" t="n">
        <x:f>D100*J100+E100*K100+L100</x:f>
        <x:v>0.5315944882106481</x:v>
      </x:c>
      <x:c r="S100" s="243" t="n">
        <x:f>1/(1+EXP(-R100))</x:f>
        <x:v>0.6298549241851168</x:v>
      </x:c>
      <x:c r="T100" s="243" t="n">
        <x:f>Q100*M100+S100*N100+O100</x:f>
        <x:v>0.20478112662351533</x:v>
      </x:c>
      <x:c r="U100" s="243" t="n">
        <x:f>1/(1+EXP(-T100))</x:f>
        <x:v>0.5510171212400194</x:v>
      </x:c>
      <x:c r="V100" s="243" t="n">
        <x:f>0.5*(F100-U100)^2</x:f>
        <x:v>0.15180993394981915</x:v>
      </x:c>
      <x:c r="W100" s="244" t="n">
        <x:f>(U100-F100)*U100*(1-U100)</x:f>
        <x:v>0.13632012233830462</x:v>
      </x:c>
      <x:c r="X100" s="244" t="n">
        <x:f>W100*M100*Q100*(1-Q100)</x:f>
        <x:v>0.029657317080678754</x:v>
      </x:c>
      <x:c r="Y100" s="244" t="n">
        <x:f>W100*N100*S100*(1-S100)</x:f>
        <x:v>-0.05143896718416737</x:v>
      </x:c>
      <x:c r="Z100" s="245" t="n">
        <x:f>X100*D100</x:f>
        <x:v>0.029657317080678754</x:v>
      </x:c>
      <x:c r="AA100" s="245" t="n">
        <x:f>X100*E100</x:f>
        <x:v>0.029657317080678754</x:v>
      </x:c>
      <x:c r="AB100" s="245" t="n">
        <x:f>X100</x:f>
        <x:v>0.029657317080678754</x:v>
      </x:c>
      <x:c r="AC100" s="245" t="n">
        <x:f>Y100*D100</x:f>
        <x:v>-0.05143896718416737</x:v>
      </x:c>
      <x:c r="AD100" s="245" t="n">
        <x:f>Y100*E100</x:f>
        <x:v>-0.05143896718416737</x:v>
      </x:c>
      <x:c r="AE100" s="245" t="n">
        <x:f>Y100</x:f>
        <x:v>-0.05143896718416737</x:v>
      </x:c>
      <x:c r="AF100" s="245" t="n">
        <x:f>W100*Q100</x:f>
        <x:v>0.024777962361897665</x:v>
      </x:c>
      <x:c r="AG100" s="245" t="n">
        <x:f>W100*S100</x:f>
        <x:v>0.08586190032029871</x:v>
      </x:c>
      <x:c r="AH100" s="245" t="n">
        <x:f>W100</x:f>
        <x:v>0.13632012233830462</x:v>
      </x:c>
      <x:c r="AI100" s="246" t="n">
        <x:f>G100-$B$4*Z100</x:f>
        <x:v>1.2356532734299297</x:v>
      </x:c>
      <x:c r="AJ100" s="246" t="n">
        <x:f>H100-$B$4*AA100</x:f>
        <x:v>-1.5936083278045126</x:v>
      </x:c>
      <x:c r="AK100" s="246" t="n">
        <x:f>I100-$B$4*AB100</x:f>
        <x:v>-1.235464889000509</x:v>
      </x:c>
      <x:c r="AL100" s="246" t="n">
        <x:f>J100-$B$4*AC100</x:f>
        <x:v>1.014591122044931</x:v>
      </x:c>
      <x:c r="AM100" s="246" t="n">
        <x:f>K100-$B$4*AD100</x:f>
        <x:v>-1.6583031455031312</x:v>
      </x:c>
      <x:c r="AN100" s="246" t="n">
        <x:f>L100-$B$4*AE100</x:f>
        <x:v>1.3296234132213502</x:v>
      </x:c>
      <x:c r="AO100" s="246" t="n">
        <x:f>M100-$B$4*AF100</x:f>
        <x:v>1.4380295718656604</x:v>
      </x:c>
      <x:c r="AP100" s="246" t="n">
        <x:f>N100-$B$4*AG100</x:f>
        <x:v>-1.7043882259917904</x:v>
      </x:c>
      <x:c r="AQ100" s="246" t="n">
        <x:f>O100-$B$4*AH100</x:f>
        <x:v>0.8220134091155402</x:v>
      </x:c>
      <x:c r="AR100" s="182" t="n">
        <x:f>IF(U100&gt;=$B$5,1,0)</x:f>
        <x:v>1</x:v>
      </x:c>
      <x:c r="AS100" s="182" t="n">
        <x:f>IF(AR100=F100,1,0)</x:f>
        <x:v>0</x:v>
      </x:c>
      <x:c r="AT100" s="252" t="n">
        <x:f>ABS(F100-U100)</x:f>
        <x:v>0.5510171212400194</x:v>
      </x:c>
    </x:row>
    <x:row r="101">
      <x:c r="A101" s="114" t="n">
        <x:v>85</x:v>
      </x:c>
      <x:c r="B101" s="114" t="n">
        <x:v>22</x:v>
      </x:c>
      <x:c r="C101" s="114" t="n">
        <x:v>1</x:v>
      </x:c>
      <x:c r="D101" s="168" t="n">
        <x:f>$I$5</x:f>
        <x:v>0</x:v>
      </x:c>
      <x:c r="E101" s="168" t="n">
        <x:f>$J$5</x:f>
        <x:v>0</x:v>
      </x:c>
      <x:c r="F101" s="168" t="n">
        <x:f>$K$5</x:f>
        <x:v>0</x:v>
      </x:c>
      <x:c r="G101" s="242" t="n">
        <x:f>AI100</x:f>
        <x:v>1.2356532734299297</x:v>
      </x:c>
      <x:c r="H101" s="242" t="n">
        <x:f>AJ100</x:f>
        <x:v>-1.5936083278045126</x:v>
      </x:c>
      <x:c r="I101" s="242" t="n">
        <x:f>AK100</x:f>
        <x:v>-1.235464889000509</x:v>
      </x:c>
      <x:c r="J101" s="242" t="n">
        <x:f>AL100</x:f>
        <x:v>1.014591122044931</x:v>
      </x:c>
      <x:c r="K101" s="242" t="n">
        <x:f>AM100</x:f>
        <x:v>-1.6583031455031312</x:v>
      </x:c>
      <x:c r="L101" s="242" t="n">
        <x:f>AN100</x:f>
        <x:v>1.3296234132213502</x:v>
      </x:c>
      <x:c r="M101" s="242" t="n">
        <x:f>AO100</x:f>
        <x:v>1.4380295718656604</x:v>
      </x:c>
      <x:c r="N101" s="242" t="n">
        <x:f>AP100</x:f>
        <x:v>-1.7043882259917904</x:v>
      </x:c>
      <x:c r="O101" s="242" t="n">
        <x:f>AQ100</x:f>
        <x:v>0.8220134091155402</x:v>
      </x:c>
      <x:c r="P101" s="243" t="n">
        <x:f>D101*G101+E101*H101+I101</x:f>
        <x:v>-1.235464889000509</x:v>
      </x:c>
      <x:c r="Q101" s="243" t="n">
        <x:f>1/(1+EXP(-P101))</x:f>
        <x:v>0.22522637384570343</x:v>
      </x:c>
      <x:c r="R101" s="243" t="n">
        <x:f>D101*J101+E101*K101+L101</x:f>
        <x:v>1.3296234132213502</x:v>
      </x:c>
      <x:c r="S101" s="243" t="n">
        <x:f>1/(1+EXP(-R101))</x:f>
        <x:v>0.7907783360955729</x:v>
      </x:c>
      <x:c r="T101" s="243" t="n">
        <x:f>Q101*M101+S101*N101+O101</x:f>
        <x:v>-0.20189769034094107</x:v>
      </x:c>
      <x:c r="U101" s="243" t="n">
        <x:f>1/(1+EXP(-T101))</x:f>
        <x:v>0.44969633743521753</x:v>
      </x:c>
      <x:c r="V101" s="243" t="n">
        <x:f>0.5*(F101-U101)^2</x:f>
        <x:v>0.10111339795132451</x:v>
      </x:c>
      <x:c r="W101" s="244" t="n">
        <x:f>(U101-F101)*U101*(1-U101)</x:f>
        <x:v>0.1112861464539685</x:v>
      </x:c>
      <x:c r="X101" s="244" t="n">
        <x:f>W101*M101*Q101*(1-Q101)</x:f>
        <x:v>0.0279256309660145</x:v>
      </x:c>
      <x:c r="Y101" s="244" t="n">
        <x:f>W101*N101*S101*(1-S101)</x:f>
        <x:v>-0.03138130820736009</x:v>
      </x:c>
      <x:c r="Z101" s="245" t="n">
        <x:f>X101*D101</x:f>
        <x:v>0</x:v>
      </x:c>
      <x:c r="AA101" s="245" t="n">
        <x:f>X101*E101</x:f>
        <x:v>0</x:v>
      </x:c>
      <x:c r="AB101" s="245" t="n">
        <x:f>X101</x:f>
        <x:v>0.0279256309660145</x:v>
      </x:c>
      <x:c r="AC101" s="245" t="n">
        <x:f>Y101*D101</x:f>
        <x:v>0</x:v>
      </x:c>
      <x:c r="AD101" s="245" t="n">
        <x:f>Y101*E101</x:f>
        <x:v>0</x:v>
      </x:c>
      <x:c r="AE101" s="245" t="n">
        <x:f>Y101</x:f>
        <x:v>-0.03138130820736009</x:v>
      </x:c>
      <x:c r="AF101" s="245" t="n">
        <x:f>W101*Q101</x:f>
        <x:v>0.025064575225089213</x:v>
      </x:c>
      <x:c r="AG101" s="245" t="n">
        <x:f>W101*S101</x:f>
        <x:v>0.08800267372335746</x:v>
      </x:c>
      <x:c r="AH101" s="245" t="n">
        <x:f>W101</x:f>
        <x:v>0.1112861464539685</x:v>
      </x:c>
      <x:c r="AI101" s="246" t="n">
        <x:f>G101-$B$4*Z101</x:f>
        <x:v>1.2356532734299297</x:v>
      </x:c>
      <x:c r="AJ101" s="246" t="n">
        <x:f>H101-$B$4*AA101</x:f>
        <x:v>-1.5936083278045126</x:v>
      </x:c>
      <x:c r="AK101" s="246" t="n">
        <x:f>I101-$B$4*AB101</x:f>
        <x:v>-1.2633905199665236</x:v>
      </x:c>
      <x:c r="AL101" s="246" t="n">
        <x:f>J101-$B$4*AC101</x:f>
        <x:v>1.014591122044931</x:v>
      </x:c>
      <x:c r="AM101" s="246" t="n">
        <x:f>K101-$B$4*AD101</x:f>
        <x:v>-1.6583031455031312</x:v>
      </x:c>
      <x:c r="AN101" s="246" t="n">
        <x:f>L101-$B$4*AE101</x:f>
        <x:v>1.3610047214287104</x:v>
      </x:c>
      <x:c r="AO101" s="246" t="n">
        <x:f>M101-$B$4*AF101</x:f>
        <x:v>1.412964996640571</x:v>
      </x:c>
      <x:c r="AP101" s="246" t="n">
        <x:f>N101-$B$4*AG101</x:f>
        <x:v>-1.7923908997151479</x:v>
      </x:c>
      <x:c r="AQ101" s="246" t="n">
        <x:f>O101-$B$4*AH101</x:f>
        <x:v>0.7107272626615717</x:v>
      </x:c>
      <x:c r="AR101" s="182" t="n">
        <x:f>IF(U101&gt;=$B$5,1,0)</x:f>
        <x:v>0</x:v>
      </x:c>
      <x:c r="AS101" s="182" t="n">
        <x:f>IF(AR101=F101,1,0)</x:f>
        <x:v>1</x:v>
      </x:c>
      <x:c r="AT101" s="252" t="n">
        <x:f>ABS(F101-U101)</x:f>
        <x:v>0.44969633743521753</x:v>
      </x:c>
    </x:row>
    <x:row r="102">
      <x:c r="A102" s="114" t="n">
        <x:v>86</x:v>
      </x:c>
      <x:c r="B102" s="114" t="n">
        <x:v>22</x:v>
      </x:c>
      <x:c r="C102" s="114" t="n">
        <x:v>2</x:v>
      </x:c>
      <x:c r="D102" s="168" t="n">
        <x:f>$I$6</x:f>
        <x:v>0</x:v>
      </x:c>
      <x:c r="E102" s="168" t="n">
        <x:f>$J$6</x:f>
        <x:v>1</x:v>
      </x:c>
      <x:c r="F102" s="168" t="n">
        <x:f>$K$6</x:f>
        <x:v>1</x:v>
      </x:c>
      <x:c r="G102" s="242" t="n">
        <x:f>AI101</x:f>
        <x:v>1.2356532734299297</x:v>
      </x:c>
      <x:c r="H102" s="242" t="n">
        <x:f>AJ101</x:f>
        <x:v>-1.5936083278045126</x:v>
      </x:c>
      <x:c r="I102" s="242" t="n">
        <x:f>AK101</x:f>
        <x:v>-1.2633905199665236</x:v>
      </x:c>
      <x:c r="J102" s="242" t="n">
        <x:f>AL101</x:f>
        <x:v>1.014591122044931</x:v>
      </x:c>
      <x:c r="K102" s="242" t="n">
        <x:f>AM101</x:f>
        <x:v>-1.6583031455031312</x:v>
      </x:c>
      <x:c r="L102" s="242" t="n">
        <x:f>AN101</x:f>
        <x:v>1.3610047214287104</x:v>
      </x:c>
      <x:c r="M102" s="242" t="n">
        <x:f>AO101</x:f>
        <x:v>1.412964996640571</x:v>
      </x:c>
      <x:c r="N102" s="242" t="n">
        <x:f>AP101</x:f>
        <x:v>-1.7923908997151479</x:v>
      </x:c>
      <x:c r="O102" s="242" t="n">
        <x:f>AQ101</x:f>
        <x:v>0.7107272626615717</x:v>
      </x:c>
      <x:c r="P102" s="243" t="n">
        <x:f>D102*G102+E102*H102+I102</x:f>
        <x:v>-2.8569988477710364</x:v>
      </x:c>
      <x:c r="Q102" s="243" t="n">
        <x:f>1/(1+EXP(-P102))</x:f>
        <x:v>0.05432066340905237</x:v>
      </x:c>
      <x:c r="R102" s="243" t="n">
        <x:f>D102*J102+E102*K102+L102</x:f>
        <x:v>-0.29729842407442075</x:v>
      </x:c>
      <x:c r="S102" s="243" t="n">
        <x:f>1/(1+EXP(-R102))</x:f>
        <x:v>0.4262180383218942</x:v>
      </x:c>
      <x:c r="T102" s="243" t="n">
        <x:f>Q102*M102+S102*N102+O102</x:f>
        <x:v>0.023531125470251713</x:v>
      </x:c>
      <x:c r="U102" s="243" t="n">
        <x:f>1/(1+EXP(-T102))</x:f>
        <x:v>0.5058825099344582</x:v>
      </x:c>
      <x:c r="V102" s="243" t="n">
        <x:f>0.5*(F102-U102)^2</x:f>
        <x:v>0.12207604699433543</x:v>
      </x:c>
      <x:c r="W102" s="244" t="n">
        <x:f>(U102-F102)*U102*(1-U102)</x:f>
        <x:v>-0.12351227411274253</x:v>
      </x:c>
      <x:c r="X102" s="244" t="n">
        <x:f>W102*M102*Q102*(1-Q102)</x:f>
        <x:v>-0.008965003969197423</x:v>
      </x:c>
      <x:c r="Y102" s="244" t="n">
        <x:f>W102*N102*S102*(1-S102)</x:f>
        <x:v>0.054140413095339096</x:v>
      </x:c>
      <x:c r="Z102" s="245" t="n">
        <x:f>X102*D102</x:f>
        <x:v>0</x:v>
      </x:c>
      <x:c r="AA102" s="245" t="n">
        <x:f>X102*E102</x:f>
        <x:v>-0.008965003969197423</x:v>
      </x:c>
      <x:c r="AB102" s="245" t="n">
        <x:f>X102</x:f>
        <x:v>-0.008965003969197423</x:v>
      </x:c>
      <x:c r="AC102" s="245" t="n">
        <x:f>Y102*D102</x:f>
        <x:v>0</x:v>
      </x:c>
      <x:c r="AD102" s="245" t="n">
        <x:f>Y102*E102</x:f>
        <x:v>0.054140413095339096</x:v>
      </x:c>
      <x:c r="AE102" s="245" t="n">
        <x:f>Y102</x:f>
        <x:v>0.054140413095339096</x:v>
      </x:c>
      <x:c r="AF102" s="245" t="n">
        <x:f>W102*Q102</x:f>
        <x:v>-0.006709268668964899</x:v>
      </x:c>
      <x:c r="AG102" s="245" t="n">
        <x:f>W102*S102</x:f>
        <x:v>-0.052643159181009196</x:v>
      </x:c>
      <x:c r="AH102" s="245" t="n">
        <x:f>W102</x:f>
        <x:v>-0.12351227411274253</x:v>
      </x:c>
      <x:c r="AI102" s="246" t="n">
        <x:f>G102-$B$4*Z102</x:f>
        <x:v>1.2356532734299297</x:v>
      </x:c>
      <x:c r="AJ102" s="246" t="n">
        <x:f>H102-$B$4*AA102</x:f>
        <x:v>-1.584643323835315</x:v>
      </x:c>
      <x:c r="AK102" s="246" t="n">
        <x:f>I102-$B$4*AB102</x:f>
        <x:v>-1.254425515997326</x:v>
      </x:c>
      <x:c r="AL102" s="246" t="n">
        <x:f>J102-$B$4*AC102</x:f>
        <x:v>1.014591122044931</x:v>
      </x:c>
      <x:c r="AM102" s="246" t="n">
        <x:f>K102-$B$4*AD102</x:f>
        <x:v>-1.7124435585984703</x:v>
      </x:c>
      <x:c r="AN102" s="246" t="n">
        <x:f>L102-$B$4*AE102</x:f>
        <x:v>1.3068643083333713</x:v>
      </x:c>
      <x:c r="AO102" s="246" t="n">
        <x:f>M102-$B$4*AF102</x:f>
        <x:v>1.419674265309536</x:v>
      </x:c>
      <x:c r="AP102" s="246" t="n">
        <x:f>N102-$B$4*AG102</x:f>
        <x:v>-1.7397477405341386</x:v>
      </x:c>
      <x:c r="AQ102" s="246" t="n">
        <x:f>O102-$B$4*AH102</x:f>
        <x:v>0.8342395367743143</x:v>
      </x:c>
      <x:c r="AR102" s="182" t="n">
        <x:f>IF(U102&gt;=$B$5,1,0)</x:f>
        <x:v>1</x:v>
      </x:c>
      <x:c r="AS102" s="182" t="n">
        <x:f>IF(AR102=F102,1,0)</x:f>
        <x:v>1</x:v>
      </x:c>
      <x:c r="AT102" s="252" t="n">
        <x:f>ABS(F102-U102)</x:f>
        <x:v>0.49411749006554184</x:v>
      </x:c>
    </x:row>
    <x:row r="103">
      <x:c r="A103" s="114" t="n">
        <x:v>87</x:v>
      </x:c>
      <x:c r="B103" s="114" t="n">
        <x:v>22</x:v>
      </x:c>
      <x:c r="C103" s="114" t="n">
        <x:v>3</x:v>
      </x:c>
      <x:c r="D103" s="168" t="n">
        <x:f>$I$7</x:f>
        <x:v>1</x:v>
      </x:c>
      <x:c r="E103" s="168" t="n">
        <x:f>$J$7</x:f>
        <x:v>0</x:v>
      </x:c>
      <x:c r="F103" s="168" t="n">
        <x:f>$K$7</x:f>
        <x:v>1</x:v>
      </x:c>
      <x:c r="G103" s="242" t="n">
        <x:f>AI102</x:f>
        <x:v>1.2356532734299297</x:v>
      </x:c>
      <x:c r="H103" s="242" t="n">
        <x:f>AJ102</x:f>
        <x:v>-1.584643323835315</x:v>
      </x:c>
      <x:c r="I103" s="242" t="n">
        <x:f>AK102</x:f>
        <x:v>-1.254425515997326</x:v>
      </x:c>
      <x:c r="J103" s="242" t="n">
        <x:f>AL102</x:f>
        <x:v>1.014591122044931</x:v>
      </x:c>
      <x:c r="K103" s="242" t="n">
        <x:f>AM102</x:f>
        <x:v>-1.7124435585984703</x:v>
      </x:c>
      <x:c r="L103" s="242" t="n">
        <x:f>AN102</x:f>
        <x:v>1.3068643083333713</x:v>
      </x:c>
      <x:c r="M103" s="242" t="n">
        <x:f>AO102</x:f>
        <x:v>1.419674265309536</x:v>
      </x:c>
      <x:c r="N103" s="242" t="n">
        <x:f>AP102</x:f>
        <x:v>-1.7397477405341386</x:v>
      </x:c>
      <x:c r="O103" s="242" t="n">
        <x:f>AQ102</x:f>
        <x:v>0.8342395367743143</x:v>
      </x:c>
      <x:c r="P103" s="243" t="n">
        <x:f>D103*G103+E103*H103+I103</x:f>
        <x:v>-0.018772242567396402</x:v>
      </x:c>
      <x:c r="Q103" s="243" t="n">
        <x:f>1/(1+EXP(-P103))</x:f>
        <x:v>0.49530707717170425</x:v>
      </x:c>
      <x:c r="R103" s="243" t="n">
        <x:f>D103*J103+E103*K103+L103</x:f>
        <x:v>2.321455430378302</x:v>
      </x:c>
      <x:c r="S103" s="243" t="n">
        <x:f>1/(1+EXP(-R103))</x:f>
        <x:v>0.9106384486688024</x:v>
      </x:c>
      <x:c r="T103" s="243" t="n">
        <x:f>Q103*M103+S103*N103+O103</x:f>
        <x:v>-0.04686693585439494</x:v>
      </x:c>
      <x:c r="U103" s="243" t="n">
        <x:f>1/(1+EXP(-T103))</x:f>
        <x:v>0.48828541022538985</x:v>
      </x:c>
      <x:c r="V103" s="243" t="n">
        <x:f>0.5*(F103-U103)^2</x:f>
        <x:v>0.13092591069409878</x:v>
      </x:c>
      <x:c r="W103" s="244" t="n">
        <x:f>(U103-F103)*U103*(1-U103)</x:f>
        <x:v>-0.12785842402480155</x:v>
      </x:c>
      <x:c r="X103" s="244" t="n">
        <x:f>W103*M103*Q103*(1-Q103)</x:f>
        <x:v>-0.04537533089671377</x:v>
      </x:c>
      <x:c r="Y103" s="244" t="n">
        <x:f>W103*N103*S103*(1-S103)</x:f>
        <x:v>0.018101406058639285</x:v>
      </x:c>
      <x:c r="Z103" s="245" t="n">
        <x:f>X103*D103</x:f>
        <x:v>-0.04537533089671377</x:v>
      </x:c>
      <x:c r="AA103" s="245" t="n">
        <x:f>X103*E103</x:f>
        <x:v>0</x:v>
      </x:c>
      <x:c r="AB103" s="245" t="n">
        <x:f>X103</x:f>
        <x:v>-0.04537533089671377</x:v>
      </x:c>
      <x:c r="AC103" s="245" t="n">
        <x:f>Y103*D103</x:f>
        <x:v>0.018101406058639285</x:v>
      </x:c>
      <x:c r="AD103" s="245" t="n">
        <x:f>Y103*E103</x:f>
        <x:v>0</x:v>
      </x:c>
      <x:c r="AE103" s="245" t="n">
        <x:f>Y103</x:f>
        <x:v>0.018101406058639285</x:v>
      </x:c>
      <x:c r="AF103" s="245" t="n">
        <x:f>W103*Q103</x:f>
        <x:v>-0.06332918229550487</x:v>
      </x:c>
      <x:c r="AG103" s="245" t="n">
        <x:f>W103*S103</x:f>
        <x:v>-0.11643279690318321</x:v>
      </x:c>
      <x:c r="AH103" s="245" t="n">
        <x:f>W103</x:f>
        <x:v>-0.12785842402480155</x:v>
      </x:c>
      <x:c r="AI103" s="246" t="n">
        <x:f>G103-$B$4*Z103</x:f>
        <x:v>1.2810286043266434</x:v>
      </x:c>
      <x:c r="AJ103" s="246" t="n">
        <x:f>H103-$B$4*AA103</x:f>
        <x:v>-1.584643323835315</x:v>
      </x:c>
      <x:c r="AK103" s="246" t="n">
        <x:f>I103-$B$4*AB103</x:f>
        <x:v>-1.2090501851006124</x:v>
      </x:c>
      <x:c r="AL103" s="246" t="n">
        <x:f>J103-$B$4*AC103</x:f>
        <x:v>0.9964897159862918</x:v>
      </x:c>
      <x:c r="AM103" s="246" t="n">
        <x:f>K103-$B$4*AD103</x:f>
        <x:v>-1.7124435585984703</x:v>
      </x:c>
      <x:c r="AN103" s="246" t="n">
        <x:f>L103-$B$4*AE103</x:f>
        <x:v>1.288762902274732</x:v>
      </x:c>
      <x:c r="AO103" s="246" t="n">
        <x:f>M103-$B$4*AF103</x:f>
        <x:v>1.4830034476050409</x:v>
      </x:c>
      <x:c r="AP103" s="246" t="n">
        <x:f>N103-$B$4*AG103</x:f>
        <x:v>-1.6233149436309553</x:v>
      </x:c>
      <x:c r="AQ103" s="246" t="n">
        <x:f>O103-$B$4*AH103</x:f>
        <x:v>0.9620979607991158</x:v>
      </x:c>
      <x:c r="AR103" s="182" t="n">
        <x:f>IF(U103&gt;=$B$5,1,0)</x:f>
        <x:v>0</x:v>
      </x:c>
      <x:c r="AS103" s="182" t="n">
        <x:f>IF(AR103=F103,1,0)</x:f>
        <x:v>0</x:v>
      </x:c>
      <x:c r="AT103" s="252" t="n">
        <x:f>ABS(F103-U103)</x:f>
        <x:v>0.5117145897746102</x:v>
      </x:c>
    </x:row>
    <x:row r="104">
      <x:c r="A104" s="114" t="n">
        <x:v>88</x:v>
      </x:c>
      <x:c r="B104" s="114" t="n">
        <x:v>22</x:v>
      </x:c>
      <x:c r="C104" s="114" t="n">
        <x:v>4</x:v>
      </x:c>
      <x:c r="D104" s="168" t="n">
        <x:f>$I$8</x:f>
        <x:v>1</x:v>
      </x:c>
      <x:c r="E104" s="168" t="n">
        <x:f>$J$8</x:f>
        <x:v>1</x:v>
      </x:c>
      <x:c r="F104" s="168" t="n">
        <x:f>$K$8</x:f>
        <x:v>0</x:v>
      </x:c>
      <x:c r="G104" s="242" t="n">
        <x:f>AI103</x:f>
        <x:v>1.2810286043266434</x:v>
      </x:c>
      <x:c r="H104" s="242" t="n">
        <x:f>AJ103</x:f>
        <x:v>-1.584643323835315</x:v>
      </x:c>
      <x:c r="I104" s="242" t="n">
        <x:f>AK103</x:f>
        <x:v>-1.2090501851006124</x:v>
      </x:c>
      <x:c r="J104" s="242" t="n">
        <x:f>AL103</x:f>
        <x:v>0.9964897159862918</x:v>
      </x:c>
      <x:c r="K104" s="242" t="n">
        <x:f>AM103</x:f>
        <x:v>-1.7124435585984703</x:v>
      </x:c>
      <x:c r="L104" s="242" t="n">
        <x:f>AN103</x:f>
        <x:v>1.288762902274732</x:v>
      </x:c>
      <x:c r="M104" s="242" t="n">
        <x:f>AO103</x:f>
        <x:v>1.4830034476050409</x:v>
      </x:c>
      <x:c r="N104" s="242" t="n">
        <x:f>AP103</x:f>
        <x:v>-1.6233149436309553</x:v>
      </x:c>
      <x:c r="O104" s="242" t="n">
        <x:f>AQ103</x:f>
        <x:v>0.9620979607991158</x:v>
      </x:c>
      <x:c r="P104" s="243" t="n">
        <x:f>D104*G104+E104*H104+I104</x:f>
        <x:v>-1.512664904609284</x:v>
      </x:c>
      <x:c r="Q104" s="243" t="n">
        <x:f>1/(1+EXP(-P104))</x:f>
        <x:v>0.18054419018387252</x:v>
      </x:c>
      <x:c r="R104" s="243" t="n">
        <x:f>D104*J104+E104*K104+L104</x:f>
        <x:v>0.5728090596625535</x:v>
      </x:c>
      <x:c r="S104" s="243" t="n">
        <x:f>1/(1+EXP(-R104))</x:f>
        <x:v>0.6394110980235921</x:v>
      </x:c>
      <x:c r="T104" s="243" t="n">
        <x:f>Q104*M104+S104*N104+O104</x:f>
        <x:v>0.19188002674168436</x:v>
      </x:c>
      <x:c r="U104" s="243" t="n">
        <x:f>1/(1+EXP(-T104))</x:f>
        <x:v>0.5478233668053656</x:v>
      </x:c>
      <x:c r="V104" s="243" t="n">
        <x:f>0.5*(F104-U104)^2</x:f>
        <x:v>0.15005522060898308</x:v>
      </x:c>
      <x:c r="W104" s="244" t="n">
        <x:f>(U104-F104)*U104*(1-U104)</x:f>
        <x:v>0.13570292889649618</x:v>
      </x:c>
      <x:c r="X104" s="244" t="n">
        <x:f>W104*M104*Q104*(1-Q104)</x:f>
        <x:v>0.02977422309328361</x:v>
      </x:c>
      <x:c r="Y104" s="244" t="n">
        <x:f>W104*N104*S104*(1-S104)</x:f>
        <x:v>-0.05079073923372437</x:v>
      </x:c>
      <x:c r="Z104" s="245" t="n">
        <x:f>X104*D104</x:f>
        <x:v>0.02977422309328361</x:v>
      </x:c>
      <x:c r="AA104" s="245" t="n">
        <x:f>X104*E104</x:f>
        <x:v>0.02977422309328361</x:v>
      </x:c>
      <x:c r="AB104" s="245" t="n">
        <x:f>X104</x:f>
        <x:v>0.02977422309328361</x:v>
      </x:c>
      <x:c r="AC104" s="245" t="n">
        <x:f>Y104*D104</x:f>
        <x:v>-0.05079073923372437</x:v>
      </x:c>
      <x:c r="AD104" s="245" t="n">
        <x:f>Y104*E104</x:f>
        <x:v>-0.05079073923372437</x:v>
      </x:c>
      <x:c r="AE104" s="245" t="n">
        <x:f>Y104</x:f>
        <x:v>-0.05079073923372437</x:v>
      </x:c>
      <x:c r="AF104" s="245" t="n">
        <x:f>W104*Q104</x:f>
        <x:v>0.024500375403197536</x:v>
      </x:c>
      <x:c r="AG104" s="245" t="n">
        <x:f>W104*S104</x:f>
        <x:v>0.08676995877072607</x:v>
      </x:c>
      <x:c r="AH104" s="245" t="n">
        <x:f>W104</x:f>
        <x:v>0.13570292889649618</x:v>
      </x:c>
      <x:c r="AI104" s="246" t="n">
        <x:f>G104-$B$4*Z104</x:f>
        <x:v>1.2512543812333599</x:v>
      </x:c>
      <x:c r="AJ104" s="246" t="n">
        <x:f>H104-$B$4*AA104</x:f>
        <x:v>-1.6144175469285986</x:v>
      </x:c>
      <x:c r="AK104" s="246" t="n">
        <x:f>I104-$B$4*AB104</x:f>
        <x:v>-1.238824408193896</x:v>
      </x:c>
      <x:c r="AL104" s="246" t="n">
        <x:f>J104-$B$4*AC104</x:f>
        <x:v>1.0472804552200161</x:v>
      </x:c>
      <x:c r="AM104" s="246" t="n">
        <x:f>K104-$B$4*AD104</x:f>
        <x:v>-1.661652819364746</x:v>
      </x:c>
      <x:c r="AN104" s="246" t="n">
        <x:f>L104-$B$4*AE104</x:f>
        <x:v>1.3395536415084563</x:v>
      </x:c>
      <x:c r="AO104" s="246" t="n">
        <x:f>M104-$B$4*AF104</x:f>
        <x:v>1.4585030722018433</x:v>
      </x:c>
      <x:c r="AP104" s="246" t="n">
        <x:f>N104-$B$4*AG104</x:f>
        <x:v>-1.7100849024016813</x:v>
      </x:c>
      <x:c r="AQ104" s="246" t="n">
        <x:f>O104-$B$4*AH104</x:f>
        <x:v>0.8263950319026196</x:v>
      </x:c>
      <x:c r="AR104" s="182" t="n">
        <x:f>IF(U104&gt;=$B$5,1,0)</x:f>
        <x:v>1</x:v>
      </x:c>
      <x:c r="AS104" s="182" t="n">
        <x:f>IF(AR104=F104,1,0)</x:f>
        <x:v>0</x:v>
      </x:c>
      <x:c r="AT104" s="252" t="n">
        <x:f>ABS(F104-U104)</x:f>
        <x:v>0.5478233668053656</x:v>
      </x:c>
    </x:row>
    <x:row r="105">
      <x:c r="A105" s="114" t="n">
        <x:v>89</x:v>
      </x:c>
      <x:c r="B105" s="114" t="n">
        <x:v>23</x:v>
      </x:c>
      <x:c r="C105" s="114" t="n">
        <x:v>1</x:v>
      </x:c>
      <x:c r="D105" s="168" t="n">
        <x:f>$I$5</x:f>
        <x:v>0</x:v>
      </x:c>
      <x:c r="E105" s="168" t="n">
        <x:f>$J$5</x:f>
        <x:v>0</x:v>
      </x:c>
      <x:c r="F105" s="168" t="n">
        <x:f>$K$5</x:f>
        <x:v>0</x:v>
      </x:c>
      <x:c r="G105" s="242" t="n">
        <x:f>AI104</x:f>
        <x:v>1.2512543812333599</x:v>
      </x:c>
      <x:c r="H105" s="242" t="n">
        <x:f>AJ104</x:f>
        <x:v>-1.6144175469285986</x:v>
      </x:c>
      <x:c r="I105" s="242" t="n">
        <x:f>AK104</x:f>
        <x:v>-1.238824408193896</x:v>
      </x:c>
      <x:c r="J105" s="242" t="n">
        <x:f>AL104</x:f>
        <x:v>1.0472804552200161</x:v>
      </x:c>
      <x:c r="K105" s="242" t="n">
        <x:f>AM104</x:f>
        <x:v>-1.661652819364746</x:v>
      </x:c>
      <x:c r="L105" s="242" t="n">
        <x:f>AN104</x:f>
        <x:v>1.3395536415084563</x:v>
      </x:c>
      <x:c r="M105" s="242" t="n">
        <x:f>AO104</x:f>
        <x:v>1.4585030722018433</x:v>
      </x:c>
      <x:c r="N105" s="242" t="n">
        <x:f>AP104</x:f>
        <x:v>-1.7100849024016813</x:v>
      </x:c>
      <x:c r="O105" s="242" t="n">
        <x:f>AQ104</x:f>
        <x:v>0.8263950319026196</x:v>
      </x:c>
      <x:c r="P105" s="243" t="n">
        <x:f>D105*G105+E105*H105+I105</x:f>
        <x:v>-1.238824408193896</x:v>
      </x:c>
      <x:c r="Q105" s="243" t="n">
        <x:f>1/(1+EXP(-P105))</x:f>
        <x:v>0.22464068078789426</x:v>
      </x:c>
      <x:c r="R105" s="243" t="n">
        <x:f>D105*J105+E105*K105+L105</x:f>
        <x:v>1.3395536415084563</x:v>
      </x:c>
      <x:c r="S105" s="243" t="n">
        <x:f>1/(1+EXP(-R105))</x:f>
        <x:v>0.7924165283664754</x:v>
      </x:c>
      <x:c r="T105" s="243" t="n">
        <x:f>Q105*M105+S105*N105+O105</x:f>
        <x:v>-0.201065386599786</x:v>
      </x:c>
      <x:c r="U105" s="243" t="n">
        <x:f>1/(1+EXP(-T105))</x:f>
        <x:v>0.4499023158724565</x:v>
      </x:c>
      <x:c r="V105" s="243" t="n">
        <x:f>0.5*(F105-U105)^2</x:f>
        <x:v>0.1012060469136998</x:v>
      </x:c>
      <x:c r="W105" s="244" t="n">
        <x:f>(U105-F105)*U105*(1-U105)</x:f>
        <x:v>0.11134642405385958</x:v>
      </x:c>
      <x:c r="X105" s="244" t="n">
        <x:f>W105*M105*Q105*(1-Q105)</x:f>
        <x:v>0.028286228152874904</x:v>
      </x:c>
      <x:c r="Y105" s="244" t="n">
        <x:f>W105*N105*S105*(1-S105)</x:f>
        <x:v>-0.03132133345784537</x:v>
      </x:c>
      <x:c r="Z105" s="245" t="n">
        <x:f>X105*D105</x:f>
        <x:v>0</x:v>
      </x:c>
      <x:c r="AA105" s="245" t="n">
        <x:f>X105*E105</x:f>
        <x:v>0</x:v>
      </x:c>
      <x:c r="AB105" s="245" t="n">
        <x:f>X105</x:f>
        <x:v>0.028286228152874904</x:v>
      </x:c>
      <x:c r="AC105" s="245" t="n">
        <x:f>Y105*D105</x:f>
        <x:v>0</x:v>
      </x:c>
      <x:c r="AD105" s="245" t="n">
        <x:f>Y105*E105</x:f>
        <x:v>0</x:v>
      </x:c>
      <x:c r="AE105" s="245" t="n">
        <x:f>Y105</x:f>
        <x:v>-0.03132133345784537</x:v>
      </x:c>
      <x:c r="AF105" s="245" t="n">
        <x:f>W105*Q105</x:f>
        <x:v>0.025012936502756582</x:v>
      </x:c>
      <x:c r="AG105" s="245" t="n">
        <x:f>W105*S105</x:f>
        <x:v>0.08823274679478081</x:v>
      </x:c>
      <x:c r="AH105" s="245" t="n">
        <x:f>W105</x:f>
        <x:v>0.11134642405385958</x:v>
      </x:c>
      <x:c r="AI105" s="246" t="n">
        <x:f>G105-$B$4*Z105</x:f>
        <x:v>1.2512543812333599</x:v>
      </x:c>
      <x:c r="AJ105" s="246" t="n">
        <x:f>H105-$B$4*AA105</x:f>
        <x:v>-1.6144175469285986</x:v>
      </x:c>
      <x:c r="AK105" s="246" t="n">
        <x:f>I105-$B$4*AB105</x:f>
        <x:v>-1.2671106363467708</x:v>
      </x:c>
      <x:c r="AL105" s="246" t="n">
        <x:f>J105-$B$4*AC105</x:f>
        <x:v>1.0472804552200161</x:v>
      </x:c>
      <x:c r="AM105" s="246" t="n">
        <x:f>K105-$B$4*AD105</x:f>
        <x:v>-1.661652819364746</x:v>
      </x:c>
      <x:c r="AN105" s="246" t="n">
        <x:f>L105-$B$4*AE105</x:f>
        <x:v>1.3708749749663016</x:v>
      </x:c>
      <x:c r="AO105" s="246" t="n">
        <x:f>M105-$B$4*AF105</x:f>
        <x:v>1.4334901356990868</x:v>
      </x:c>
      <x:c r="AP105" s="246" t="n">
        <x:f>N105-$B$4*AG105</x:f>
        <x:v>-1.798317649196462</x:v>
      </x:c>
      <x:c r="AQ105" s="246" t="n">
        <x:f>O105-$B$4*AH105</x:f>
        <x:v>0.7150486078487601</x:v>
      </x:c>
      <x:c r="AR105" s="182" t="n">
        <x:f>IF(U105&gt;=$B$5,1,0)</x:f>
        <x:v>0</x:v>
      </x:c>
      <x:c r="AS105" s="182" t="n">
        <x:f>IF(AR105=F105,1,0)</x:f>
        <x:v>1</x:v>
      </x:c>
      <x:c r="AT105" s="252" t="n">
        <x:f>ABS(F105-U105)</x:f>
        <x:v>0.4499023158724565</x:v>
      </x:c>
    </x:row>
    <x:row r="106">
      <x:c r="A106" s="114" t="n">
        <x:v>90</x:v>
      </x:c>
      <x:c r="B106" s="114" t="n">
        <x:v>23</x:v>
      </x:c>
      <x:c r="C106" s="114" t="n">
        <x:v>2</x:v>
      </x:c>
      <x:c r="D106" s="168" t="n">
        <x:f>$I$6</x:f>
        <x:v>0</x:v>
      </x:c>
      <x:c r="E106" s="168" t="n">
        <x:f>$J$6</x:f>
        <x:v>1</x:v>
      </x:c>
      <x:c r="F106" s="168" t="n">
        <x:f>$K$6</x:f>
        <x:v>1</x:v>
      </x:c>
      <x:c r="G106" s="242" t="n">
        <x:f>AI105</x:f>
        <x:v>1.2512543812333599</x:v>
      </x:c>
      <x:c r="H106" s="242" t="n">
        <x:f>AJ105</x:f>
        <x:v>-1.6144175469285986</x:v>
      </x:c>
      <x:c r="I106" s="242" t="n">
        <x:f>AK105</x:f>
        <x:v>-1.2671106363467708</x:v>
      </x:c>
      <x:c r="J106" s="242" t="n">
        <x:f>AL105</x:f>
        <x:v>1.0472804552200161</x:v>
      </x:c>
      <x:c r="K106" s="242" t="n">
        <x:f>AM105</x:f>
        <x:v>-1.661652819364746</x:v>
      </x:c>
      <x:c r="L106" s="242" t="n">
        <x:f>AN105</x:f>
        <x:v>1.3708749749663016</x:v>
      </x:c>
      <x:c r="M106" s="242" t="n">
        <x:f>AO105</x:f>
        <x:v>1.4334901356990868</x:v>
      </x:c>
      <x:c r="N106" s="242" t="n">
        <x:f>AP105</x:f>
        <x:v>-1.798317649196462</x:v>
      </x:c>
      <x:c r="O106" s="242" t="n">
        <x:f>AQ105</x:f>
        <x:v>0.7150486078487601</x:v>
      </x:c>
      <x:c r="P106" s="243" t="n">
        <x:f>D106*G106+E106*H106+I106</x:f>
        <x:v>-2.8815281832753694</x:v>
      </x:c>
      <x:c r="Q106" s="243" t="n">
        <x:f>1/(1+EXP(-P106))</x:f>
        <x:v>0.053074281400972326</x:v>
      </x:c>
      <x:c r="R106" s="243" t="n">
        <x:f>D106*J106+E106*K106+L106</x:f>
        <x:v>-0.29077784439844434</x:v>
      </x:c>
      <x:c r="S106" s="243" t="n">
        <x:f>1/(1+EXP(-R106))</x:f>
        <x:v>0.427813448554473</x:v>
      </x:c>
      <x:c r="T106" s="243" t="n">
        <x:f>Q106*M106+S106*N106+O106</x:f>
        <x:v>0.0217855915972599</x:v>
      </x:c>
      <x:c r="U106" s="243" t="n">
        <x:f>1/(1+EXP(-T106))</x:f>
        <x:v>0.5054461824990543</x:v>
      </x:c>
      <x:c r="V106" s="243" t="n">
        <x:f>0.5*(F106-U106)^2</x:f>
        <x:v>0.12229173920237937</x:v>
      </x:c>
      <x:c r="W106" s="244" t="n">
        <x:f>(U106-F106)*U106*(1-U106)</x:f>
        <x:v>-0.12362378546202518</x:v>
      </x:c>
      <x:c r="X106" s="244" t="n">
        <x:f>W106*M106*Q106*(1-Q106)</x:f>
        <x:v>-0.008906288962986947</x:v>
      </x:c>
      <x:c r="Y106" s="244" t="n">
        <x:f>W106*N106*S106*(1-S106)</x:f>
        <x:v>0.05442024883720236</x:v>
      </x:c>
      <x:c r="Z106" s="245" t="n">
        <x:f>X106*D106</x:f>
        <x:v>0</x:v>
      </x:c>
      <x:c r="AA106" s="245" t="n">
        <x:f>X106*E106</x:f>
        <x:v>-0.008906288962986947</x:v>
      </x:c>
      <x:c r="AB106" s="245" t="n">
        <x:f>X106</x:f>
        <x:v>-0.008906288962986947</x:v>
      </x:c>
      <x:c r="AC106" s="245" t="n">
        <x:f>Y106*D106</x:f>
        <x:v>0</x:v>
      </x:c>
      <x:c r="AD106" s="245" t="n">
        <x:f>Y106*E106</x:f>
        <x:v>0.05442024883720236</x:v>
      </x:c>
      <x:c r="AE106" s="245" t="n">
        <x:f>Y106</x:f>
        <x:v>0.05442024883720236</x:v>
      </x:c>
      <x:c r="AF106" s="245" t="n">
        <x:f>W106*Q106</x:f>
        <x:v>-0.0065612435774649565</x:v>
      </x:c>
      <x:c r="AG106" s="245" t="n">
        <x:f>W106*S106</x:f>
        <x:v>-0.052887917981867316</x:v>
      </x:c>
      <x:c r="AH106" s="245" t="n">
        <x:f>W106</x:f>
        <x:v>-0.12362378546202518</x:v>
      </x:c>
      <x:c r="AI106" s="246" t="n">
        <x:f>G106-$B$4*Z106</x:f>
        <x:v>1.2512543812333599</x:v>
      </x:c>
      <x:c r="AJ106" s="246" t="n">
        <x:f>H106-$B$4*AA106</x:f>
        <x:v>-1.6055112579656117</x:v>
      </x:c>
      <x:c r="AK106" s="246" t="n">
        <x:f>I106-$B$4*AB106</x:f>
        <x:v>-1.2582043473837838</x:v>
      </x:c>
      <x:c r="AL106" s="246" t="n">
        <x:f>J106-$B$4*AC106</x:f>
        <x:v>1.0472804552200161</x:v>
      </x:c>
      <x:c r="AM106" s="246" t="n">
        <x:f>K106-$B$4*AD106</x:f>
        <x:v>-1.7160730682019483</x:v>
      </x:c>
      <x:c r="AN106" s="246" t="n">
        <x:f>L106-$B$4*AE106</x:f>
        <x:v>1.3164547261290993</x:v>
      </x:c>
      <x:c r="AO106" s="246" t="n">
        <x:f>M106-$B$4*AF106</x:f>
        <x:v>1.4400513792765517</x:v>
      </x:c>
      <x:c r="AP106" s="246" t="n">
        <x:f>N106-$B$4*AG106</x:f>
        <x:v>-1.7454297312145948</x:v>
      </x:c>
      <x:c r="AQ106" s="246" t="n">
        <x:f>O106-$B$4*AH106</x:f>
        <x:v>0.8386723933107854</x:v>
      </x:c>
      <x:c r="AR106" s="182" t="n">
        <x:f>IF(U106&gt;=$B$5,1,0)</x:f>
        <x:v>1</x:v>
      </x:c>
      <x:c r="AS106" s="182" t="n">
        <x:f>IF(AR106=F106,1,0)</x:f>
        <x:v>1</x:v>
      </x:c>
      <x:c r="AT106" s="252" t="n">
        <x:f>ABS(F106-U106)</x:f>
        <x:v>0.49455381750094574</x:v>
      </x:c>
    </x:row>
    <x:row r="107">
      <x:c r="A107" s="114" t="n">
        <x:v>91</x:v>
      </x:c>
      <x:c r="B107" s="114" t="n">
        <x:v>23</x:v>
      </x:c>
      <x:c r="C107" s="114" t="n">
        <x:v>3</x:v>
      </x:c>
      <x:c r="D107" s="168" t="n">
        <x:f>$I$7</x:f>
        <x:v>1</x:v>
      </x:c>
      <x:c r="E107" s="168" t="n">
        <x:f>$J$7</x:f>
        <x:v>0</x:v>
      </x:c>
      <x:c r="F107" s="168" t="n">
        <x:f>$K$7</x:f>
        <x:v>1</x:v>
      </x:c>
      <x:c r="G107" s="242" t="n">
        <x:f>AI106</x:f>
        <x:v>1.2512543812333599</x:v>
      </x:c>
      <x:c r="H107" s="242" t="n">
        <x:f>AJ106</x:f>
        <x:v>-1.6055112579656117</x:v>
      </x:c>
      <x:c r="I107" s="242" t="n">
        <x:f>AK106</x:f>
        <x:v>-1.2582043473837838</x:v>
      </x:c>
      <x:c r="J107" s="242" t="n">
        <x:f>AL106</x:f>
        <x:v>1.0472804552200161</x:v>
      </x:c>
      <x:c r="K107" s="242" t="n">
        <x:f>AM106</x:f>
        <x:v>-1.7160730682019483</x:v>
      </x:c>
      <x:c r="L107" s="242" t="n">
        <x:f>AN106</x:f>
        <x:v>1.3164547261290993</x:v>
      </x:c>
      <x:c r="M107" s="242" t="n">
        <x:f>AO106</x:f>
        <x:v>1.4400513792765517</x:v>
      </x:c>
      <x:c r="N107" s="242" t="n">
        <x:f>AP106</x:f>
        <x:v>-1.7454297312145948</x:v>
      </x:c>
      <x:c r="O107" s="242" t="n">
        <x:f>AQ106</x:f>
        <x:v>0.8386723933107854</x:v>
      </x:c>
      <x:c r="P107" s="243" t="n">
        <x:f>D107*G107+E107*H107+I107</x:f>
        <x:v>-0.006949966150423981</x:v>
      </x:c>
      <x:c r="Q107" s="243" t="n">
        <x:f>1/(1+EXP(-P107))</x:f>
        <x:v>0.49826251545605743</x:v>
      </x:c>
      <x:c r="R107" s="243" t="n">
        <x:f>D107*J107+E107*K107+L107</x:f>
        <x:v>2.3637351813491154</x:v>
      </x:c>
      <x:c r="S107" s="243" t="n">
        <x:f>1/(1+EXP(-R107))</x:f>
        <x:v>0.9140197987659935</x:v>
      </x:c>
      <x:c r="T107" s="243" t="n">
        <x:f>Q107*M107+S107*N107+O107</x:f>
        <x:v>-0.039161315749861036</x:v>
      </x:c>
      <x:c r="U107" s="243" t="n">
        <x:f>1/(1+EXP(-T107))</x:f>
        <x:v>0.49021092208177414</x:v>
      </x:c>
      <x:c r="V107" s="243" t="n">
        <x:f>0.5*(F107-U107)^2</x:f>
        <x:v>0.12994245198235752</x:v>
      </x:c>
      <x:c r="W107" s="244" t="n">
        <x:f>(U107-F107)*U107*(1-U107)</x:f>
        <x:v>-0.12739841840767627</x:v>
      </x:c>
      <x:c r="X107" s="244" t="n">
        <x:f>W107*M107*Q107*(1-Q107)</x:f>
        <x:v>-0.045864513196909804</x:v>
      </x:c>
      <x:c r="Y107" s="244" t="n">
        <x:f>W107*N107*S107*(1-S107)</x:f>
        <x:v>0.017475132053240756</x:v>
      </x:c>
      <x:c r="Z107" s="245" t="n">
        <x:f>X107*D107</x:f>
        <x:v>-0.045864513196909804</x:v>
      </x:c>
      <x:c r="AA107" s="245" t="n">
        <x:f>X107*E107</x:f>
        <x:v>0</x:v>
      </x:c>
      <x:c r="AB107" s="245" t="n">
        <x:f>X107</x:f>
        <x:v>-0.045864513196909804</x:v>
      </x:c>
      <x:c r="AC107" s="245" t="n">
        <x:f>Y107*D107</x:f>
        <x:v>0.017475132053240756</x:v>
      </x:c>
      <x:c r="AD107" s="245" t="n">
        <x:f>Y107*E107</x:f>
        <x:v>0</x:v>
      </x:c>
      <x:c r="AE107" s="245" t="n">
        <x:f>Y107</x:f>
        <x:v>0.017475132053240756</x:v>
      </x:c>
      <x:c r="AF107" s="245" t="n">
        <x:f>W107*Q107</x:f>
        <x:v>-0.06347785642093207</x:v>
      </x:c>
      <x:c r="AG107" s="245" t="n">
        <x:f>W107*S107</x:f>
        <x:v>-0.1164446767560901</x:v>
      </x:c>
      <x:c r="AH107" s="245" t="n">
        <x:f>W107</x:f>
        <x:v>-0.12739841840767627</x:v>
      </x:c>
      <x:c r="AI107" s="246" t="n">
        <x:f>G107-$B$4*Z107</x:f>
        <x:v>1.2971188944302696</x:v>
      </x:c>
      <x:c r="AJ107" s="246" t="n">
        <x:f>H107-$B$4*AA107</x:f>
        <x:v>-1.6055112579656117</x:v>
      </x:c>
      <x:c r="AK107" s="246" t="n">
        <x:f>I107-$B$4*AB107</x:f>
        <x:v>-1.212339834186874</x:v>
      </x:c>
      <x:c r="AL107" s="246" t="n">
        <x:f>J107-$B$4*AC107</x:f>
        <x:v>1.0298053231667754</x:v>
      </x:c>
      <x:c r="AM107" s="246" t="n">
        <x:f>K107-$B$4*AD107</x:f>
        <x:v>-1.7160730682019483</x:v>
      </x:c>
      <x:c r="AN107" s="246" t="n">
        <x:f>L107-$B$4*AE107</x:f>
        <x:v>1.2989795940758586</x:v>
      </x:c>
      <x:c r="AO107" s="246" t="n">
        <x:f>M107-$B$4*AF107</x:f>
        <x:v>1.5035292356974836</x:v>
      </x:c>
      <x:c r="AP107" s="246" t="n">
        <x:f>N107-$B$4*AG107</x:f>
        <x:v>-1.6289850544585047</x:v>
      </x:c>
      <x:c r="AQ107" s="246" t="n">
        <x:f>O107-$B$4*AH107</x:f>
        <x:v>0.9660708117184617</x:v>
      </x:c>
      <x:c r="AR107" s="182" t="n">
        <x:f>IF(U107&gt;=$B$5,1,0)</x:f>
        <x:v>0</x:v>
      </x:c>
      <x:c r="AS107" s="182" t="n">
        <x:f>IF(AR107=F107,1,0)</x:f>
        <x:v>0</x:v>
      </x:c>
      <x:c r="AT107" s="252" t="n">
        <x:f>ABS(F107-U107)</x:f>
        <x:v>0.5097890779182259</x:v>
      </x:c>
    </x:row>
    <x:row r="108">
      <x:c r="A108" s="114" t="n">
        <x:v>92</x:v>
      </x:c>
      <x:c r="B108" s="114" t="n">
        <x:v>23</x:v>
      </x:c>
      <x:c r="C108" s="114" t="n">
        <x:v>4</x:v>
      </x:c>
      <x:c r="D108" s="168" t="n">
        <x:f>$I$8</x:f>
        <x:v>1</x:v>
      </x:c>
      <x:c r="E108" s="168" t="n">
        <x:f>$J$8</x:f>
        <x:v>1</x:v>
      </x:c>
      <x:c r="F108" s="168" t="n">
        <x:f>$K$8</x:f>
        <x:v>0</x:v>
      </x:c>
      <x:c r="G108" s="242" t="n">
        <x:f>AI107</x:f>
        <x:v>1.2971188944302696</x:v>
      </x:c>
      <x:c r="H108" s="242" t="n">
        <x:f>AJ107</x:f>
        <x:v>-1.6055112579656117</x:v>
      </x:c>
      <x:c r="I108" s="242" t="n">
        <x:f>AK107</x:f>
        <x:v>-1.212339834186874</x:v>
      </x:c>
      <x:c r="J108" s="242" t="n">
        <x:f>AL107</x:f>
        <x:v>1.0298053231667754</x:v>
      </x:c>
      <x:c r="K108" s="242" t="n">
        <x:f>AM107</x:f>
        <x:v>-1.7160730682019483</x:v>
      </x:c>
      <x:c r="L108" s="242" t="n">
        <x:f>AN107</x:f>
        <x:v>1.2989795940758586</x:v>
      </x:c>
      <x:c r="M108" s="242" t="n">
        <x:f>AO107</x:f>
        <x:v>1.5035292356974836</x:v>
      </x:c>
      <x:c r="N108" s="242" t="n">
        <x:f>AP107</x:f>
        <x:v>-1.6289850544585047</x:v>
      </x:c>
      <x:c r="O108" s="242" t="n">
        <x:f>AQ107</x:f>
        <x:v>0.9660708117184617</x:v>
      </x:c>
      <x:c r="P108" s="243" t="n">
        <x:f>D108*G108+E108*H108+I108</x:f>
        <x:v>-1.5207321977222161</x:v>
      </x:c>
      <x:c r="Q108" s="243" t="n">
        <x:f>1/(1+EXP(-P108))</x:f>
        <x:v>0.17935372487529325</x:v>
      </x:c>
      <x:c r="R108" s="243" t="n">
        <x:f>D108*J108+E108*K108+L108</x:f>
        <x:v>0.6127118490406858</x:v>
      </x:c>
      <x:c r="S108" s="243" t="n">
        <x:f>1/(1+EXP(-R108))</x:f>
        <x:v>0.6485591630474085</x:v>
      </x:c>
      <x:c r="T108" s="243" t="n">
        <x:f>Q108*M108+S108*N108+O108</x:f>
        <x:v>0.17924119706336317</x:v>
      </x:c>
      <x:c r="U108" s="243" t="n">
        <x:f>1/(1+EXP(-T108))</x:f>
        <x:v>0.5446907135565263</x:v>
      </x:c>
      <x:c r="V108" s="243" t="n">
        <x:f>0.5*(F108-U108)^2</x:f>
        <x:v>0.1483439867173589</x:v>
      </x:c>
      <x:c r="W108" s="244" t="n">
        <x:f>(U108-F108)*U108*(1-U108)</x:f>
        <x:v>0.13508478948092165</x:v>
      </x:c>
      <x:c r="X108" s="244" t="n">
        <x:f>W108*M108*Q108*(1-Q108)</x:f>
        <x:v>0.029894048227543924</x:v>
      </x:c>
      <x:c r="Y108" s="244" t="n">
        <x:f>W108*N108*S108*(1-S108)</x:f>
        <x:v>-0.05015628646614381</x:v>
      </x:c>
      <x:c r="Z108" s="245" t="n">
        <x:f>X108*D108</x:f>
        <x:v>0.029894048227543924</x:v>
      </x:c>
      <x:c r="AA108" s="245" t="n">
        <x:f>X108*E108</x:f>
        <x:v>0.029894048227543924</x:v>
      </x:c>
      <x:c r="AB108" s="245" t="n">
        <x:f>X108</x:f>
        <x:v>0.029894048227543924</x:v>
      </x:c>
      <x:c r="AC108" s="245" t="n">
        <x:f>Y108*D108</x:f>
        <x:v>-0.05015628646614381</x:v>
      </x:c>
      <x:c r="AD108" s="245" t="n">
        <x:f>Y108*E108</x:f>
        <x:v>-0.05015628646614381</x:v>
      </x:c>
      <x:c r="AE108" s="245" t="n">
        <x:f>Y108</x:f>
        <x:v>-0.05015628646614381</x:v>
      </x:c>
      <x:c r="AF108" s="245" t="n">
        <x:f>W108*Q108</x:f>
        <x:v>0.02422796016739813</x:v>
      </x:c>
      <x:c r="AG108" s="245" t="n">
        <x:f>W108*S108</x:f>
        <x:v>0.08761047800618191</x:v>
      </x:c>
      <x:c r="AH108" s="245" t="n">
        <x:f>W108</x:f>
        <x:v>0.13508478948092165</x:v>
      </x:c>
      <x:c r="AI108" s="246" t="n">
        <x:f>G108-$B$4*Z108</x:f>
        <x:v>1.2672248462027258</x:v>
      </x:c>
      <x:c r="AJ108" s="246" t="n">
        <x:f>H108-$B$4*AA108</x:f>
        <x:v>-1.6354053061931555</x:v>
      </x:c>
      <x:c r="AK108" s="246" t="n">
        <x:f>I108-$B$4*AB108</x:f>
        <x:v>-1.242233882414418</x:v>
      </x:c>
      <x:c r="AL108" s="246" t="n">
        <x:f>J108-$B$4*AC108</x:f>
        <x:v>1.0799616096329192</x:v>
      </x:c>
      <x:c r="AM108" s="246" t="n">
        <x:f>K108-$B$4*AD108</x:f>
        <x:v>-1.6659167817358045</x:v>
      </x:c>
      <x:c r="AN108" s="246" t="n">
        <x:f>L108-$B$4*AE108</x:f>
        <x:v>1.3491358805420024</x:v>
      </x:c>
      <x:c r="AO108" s="246" t="n">
        <x:f>M108-$B$4*AF108</x:f>
        <x:v>1.4793012755300856</x:v>
      </x:c>
      <x:c r="AP108" s="246" t="n">
        <x:f>N108-$B$4*AG108</x:f>
        <x:v>-1.7165955324646867</x:v>
      </x:c>
      <x:c r="AQ108" s="246" t="n">
        <x:f>O108-$B$4*AH108</x:f>
        <x:v>0.83098602223754</x:v>
      </x:c>
      <x:c r="AR108" s="182" t="n">
        <x:f>IF(U108&gt;=$B$5,1,0)</x:f>
        <x:v>1</x:v>
      </x:c>
      <x:c r="AS108" s="182" t="n">
        <x:f>IF(AR108=F108,1,0)</x:f>
        <x:v>0</x:v>
      </x:c>
      <x:c r="AT108" s="252" t="n">
        <x:f>ABS(F108-U108)</x:f>
        <x:v>0.5446907135565263</x:v>
      </x:c>
    </x:row>
    <x:row r="109">
      <x:c r="A109" s="114" t="n">
        <x:v>93</x:v>
      </x:c>
      <x:c r="B109" s="114" t="n">
        <x:v>24</x:v>
      </x:c>
      <x:c r="C109" s="114" t="n">
        <x:v>1</x:v>
      </x:c>
      <x:c r="D109" s="168" t="n">
        <x:f>$I$5</x:f>
        <x:v>0</x:v>
      </x:c>
      <x:c r="E109" s="168" t="n">
        <x:f>$J$5</x:f>
        <x:v>0</x:v>
      </x:c>
      <x:c r="F109" s="168" t="n">
        <x:f>$K$5</x:f>
        <x:v>0</x:v>
      </x:c>
      <x:c r="G109" s="242" t="n">
        <x:f>AI108</x:f>
        <x:v>1.2672248462027258</x:v>
      </x:c>
      <x:c r="H109" s="242" t="n">
        <x:f>AJ108</x:f>
        <x:v>-1.6354053061931555</x:v>
      </x:c>
      <x:c r="I109" s="242" t="n">
        <x:f>AK108</x:f>
        <x:v>-1.242233882414418</x:v>
      </x:c>
      <x:c r="J109" s="242" t="n">
        <x:f>AL108</x:f>
        <x:v>1.0799616096329192</x:v>
      </x:c>
      <x:c r="K109" s="242" t="n">
        <x:f>AM108</x:f>
        <x:v>-1.6659167817358045</x:v>
      </x:c>
      <x:c r="L109" s="242" t="n">
        <x:f>AN108</x:f>
        <x:v>1.3491358805420024</x:v>
      </x:c>
      <x:c r="M109" s="242" t="n">
        <x:f>AO108</x:f>
        <x:v>1.4793012755300856</x:v>
      </x:c>
      <x:c r="N109" s="242" t="n">
        <x:f>AP108</x:f>
        <x:v>-1.7165955324646867</x:v>
      </x:c>
      <x:c r="O109" s="242" t="n">
        <x:f>AQ108</x:f>
        <x:v>0.83098602223754</x:v>
      </x:c>
      <x:c r="P109" s="243" t="n">
        <x:f>D109*G109+E109*H109+I109</x:f>
        <x:v>-1.242233882414418</x:v>
      </x:c>
      <x:c r="Q109" s="243" t="n">
        <x:f>1/(1+EXP(-P109))</x:f>
        <x:v>0.22404738553857018</x:v>
      </x:c>
      <x:c r="R109" s="243" t="n">
        <x:f>D109*J109+E109*K109+L109</x:f>
        <x:v>1.3491358805420024</x:v>
      </x:c>
      <x:c r="S109" s="243" t="n">
        <x:f>1/(1+EXP(-R109))</x:f>
        <x:v>0.7939883193362128</x:v>
      </x:c>
      <x:c r="T109" s="243" t="n">
        <x:f>Q109*M109+S109*N109+O109</x:f>
        <x:v>-0.20053719635776024</x:v>
      </x:c>
      <x:c r="U109" s="243" t="n">
        <x:f>1/(1+EXP(-T109))</x:f>
        <x:v>0.45003304124883653</x:v>
      </x:c>
      <x:c r="V109" s="243" t="n">
        <x:f>0.5*(F109-U109)^2</x:f>
        <x:v>0.1012648691078385</x:v>
      </x:c>
      <x:c r="W109" s="244" t="n">
        <x:f>(U109-F109)*U109*(1-U109)</x:f>
        <x:v>0.11138466418314517</x:v>
      </x:c>
      <x:c r="X109" s="244" t="n">
        <x:f>W109*M109*Q109*(1-Q109)</x:f>
        <x:v>0.02864554653697757</x:v>
      </x:c>
      <x:c r="Y109" s="244" t="n">
        <x:f>W109*N109*S109*(1-S109)</x:f>
        <x:v>-0.03127514531755554</x:v>
      </x:c>
      <x:c r="Z109" s="245" t="n">
        <x:f>X109*D109</x:f>
        <x:v>0</x:v>
      </x:c>
      <x:c r="AA109" s="245" t="n">
        <x:f>X109*E109</x:f>
        <x:v>0</x:v>
      </x:c>
      <x:c r="AB109" s="245" t="n">
        <x:f>X109</x:f>
        <x:v>0.02864554653697757</x:v>
      </x:c>
      <x:c r="AC109" s="245" t="n">
        <x:f>Y109*D109</x:f>
        <x:v>0</x:v>
      </x:c>
      <x:c r="AD109" s="245" t="n">
        <x:f>Y109*E109</x:f>
        <x:v>0</x:v>
      </x:c>
      <x:c r="AE109" s="245" t="n">
        <x:f>Y109</x:f>
        <x:v>-0.03127514531755554</x:v>
      </x:c>
      <x:c r="AF109" s="245" t="n">
        <x:f>W109*Q109</x:f>
        <x:v>0.024955442799325295</x:v>
      </x:c>
      <x:c r="AG109" s="245" t="n">
        <x:f>W109*S109</x:f>
        <x:v>0.08843812231460389</x:v>
      </x:c>
      <x:c r="AH109" s="245" t="n">
        <x:f>W109</x:f>
        <x:v>0.11138466418314517</x:v>
      </x:c>
      <x:c r="AI109" s="246" t="n">
        <x:f>G109-$B$4*Z109</x:f>
        <x:v>1.2672248462027258</x:v>
      </x:c>
      <x:c r="AJ109" s="246" t="n">
        <x:f>H109-$B$4*AA109</x:f>
        <x:v>-1.6354053061931555</x:v>
      </x:c>
      <x:c r="AK109" s="246" t="n">
        <x:f>I109-$B$4*AB109</x:f>
        <x:v>-1.2708794289513954</x:v>
      </x:c>
      <x:c r="AL109" s="246" t="n">
        <x:f>J109-$B$4*AC109</x:f>
        <x:v>1.0799616096329192</x:v>
      </x:c>
      <x:c r="AM109" s="246" t="n">
        <x:f>K109-$B$4*AD109</x:f>
        <x:v>-1.6659167817358045</x:v>
      </x:c>
      <x:c r="AN109" s="246" t="n">
        <x:f>L109-$B$4*AE109</x:f>
        <x:v>1.3804110258595579</x:v>
      </x:c>
      <x:c r="AO109" s="246" t="n">
        <x:f>M109-$B$4*AF109</x:f>
        <x:v>1.4543458327307603</x:v>
      </x:c>
      <x:c r="AP109" s="246" t="n">
        <x:f>N109-$B$4*AG109</x:f>
        <x:v>-1.8050336547792905</x:v>
      </x:c>
      <x:c r="AQ109" s="246" t="n">
        <x:f>O109-$B$4*AH109</x:f>
        <x:v>0.7196013580543948</x:v>
      </x:c>
      <x:c r="AR109" s="182" t="n">
        <x:f>IF(U109&gt;=$B$5,1,0)</x:f>
        <x:v>0</x:v>
      </x:c>
      <x:c r="AS109" s="182" t="n">
        <x:f>IF(AR109=F109,1,0)</x:f>
        <x:v>1</x:v>
      </x:c>
      <x:c r="AT109" s="252" t="n">
        <x:f>ABS(F109-U109)</x:f>
        <x:v>0.45003304124883653</x:v>
      </x:c>
    </x:row>
    <x:row r="110">
      <x:c r="A110" s="114" t="n">
        <x:v>94</x:v>
      </x:c>
      <x:c r="B110" s="114" t="n">
        <x:v>24</x:v>
      </x:c>
      <x:c r="C110" s="114" t="n">
        <x:v>2</x:v>
      </x:c>
      <x:c r="D110" s="168" t="n">
        <x:f>$I$6</x:f>
        <x:v>0</x:v>
      </x:c>
      <x:c r="E110" s="168" t="n">
        <x:f>$J$6</x:f>
        <x:v>1</x:v>
      </x:c>
      <x:c r="F110" s="168" t="n">
        <x:f>$K$6</x:f>
        <x:v>1</x:v>
      </x:c>
      <x:c r="G110" s="242" t="n">
        <x:f>AI109</x:f>
        <x:v>1.2672248462027258</x:v>
      </x:c>
      <x:c r="H110" s="242" t="n">
        <x:f>AJ109</x:f>
        <x:v>-1.6354053061931555</x:v>
      </x:c>
      <x:c r="I110" s="242" t="n">
        <x:f>AK109</x:f>
        <x:v>-1.2708794289513954</x:v>
      </x:c>
      <x:c r="J110" s="242" t="n">
        <x:f>AL109</x:f>
        <x:v>1.0799616096329192</x:v>
      </x:c>
      <x:c r="K110" s="242" t="n">
        <x:f>AM109</x:f>
        <x:v>-1.6659167817358045</x:v>
      </x:c>
      <x:c r="L110" s="242" t="n">
        <x:f>AN109</x:f>
        <x:v>1.3804110258595579</x:v>
      </x:c>
      <x:c r="M110" s="242" t="n">
        <x:f>AO109</x:f>
        <x:v>1.4543458327307603</x:v>
      </x:c>
      <x:c r="N110" s="242" t="n">
        <x:f>AP109</x:f>
        <x:v>-1.8050336547792905</x:v>
      </x:c>
      <x:c r="O110" s="242" t="n">
        <x:f>AQ109</x:f>
        <x:v>0.7196013580543948</x:v>
      </x:c>
      <x:c r="P110" s="243" t="n">
        <x:f>D110*G110+E110*H110+I110</x:f>
        <x:v>-2.906284735144551</x:v>
      </x:c>
      <x:c r="Q110" s="243" t="n">
        <x:f>1/(1+EXP(-P110))</x:f>
        <x:v>0.05184375918299685</x:v>
      </x:c>
      <x:c r="R110" s="243" t="n">
        <x:f>D110*J110+E110*K110+L110</x:f>
        <x:v>-0.2855057558762466</x:v>
      </x:c>
      <x:c r="S110" s="243" t="n">
        <x:f>1/(1+EXP(-R110))</x:f>
        <x:v>0.4291044867134378</x:v>
      </x:c>
      <x:c r="T110" s="243" t="n">
        <x:f>Q110*M110+S110*N110+O110</x:f>
        <x:v>0.02045207324073528</x:v>
      </x:c>
      <x:c r="U110" s="243" t="n">
        <x:f>1/(1+EXP(-T110))</x:f>
        <x:v>0.5051128400917533</x:v>
      </x:c>
      <x:c r="V110" s="243" t="n">
        <x:f>0.5*(F110-U110)^2</x:f>
        <x:v>0.12245665052102528</x:v>
      </x:c>
      <x:c r="W110" s="244" t="n">
        <x:f>(U110-F110)*U110*(1-U110)</x:f>
        <x:v>-0.12370885306559672</x:v>
      </x:c>
      <x:c r="X110" s="244" t="n">
        <x:f>W110*M110*Q110*(1-Q110)</x:f>
        <x:v>-0.00884392119082074</x:v>
      </x:c>
      <x:c r="Y110" s="244" t="n">
        <x:f>W110*N110*S110*(1-S110)</x:f>
        <x:v>0.054702323003542455</x:v>
      </x:c>
      <x:c r="Z110" s="245" t="n">
        <x:f>X110*D110</x:f>
        <x:v>0</x:v>
      </x:c>
      <x:c r="AA110" s="245" t="n">
        <x:f>X110*E110</x:f>
        <x:v>-0.00884392119082074</x:v>
      </x:c>
      <x:c r="AB110" s="245" t="n">
        <x:f>X110</x:f>
        <x:v>-0.00884392119082074</x:v>
      </x:c>
      <x:c r="AC110" s="245" t="n">
        <x:f>Y110*D110</x:f>
        <x:v>0</x:v>
      </x:c>
      <x:c r="AD110" s="245" t="n">
        <x:f>Y110*E110</x:f>
        <x:v>0.054702323003542455</x:v>
      </x:c>
      <x:c r="AE110" s="245" t="n">
        <x:f>Y110</x:f>
        <x:v>0.054702323003542455</x:v>
      </x:c>
      <x:c r="AF110" s="245" t="n">
        <x:f>W110*Q110</x:f>
        <x:v>-0.006413531987137538</x:v>
      </x:c>
      <x:c r="AG110" s="245" t="n">
        <x:f>W110*S110</x:f>
        <x:v>-0.05308402389662098</x:v>
      </x:c>
      <x:c r="AH110" s="245" t="n">
        <x:f>W110</x:f>
        <x:v>-0.12370885306559672</x:v>
      </x:c>
      <x:c r="AI110" s="246" t="n">
        <x:f>G110-$B$4*Z110</x:f>
        <x:v>1.2672248462027258</x:v>
      </x:c>
      <x:c r="AJ110" s="246" t="n">
        <x:f>H110-$B$4*AA110</x:f>
        <x:v>-1.6265613850023348</x:v>
      </x:c>
      <x:c r="AK110" s="246" t="n">
        <x:f>I110-$B$4*AB110</x:f>
        <x:v>-1.2620355077605747</x:v>
      </x:c>
      <x:c r="AL110" s="246" t="n">
        <x:f>J110-$B$4*AC110</x:f>
        <x:v>1.0799616096329192</x:v>
      </x:c>
      <x:c r="AM110" s="246" t="n">
        <x:f>K110-$B$4*AD110</x:f>
        <x:v>-1.7206191047393469</x:v>
      </x:c>
      <x:c r="AN110" s="246" t="n">
        <x:f>L110-$B$4*AE110</x:f>
        <x:v>1.3257087028560155</x:v>
      </x:c>
      <x:c r="AO110" s="246" t="n">
        <x:f>M110-$B$4*AF110</x:f>
        <x:v>1.4607593647178978</x:v>
      </x:c>
      <x:c r="AP110" s="246" t="n">
        <x:f>N110-$B$4*AG110</x:f>
        <x:v>-1.7519496308826694</x:v>
      </x:c>
      <x:c r="AQ110" s="246" t="n">
        <x:f>O110-$B$4*AH110</x:f>
        <x:v>0.8433102111199916</x:v>
      </x:c>
      <x:c r="AR110" s="182" t="n">
        <x:f>IF(U110&gt;=$B$5,1,0)</x:f>
        <x:v>1</x:v>
      </x:c>
      <x:c r="AS110" s="182" t="n">
        <x:f>IF(AR110=F110,1,0)</x:f>
        <x:v>1</x:v>
      </x:c>
      <x:c r="AT110" s="252" t="n">
        <x:f>ABS(F110-U110)</x:f>
        <x:v>0.4948871599082467</x:v>
      </x:c>
    </x:row>
    <x:row r="111">
      <x:c r="A111" s="114" t="n">
        <x:v>95</x:v>
      </x:c>
      <x:c r="B111" s="114" t="n">
        <x:v>24</x:v>
      </x:c>
      <x:c r="C111" s="114" t="n">
        <x:v>3</x:v>
      </x:c>
      <x:c r="D111" s="168" t="n">
        <x:f>$I$7</x:f>
        <x:v>1</x:v>
      </x:c>
      <x:c r="E111" s="168" t="n">
        <x:f>$J$7</x:f>
        <x:v>0</x:v>
      </x:c>
      <x:c r="F111" s="168" t="n">
        <x:f>$K$7</x:f>
        <x:v>1</x:v>
      </x:c>
      <x:c r="G111" s="242" t="n">
        <x:f>AI110</x:f>
        <x:v>1.2672248462027258</x:v>
      </x:c>
      <x:c r="H111" s="242" t="n">
        <x:f>AJ110</x:f>
        <x:v>-1.6265613850023348</x:v>
      </x:c>
      <x:c r="I111" s="242" t="n">
        <x:f>AK110</x:f>
        <x:v>-1.2620355077605747</x:v>
      </x:c>
      <x:c r="J111" s="242" t="n">
        <x:f>AL110</x:f>
        <x:v>1.0799616096329192</x:v>
      </x:c>
      <x:c r="K111" s="242" t="n">
        <x:f>AM110</x:f>
        <x:v>-1.7206191047393469</x:v>
      </x:c>
      <x:c r="L111" s="242" t="n">
        <x:f>AN110</x:f>
        <x:v>1.3257087028560155</x:v>
      </x:c>
      <x:c r="M111" s="242" t="n">
        <x:f>AO110</x:f>
        <x:v>1.4607593647178978</x:v>
      </x:c>
      <x:c r="N111" s="242" t="n">
        <x:f>AP110</x:f>
        <x:v>-1.7519496308826694</x:v>
      </x:c>
      <x:c r="O111" s="242" t="n">
        <x:f>AQ110</x:f>
        <x:v>0.8433102111199916</x:v>
      </x:c>
      <x:c r="P111" s="243" t="n">
        <x:f>D111*G111+E111*H111+I111</x:f>
        <x:v>0.005189338442151081</x:v>
      </x:c>
      <x:c r="Q111" s="243" t="n">
        <x:f>1/(1+EXP(-P111))</x:f>
        <x:v>0.5012973316991934</x:v>
      </x:c>
      <x:c r="R111" s="243" t="n">
        <x:f>D111*J111+E111*K111+L111</x:f>
        <x:v>2.405670312488935</x:v>
      </x:c>
      <x:c r="S111" s="243" t="n">
        <x:f>1/(1+EXP(-R111))</x:f>
        <x:v>0.917258672465499</x:v>
      </x:c>
      <x:c r="T111" s="243" t="n">
        <x:f>Q111*M111+S111*N111+O111</x:f>
        <x:v>-0.031406009742175556</x:v>
      </x:c>
      <x:c r="U111" s="243" t="n">
        <x:f>1/(1+EXP(-T111))</x:f>
        <x:v>0.49214914285338185</x:v>
      </x:c>
      <x:c r="V111" s="243" t="n">
        <x:f>0.5*(F111-U111)^2</x:f>
        <x:v>0.1289562465522774</x:v>
      </x:c>
      <x:c r="W111" s="244" t="n">
        <x:f>(U111-F111)*U111*(1-U111)</x:f>
        <x:v>-0.12693141241258538</x:v>
      </x:c>
      <x:c r="X111" s="244" t="n">
        <x:f>W111*M111*Q111*(1-Q111)</x:f>
        <x:v>-0.04635375027119733</x:v>
      </x:c>
      <x:c r="Y111" s="244" t="n">
        <x:f>W111*N111*S111*(1-S111)</x:f>
        <x:v>0.016877380425679628</x:v>
      </x:c>
      <x:c r="Z111" s="245" t="n">
        <x:f>X111*D111</x:f>
        <x:v>-0.04635375027119733</x:v>
      </x:c>
      <x:c r="AA111" s="245" t="n">
        <x:f>X111*E111</x:f>
        <x:v>0</x:v>
      </x:c>
      <x:c r="AB111" s="245" t="n">
        <x:f>X111</x:f>
        <x:v>-0.04635375027119733</x:v>
      </x:c>
      <x:c r="AC111" s="245" t="n">
        <x:f>Y111*D111</x:f>
        <x:v>0.016877380425679628</x:v>
      </x:c>
      <x:c r="AD111" s="245" t="n">
        <x:f>Y111*E111</x:f>
        <x:v>0</x:v>
      </x:c>
      <x:c r="AE111" s="245" t="n">
        <x:f>Y111</x:f>
        <x:v>0.016877380425679628</x:v>
      </x:c>
      <x:c r="AF111" s="245" t="n">
        <x:f>W111*Q111</x:f>
        <x:v>-0.06363037835123893</x:v>
      </x:c>
      <x:c r="AG111" s="245" t="n">
        <x:f>W111*S111</x:f>
        <x:v>-0.11642893884373882</x:v>
      </x:c>
      <x:c r="AH111" s="245" t="n">
        <x:f>W111</x:f>
        <x:v>-0.12693141241258538</x:v>
      </x:c>
      <x:c r="AI111" s="246" t="n">
        <x:f>G111-$B$4*Z111</x:f>
        <x:v>1.313578596473923</x:v>
      </x:c>
      <x:c r="AJ111" s="246" t="n">
        <x:f>H111-$B$4*AA111</x:f>
        <x:v>-1.6265613850023348</x:v>
      </x:c>
      <x:c r="AK111" s="246" t="n">
        <x:f>I111-$B$4*AB111</x:f>
        <x:v>-1.2156817574893775</x:v>
      </x:c>
      <x:c r="AL111" s="246" t="n">
        <x:f>J111-$B$4*AC111</x:f>
        <x:v>1.0630842292072396</x:v>
      </x:c>
      <x:c r="AM111" s="246" t="n">
        <x:f>K111-$B$4*AD111</x:f>
        <x:v>-1.7206191047393469</x:v>
      </x:c>
      <x:c r="AN111" s="246" t="n">
        <x:f>L111-$B$4*AE111</x:f>
        <x:v>1.3088313224303358</x:v>
      </x:c>
      <x:c r="AO111" s="246" t="n">
        <x:f>M111-$B$4*AF111</x:f>
        <x:v>1.5243897430691367</x:v>
      </x:c>
      <x:c r="AP111" s="246" t="n">
        <x:f>N111-$B$4*AG111</x:f>
        <x:v>-1.6355206920389307</x:v>
      </x:c>
      <x:c r="AQ111" s="246" t="n">
        <x:f>O111-$B$4*AH111</x:f>
        <x:v>0.970241623532577</x:v>
      </x:c>
      <x:c r="AR111" s="182" t="n">
        <x:f>IF(U111&gt;=$B$5,1,0)</x:f>
        <x:v>0</x:v>
      </x:c>
      <x:c r="AS111" s="182" t="n">
        <x:f>IF(AR111=F111,1,0)</x:f>
        <x:v>0</x:v>
      </x:c>
      <x:c r="AT111" s="252" t="n">
        <x:f>ABS(F111-U111)</x:f>
        <x:v>0.5078508571466182</x:v>
      </x:c>
    </x:row>
    <x:row r="112">
      <x:c r="A112" s="114" t="n">
        <x:v>96</x:v>
      </x:c>
      <x:c r="B112" s="114" t="n">
        <x:v>24</x:v>
      </x:c>
      <x:c r="C112" s="114" t="n">
        <x:v>4</x:v>
      </x:c>
      <x:c r="D112" s="168" t="n">
        <x:f>$I$8</x:f>
        <x:v>1</x:v>
      </x:c>
      <x:c r="E112" s="168" t="n">
        <x:f>$J$8</x:f>
        <x:v>1</x:v>
      </x:c>
      <x:c r="F112" s="168" t="n">
        <x:f>$K$8</x:f>
        <x:v>0</x:v>
      </x:c>
      <x:c r="G112" s="242" t="n">
        <x:f>AI111</x:f>
        <x:v>1.313578596473923</x:v>
      </x:c>
      <x:c r="H112" s="242" t="n">
        <x:f>AJ111</x:f>
        <x:v>-1.6265613850023348</x:v>
      </x:c>
      <x:c r="I112" s="242" t="n">
        <x:f>AK111</x:f>
        <x:v>-1.2156817574893775</x:v>
      </x:c>
      <x:c r="J112" s="242" t="n">
        <x:f>AL111</x:f>
        <x:v>1.0630842292072396</x:v>
      </x:c>
      <x:c r="K112" s="242" t="n">
        <x:f>AM111</x:f>
        <x:v>-1.7206191047393469</x:v>
      </x:c>
      <x:c r="L112" s="242" t="n">
        <x:f>AN111</x:f>
        <x:v>1.3088313224303358</x:v>
      </x:c>
      <x:c r="M112" s="242" t="n">
        <x:f>AO111</x:f>
        <x:v>1.5243897430691367</x:v>
      </x:c>
      <x:c r="N112" s="242" t="n">
        <x:f>AP111</x:f>
        <x:v>-1.6355206920389307</x:v>
      </x:c>
      <x:c r="O112" s="242" t="n">
        <x:f>AQ111</x:f>
        <x:v>0.970241623532577</x:v>
      </x:c>
      <x:c r="P112" s="243" t="n">
        <x:f>D112*G112+E112*H112+I112</x:f>
        <x:v>-1.5286645460177892</x:v>
      </x:c>
      <x:c r="Q112" s="243" t="n">
        <x:f>1/(1+EXP(-P112))</x:f>
        <x:v>0.17818916267144672</x:v>
      </x:c>
      <x:c r="R112" s="243" t="n">
        <x:f>D112*J112+E112*K112+L112</x:f>
        <x:v>0.6512964468982285</x:v>
      </x:c>
      <x:c r="S112" s="243" t="n">
        <x:f>1/(1+EXP(-R112))</x:f>
        <x:v>0.657302554521249</x:v>
      </x:c>
      <x:c r="T112" s="243" t="n">
        <x:f>Q112*M112+S112*N112+O112</x:f>
        <x:v>0.16683942658545825</x:v>
      </x:c>
      <x:c r="U112" s="243" t="n">
        <x:f>1/(1+EXP(-T112))</x:f>
        <x:v>0.5416133743410669</x:v>
      </x:c>
      <x:c r="V112" s="243" t="n">
        <x:f>0.5*(F112-U112)^2</x:f>
        <x:v>0.14667252363255834</x:v>
      </x:c>
      <x:c r="W112" s="244" t="n">
        <x:f>(U112-F112)*U112*(1-U112)</x:f>
        <x:v>0.13446544636961708</x:v>
      </x:c>
      <x:c r="X112" s="244" t="n">
        <x:f>W112*M112*Q112*(1-Q112)</x:f>
        <x:v>0.030016487276032226</x:v>
      </x:c>
      <x:c r="Y112" s="244" t="n">
        <x:f>W112*N112*S112*(1-S112)</x:f>
        <x:v>-0.049538508661427685</x:v>
      </x:c>
      <x:c r="Z112" s="245" t="n">
        <x:f>X112*D112</x:f>
        <x:v>0.030016487276032226</x:v>
      </x:c>
      <x:c r="AA112" s="245" t="n">
        <x:f>X112*E112</x:f>
        <x:v>0.030016487276032226</x:v>
      </x:c>
      <x:c r="AB112" s="245" t="n">
        <x:f>X112</x:f>
        <x:v>0.030016487276032226</x:v>
      </x:c>
      <x:c r="AC112" s="245" t="n">
        <x:f>Y112*D112</x:f>
        <x:v>-0.049538508661427685</x:v>
      </x:c>
      <x:c r="AD112" s="245" t="n">
        <x:f>Y112*E112</x:f>
        <x:v>-0.049538508661427685</x:v>
      </x:c>
      <x:c r="AE112" s="245" t="n">
        <x:f>Y112</x:f>
        <x:v>-0.049538508661427685</x:v>
      </x:c>
      <x:c r="AF112" s="245" t="n">
        <x:f>W112*Q112</x:f>
        <x:v>0.02396028529684439</x:v>
      </x:c>
      <x:c r="AG112" s="245" t="n">
        <x:f>W112*S112</x:f>
        <x:v>0.0883844813935893</x:v>
      </x:c>
      <x:c r="AH112" s="245" t="n">
        <x:f>W112</x:f>
        <x:v>0.13446544636961708</x:v>
      </x:c>
      <x:c r="AI112" s="246" t="n">
        <x:f>G112-$B$4*Z112</x:f>
        <x:v>1.2835621091978908</x:v>
      </x:c>
      <x:c r="AJ112" s="246" t="n">
        <x:f>H112-$B$4*AA112</x:f>
        <x:v>-1.656577872278367</x:v>
      </x:c>
      <x:c r="AK112" s="246" t="n">
        <x:f>I112-$B$4*AB112</x:f>
        <x:v>-1.2456982447654097</x:v>
      </x:c>
      <x:c r="AL112" s="246" t="n">
        <x:f>J112-$B$4*AC112</x:f>
        <x:v>1.1126227378686673</x:v>
      </x:c>
      <x:c r="AM112" s="246" t="n">
        <x:f>K112-$B$4*AD112</x:f>
        <x:v>-1.6710805960779191</x:v>
      </x:c>
      <x:c r="AN112" s="246" t="n">
        <x:f>L112-$B$4*AE112</x:f>
        <x:v>1.3583698310917636</x:v>
      </x:c>
      <x:c r="AO112" s="246" t="n">
        <x:f>M112-$B$4*AF112</x:f>
        <x:v>1.5004294577722923</x:v>
      </x:c>
      <x:c r="AP112" s="246" t="n">
        <x:f>N112-$B$4*AG112</x:f>
        <x:v>-1.72390517343252</x:v>
      </x:c>
      <x:c r="AQ112" s="246" t="n">
        <x:f>O112-$B$4*AH112</x:f>
        <x:v>0.8357761771629599</x:v>
      </x:c>
      <x:c r="AR112" s="182" t="n">
        <x:f>IF(U112&gt;=$B$5,1,0)</x:f>
        <x:v>1</x:v>
      </x:c>
      <x:c r="AS112" s="182" t="n">
        <x:f>IF(AR112=F112,1,0)</x:f>
        <x:v>0</x:v>
      </x:c>
      <x:c r="AT112" s="252" t="n">
        <x:f>ABS(F112-U112)</x:f>
        <x:v>0.5416133743410669</x:v>
      </x:c>
    </x:row>
    <x:row r="113">
      <x:c r="A113" s="114" t="n">
        <x:v>97</x:v>
      </x:c>
      <x:c r="B113" s="114" t="n">
        <x:v>25</x:v>
      </x:c>
      <x:c r="C113" s="114" t="n">
        <x:v>1</x:v>
      </x:c>
      <x:c r="D113" s="168" t="n">
        <x:f>$I$5</x:f>
        <x:v>0</x:v>
      </x:c>
      <x:c r="E113" s="168" t="n">
        <x:f>$J$5</x:f>
        <x:v>0</x:v>
      </x:c>
      <x:c r="F113" s="168" t="n">
        <x:f>$K$5</x:f>
        <x:v>0</x:v>
      </x:c>
      <x:c r="G113" s="242" t="n">
        <x:f>AI112</x:f>
        <x:v>1.2835621091978908</x:v>
      </x:c>
      <x:c r="H113" s="242" t="n">
        <x:f>AJ112</x:f>
        <x:v>-1.656577872278367</x:v>
      </x:c>
      <x:c r="I113" s="242" t="n">
        <x:f>AK112</x:f>
        <x:v>-1.2456982447654097</x:v>
      </x:c>
      <x:c r="J113" s="242" t="n">
        <x:f>AL112</x:f>
        <x:v>1.1126227378686673</x:v>
      </x:c>
      <x:c r="K113" s="242" t="n">
        <x:f>AM112</x:f>
        <x:v>-1.6710805960779191</x:v>
      </x:c>
      <x:c r="L113" s="242" t="n">
        <x:f>AN112</x:f>
        <x:v>1.3583698310917636</x:v>
      </x:c>
      <x:c r="M113" s="242" t="n">
        <x:f>AO112</x:f>
        <x:v>1.5004294577722923</x:v>
      </x:c>
      <x:c r="N113" s="242" t="n">
        <x:f>AP112</x:f>
        <x:v>-1.72390517343252</x:v>
      </x:c>
      <x:c r="O113" s="242" t="n">
        <x:f>AQ112</x:f>
        <x:v>0.8357761771629599</x:v>
      </x:c>
      <x:c r="P113" s="243" t="n">
        <x:f>D113*G113+E113*H113+I113</x:f>
        <x:v>-1.2456982447654097</x:v>
      </x:c>
      <x:c r="Q113" s="243" t="n">
        <x:f>1/(1+EXP(-P113))</x:f>
        <x:v>0.2234456814391794</x:v>
      </x:c>
      <x:c r="R113" s="243" t="n">
        <x:f>D113*J113+E113*K113+L113</x:f>
        <x:v>1.3583698310917636</x:v>
      </x:c>
      <x:c r="S113" s="243" t="n">
        <x:f>1/(1+EXP(-R113))</x:f>
        <x:v>0.7954946248128392</x:v>
      </x:c>
      <x:c r="T113" s="243" t="n">
        <x:f>Q113*M113+S113*N113+O113</x:f>
        <x:v>-0.2003166393463065</x:v>
      </x:c>
      <x:c r="U113" s="243" t="n">
        <x:f>1/(1+EXP(-T113))</x:f>
        <x:v>0.4500876304390608</x:v>
      </x:c>
      <x:c r="V113" s="243" t="n">
        <x:f>0.5*(F113-U113)^2</x:f>
        <x:v>0.10128943753712429</x:v>
      </x:c>
      <x:c r="W113" s="244" t="n">
        <x:f>(U113-F113)*U113*(1-U113)</x:f>
        <x:v>0.1114006292150695</x:v>
      </x:c>
      <x:c r="X113" s="244" t="n">
        <x:f>W113*M113*Q113*(1-Q113)</x:f>
        <x:v>0.029003274335666174</x:v>
      </x:c>
      <x:c r="Y113" s="244" t="n">
        <x:f>W113*N113*S113*(1-S113)</x:f>
        <x:v>-0.031242299665572522</x:v>
      </x:c>
      <x:c r="Z113" s="245" t="n">
        <x:f>X113*D113</x:f>
        <x:v>0</x:v>
      </x:c>
      <x:c r="AA113" s="245" t="n">
        <x:f>X113*E113</x:f>
        <x:v>0</x:v>
      </x:c>
      <x:c r="AB113" s="245" t="n">
        <x:f>X113</x:f>
        <x:v>0.029003274335666174</x:v>
      </x:c>
      <x:c r="AC113" s="245" t="n">
        <x:f>Y113*D113</x:f>
        <x:v>0</x:v>
      </x:c>
      <x:c r="AD113" s="245" t="n">
        <x:f>Y113*E113</x:f>
        <x:v>0</x:v>
      </x:c>
      <x:c r="AE113" s="245" t="n">
        <x:f>Y113</x:f>
        <x:v>-0.031242299665572522</x:v>
      </x:c>
      <x:c r="AF113" s="245" t="n">
        <x:f>W113*Q113</x:f>
        <x:v>0.02489198950771456</x:v>
      </x:c>
      <x:c r="AG113" s="245" t="n">
        <x:f>W113*S113</x:f>
        <x:v>0.08861860174135593</x:v>
      </x:c>
      <x:c r="AH113" s="245" t="n">
        <x:f>W113</x:f>
        <x:v>0.1114006292150695</x:v>
      </x:c>
      <x:c r="AI113" s="246" t="n">
        <x:f>G113-$B$4*Z113</x:f>
        <x:v>1.2835621091978908</x:v>
      </x:c>
      <x:c r="AJ113" s="246" t="n">
        <x:f>H113-$B$4*AA113</x:f>
        <x:v>-1.656577872278367</x:v>
      </x:c>
      <x:c r="AK113" s="246" t="n">
        <x:f>I113-$B$4*AB113</x:f>
        <x:v>-1.2747015191010758</x:v>
      </x:c>
      <x:c r="AL113" s="246" t="n">
        <x:f>J113-$B$4*AC113</x:f>
        <x:v>1.1126227378686673</x:v>
      </x:c>
      <x:c r="AM113" s="246" t="n">
        <x:f>K113-$B$4*AD113</x:f>
        <x:v>-1.6710805960779191</x:v>
      </x:c>
      <x:c r="AN113" s="246" t="n">
        <x:f>L113-$B$4*AE113</x:f>
        <x:v>1.3896121307573361</x:v>
      </x:c>
      <x:c r="AO113" s="246" t="n">
        <x:f>M113-$B$4*AF113</x:f>
        <x:v>1.4755374682645777</x:v>
      </x:c>
      <x:c r="AP113" s="246" t="n">
        <x:f>N113-$B$4*AG113</x:f>
        <x:v>-1.8125237751738759</x:v>
      </x:c>
      <x:c r="AQ113" s="246" t="n">
        <x:f>O113-$B$4*AH113</x:f>
        <x:v>0.7243755479478904</x:v>
      </x:c>
      <x:c r="AR113" s="182" t="n">
        <x:f>IF(U113&gt;=$B$5,1,0)</x:f>
        <x:v>0</x:v>
      </x:c>
      <x:c r="AS113" s="182" t="n">
        <x:f>IF(AR113=F113,1,0)</x:f>
        <x:v>1</x:v>
      </x:c>
      <x:c r="AT113" s="252" t="n">
        <x:f>ABS(F113-U113)</x:f>
        <x:v>0.4500876304390608</x:v>
      </x:c>
    </x:row>
    <x:row r="114">
      <x:c r="A114" s="114" t="n">
        <x:v>98</x:v>
      </x:c>
      <x:c r="B114" s="114" t="n">
        <x:v>25</x:v>
      </x:c>
      <x:c r="C114" s="114" t="n">
        <x:v>2</x:v>
      </x:c>
      <x:c r="D114" s="168" t="n">
        <x:f>$I$6</x:f>
        <x:v>0</x:v>
      </x:c>
      <x:c r="E114" s="168" t="n">
        <x:f>$J$6</x:f>
        <x:v>1</x:v>
      </x:c>
      <x:c r="F114" s="168" t="n">
        <x:f>$K$6</x:f>
        <x:v>1</x:v>
      </x:c>
      <x:c r="G114" s="242" t="n">
        <x:f>AI113</x:f>
        <x:v>1.2835621091978908</x:v>
      </x:c>
      <x:c r="H114" s="242" t="n">
        <x:f>AJ113</x:f>
        <x:v>-1.656577872278367</x:v>
      </x:c>
      <x:c r="I114" s="242" t="n">
        <x:f>AK113</x:f>
        <x:v>-1.2747015191010758</x:v>
      </x:c>
      <x:c r="J114" s="242" t="n">
        <x:f>AL113</x:f>
        <x:v>1.1126227378686673</x:v>
      </x:c>
      <x:c r="K114" s="242" t="n">
        <x:f>AM113</x:f>
        <x:v>-1.6710805960779191</x:v>
      </x:c>
      <x:c r="L114" s="242" t="n">
        <x:f>AN113</x:f>
        <x:v>1.3896121307573361</x:v>
      </x:c>
      <x:c r="M114" s="242" t="n">
        <x:f>AO113</x:f>
        <x:v>1.4755374682645777</x:v>
      </x:c>
      <x:c r="N114" s="242" t="n">
        <x:f>AP113</x:f>
        <x:v>-1.8125237751738759</x:v>
      </x:c>
      <x:c r="O114" s="242" t="n">
        <x:f>AQ113</x:f>
        <x:v>0.7243755479478904</x:v>
      </x:c>
      <x:c r="P114" s="243" t="n">
        <x:f>D114*G114+E114*H114+I114</x:f>
        <x:v>-2.9312793913794426</x:v>
      </x:c>
      <x:c r="Q114" s="243" t="n">
        <x:f>1/(1+EXP(-P114))</x:f>
        <x:v>0.0506287949526955</x:v>
      </x:c>
      <x:c r="R114" s="243" t="n">
        <x:f>D114*J114+E114*K114+L114</x:f>
        <x:v>-0.281468465320583</x:v>
      </x:c>
      <x:c r="S114" s="243" t="n">
        <x:f>1/(1+EXP(-R114))</x:f>
        <x:v>0.43009379905123274</x:v>
      </x:c>
      <x:c r="T114" s="243" t="n">
        <x:f>Q114*M114+S114*N114+O114</x:f>
        <x:v>0.01952499553846243</x:v>
      </x:c>
      <x:c r="U114" s="243" t="n">
        <x:f>1/(1+EXP(-T114))</x:f>
        <x:v>0.5048810938191682</x:v>
      </x:c>
      <x:c r="V114" s="243" t="n">
        <x:f>0.5*(F114-U114)^2</x:f>
        <x:v>0.12257136562885164</x:v>
      </x:c>
      <x:c r="W114" s="244" t="n">
        <x:f>(U114-F114)*U114*(1-U114)</x:f>
        <x:v>-0.12376793029920764</x:v>
      </x:c>
      <x:c r="X114" s="244" t="n">
        <x:f>W114*M114*Q114*(1-Q114)</x:f>
        <x:v>-0.008777928041622805</x:v>
      </x:c>
      <x:c r="Y114" s="244" t="n">
        <x:f>W114*N114*S114*(1-S114)</x:f>
        <x:v>0.05498679464655979</x:v>
      </x:c>
      <x:c r="Z114" s="245" t="n">
        <x:f>X114*D114</x:f>
        <x:v>0</x:v>
      </x:c>
      <x:c r="AA114" s="245" t="n">
        <x:f>X114*E114</x:f>
        <x:v>-0.008777928041622805</x:v>
      </x:c>
      <x:c r="AB114" s="245" t="n">
        <x:f>X114</x:f>
        <x:v>-0.008777928041622805</x:v>
      </x:c>
      <x:c r="AC114" s="245" t="n">
        <x:f>Y114*D114</x:f>
        <x:v>0</x:v>
      </x:c>
      <x:c r="AD114" s="245" t="n">
        <x:f>Y114*E114</x:f>
        <x:v>0.05498679464655979</x:v>
      </x:c>
      <x:c r="AE114" s="245" t="n">
        <x:f>Y114</x:f>
        <x:v>0.05498679464655979</x:v>
      </x:c>
      <x:c r="AF114" s="245" t="n">
        <x:f>W114*Q114</x:f>
        <x:v>-0.006266221164838092</x:v>
      </x:c>
      <x:c r="AG114" s="245" t="n">
        <x:f>W114*S114</x:f>
        <x:v>-0.05323181934309439</x:v>
      </x:c>
      <x:c r="AH114" s="245" t="n">
        <x:f>W114</x:f>
        <x:v>-0.12376793029920764</x:v>
      </x:c>
      <x:c r="AI114" s="246" t="n">
        <x:f>G114-$B$4*Z114</x:f>
        <x:v>1.2835621091978908</x:v>
      </x:c>
      <x:c r="AJ114" s="246" t="n">
        <x:f>H114-$B$4*AA114</x:f>
        <x:v>-1.6477999442367444</x:v>
      </x:c>
      <x:c r="AK114" s="246" t="n">
        <x:f>I114-$B$4*AB114</x:f>
        <x:v>-1.265923591059453</x:v>
      </x:c>
      <x:c r="AL114" s="246" t="n">
        <x:f>J114-$B$4*AC114</x:f>
        <x:v>1.1126227378686673</x:v>
      </x:c>
      <x:c r="AM114" s="246" t="n">
        <x:f>K114-$B$4*AD114</x:f>
        <x:v>-1.726067390724479</x:v>
      </x:c>
      <x:c r="AN114" s="246" t="n">
        <x:f>L114-$B$4*AE114</x:f>
        <x:v>1.3346253361107763</x:v>
      </x:c>
      <x:c r="AO114" s="246" t="n">
        <x:f>M114-$B$4*AF114</x:f>
        <x:v>1.4818036894294158</x:v>
      </x:c>
      <x:c r="AP114" s="246" t="n">
        <x:f>N114-$B$4*AG114</x:f>
        <x:v>-1.7592919558307816</x:v>
      </x:c>
      <x:c r="AQ114" s="246" t="n">
        <x:f>O114-$B$4*AH114</x:f>
        <x:v>0.848143478247098</x:v>
      </x:c>
      <x:c r="AR114" s="182" t="n">
        <x:f>IF(U114&gt;=$B$5,1,0)</x:f>
        <x:v>1</x:v>
      </x:c>
      <x:c r="AS114" s="182" t="n">
        <x:f>IF(AR114=F114,1,0)</x:f>
        <x:v>1</x:v>
      </x:c>
      <x:c r="AT114" s="252" t="n">
        <x:f>ABS(F114-U114)</x:f>
        <x:v>0.49511890618083176</x:v>
      </x:c>
    </x:row>
    <x:row r="115">
      <x:c r="A115" s="114" t="n">
        <x:v>99</x:v>
      </x:c>
      <x:c r="B115" s="114" t="n">
        <x:v>25</x:v>
      </x:c>
      <x:c r="C115" s="114" t="n">
        <x:v>3</x:v>
      </x:c>
      <x:c r="D115" s="168" t="n">
        <x:f>$I$7</x:f>
        <x:v>1</x:v>
      </x:c>
      <x:c r="E115" s="168" t="n">
        <x:f>$J$7</x:f>
        <x:v>0</x:v>
      </x:c>
      <x:c r="F115" s="168" t="n">
        <x:f>$K$7</x:f>
        <x:v>1</x:v>
      </x:c>
      <x:c r="G115" s="242" t="n">
        <x:f>AI114</x:f>
        <x:v>1.2835621091978908</x:v>
      </x:c>
      <x:c r="H115" s="242" t="n">
        <x:f>AJ114</x:f>
        <x:v>-1.6477999442367444</x:v>
      </x:c>
      <x:c r="I115" s="242" t="n">
        <x:f>AK114</x:f>
        <x:v>-1.265923591059453</x:v>
      </x:c>
      <x:c r="J115" s="242" t="n">
        <x:f>AL114</x:f>
        <x:v>1.1126227378686673</x:v>
      </x:c>
      <x:c r="K115" s="242" t="n">
        <x:f>AM114</x:f>
        <x:v>-1.726067390724479</x:v>
      </x:c>
      <x:c r="L115" s="242" t="n">
        <x:f>AN114</x:f>
        <x:v>1.3346253361107763</x:v>
      </x:c>
      <x:c r="M115" s="242" t="n">
        <x:f>AO114</x:f>
        <x:v>1.4818036894294158</x:v>
      </x:c>
      <x:c r="N115" s="242" t="n">
        <x:f>AP114</x:f>
        <x:v>-1.7592919558307816</x:v>
      </x:c>
      <x:c r="O115" s="242" t="n">
        <x:f>AQ114</x:f>
        <x:v>0.848143478247098</x:v>
      </x:c>
      <x:c r="P115" s="243" t="n">
        <x:f>D115*G115+E115*H115+I115</x:f>
        <x:v>0.017638518138437753</x:v>
      </x:c>
      <x:c r="Q115" s="243" t="n">
        <x:f>1/(1+EXP(-P115))</x:f>
        <x:v>0.5044095152121552</x:v>
      </x:c>
      <x:c r="R115" s="243" t="n">
        <x:f>D115*J115+E115*K115+L115</x:f>
        <x:v>2.4472480739794436</x:v>
      </x:c>
      <x:c r="S115" s="243" t="n">
        <x:f>1/(1+EXP(-R115))</x:f>
        <x:v>0.9203599747361253</x:v>
      </x:c>
      <x:c r="T115" s="243" t="n">
        <x:f>Q115*M115+S115*N115+O115</x:f>
        <x:v>-0.023602541150114065</x:v>
      </x:c>
      <x:c r="U115" s="243" t="n">
        <x:f>1/(1+EXP(-T115))</x:f>
        <x:v>0.494099638624346</x:v>
      </x:c>
      <x:c r="V115" s="243" t="n">
        <x:f>0.5*(F115-U115)^2</x:f>
        <x:v>0.12796758782000864</x:v>
      </x:c>
      <x:c r="W115" s="244" t="n">
        <x:f>(U115-F115)*U115*(1-U115)</x:f>
        <x:v>-0.12645747779499106</x:v>
      </x:c>
      <x:c r="X115" s="244" t="n">
        <x:f>W115*M115*Q115*(1-Q115)</x:f>
        <x:v>-0.046842645804047026</x:v>
      </x:c>
      <x:c r="Y115" s="244" t="n">
        <x:f>W115*N115*S115*(1-S115)</x:f>
        <x:v>0.016306905149116875</x:v>
      </x:c>
      <x:c r="Z115" s="245" t="n">
        <x:f>X115*D115</x:f>
        <x:v>-0.046842645804047026</x:v>
      </x:c>
      <x:c r="AA115" s="245" t="n">
        <x:f>X115*E115</x:f>
        <x:v>0</x:v>
      </x:c>
      <x:c r="AB115" s="245" t="n">
        <x:f>X115</x:f>
        <x:v>-0.046842645804047026</x:v>
      </x:c>
      <x:c r="AC115" s="245" t="n">
        <x:f>Y115*D115</x:f>
        <x:v>0.016306905149116875</x:v>
      </x:c>
      <x:c r="AD115" s="245" t="n">
        <x:f>Y115*E115</x:f>
        <x:v>0</x:v>
      </x:c>
      <x:c r="AE115" s="245" t="n">
        <x:f>Y115</x:f>
        <x:v>0.016306905149116875</x:v>
      </x:c>
      <x:c r="AF115" s="245" t="n">
        <x:f>W115*Q115</x:f>
        <x:v>-0.06378635506952332</x:v>
      </x:c>
      <x:c r="AG115" s="245" t="n">
        <x:f>W115*S115</x:f>
        <x:v>-0.11638640106859209</x:v>
      </x:c>
      <x:c r="AH115" s="245" t="n">
        <x:f>W115</x:f>
        <x:v>-0.12645747779499106</x:v>
      </x:c>
      <x:c r="AI115" s="246" t="n">
        <x:f>G115-$B$4*Z115</x:f>
        <x:v>1.3304047550019378</x:v>
      </x:c>
      <x:c r="AJ115" s="246" t="n">
        <x:f>H115-$B$4*AA115</x:f>
        <x:v>-1.6477999442367444</x:v>
      </x:c>
      <x:c r="AK115" s="246" t="n">
        <x:f>I115-$B$4*AB115</x:f>
        <x:v>-1.2190809452554061</x:v>
      </x:c>
      <x:c r="AL115" s="246" t="n">
        <x:f>J115-$B$4*AC115</x:f>
        <x:v>1.0963158327195504</x:v>
      </x:c>
      <x:c r="AM115" s="246" t="n">
        <x:f>K115-$B$4*AD115</x:f>
        <x:v>-1.726067390724479</x:v>
      </x:c>
      <x:c r="AN115" s="246" t="n">
        <x:f>L115-$B$4*AE115</x:f>
        <x:v>1.3183184309616593</x:v>
      </x:c>
      <x:c r="AO115" s="246" t="n">
        <x:f>M115-$B$4*AF115</x:f>
        <x:v>1.545590044498939</x:v>
      </x:c>
      <x:c r="AP115" s="246" t="n">
        <x:f>N115-$B$4*AG115</x:f>
        <x:v>-1.6429055547621896</x:v>
      </x:c>
      <x:c r="AQ115" s="246" t="n">
        <x:f>O115-$B$4*AH115</x:f>
        <x:v>0.9746009560420891</x:v>
      </x:c>
      <x:c r="AR115" s="182" t="n">
        <x:f>IF(U115&gt;=$B$5,1,0)</x:f>
        <x:v>0</x:v>
      </x:c>
      <x:c r="AS115" s="182" t="n">
        <x:f>IF(AR115=F115,1,0)</x:f>
        <x:v>0</x:v>
      </x:c>
      <x:c r="AT115" s="252" t="n">
        <x:f>ABS(F115-U115)</x:f>
        <x:v>0.505900361375654</x:v>
      </x:c>
    </x:row>
    <x:row r="116">
      <x:c r="A116" s="114" t="n">
        <x:v>100</x:v>
      </x:c>
      <x:c r="B116" s="114" t="n">
        <x:v>25</x:v>
      </x:c>
      <x:c r="C116" s="114" t="n">
        <x:v>4</x:v>
      </x:c>
      <x:c r="D116" s="168" t="n">
        <x:f>$I$8</x:f>
        <x:v>1</x:v>
      </x:c>
      <x:c r="E116" s="168" t="n">
        <x:f>$J$8</x:f>
        <x:v>1</x:v>
      </x:c>
      <x:c r="F116" s="168" t="n">
        <x:f>$K$8</x:f>
        <x:v>0</x:v>
      </x:c>
      <x:c r="G116" s="242" t="n">
        <x:f>AI115</x:f>
        <x:v>1.3304047550019378</x:v>
      </x:c>
      <x:c r="H116" s="242" t="n">
        <x:f>AJ115</x:f>
        <x:v>-1.6477999442367444</x:v>
      </x:c>
      <x:c r="I116" s="242" t="n">
        <x:f>AK115</x:f>
        <x:v>-1.2190809452554061</x:v>
      </x:c>
      <x:c r="J116" s="242" t="n">
        <x:f>AL115</x:f>
        <x:v>1.0963158327195504</x:v>
      </x:c>
      <x:c r="K116" s="242" t="n">
        <x:f>AM115</x:f>
        <x:v>-1.726067390724479</x:v>
      </x:c>
      <x:c r="L116" s="242" t="n">
        <x:f>AN115</x:f>
        <x:v>1.3183184309616593</x:v>
      </x:c>
      <x:c r="M116" s="242" t="n">
        <x:f>AO115</x:f>
        <x:v>1.545590044498939</x:v>
      </x:c>
      <x:c r="N116" s="242" t="n">
        <x:f>AP115</x:f>
        <x:v>-1.6429055547621896</x:v>
      </x:c>
      <x:c r="O116" s="242" t="n">
        <x:f>AQ115</x:f>
        <x:v>0.9746009560420891</x:v>
      </x:c>
      <x:c r="P116" s="243" t="n">
        <x:f>D116*G116+E116*H116+I116</x:f>
        <x:v>-1.5364761344902127</x:v>
      </x:c>
      <x:c r="Q116" s="243" t="n">
        <x:f>1/(1+EXP(-P116))</x:f>
        <x:v>0.17704812516215265</x:v>
      </x:c>
      <x:c r="R116" s="243" t="n">
        <x:f>D116*J116+E116*K116+L116</x:f>
        <x:v>0.6885668729567307</x:v>
      </x:c>
      <x:c r="S116" s="243" t="n">
        <x:f>1/(1+EXP(-R116))</x:f>
        <x:v>0.6656480447131297</x:v>
      </x:c>
      <x:c r="T116" s="243" t="n">
        <x:f>Q116*M116+S116*N116+O116</x:f>
        <x:v>0.15464790551412333</x:v>
      </x:c>
      <x:c r="U116" s="243" t="n">
        <x:f>1/(1+EXP(-T116))</x:f>
        <x:v>0.5385851069766197</x:v>
      </x:c>
      <x:c r="V116" s="243" t="n">
        <x:f>0.5*(F116-U116)^2</x:f>
        <x:v>0.1450369587285084</x:v>
      </x:c>
      <x:c r="W116" s="244" t="n">
        <x:f>(U116-F116)*U116*(1-U116)</x:f>
        <x:v>0.13384442559230228</x:v>
      </x:c>
      <x:c r="X116" s="244" t="n">
        <x:f>W116*M116*Q116*(1-Q116)</x:f>
        <x:v>0.030141188365098655</x:v>
      </x:c>
      <x:c r="Y116" s="244" t="n">
        <x:f>W116*N116*S116*(1-S116)</x:f>
        <x:v>-0.048939712547352854</x:v>
      </x:c>
      <x:c r="Z116" s="245" t="n">
        <x:f>X116*D116</x:f>
        <x:v>0.030141188365098655</x:v>
      </x:c>
      <x:c r="AA116" s="245" t="n">
        <x:f>X116*E116</x:f>
        <x:v>0.030141188365098655</x:v>
      </x:c>
      <x:c r="AB116" s="245" t="n">
        <x:f>X116</x:f>
        <x:v>0.030141188365098655</x:v>
      </x:c>
      <x:c r="AC116" s="245" t="n">
        <x:f>Y116*D116</x:f>
        <x:v>-0.048939712547352854</x:v>
      </x:c>
      <x:c r="AD116" s="245" t="n">
        <x:f>Y116*E116</x:f>
        <x:v>-0.048939712547352854</x:v>
      </x:c>
      <x:c r="AE116" s="245" t="n">
        <x:f>Y116</x:f>
        <x:v>-0.048939712547352854</x:v>
      </x:c>
      <x:c r="AF116" s="245" t="n">
        <x:f>W116*Q116</x:f>
        <x:v>0.02369690461452236</x:v>
      </x:c>
      <x:c r="AG116" s="245" t="n">
        <x:f>W116*S116</x:f>
        <x:v>0.08909328019126798</x:v>
      </x:c>
      <x:c r="AH116" s="245" t="n">
        <x:f>W116</x:f>
        <x:v>0.13384442559230228</x:v>
      </x:c>
      <x:c r="AI116" s="246" t="n">
        <x:f>G116-$B$4*Z116</x:f>
        <x:v>1.3002635666368392</x:v>
      </x:c>
      <x:c r="AJ116" s="246" t="n">
        <x:f>H116-$B$4*AA116</x:f>
        <x:v>-1.677941132601843</x:v>
      </x:c>
      <x:c r="AK116" s="246" t="n">
        <x:f>I116-$B$4*AB116</x:f>
        <x:v>-1.2492221336205047</x:v>
      </x:c>
      <x:c r="AL116" s="246" t="n">
        <x:f>J116-$B$4*AC116</x:f>
        <x:v>1.1452555452669033</x:v>
      </x:c>
      <x:c r="AM116" s="246" t="n">
        <x:f>K116-$B$4*AD116</x:f>
        <x:v>-1.677127678177126</x:v>
      </x:c>
      <x:c r="AN116" s="246" t="n">
        <x:f>L116-$B$4*AE116</x:f>
        <x:v>1.3672581435090123</x:v>
      </x:c>
      <x:c r="AO116" s="246" t="n">
        <x:f>M116-$B$4*AF116</x:f>
        <x:v>1.5218931398844167</x:v>
      </x:c>
      <x:c r="AP116" s="246" t="n">
        <x:f>N116-$B$4*AG116</x:f>
        <x:v>-1.7319988349534576</x:v>
      </x:c>
      <x:c r="AQ116" s="246" t="n">
        <x:f>O116-$B$4*AH116</x:f>
        <x:v>0.8407565304497868</x:v>
      </x:c>
      <x:c r="AR116" s="182" t="n">
        <x:f>IF(U116&gt;=$B$5,1,0)</x:f>
        <x:v>1</x:v>
      </x:c>
      <x:c r="AS116" s="182" t="n">
        <x:f>IF(AR116=F116,1,0)</x:f>
        <x:v>0</x:v>
      </x:c>
      <x:c r="AT116" s="252" t="n">
        <x:f>ABS(F116-U116)</x:f>
        <x:v>0.5385851069766197</x:v>
      </x:c>
    </x:row>
    <x:row r="117">
      <x:c r="A117" s="114" t="n">
        <x:v>101</x:v>
      </x:c>
      <x:c r="B117" s="114" t="n">
        <x:v>26</x:v>
      </x:c>
      <x:c r="C117" s="114" t="n">
        <x:v>1</x:v>
      </x:c>
      <x:c r="D117" s="168" t="n">
        <x:f>$I$5</x:f>
        <x:v>0</x:v>
      </x:c>
      <x:c r="E117" s="168" t="n">
        <x:f>$J$5</x:f>
        <x:v>0</x:v>
      </x:c>
      <x:c r="F117" s="168" t="n">
        <x:f>$K$5</x:f>
        <x:v>0</x:v>
      </x:c>
      <x:c r="G117" s="242" t="n">
        <x:f>AI116</x:f>
        <x:v>1.3002635666368392</x:v>
      </x:c>
      <x:c r="H117" s="242" t="n">
        <x:f>AJ116</x:f>
        <x:v>-1.677941132601843</x:v>
      </x:c>
      <x:c r="I117" s="242" t="n">
        <x:f>AK116</x:f>
        <x:v>-1.2492221336205047</x:v>
      </x:c>
      <x:c r="J117" s="242" t="n">
        <x:f>AL116</x:f>
        <x:v>1.1452555452669033</x:v>
      </x:c>
      <x:c r="K117" s="242" t="n">
        <x:f>AM116</x:f>
        <x:v>-1.677127678177126</x:v>
      </x:c>
      <x:c r="L117" s="242" t="n">
        <x:f>AN116</x:f>
        <x:v>1.3672581435090123</x:v>
      </x:c>
      <x:c r="M117" s="242" t="n">
        <x:f>AO116</x:f>
        <x:v>1.5218931398844167</x:v>
      </x:c>
      <x:c r="N117" s="242" t="n">
        <x:f>AP116</x:f>
        <x:v>-1.7319988349534576</x:v>
      </x:c>
      <x:c r="O117" s="242" t="n">
        <x:f>AQ116</x:f>
        <x:v>0.8407565304497868</x:v>
      </x:c>
      <x:c r="P117" s="243" t="n">
        <x:f>D117*G117+E117*H117+I117</x:f>
        <x:v>-1.2492221336205047</x:v>
      </x:c>
      <x:c r="Q117" s="243" t="n">
        <x:f>1/(1+EXP(-P117))</x:f>
        <x:v>0.22283482026353676</x:v>
      </x:c>
      <x:c r="R117" s="243" t="n">
        <x:f>D117*J117+E117*K117+L117</x:f>
        <x:v>1.3672581435090123</x:v>
      </x:c>
      <x:c r="S117" s="243" t="n">
        <x:f>1/(1+EXP(-R117))</x:f>
        <x:v>0.7969368041858607</x:v>
      </x:c>
      <x:c r="T117" s="243" t="n">
        <x:f>Q117*M117+S117*N117+O117</x:f>
        <x:v>-0.200406301645202</x:v>
      </x:c>
      <x:c r="U117" s="243" t="n">
        <x:f>1/(1+EXP(-T117))</x:f>
        <x:v>0.4500654383343883</x:v>
      </x:c>
      <x:c r="V117" s="243" t="n">
        <x:f>0.5*(F117-U117)^2</x:f>
        <x:v>0.10127944939156253</x:v>
      </x:c>
      <x:c r="W117" s="244" t="n">
        <x:f>(U117-F117)*U117*(1-U117)</x:f>
        <x:v>0.11139413921376688</x:v>
      </x:c>
      <x:c r="X117" s="244" t="n">
        <x:f>W117*M117*Q117*(1-Q117)</x:f>
        <x:v>0.029359110280797775</x:v>
      </x:c>
      <x:c r="Y117" s="244" t="n">
        <x:f>W117*N117*S117*(1-S117)</x:f>
        <x:v>-0.031222310484324223</x:v>
      </x:c>
      <x:c r="Z117" s="245" t="n">
        <x:f>X117*D117</x:f>
        <x:v>0</x:v>
      </x:c>
      <x:c r="AA117" s="245" t="n">
        <x:f>X117*E117</x:f>
        <x:v>0</x:v>
      </x:c>
      <x:c r="AB117" s="245" t="n">
        <x:f>X117</x:f>
        <x:v>0.029359110280797775</x:v>
      </x:c>
      <x:c r="AC117" s="245" t="n">
        <x:f>Y117*D117</x:f>
        <x:v>0</x:v>
      </x:c>
      <x:c r="AD117" s="245" t="n">
        <x:f>Y117*E117</x:f>
        <x:v>0</x:v>
      </x:c>
      <x:c r="AE117" s="245" t="n">
        <x:f>Y117</x:f>
        <x:v>-0.031222310484324223</x:v>
      </x:c>
      <x:c r="AF117" s="245" t="n">
        <x:f>W117*Q117</x:f>
        <x:v>0.024822492990111137</x:v>
      </x:c>
      <x:c r="AG117" s="245" t="n">
        <x:f>W117*S117</x:f>
        <x:v>0.08877408931005425</x:v>
      </x:c>
      <x:c r="AH117" s="245" t="n">
        <x:f>W117</x:f>
        <x:v>0.11139413921376688</x:v>
      </x:c>
      <x:c r="AI117" s="246" t="n">
        <x:f>G117-$B$4*Z117</x:f>
        <x:v>1.3002635666368392</x:v>
      </x:c>
      <x:c r="AJ117" s="246" t="n">
        <x:f>H117-$B$4*AA117</x:f>
        <x:v>-1.677941132601843</x:v>
      </x:c>
      <x:c r="AK117" s="246" t="n">
        <x:f>I117-$B$4*AB117</x:f>
        <x:v>-1.2785812439013025</x:v>
      </x:c>
      <x:c r="AL117" s="246" t="n">
        <x:f>J117-$B$4*AC117</x:f>
        <x:v>1.1452555452669033</x:v>
      </x:c>
      <x:c r="AM117" s="246" t="n">
        <x:f>K117-$B$4*AD117</x:f>
        <x:v>-1.677127678177126</x:v>
      </x:c>
      <x:c r="AN117" s="246" t="n">
        <x:f>L117-$B$4*AE117</x:f>
        <x:v>1.3984804539933364</x:v>
      </x:c>
      <x:c r="AO117" s="246" t="n">
        <x:f>M117-$B$4*AF117</x:f>
        <x:v>1.4970706468943056</x:v>
      </x:c>
      <x:c r="AP117" s="246" t="n">
        <x:f>N117-$B$4*AG117</x:f>
        <x:v>-1.8207729242635118</x:v>
      </x:c>
      <x:c r="AQ117" s="246" t="n">
        <x:f>O117-$B$4*AH117</x:f>
        <x:v>0.72936239123602</x:v>
      </x:c>
      <x:c r="AR117" s="182" t="n">
        <x:f>IF(U117&gt;=$B$5,1,0)</x:f>
        <x:v>0</x:v>
      </x:c>
      <x:c r="AS117" s="182" t="n">
        <x:f>IF(AR117=F117,1,0)</x:f>
        <x:v>1</x:v>
      </x:c>
      <x:c r="AT117" s="252" t="n">
        <x:f>ABS(F117-U117)</x:f>
        <x:v>0.4500654383343883</x:v>
      </x:c>
    </x:row>
    <x:row r="118">
      <x:c r="A118" s="114" t="n">
        <x:v>102</x:v>
      </x:c>
      <x:c r="B118" s="114" t="n">
        <x:v>26</x:v>
      </x:c>
      <x:c r="C118" s="114" t="n">
        <x:v>2</x:v>
      </x:c>
      <x:c r="D118" s="168" t="n">
        <x:f>$I$6</x:f>
        <x:v>0</x:v>
      </x:c>
      <x:c r="E118" s="168" t="n">
        <x:f>$J$6</x:f>
        <x:v>1</x:v>
      </x:c>
      <x:c r="F118" s="168" t="n">
        <x:f>$K$6</x:f>
        <x:v>1</x:v>
      </x:c>
      <x:c r="G118" s="242" t="n">
        <x:f>AI117</x:f>
        <x:v>1.3002635666368392</x:v>
      </x:c>
      <x:c r="H118" s="242" t="n">
        <x:f>AJ117</x:f>
        <x:v>-1.677941132601843</x:v>
      </x:c>
      <x:c r="I118" s="242" t="n">
        <x:f>AK117</x:f>
        <x:v>-1.2785812439013025</x:v>
      </x:c>
      <x:c r="J118" s="242" t="n">
        <x:f>AL117</x:f>
        <x:v>1.1452555452669033</x:v>
      </x:c>
      <x:c r="K118" s="242" t="n">
        <x:f>AM117</x:f>
        <x:v>-1.677127678177126</x:v>
      </x:c>
      <x:c r="L118" s="242" t="n">
        <x:f>AN117</x:f>
        <x:v>1.3984804539933364</x:v>
      </x:c>
      <x:c r="M118" s="242" t="n">
        <x:f>AO117</x:f>
        <x:v>1.4970706468943056</x:v>
      </x:c>
      <x:c r="N118" s="242" t="n">
        <x:f>AP117</x:f>
        <x:v>-1.8207729242635118</x:v>
      </x:c>
      <x:c r="O118" s="242" t="n">
        <x:f>AQ117</x:f>
        <x:v>0.72936239123602</x:v>
      </x:c>
      <x:c r="P118" s="243" t="n">
        <x:f>D118*G118+E118*H118+I118</x:f>
        <x:v>-2.9565223765031456</x:v>
      </x:c>
      <x:c r="Q118" s="243" t="n">
        <x:f>1/(1+EXP(-P118))</x:f>
        <x:v>0.04942914958779793</x:v>
      </x:c>
      <x:c r="R118" s="243" t="n">
        <x:f>D118*J118+E118*K118+L118</x:f>
        <x:v>-0.2786472241837896</x:v>
      </x:c>
      <x:c r="S118" s="243" t="n">
        <x:f>1/(1+EXP(-R118))</x:f>
        <x:v>0.43078545822901576</x:v>
      </x:c>
      <x:c r="T118" s="243" t="n">
        <x:f>Q118*M118+S118*N118+O118</x:f>
        <x:v>0.018998821675018096</x:v>
      </x:c>
      <x:c r="U118" s="243" t="n">
        <x:f>1/(1+EXP(-T118))</x:f>
        <x:v>0.5047495625546623</x:v>
      </x:c>
      <x:c r="V118" s="243" t="n">
        <x:f>0.5*(F118-U118)^2</x:f>
        <x:v>0.12263649789489918</x:v>
      </x:c>
      <x:c r="W118" s="244" t="n">
        <x:f>(U118-F118)*U118*(1-U118)</x:f>
        <x:v>-0.12380143733137224</x:v>
      </x:c>
      <x:c r="X118" s="244" t="n">
        <x:f>W118*M118*Q118*(1-Q118)</x:f>
        <x:v>-0.00870834473642598</x:v>
      </x:c>
      <x:c r="Y118" s="244" t="n">
        <x:f>W118*N118*S118*(1-S118)</x:f>
        <x:v>0.05527369459936121</x:v>
      </x:c>
      <x:c r="Z118" s="245" t="n">
        <x:f>X118*D118</x:f>
        <x:v>0</x:v>
      </x:c>
      <x:c r="AA118" s="245" t="n">
        <x:f>X118*E118</x:f>
        <x:v>-0.00870834473642598</x:v>
      </x:c>
      <x:c r="AB118" s="245" t="n">
        <x:f>X118</x:f>
        <x:v>-0.00870834473642598</x:v>
      </x:c>
      <x:c r="AC118" s="245" t="n">
        <x:f>Y118*D118</x:f>
        <x:v>0</x:v>
      </x:c>
      <x:c r="AD118" s="245" t="n">
        <x:f>Y118*E118</x:f>
        <x:v>0.05527369459936121</x:v>
      </x:c>
      <x:c r="AE118" s="245" t="n">
        <x:f>Y118</x:f>
        <x:v>0.05527369459936121</x:v>
      </x:c>
      <x:c r="AF118" s="245" t="n">
        <x:f>W118*Q118</x:f>
        <x:v>-0.0061193997650367885</x:v>
      </x:c>
      <x:c r="AG118" s="245" t="n">
        <x:f>W118*S118</x:f>
        <x:v>-0.05333185891020597</x:v>
      </x:c>
      <x:c r="AH118" s="245" t="n">
        <x:f>W118</x:f>
        <x:v>-0.12380143733137224</x:v>
      </x:c>
      <x:c r="AI118" s="246" t="n">
        <x:f>G118-$B$4*Z118</x:f>
        <x:v>1.3002635666368392</x:v>
      </x:c>
      <x:c r="AJ118" s="246" t="n">
        <x:f>H118-$B$4*AA118</x:f>
        <x:v>-1.669232787865417</x:v>
      </x:c>
      <x:c r="AK118" s="246" t="n">
        <x:f>I118-$B$4*AB118</x:f>
        <x:v>-1.2698728991648764</x:v>
      </x:c>
      <x:c r="AL118" s="246" t="n">
        <x:f>J118-$B$4*AC118</x:f>
        <x:v>1.1452555452669033</x:v>
      </x:c>
      <x:c r="AM118" s="246" t="n">
        <x:f>K118-$B$4*AD118</x:f>
        <x:v>-1.7324013727764873</x:v>
      </x:c>
      <x:c r="AN118" s="246" t="n">
        <x:f>L118-$B$4*AE118</x:f>
        <x:v>1.3432067593939752</x:v>
      </x:c>
      <x:c r="AO118" s="246" t="n">
        <x:f>M118-$B$4*AF118</x:f>
        <x:v>1.5031900466593424</x:v>
      </x:c>
      <x:c r="AP118" s="246" t="n">
        <x:f>N118-$B$4*AG118</x:f>
        <x:v>-1.767441065353306</x:v>
      </x:c>
      <x:c r="AQ118" s="246" t="n">
        <x:f>O118-$B$4*AH118</x:f>
        <x:v>0.8531638285673923</x:v>
      </x:c>
      <x:c r="AR118" s="182" t="n">
        <x:f>IF(U118&gt;=$B$5,1,0)</x:f>
        <x:v>1</x:v>
      </x:c>
      <x:c r="AS118" s="182" t="n">
        <x:f>IF(AR118=F118,1,0)</x:f>
        <x:v>1</x:v>
      </x:c>
      <x:c r="AT118" s="252" t="n">
        <x:f>ABS(F118-U118)</x:f>
        <x:v>0.4952504374453377</x:v>
      </x:c>
    </x:row>
    <x:row r="119">
      <x:c r="A119" s="114" t="n">
        <x:v>103</x:v>
      </x:c>
      <x:c r="B119" s="114" t="n">
        <x:v>26</x:v>
      </x:c>
      <x:c r="C119" s="114" t="n">
        <x:v>3</x:v>
      </x:c>
      <x:c r="D119" s="168" t="n">
        <x:f>$I$7</x:f>
        <x:v>1</x:v>
      </x:c>
      <x:c r="E119" s="168" t="n">
        <x:f>$J$7</x:f>
        <x:v>0</x:v>
      </x:c>
      <x:c r="F119" s="168" t="n">
        <x:f>$K$7</x:f>
        <x:v>1</x:v>
      </x:c>
      <x:c r="G119" s="242" t="n">
        <x:f>AI118</x:f>
        <x:v>1.3002635666368392</x:v>
      </x:c>
      <x:c r="H119" s="242" t="n">
        <x:f>AJ118</x:f>
        <x:v>-1.669232787865417</x:v>
      </x:c>
      <x:c r="I119" s="242" t="n">
        <x:f>AK118</x:f>
        <x:v>-1.2698728991648764</x:v>
      </x:c>
      <x:c r="J119" s="242" t="n">
        <x:f>AL118</x:f>
        <x:v>1.1452555452669033</x:v>
      </x:c>
      <x:c r="K119" s="242" t="n">
        <x:f>AM118</x:f>
        <x:v>-1.7324013727764873</x:v>
      </x:c>
      <x:c r="L119" s="242" t="n">
        <x:f>AN118</x:f>
        <x:v>1.3432067593939752</x:v>
      </x:c>
      <x:c r="M119" s="242" t="n">
        <x:f>AO118</x:f>
        <x:v>1.5031900466593424</x:v>
      </x:c>
      <x:c r="N119" s="242" t="n">
        <x:f>AP118</x:f>
        <x:v>-1.767441065353306</x:v>
      </x:c>
      <x:c r="O119" s="242" t="n">
        <x:f>AQ118</x:f>
        <x:v>0.8531638285673923</x:v>
      </x:c>
      <x:c r="P119" s="243" t="n">
        <x:f>D119*G119+E119*H119+I119</x:f>
        <x:v>0.03039066747196273</x:v>
      </x:c>
      <x:c r="Q119" s="243" t="n">
        <x:f>1/(1+EXP(-P119))</x:f>
        <x:v>0.5075970821595419</x:v>
      </x:c>
      <x:c r="R119" s="243" t="n">
        <x:f>D119*J119+E119*K119+L119</x:f>
        <x:v>2.4884623046608785</x:v>
      </x:c>
      <x:c r="S119" s="243" t="n">
        <x:f>1/(1+EXP(-R119))</x:f>
        <x:v>0.9233290161192044</x:v>
      </x:c>
      <x:c r="T119" s="243" t="n">
        <x:f>Q119*M119+S119*N119+O119</x:f>
        <x:v>-0.015750909738406316</x:v>
      </x:c>
      <x:c r="U119" s="243" t="n">
        <x:f>1/(1+EXP(-T119))</x:f>
        <x:v>0.4960623539729919</x:v>
      </x:c>
      <x:c r="V119" s="243" t="n">
        <x:f>0.5*(F119-U119)^2</x:f>
        <x:v>0.12697657554162103</x:v>
      </x:c>
      <x:c r="W119" s="244" t="n">
        <x:f>(U119-F119)*U119*(1-U119)</x:f>
        <x:v>-0.12597659792521193</x:v>
      </x:c>
      <x:c r="X119" s="244" t="n">
        <x:f>W119*M119*Q119*(1-Q119)</x:f>
        <x:v>-0.047330762600796356</x:v>
      </x:c>
      <x:c r="Y119" s="244" t="n">
        <x:f>W119*N119*S119*(1-S119)</x:f>
        <x:v>0.01576239974133023</x:v>
      </x:c>
      <x:c r="Z119" s="245" t="n">
        <x:f>X119*D119</x:f>
        <x:v>-0.047330762600796356</x:v>
      </x:c>
      <x:c r="AA119" s="245" t="n">
        <x:f>X119*E119</x:f>
        <x:v>0</x:v>
      </x:c>
      <x:c r="AB119" s="245" t="n">
        <x:f>X119</x:f>
        <x:v>-0.047330762600796356</x:v>
      </x:c>
      <x:c r="AC119" s="245" t="n">
        <x:f>Y119*D119</x:f>
        <x:v>0.01576239974133023</x:v>
      </x:c>
      <x:c r="AD119" s="245" t="n">
        <x:f>Y119*E119</x:f>
        <x:v>0</x:v>
      </x:c>
      <x:c r="AE119" s="245" t="n">
        <x:f>Y119</x:f>
        <x:v>0.01576239974133023</x:v>
      </x:c>
      <x:c r="AF119" s="245" t="n">
        <x:f>W119*Q119</x:f>
        <x:v>-0.06394535352722337</x:v>
      </x:c>
      <x:c r="AG119" s="245" t="n">
        <x:f>W119*S119</x:f>
        <x:v>-0.11631784821633054</x:v>
      </x:c>
      <x:c r="AH119" s="245" t="n">
        <x:f>W119</x:f>
        <x:v>-0.12597659792521193</x:v>
      </x:c>
      <x:c r="AI119" s="246" t="n">
        <x:f>G119-$B$4*Z119</x:f>
        <x:v>1.3475943292376356</x:v>
      </x:c>
      <x:c r="AJ119" s="246" t="n">
        <x:f>H119-$B$4*AA119</x:f>
        <x:v>-1.669232787865417</x:v>
      </x:c>
      <x:c r="AK119" s="246" t="n">
        <x:f>I119-$B$4*AB119</x:f>
        <x:v>-1.22254213656408</x:v>
      </x:c>
      <x:c r="AL119" s="246" t="n">
        <x:f>J119-$B$4*AC119</x:f>
        <x:v>1.129493145525573</x:v>
      </x:c>
      <x:c r="AM119" s="246" t="n">
        <x:f>K119-$B$4*AD119</x:f>
        <x:v>-1.7324013727764873</x:v>
      </x:c>
      <x:c r="AN119" s="246" t="n">
        <x:f>L119-$B$4*AE119</x:f>
        <x:v>1.3274443596526448</x:v>
      </x:c>
      <x:c r="AO119" s="246" t="n">
        <x:f>M119-$B$4*AF119</x:f>
        <x:v>1.5671354001865658</x:v>
      </x:c>
      <x:c r="AP119" s="246" t="n">
        <x:f>N119-$B$4*AG119</x:f>
        <x:v>-1.6511232171369754</x:v>
      </x:c>
      <x:c r="AQ119" s="246" t="n">
        <x:f>O119-$B$4*AH119</x:f>
        <x:v>0.9791404264926042</x:v>
      </x:c>
      <x:c r="AR119" s="182" t="n">
        <x:f>IF(U119&gt;=$B$5,1,0)</x:f>
        <x:v>0</x:v>
      </x:c>
      <x:c r="AS119" s="182" t="n">
        <x:f>IF(AR119=F119,1,0)</x:f>
        <x:v>0</x:v>
      </x:c>
      <x:c r="AT119" s="252" t="n">
        <x:f>ABS(F119-U119)</x:f>
        <x:v>0.5039376460270081</x:v>
      </x:c>
    </x:row>
    <x:row r="120">
      <x:c r="A120" s="114" t="n">
        <x:v>104</x:v>
      </x:c>
      <x:c r="B120" s="114" t="n">
        <x:v>26</x:v>
      </x:c>
      <x:c r="C120" s="114" t="n">
        <x:v>4</x:v>
      </x:c>
      <x:c r="D120" s="168" t="n">
        <x:f>$I$8</x:f>
        <x:v>1</x:v>
      </x:c>
      <x:c r="E120" s="168" t="n">
        <x:f>$J$8</x:f>
        <x:v>1</x:v>
      </x:c>
      <x:c r="F120" s="168" t="n">
        <x:f>$K$8</x:f>
        <x:v>0</x:v>
      </x:c>
      <x:c r="G120" s="242" t="n">
        <x:f>AI119</x:f>
        <x:v>1.3475943292376356</x:v>
      </x:c>
      <x:c r="H120" s="242" t="n">
        <x:f>AJ119</x:f>
        <x:v>-1.669232787865417</x:v>
      </x:c>
      <x:c r="I120" s="242" t="n">
        <x:f>AK119</x:f>
        <x:v>-1.22254213656408</x:v>
      </x:c>
      <x:c r="J120" s="242" t="n">
        <x:f>AL119</x:f>
        <x:v>1.129493145525573</x:v>
      </x:c>
      <x:c r="K120" s="242" t="n">
        <x:f>AM119</x:f>
        <x:v>-1.7324013727764873</x:v>
      </x:c>
      <x:c r="L120" s="242" t="n">
        <x:f>AN119</x:f>
        <x:v>1.3274443596526448</x:v>
      </x:c>
      <x:c r="M120" s="242" t="n">
        <x:f>AO119</x:f>
        <x:v>1.5671354001865658</x:v>
      </x:c>
      <x:c r="N120" s="242" t="n">
        <x:f>AP119</x:f>
        <x:v>-1.6511232171369754</x:v>
      </x:c>
      <x:c r="O120" s="242" t="n">
        <x:f>AQ119</x:f>
        <x:v>0.9791404264926042</x:v>
      </x:c>
      <x:c r="P120" s="243" t="n">
        <x:f>D120*G120+E120*H120+I120</x:f>
        <x:v>-1.5441805951918615</x:v>
      </x:c>
      <x:c r="Q120" s="243" t="n">
        <x:f>1/(1+EXP(-P120))</x:f>
        <x:v>0.1759283608652045</x:v>
      </x:c>
      <x:c r="R120" s="243" t="n">
        <x:f>D120*J120+E120*K120+L120</x:f>
        <x:v>0.7245361324017305</x:v>
      </x:c>
      <x:c r="S120" s="243" t="n">
        <x:f>1/(1+EXP(-R120))</x:f>
        <x:v>0.6736051211531269</x:v>
      </x:c>
      <x:c r="T120" s="243" t="n">
        <x:f>Q120*M120+S120*N120+O120</x:f>
        <x:v>0.14263893398297012</x:v>
      </x:c>
      <x:c r="U120" s="243" t="n">
        <x:f>1/(1+EXP(-T120))</x:f>
        <x:v>0.5355993955770678</x:v>
      </x:c>
      <x:c r="V120" s="243" t="n">
        <x:f>0.5*(F120-U120)^2</x:f>
        <x:v>0.1434333562712602</x:v>
      </x:c>
      <x:c r="W120" s="244" t="n">
        <x:f>(U120-F120)*U120*(1-U120)</x:f>
        <x:v>0.133221074693566</x:v>
      </x:c>
      <x:c r="X120" s="244" t="n">
        <x:f>W120*M120*Q120*(1-Q120)</x:f>
        <x:v>0.030267759751310346</x:v>
      </x:c>
      <x:c r="Y120" s="244" t="n">
        <x:f>W120*N120*S120*(1-S120)</x:f>
        <x:v>-0.04836165263430326</x:v>
      </x:c>
      <x:c r="Z120" s="245" t="n">
        <x:f>X120*D120</x:f>
        <x:v>0.030267759751310346</x:v>
      </x:c>
      <x:c r="AA120" s="245" t="n">
        <x:f>X120*E120</x:f>
        <x:v>0.030267759751310346</x:v>
      </x:c>
      <x:c r="AB120" s="245" t="n">
        <x:f>X120</x:f>
        <x:v>0.030267759751310346</x:v>
      </x:c>
      <x:c r="AC120" s="245" t="n">
        <x:f>Y120*D120</x:f>
        <x:v>-0.04836165263430326</x:v>
      </x:c>
      <x:c r="AD120" s="245" t="n">
        <x:f>Y120*E120</x:f>
        <x:v>-0.04836165263430326</x:v>
      </x:c>
      <x:c r="AE120" s="245" t="n">
        <x:f>Y120</x:f>
        <x:v>-0.04836165263430326</x:v>
      </x:c>
      <x:c r="AF120" s="245" t="n">
        <x:f>W120*Q120</x:f>
        <x:v>0.023437365303540042</x:v>
      </x:c>
      <x:c r="AG120" s="245" t="n">
        <x:f>W120*S120</x:f>
        <x:v>0.08973839815910929</x:v>
      </x:c>
      <x:c r="AH120" s="245" t="n">
        <x:f>W120</x:f>
        <x:v>0.133221074693566</x:v>
      </x:c>
      <x:c r="AI120" s="246" t="n">
        <x:f>G120-$B$4*Z120</x:f>
        <x:v>1.3173265694863252</x:v>
      </x:c>
      <x:c r="AJ120" s="246" t="n">
        <x:f>H120-$B$4*AA120</x:f>
        <x:v>-1.6995005476167273</x:v>
      </x:c>
      <x:c r="AK120" s="246" t="n">
        <x:f>I120-$B$4*AB120</x:f>
        <x:v>-1.2528098963153904</x:v>
      </x:c>
      <x:c r="AL120" s="246" t="n">
        <x:f>J120-$B$4*AC120</x:f>
        <x:v>1.1778547981598764</x:v>
      </x:c>
      <x:c r="AM120" s="246" t="n">
        <x:f>K120-$B$4*AD120</x:f>
        <x:v>-1.684039720142184</x:v>
      </x:c>
      <x:c r="AN120" s="246" t="n">
        <x:f>L120-$B$4*AE120</x:f>
        <x:v>1.3758060122869482</x:v>
      </x:c>
      <x:c r="AO120" s="246" t="n">
        <x:f>M120-$B$4*AF120</x:f>
        <x:v>1.5436980348830258</x:v>
      </x:c>
      <x:c r="AP120" s="246" t="n">
        <x:f>N120-$B$4*AG120</x:f>
        <x:v>-1.7408616152960847</x:v>
      </x:c>
      <x:c r="AQ120" s="246" t="n">
        <x:f>O120-$B$4*AH120</x:f>
        <x:v>0.8459193517990382</x:v>
      </x:c>
      <x:c r="AR120" s="182" t="n">
        <x:f>IF(U120&gt;=$B$5,1,0)</x:f>
        <x:v>1</x:v>
      </x:c>
      <x:c r="AS120" s="182" t="n">
        <x:f>IF(AR120=F120,1,0)</x:f>
        <x:v>0</x:v>
      </x:c>
      <x:c r="AT120" s="252" t="n">
        <x:f>ABS(F120-U120)</x:f>
        <x:v>0.5355993955770678</x:v>
      </x:c>
    </x:row>
    <x:row r="121">
      <x:c r="A121" s="114" t="n">
        <x:v>105</x:v>
      </x:c>
      <x:c r="B121" s="114" t="n">
        <x:v>27</x:v>
      </x:c>
      <x:c r="C121" s="114" t="n">
        <x:v>1</x:v>
      </x:c>
      <x:c r="D121" s="168" t="n">
        <x:f>$I$5</x:f>
        <x:v>0</x:v>
      </x:c>
      <x:c r="E121" s="168" t="n">
        <x:f>$J$5</x:f>
        <x:v>0</x:v>
      </x:c>
      <x:c r="F121" s="168" t="n">
        <x:f>$K$5</x:f>
        <x:v>0</x:v>
      </x:c>
      <x:c r="G121" s="242" t="n">
        <x:f>AI120</x:f>
        <x:v>1.3173265694863252</x:v>
      </x:c>
      <x:c r="H121" s="242" t="n">
        <x:f>AJ120</x:f>
        <x:v>-1.6995005476167273</x:v>
      </x:c>
      <x:c r="I121" s="242" t="n">
        <x:f>AK120</x:f>
        <x:v>-1.2528098963153904</x:v>
      </x:c>
      <x:c r="J121" s="242" t="n">
        <x:f>AL120</x:f>
        <x:v>1.1778547981598764</x:v>
      </x:c>
      <x:c r="K121" s="242" t="n">
        <x:f>AM120</x:f>
        <x:v>-1.684039720142184</x:v>
      </x:c>
      <x:c r="L121" s="242" t="n">
        <x:f>AN120</x:f>
        <x:v>1.3758060122869482</x:v>
      </x:c>
      <x:c r="M121" s="242" t="n">
        <x:f>AO120</x:f>
        <x:v>1.5436980348830258</x:v>
      </x:c>
      <x:c r="N121" s="242" t="n">
        <x:f>AP120</x:f>
        <x:v>-1.7408616152960847</x:v>
      </x:c>
      <x:c r="O121" s="242" t="n">
        <x:f>AQ120</x:f>
        <x:v>0.8459193517990382</x:v>
      </x:c>
      <x:c r="P121" s="243" t="n">
        <x:f>D121*G121+E121*H121+I121</x:f>
        <x:v>-1.2528098963153904</x:v>
      </x:c>
      <x:c r="Q121" s="243" t="n">
        <x:f>1/(1+EXP(-P121))</x:f>
        <x:v>0.22221411134671462</x:v>
      </x:c>
      <x:c r="R121" s="243" t="n">
        <x:f>D121*J121+E121*K121+L121</x:f>
        <x:v>1.3758060122869482</x:v>
      </x:c>
      <x:c r="S121" s="243" t="n">
        <x:f>1/(1+EXP(-R121))</x:f>
        <x:v>0.7983165827385511</x:v>
      </x:c>
      <x:c r="T121" s="243" t="n">
        <x:f>Q121*M121+S121*N121+O121</x:f>
        <x:v>-0.20080785693564507</x:v>
      </x:c>
      <x:c r="U121" s="243" t="n">
        <x:f>1/(1+EXP(-T121))</x:f>
        <x:v>0.4499660527681761</x:v>
      </x:c>
      <x:c r="V121" s="243" t="n">
        <x:f>0.5*(F121-U121)^2</x:f>
        <x:v>0.10123472432188652</x:v>
      </x:c>
      <x:c r="W121" s="244" t="n">
        <x:f>(U121-F121)*U121*(1-U121)</x:f>
        <x:v>0.11136507003138553</x:v>
      </x:c>
      <x:c r="X121" s="244" t="n">
        <x:f>W121*M121*Q121*(1-Q121)</x:f>
        <x:v>0.029712763073468096</x:v>
      </x:c>
      <x:c r="Y121" s="244" t="n">
        <x:f>W121*N121*S121*(1-S121)</x:f>
        <x:v>-0.03121465835228998</x:v>
      </x:c>
      <x:c r="Z121" s="245" t="n">
        <x:f>X121*D121</x:f>
        <x:v>0</x:v>
      </x:c>
      <x:c r="AA121" s="245" t="n">
        <x:f>X121*E121</x:f>
        <x:v>0</x:v>
      </x:c>
      <x:c r="AB121" s="245" t="n">
        <x:f>X121</x:f>
        <x:v>0.029712763073468096</x:v>
      </x:c>
      <x:c r="AC121" s="245" t="n">
        <x:f>Y121*D121</x:f>
        <x:v>0</x:v>
      </x:c>
      <x:c r="AD121" s="245" t="n">
        <x:f>Y121*E121</x:f>
        <x:v>0</x:v>
      </x:c>
      <x:c r="AE121" s="245" t="n">
        <x:f>Y121</x:f>
        <x:v>-0.03121465835228998</x:v>
      </x:c>
      <x:c r="AF121" s="245" t="n">
        <x:f>W121*Q121</x:f>
        <x:v>0.024746890072088974</x:v>
      </x:c>
      <x:c r="AG121" s="245" t="n">
        <x:f>W121*S121</x:f>
        <x:v>0.08890458214389513</x:v>
      </x:c>
      <x:c r="AH121" s="245" t="n">
        <x:f>W121</x:f>
        <x:v>0.11136507003138553</x:v>
      </x:c>
      <x:c r="AI121" s="246" t="n">
        <x:f>G121-$B$4*Z121</x:f>
        <x:v>1.3173265694863252</x:v>
      </x:c>
      <x:c r="AJ121" s="246" t="n">
        <x:f>H121-$B$4*AA121</x:f>
        <x:v>-1.6995005476167273</x:v>
      </x:c>
      <x:c r="AK121" s="246" t="n">
        <x:f>I121-$B$4*AB121</x:f>
        <x:v>-1.2825226593888586</x:v>
      </x:c>
      <x:c r="AL121" s="246" t="n">
        <x:f>J121-$B$4*AC121</x:f>
        <x:v>1.1778547981598764</x:v>
      </x:c>
      <x:c r="AM121" s="246" t="n">
        <x:f>K121-$B$4*AD121</x:f>
        <x:v>-1.684039720142184</x:v>
      </x:c>
      <x:c r="AN121" s="246" t="n">
        <x:f>L121-$B$4*AE121</x:f>
        <x:v>1.407020670639238</x:v>
      </x:c>
      <x:c r="AO121" s="246" t="n">
        <x:f>M121-$B$4*AF121</x:f>
        <x:v>1.5189511448109367</x:v>
      </x:c>
      <x:c r="AP121" s="246" t="n">
        <x:f>N121-$B$4*AG121</x:f>
        <x:v>-1.82976619743998</x:v>
      </x:c>
      <x:c r="AQ121" s="246" t="n">
        <x:f>O121-$B$4*AH121</x:f>
        <x:v>0.7345542817676527</x:v>
      </x:c>
      <x:c r="AR121" s="182" t="n">
        <x:f>IF(U121&gt;=$B$5,1,0)</x:f>
        <x:v>0</x:v>
      </x:c>
      <x:c r="AS121" s="182" t="n">
        <x:f>IF(AR121=F121,1,0)</x:f>
        <x:v>1</x:v>
      </x:c>
      <x:c r="AT121" s="252" t="n">
        <x:f>ABS(F121-U121)</x:f>
        <x:v>0.4499660527681761</x:v>
      </x:c>
    </x:row>
    <x:row r="122">
      <x:c r="A122" s="114" t="n">
        <x:v>106</x:v>
      </x:c>
      <x:c r="B122" s="114" t="n">
        <x:v>27</x:v>
      </x:c>
      <x:c r="C122" s="114" t="n">
        <x:v>2</x:v>
      </x:c>
      <x:c r="D122" s="168" t="n">
        <x:f>$I$6</x:f>
        <x:v>0</x:v>
      </x:c>
      <x:c r="E122" s="168" t="n">
        <x:f>$J$6</x:f>
        <x:v>1</x:v>
      </x:c>
      <x:c r="F122" s="168" t="n">
        <x:f>$K$6</x:f>
        <x:v>1</x:v>
      </x:c>
      <x:c r="G122" s="242" t="n">
        <x:f>AI121</x:f>
        <x:v>1.3173265694863252</x:v>
      </x:c>
      <x:c r="H122" s="242" t="n">
        <x:f>AJ121</x:f>
        <x:v>-1.6995005476167273</x:v>
      </x:c>
      <x:c r="I122" s="242" t="n">
        <x:f>AK121</x:f>
        <x:v>-1.2825226593888586</x:v>
      </x:c>
      <x:c r="J122" s="242" t="n">
        <x:f>AL121</x:f>
        <x:v>1.1778547981598764</x:v>
      </x:c>
      <x:c r="K122" s="242" t="n">
        <x:f>AM121</x:f>
        <x:v>-1.684039720142184</x:v>
      </x:c>
      <x:c r="L122" s="242" t="n">
        <x:f>AN121</x:f>
        <x:v>1.407020670639238</x:v>
      </x:c>
      <x:c r="M122" s="242" t="n">
        <x:f>AO121</x:f>
        <x:v>1.5189511448109367</x:v>
      </x:c>
      <x:c r="N122" s="242" t="n">
        <x:f>AP121</x:f>
        <x:v>-1.82976619743998</x:v>
      </x:c>
      <x:c r="O122" s="242" t="n">
        <x:f>AQ121</x:f>
        <x:v>0.7345542817676527</x:v>
      </x:c>
      <x:c r="P122" s="243" t="n">
        <x:f>D122*G122+E122*H122+I122</x:f>
        <x:v>-2.982023207005586</x:v>
      </x:c>
      <x:c r="Q122" s="243" t="n">
        <x:f>1/(1+EXP(-P122))</x:f>
        <x:v>0.04824464396911189</x:v>
      </x:c>
      <x:c r="R122" s="243" t="n">
        <x:f>D122*J122+E122*K122+L122</x:f>
        <x:v>-0.27701904950294587</x:v>
      </x:c>
      <x:c r="S122" s="243" t="n">
        <x:f>1/(1+EXP(-R122))</x:f>
        <x:v>0.43118474678860835</x:v>
      </x:c>
      <x:c r="T122" s="243" t="n">
        <x:f>Q122*M122+S122*N122+O122</x:f>
        <x:v>0.018868264430018766</x:v>
      </x:c>
      <x:c r="U122" s="243" t="n">
        <x:f>1/(1+EXP(-T122))</x:f>
        <x:v>0.5047169261683766</x:v>
      </x:c>
      <x:c r="V122" s="243" t="n">
        <x:f>0.5*(F122-U122)^2</x:f>
        <x:v>0.12265266161205066</x:v>
      </x:c>
      <x:c r="W122" s="244" t="n">
        <x:f>(U122-F122)*U122*(1-U122)</x:f>
        <x:v>-0.12380974871040851</x:v>
      </x:c>
      <x:c r="X122" s="244" t="n">
        <x:f>W122*M122*Q122*(1-Q122)</x:f>
        <x:v>-0.008635213565214135</x:v>
      </x:c>
      <x:c r="Y122" s="244" t="n">
        <x:f>W122*N122*S122*(1-S122)</x:f>
        <x:v>0.05556292055360652</x:v>
      </x:c>
      <x:c r="Z122" s="245" t="n">
        <x:f>X122*D122</x:f>
        <x:v>0</x:v>
      </x:c>
      <x:c r="AA122" s="245" t="n">
        <x:f>X122*E122</x:f>
        <x:v>-0.008635213565214135</x:v>
      </x:c>
      <x:c r="AB122" s="245" t="n">
        <x:f>X122</x:f>
        <x:v>-0.008635213565214135</x:v>
      </x:c>
      <x:c r="AC122" s="245" t="n">
        <x:f>Y122*D122</x:f>
        <x:v>0</x:v>
      </x:c>
      <x:c r="AD122" s="245" t="n">
        <x:f>Y122*E122</x:f>
        <x:v>0.05556292055360652</x:v>
      </x:c>
      <x:c r="AE122" s="245" t="n">
        <x:f>Y122</x:f>
        <x:v>0.05556292055360652</x:v>
      </x:c>
      <x:c r="AF122" s="245" t="n">
        <x:f>W122*Q122</x:f>
        <x:v>-0.005973157246438868</x:v>
      </x:c>
      <x:c r="AG122" s="245" t="n">
        <x:f>W122*S122</x:f>
        <x:v>-0.053384875147658724</x:v>
      </x:c>
      <x:c r="AH122" s="245" t="n">
        <x:f>W122</x:f>
        <x:v>-0.12380974871040851</x:v>
      </x:c>
      <x:c r="AI122" s="246" t="n">
        <x:f>G122-$B$4*Z122</x:f>
        <x:v>1.3173265694863252</x:v>
      </x:c>
      <x:c r="AJ122" s="246" t="n">
        <x:f>H122-$B$4*AA122</x:f>
        <x:v>-1.6908653340515132</x:v>
      </x:c>
      <x:c r="AK122" s="246" t="n">
        <x:f>I122-$B$4*AB122</x:f>
        <x:v>-1.2738874458236444</x:v>
      </x:c>
      <x:c r="AL122" s="246" t="n">
        <x:f>J122-$B$4*AC122</x:f>
        <x:v>1.1778547981598764</x:v>
      </x:c>
      <x:c r="AM122" s="246" t="n">
        <x:f>K122-$B$4*AD122</x:f>
        <x:v>-1.7396026406957905</x:v>
      </x:c>
      <x:c r="AN122" s="246" t="n">
        <x:f>L122-$B$4*AE122</x:f>
        <x:v>1.3514577500856315</x:v>
      </x:c>
      <x:c r="AO122" s="246" t="n">
        <x:f>M122-$B$4*AF122</x:f>
        <x:v>1.5249243020573755</x:v>
      </x:c>
      <x:c r="AP122" s="246" t="n">
        <x:f>N122-$B$4*AG122</x:f>
        <x:v>-1.7763813222923213</x:v>
      </x:c>
      <x:c r="AQ122" s="246" t="n">
        <x:f>O122-$B$4*AH122</x:f>
        <x:v>0.8583640304780612</x:v>
      </x:c>
      <x:c r="AR122" s="182" t="n">
        <x:f>IF(U122&gt;=$B$5,1,0)</x:f>
        <x:v>1</x:v>
      </x:c>
      <x:c r="AS122" s="182" t="n">
        <x:f>IF(AR122=F122,1,0)</x:f>
        <x:v>1</x:v>
      </x:c>
      <x:c r="AT122" s="252" t="n">
        <x:f>ABS(F122-U122)</x:f>
        <x:v>0.4952830738316234</x:v>
      </x:c>
    </x:row>
    <x:row r="123">
      <x:c r="A123" s="114" t="n">
        <x:v>107</x:v>
      </x:c>
      <x:c r="B123" s="114" t="n">
        <x:v>27</x:v>
      </x:c>
      <x:c r="C123" s="114" t="n">
        <x:v>3</x:v>
      </x:c>
      <x:c r="D123" s="168" t="n">
        <x:f>$I$7</x:f>
        <x:v>1</x:v>
      </x:c>
      <x:c r="E123" s="168" t="n">
        <x:f>$J$7</x:f>
        <x:v>0</x:v>
      </x:c>
      <x:c r="F123" s="168" t="n">
        <x:f>$K$7</x:f>
        <x:v>1</x:v>
      </x:c>
      <x:c r="G123" s="242" t="n">
        <x:f>AI122</x:f>
        <x:v>1.3173265694863252</x:v>
      </x:c>
      <x:c r="H123" s="242" t="n">
        <x:f>AJ122</x:f>
        <x:v>-1.6908653340515132</x:v>
      </x:c>
      <x:c r="I123" s="242" t="n">
        <x:f>AK122</x:f>
        <x:v>-1.2738874458236444</x:v>
      </x:c>
      <x:c r="J123" s="242" t="n">
        <x:f>AL122</x:f>
        <x:v>1.1778547981598764</x:v>
      </x:c>
      <x:c r="K123" s="242" t="n">
        <x:f>AM122</x:f>
        <x:v>-1.7396026406957905</x:v>
      </x:c>
      <x:c r="L123" s="242" t="n">
        <x:f>AN122</x:f>
        <x:v>1.3514577500856315</x:v>
      </x:c>
      <x:c r="M123" s="242" t="n">
        <x:f>AO122</x:f>
        <x:v>1.5249243020573755</x:v>
      </x:c>
      <x:c r="N123" s="242" t="n">
        <x:f>AP122</x:f>
        <x:v>-1.7763813222923213</x:v>
      </x:c>
      <x:c r="O123" s="242" t="n">
        <x:f>AQ122</x:f>
        <x:v>0.8583640304780612</x:v>
      </x:c>
      <x:c r="P123" s="243" t="n">
        <x:f>D123*G123+E123*H123+I123</x:f>
        <x:v>0.04343912366268077</x:v>
      </x:c>
      <x:c r="Q123" s="243" t="n">
        <x:f>1/(1+EXP(-P123))</x:f>
        <x:v>0.5108580735757821</x:v>
      </x:c>
      <x:c r="R123" s="243" t="n">
        <x:f>D123*J123+E123*K123+L123</x:f>
        <x:v>2.5293125482455077</x:v>
      </x:c>
      <x:c r="S123" s="243" t="n">
        <x:f>1/(1+EXP(-R123))</x:f>
        <x:v>0.9261713606105636</x:v>
      </x:c>
      <x:c r="T123" s="243" t="n">
        <x:f>Q123*M123+S123*N123+O123</x:f>
        <x:v>-0.00784958445468531</x:v>
      </x:c>
      <x:c r="U123" s="243" t="n">
        <x:f>1/(1+EXP(-T123))</x:f>
        <x:v>0.49803761396251256</x:v>
      </x:c>
      <x:c r="V123" s="243" t="n">
        <x:f>0.5*(F123-U123)^2</x:f>
        <x:v>0.12598311849822377</x:v>
      </x:c>
      <x:c r="W123" s="244" t="n">
        <x:f>(U123-F123)*U123*(1-U123)</x:f>
        <x:v>-0.1254886634728237</x:v>
      </x:c>
      <x:c r="X123" s="244" t="n">
        <x:f>W123*M123*Q123*(1-Q123)</x:f>
        <x:v>-0.047817617140898966</x:v>
      </x:c>
      <x:c r="Y123" s="244" t="n">
        <x:f>W123*N123*S123*(1-S123)</x:f>
        <x:v>0.015242524585731403</x:v>
      </x:c>
      <x:c r="Z123" s="245" t="n">
        <x:f>X123*D123</x:f>
        <x:v>-0.047817617140898966</x:v>
      </x:c>
      <x:c r="AA123" s="245" t="n">
        <x:f>X123*E123</x:f>
        <x:v>0</x:v>
      </x:c>
      <x:c r="AB123" s="245" t="n">
        <x:f>X123</x:f>
        <x:v>-0.047817617140898966</x:v>
      </x:c>
      <x:c r="AC123" s="245" t="n">
        <x:f>Y123*D123</x:f>
        <x:v>0.015242524585731403</x:v>
      </x:c>
      <x:c r="AD123" s="245" t="n">
        <x:f>Y123*E123</x:f>
        <x:v>0</x:v>
      </x:c>
      <x:c r="AE123" s="245" t="n">
        <x:f>Y123</x:f>
        <x:v>0.015242524585731403</x:v>
      </x:c>
      <x:c r="AF123" s="245" t="n">
        <x:f>W123*Q123</x:f>
        <x:v>-0.06410689687732632</x:v>
      </x:c>
      <x:c r="AG123" s="245" t="n">
        <x:f>W123*S123</x:f>
        <x:v>-0.11622400618982626</x:v>
      </x:c>
      <x:c r="AH123" s="245" t="n">
        <x:f>W123</x:f>
        <x:v>-0.1254886634728237</x:v>
      </x:c>
      <x:c r="AI123" s="246" t="n">
        <x:f>G123-$B$4*Z123</x:f>
        <x:v>1.3651441866272243</x:v>
      </x:c>
      <x:c r="AJ123" s="246" t="n">
        <x:f>H123-$B$4*AA123</x:f>
        <x:v>-1.6908653340515132</x:v>
      </x:c>
      <x:c r="AK123" s="246" t="n">
        <x:f>I123-$B$4*AB123</x:f>
        <x:v>-1.2260698286827454</x:v>
      </x:c>
      <x:c r="AL123" s="246" t="n">
        <x:f>J123-$B$4*AC123</x:f>
        <x:v>1.1626122735741449</x:v>
      </x:c>
      <x:c r="AM123" s="246" t="n">
        <x:f>K123-$B$4*AD123</x:f>
        <x:v>-1.7396026406957905</x:v>
      </x:c>
      <x:c r="AN123" s="246" t="n">
        <x:f>L123-$B$4*AE123</x:f>
        <x:v>1.3362152254999</x:v>
      </x:c>
      <x:c r="AO123" s="246" t="n">
        <x:f>M123-$B$4*AF123</x:f>
        <x:v>1.589031198934702</x:v>
      </x:c>
      <x:c r="AP123" s="246" t="n">
        <x:f>N123-$B$4*AG123</x:f>
        <x:v>-1.660157316102495</x:v>
      </x:c>
      <x:c r="AQ123" s="246" t="n">
        <x:f>O123-$B$4*AH123</x:f>
        <x:v>0.9838526939508849</x:v>
      </x:c>
      <x:c r="AR123" s="182" t="n">
        <x:f>IF(U123&gt;=$B$5,1,0)</x:f>
        <x:v>0</x:v>
      </x:c>
      <x:c r="AS123" s="182" t="n">
        <x:f>IF(AR123=F123,1,0)</x:f>
        <x:v>0</x:v>
      </x:c>
      <x:c r="AT123" s="252" t="n">
        <x:f>ABS(F123-U123)</x:f>
        <x:v>0.5019623860374874</x:v>
      </x:c>
    </x:row>
    <x:row r="124">
      <x:c r="A124" s="114" t="n">
        <x:v>108</x:v>
      </x:c>
      <x:c r="B124" s="114" t="n">
        <x:v>27</x:v>
      </x:c>
      <x:c r="C124" s="114" t="n">
        <x:v>4</x:v>
      </x:c>
      <x:c r="D124" s="168" t="n">
        <x:f>$I$8</x:f>
        <x:v>1</x:v>
      </x:c>
      <x:c r="E124" s="168" t="n">
        <x:f>$J$8</x:f>
        <x:v>1</x:v>
      </x:c>
      <x:c r="F124" s="168" t="n">
        <x:f>$K$8</x:f>
        <x:v>0</x:v>
      </x:c>
      <x:c r="G124" s="242" t="n">
        <x:f>AI123</x:f>
        <x:v>1.3651441866272243</x:v>
      </x:c>
      <x:c r="H124" s="242" t="n">
        <x:f>AJ123</x:f>
        <x:v>-1.6908653340515132</x:v>
      </x:c>
      <x:c r="I124" s="242" t="n">
        <x:f>AK123</x:f>
        <x:v>-1.2260698286827454</x:v>
      </x:c>
      <x:c r="J124" s="242" t="n">
        <x:f>AL123</x:f>
        <x:v>1.1626122735741449</x:v>
      </x:c>
      <x:c r="K124" s="242" t="n">
        <x:f>AM123</x:f>
        <x:v>-1.7396026406957905</x:v>
      </x:c>
      <x:c r="L124" s="242" t="n">
        <x:f>AN123</x:f>
        <x:v>1.3362152254999</x:v>
      </x:c>
      <x:c r="M124" s="242" t="n">
        <x:f>AO123</x:f>
        <x:v>1.589031198934702</x:v>
      </x:c>
      <x:c r="N124" s="242" t="n">
        <x:f>AP123</x:f>
        <x:v>-1.660157316102495</x:v>
      </x:c>
      <x:c r="O124" s="242" t="n">
        <x:f>AQ123</x:f>
        <x:v>0.9838526939508849</x:v>
      </x:c>
      <x:c r="P124" s="243" t="n">
        <x:f>D124*G124+E124*H124+I124</x:f>
        <x:v>-1.5517909761070343</x:v>
      </x:c>
      <x:c r="Q124" s="243" t="n">
        <x:f>1/(1+EXP(-P124))</x:f>
        <x:v>0.1748277460805665</x:v>
      </x:c>
      <x:c r="R124" s="243" t="n">
        <x:f>D124*J124+E124*K124+L124</x:f>
        <x:v>0.7592248583782544</x:v>
      </x:c>
      <x:c r="S124" s="243" t="n">
        <x:f>1/(1+EXP(-R124))</x:f>
        <x:v>0.6811854185009353</x:v>
      </x:c>
      <x:c r="T124" s="243" t="n">
        <x:f>Q124*M124+S124*N124+O124</x:f>
        <x:v>0.13078448076567162</x:v>
      </x:c>
      <x:c r="U124" s="243" t="n">
        <x:f>1/(1+EXP(-T124))</x:f>
        <x:v>0.5326495953172362</x:v>
      </x:c>
      <x:c r="V124" s="243" t="n">
        <x:f>0.5*(F124-U124)^2</x:f>
        <x:v>0.14185779569580775</x:v>
      </x:c>
      <x:c r="W124" s="244" t="n">
        <x:f>(U124-F124)*U124*(1-U124)</x:f>
        <x:v>0.13259459645168117</x:v>
      </x:c>
      <x:c r="X124" s="244" t="n">
        <x:f>W124*M124*Q124*(1-Q124)</x:f>
        <x:v>0.030395775293032036</x:v>
      </x:c>
      <x:c r="Y124" s="244" t="n">
        <x:f>W124*N124*S124*(1-S124)</x:f>
        <x:v>-0.047805579678375294</x:v>
      </x:c>
      <x:c r="Z124" s="245" t="n">
        <x:f>X124*D124</x:f>
        <x:v>0.030395775293032036</x:v>
      </x:c>
      <x:c r="AA124" s="245" t="n">
        <x:f>X124*E124</x:f>
        <x:v>0.030395775293032036</x:v>
      </x:c>
      <x:c r="AB124" s="245" t="n">
        <x:f>X124</x:f>
        <x:v>0.030395775293032036</x:v>
      </x:c>
      <x:c r="AC124" s="245" t="n">
        <x:f>Y124*D124</x:f>
        <x:v>-0.047805579678375294</x:v>
      </x:c>
      <x:c r="AD124" s="245" t="n">
        <x:f>Y124*E124</x:f>
        <x:v>-0.047805579678375294</x:v>
      </x:c>
      <x:c r="AE124" s="245" t="n">
        <x:f>Y124</x:f>
        <x:v>-0.047805579678375294</x:v>
      </x:c>
      <x:c r="AF124" s="245" t="n">
        <x:f>W124*Q124</x:f>
        <x:v>0.0231812144401097</x:v>
      </x:c>
      <x:c r="AG124" s="245" t="n">
        <x:f>W124*S124</x:f>
        <x:v>0.09032150567490106</x:v>
      </x:c>
      <x:c r="AH124" s="245" t="n">
        <x:f>W124</x:f>
        <x:v>0.13259459645168117</x:v>
      </x:c>
      <x:c r="AI124" s="246" t="n">
        <x:f>G124-$B$4*Z124</x:f>
        <x:v>1.3347484113341923</x:v>
      </x:c>
      <x:c r="AJ124" s="246" t="n">
        <x:f>H124-$B$4*AA124</x:f>
        <x:v>-1.7212611093445451</x:v>
      </x:c>
      <x:c r="AK124" s="246" t="n">
        <x:f>I124-$B$4*AB124</x:f>
        <x:v>-1.2564656039757773</x:v>
      </x:c>
      <x:c r="AL124" s="246" t="n">
        <x:f>J124-$B$4*AC124</x:f>
        <x:v>1.2104178532525203</x:v>
      </x:c>
      <x:c r="AM124" s="246" t="n">
        <x:f>K124-$B$4*AD124</x:f>
        <x:v>-1.6917970610174151</x:v>
      </x:c>
      <x:c r="AN124" s="246" t="n">
        <x:f>L124-$B$4*AE124</x:f>
        <x:v>1.3840208051782754</x:v>
      </x:c>
      <x:c r="AO124" s="246" t="n">
        <x:f>M124-$B$4*AF124</x:f>
        <x:v>1.5658499844945921</x:v>
      </x:c>
      <x:c r="AP124" s="246" t="n">
        <x:f>N124-$B$4*AG124</x:f>
        <x:v>-1.750478821777396</x:v>
      </x:c>
      <x:c r="AQ124" s="246" t="n">
        <x:f>O124-$B$4*AH124</x:f>
        <x:v>0.8512580974992038</x:v>
      </x:c>
      <x:c r="AR124" s="182" t="n">
        <x:f>IF(U124&gt;=$B$5,1,0)</x:f>
        <x:v>1</x:v>
      </x:c>
      <x:c r="AS124" s="182" t="n">
        <x:f>IF(AR124=F124,1,0)</x:f>
        <x:v>0</x:v>
      </x:c>
      <x:c r="AT124" s="252" t="n">
        <x:f>ABS(F124-U124)</x:f>
        <x:v>0.5326495953172362</x:v>
      </x:c>
    </x:row>
    <x:row r="125">
      <x:c r="A125" s="114" t="n">
        <x:v>109</x:v>
      </x:c>
      <x:c r="B125" s="114" t="n">
        <x:v>28</x:v>
      </x:c>
      <x:c r="C125" s="114" t="n">
        <x:v>1</x:v>
      </x:c>
      <x:c r="D125" s="168" t="n">
        <x:f>$I$5</x:f>
        <x:v>0</x:v>
      </x:c>
      <x:c r="E125" s="168" t="n">
        <x:f>$J$5</x:f>
        <x:v>0</x:v>
      </x:c>
      <x:c r="F125" s="168" t="n">
        <x:f>$K$5</x:f>
        <x:v>0</x:v>
      </x:c>
      <x:c r="G125" s="242" t="n">
        <x:f>AI124</x:f>
        <x:v>1.3347484113341923</x:v>
      </x:c>
      <x:c r="H125" s="242" t="n">
        <x:f>AJ124</x:f>
        <x:v>-1.7212611093445451</x:v>
      </x:c>
      <x:c r="I125" s="242" t="n">
        <x:f>AK124</x:f>
        <x:v>-1.2564656039757773</x:v>
      </x:c>
      <x:c r="J125" s="242" t="n">
        <x:f>AL124</x:f>
        <x:v>1.2104178532525203</x:v>
      </x:c>
      <x:c r="K125" s="242" t="n">
        <x:f>AM124</x:f>
        <x:v>-1.6917970610174151</x:v>
      </x:c>
      <x:c r="L125" s="242" t="n">
        <x:f>AN124</x:f>
        <x:v>1.3840208051782754</x:v>
      </x:c>
      <x:c r="M125" s="242" t="n">
        <x:f>AO124</x:f>
        <x:v>1.5658499844945921</x:v>
      </x:c>
      <x:c r="N125" s="242" t="n">
        <x:f>AP124</x:f>
        <x:v>-1.750478821777396</x:v>
      </x:c>
      <x:c r="O125" s="242" t="n">
        <x:f>AQ124</x:f>
        <x:v>0.8512580974992038</x:v>
      </x:c>
      <x:c r="P125" s="243" t="n">
        <x:f>D125*G125+E125*H125+I125</x:f>
        <x:v>-1.2564656039757773</x:v>
      </x:c>
      <x:c r="Q125" s="243" t="n">
        <x:f>1/(1+EXP(-P125))</x:f>
        <x:v>0.22158291879450426</x:v>
      </x:c>
      <x:c r="R125" s="243" t="n">
        <x:f>D125*J125+E125*K125+L125</x:f>
        <x:v>1.3840208051782754</x:v>
      </x:c>
      <x:c r="S125" s="243" t="n">
        <x:f>1/(1+EXP(-R125))</x:f>
        <x:v>0.7996359829221866</x:v>
      </x:c>
      <x:c r="T125" s="243" t="n">
        <x:f>Q125*M125+S125*N125+O125</x:f>
        <x:v>-0.20152214577859462</x:v>
      </x:c>
      <x:c r="U125" s="243" t="n">
        <x:f>1/(1+EXP(-T125))</x:f>
        <x:v>0.44978927503050303</x:v>
      </x:c>
      <x:c r="V125" s="243" t="n">
        <x:f>0.5*(F125-U125)^2</x:f>
        <x:v>0.10115519596623275</x:v>
      </x:c>
      <x:c r="W125" s="244" t="n">
        <x:f>(U125-F125)*U125*(1-U125)</x:f>
        <x:v>0.11131334741402492</x:v>
      </x:c>
      <x:c r="X125" s="244" t="n">
        <x:f>W125*M125*Q125*(1-Q125)</x:f>
        <x:v>0.03006394937909405</x:v>
      </x:c>
      <x:c r="Y125" s="244" t="n">
        <x:f>W125*N125*S125*(1-S125)</x:f>
        <x:v>-0.031218796935739333</x:v>
      </x:c>
      <x:c r="Z125" s="245" t="n">
        <x:f>X125*D125</x:f>
        <x:v>0</x:v>
      </x:c>
      <x:c r="AA125" s="245" t="n">
        <x:f>X125*E125</x:f>
        <x:v>0</x:v>
      </x:c>
      <x:c r="AB125" s="245" t="n">
        <x:f>X125</x:f>
        <x:v>0.03006394937909405</x:v>
      </x:c>
      <x:c r="AC125" s="245" t="n">
        <x:f>Y125*D125</x:f>
        <x:v>0</x:v>
      </x:c>
      <x:c r="AD125" s="245" t="n">
        <x:f>Y125*E125</x:f>
        <x:v>0</x:v>
      </x:c>
      <x:c r="AE125" s="245" t="n">
        <x:f>Y125</x:f>
        <x:v>-0.031218796935739333</x:v>
      </x:c>
      <x:c r="AF125" s="245" t="n">
        <x:f>W125*Q125</x:f>
        <x:v>0.024665136420786323</x:v>
      </x:c>
      <x:c r="AG125" s="245" t="n">
        <x:f>W125*S125</x:f>
        <x:v>0.08901015797177265</x:v>
      </x:c>
      <x:c r="AH125" s="245" t="n">
        <x:f>W125</x:f>
        <x:v>0.11131334741402492</x:v>
      </x:c>
      <x:c r="AI125" s="246" t="n">
        <x:f>G125-$B$4*Z125</x:f>
        <x:v>1.3347484113341923</x:v>
      </x:c>
      <x:c r="AJ125" s="246" t="n">
        <x:f>H125-$B$4*AA125</x:f>
        <x:v>-1.7212611093445451</x:v>
      </x:c>
      <x:c r="AK125" s="246" t="n">
        <x:f>I125-$B$4*AB125</x:f>
        <x:v>-1.2865295533548713</x:v>
      </x:c>
      <x:c r="AL125" s="246" t="n">
        <x:f>J125-$B$4*AC125</x:f>
        <x:v>1.2104178532525203</x:v>
      </x:c>
      <x:c r="AM125" s="246" t="n">
        <x:f>K125-$B$4*AD125</x:f>
        <x:v>-1.6917970610174151</x:v>
      </x:c>
      <x:c r="AN125" s="246" t="n">
        <x:f>L125-$B$4*AE125</x:f>
        <x:v>1.4152396021140148</x:v>
      </x:c>
      <x:c r="AO125" s="246" t="n">
        <x:f>M125-$B$4*AF125</x:f>
        <x:v>1.5411848480738057</x:v>
      </x:c>
      <x:c r="AP125" s="246" t="n">
        <x:f>N125-$B$4*AG125</x:f>
        <x:v>-1.8394889797491687</x:v>
      </x:c>
      <x:c r="AQ125" s="246" t="n">
        <x:f>O125-$B$4*AH125</x:f>
        <x:v>0.7399447500851789</x:v>
      </x:c>
      <x:c r="AR125" s="182" t="n">
        <x:f>IF(U125&gt;=$B$5,1,0)</x:f>
        <x:v>0</x:v>
      </x:c>
      <x:c r="AS125" s="182" t="n">
        <x:f>IF(AR125=F125,1,0)</x:f>
        <x:v>1</x:v>
      </x:c>
      <x:c r="AT125" s="252" t="n">
        <x:f>ABS(F125-U125)</x:f>
        <x:v>0.44978927503050303</x:v>
      </x:c>
    </x:row>
    <x:row r="126">
      <x:c r="A126" s="114" t="n">
        <x:v>110</x:v>
      </x:c>
      <x:c r="B126" s="114" t="n">
        <x:v>28</x:v>
      </x:c>
      <x:c r="C126" s="114" t="n">
        <x:v>2</x:v>
      </x:c>
      <x:c r="D126" s="168" t="n">
        <x:f>$I$6</x:f>
        <x:v>0</x:v>
      </x:c>
      <x:c r="E126" s="168" t="n">
        <x:f>$J$6</x:f>
        <x:v>1</x:v>
      </x:c>
      <x:c r="F126" s="168" t="n">
        <x:f>$K$6</x:f>
        <x:v>1</x:v>
      </x:c>
      <x:c r="G126" s="242" t="n">
        <x:f>AI125</x:f>
        <x:v>1.3347484113341923</x:v>
      </x:c>
      <x:c r="H126" s="242" t="n">
        <x:f>AJ125</x:f>
        <x:v>-1.7212611093445451</x:v>
      </x:c>
      <x:c r="I126" s="242" t="n">
        <x:f>AK125</x:f>
        <x:v>-1.2865295533548713</x:v>
      </x:c>
      <x:c r="J126" s="242" t="n">
        <x:f>AL125</x:f>
        <x:v>1.2104178532525203</x:v>
      </x:c>
      <x:c r="K126" s="242" t="n">
        <x:f>AM125</x:f>
        <x:v>-1.6917970610174151</x:v>
      </x:c>
      <x:c r="L126" s="242" t="n">
        <x:f>AN125</x:f>
        <x:v>1.4152396021140148</x:v>
      </x:c>
      <x:c r="M126" s="242" t="n">
        <x:f>AO125</x:f>
        <x:v>1.5411848480738057</x:v>
      </x:c>
      <x:c r="N126" s="242" t="n">
        <x:f>AP125</x:f>
        <x:v>-1.8394889797491687</x:v>
      </x:c>
      <x:c r="O126" s="242" t="n">
        <x:f>AQ125</x:f>
        <x:v>0.7399447500851789</x:v>
      </x:c>
      <x:c r="P126" s="243" t="n">
        <x:f>D126*G126+E126*H126+I126</x:f>
        <x:v>-3.007790662699416</x:v>
      </x:c>
      <x:c r="Q126" s="243" t="n">
        <x:f>1/(1+EXP(-P126))</x:f>
        <x:v>0.04707515541266167</x:v>
      </x:c>
      <x:c r="R126" s="243" t="n">
        <x:f>D126*J126+E126*K126+L126</x:f>
        <x:v>-0.27655745890340033</x:v>
      </x:c>
      <x:c r="S126" s="243" t="n">
        <x:f>1/(1+EXP(-R126))</x:f>
        <x:v>0.43129796215239047</x:v>
      </x:c>
      <x:c r="T126" s="243" t="n">
        <x:f>Q126*M126+S126*N126+O126</x:f>
        <x:v>0.019128417960296296</x:v>
      </x:c>
      <x:c r="U126" s="243" t="n">
        <x:f>1/(1+EXP(-T126))</x:f>
        <x:v>0.5047819586825182</x:v>
      </x:c>
      <x:c r="V126" s="243" t="n">
        <x:f>0.5*(F126-U126)^2</x:f>
        <x:v>0.12262045422316156</x:v>
      </x:c>
      <x:c r="W126" s="244" t="n">
        <x:f>(U126-F126)*U126*(1-U126)</x:f>
        <x:v>-0.12379318611461511</x:v>
      </x:c>
      <x:c r="X126" s="244" t="n">
        <x:f>W126*M126*Q126*(1-Q126)</x:f>
        <x:v>-0.008558583335962416</x:v>
      </x:c>
      <x:c r="Y126" s="244" t="n">
        <x:f>W126*N126*S126*(1-S126)</x:f>
        <x:v>0.05585423676527478</x:v>
      </x:c>
      <x:c r="Z126" s="245" t="n">
        <x:f>X126*D126</x:f>
        <x:v>0</x:v>
      </x:c>
      <x:c r="AA126" s="245" t="n">
        <x:f>X126*E126</x:f>
        <x:v>-0.008558583335962416</x:v>
      </x:c>
      <x:c r="AB126" s="245" t="n">
        <x:f>X126</x:f>
        <x:v>-0.008558583335962416</x:v>
      </x:c>
      <x:c r="AC126" s="245" t="n">
        <x:f>Y126*D126</x:f>
        <x:v>0</x:v>
      </x:c>
      <x:c r="AD126" s="245" t="n">
        <x:f>Y126*E126</x:f>
        <x:v>0.05585423676527478</x:v>
      </x:c>
      <x:c r="AE126" s="245" t="n">
        <x:f>Y126</x:f>
        <x:v>0.05585423676527478</x:v>
      </x:c>
      <x:c r="AF126" s="245" t="n">
        <x:f>W126*Q126</x:f>
        <x:v>-0.005827583475374057</x:v>
      </x:c>
      <x:c r="AG126" s="245" t="n">
        <x:f>W126*S126</x:f>
        <x:v>-0.0533917488995851</x:v>
      </x:c>
      <x:c r="AH126" s="245" t="n">
        <x:f>W126</x:f>
        <x:v>-0.12379318611461511</x:v>
      </x:c>
      <x:c r="AI126" s="246" t="n">
        <x:f>G126-$B$4*Z126</x:f>
        <x:v>1.3347484113341923</x:v>
      </x:c>
      <x:c r="AJ126" s="246" t="n">
        <x:f>H126-$B$4*AA126</x:f>
        <x:v>-1.7127025260085826</x:v>
      </x:c>
      <x:c r="AK126" s="246" t="n">
        <x:f>I126-$B$4*AB126</x:f>
        <x:v>-1.2779709700189088</x:v>
      </x:c>
      <x:c r="AL126" s="246" t="n">
        <x:f>J126-$B$4*AC126</x:f>
        <x:v>1.2104178532525203</x:v>
      </x:c>
      <x:c r="AM126" s="246" t="n">
        <x:f>K126-$B$4*AD126</x:f>
        <x:v>-1.74765129778269</x:v>
      </x:c>
      <x:c r="AN126" s="246" t="n">
        <x:f>L126-$B$4*AE126</x:f>
        <x:v>1.35938536534874</x:v>
      </x:c>
      <x:c r="AO126" s="246" t="n">
        <x:f>M126-$B$4*AF126</x:f>
        <x:v>1.5470124315491798</x:v>
      </x:c>
      <x:c r="AP126" s="246" t="n">
        <x:f>N126-$B$4*AG126</x:f>
        <x:v>-1.7860972308495835</x:v>
      </x:c>
      <x:c r="AQ126" s="246" t="n">
        <x:f>O126-$B$4*AH126</x:f>
        <x:v>0.863737936199794</x:v>
      </x:c>
      <x:c r="AR126" s="182" t="n">
        <x:f>IF(U126&gt;=$B$5,1,0)</x:f>
        <x:v>1</x:v>
      </x:c>
      <x:c r="AS126" s="182" t="n">
        <x:f>IF(AR126=F126,1,0)</x:f>
        <x:v>1</x:v>
      </x:c>
      <x:c r="AT126" s="252" t="n">
        <x:f>ABS(F126-U126)</x:f>
        <x:v>0.4952180413174818</x:v>
      </x:c>
    </x:row>
    <x:row r="127">
      <x:c r="A127" s="114" t="n">
        <x:v>111</x:v>
      </x:c>
      <x:c r="B127" s="114" t="n">
        <x:v>28</x:v>
      </x:c>
      <x:c r="C127" s="114" t="n">
        <x:v>3</x:v>
      </x:c>
      <x:c r="D127" s="168" t="n">
        <x:f>$I$7</x:f>
        <x:v>1</x:v>
      </x:c>
      <x:c r="E127" s="168" t="n">
        <x:f>$J$7</x:f>
        <x:v>0</x:v>
      </x:c>
      <x:c r="F127" s="168" t="n">
        <x:f>$K$7</x:f>
        <x:v>1</x:v>
      </x:c>
      <x:c r="G127" s="242" t="n">
        <x:f>AI126</x:f>
        <x:v>1.3347484113341923</x:v>
      </x:c>
      <x:c r="H127" s="242" t="n">
        <x:f>AJ126</x:f>
        <x:v>-1.7127025260085826</x:v>
      </x:c>
      <x:c r="I127" s="242" t="n">
        <x:f>AK126</x:f>
        <x:v>-1.2779709700189088</x:v>
      </x:c>
      <x:c r="J127" s="242" t="n">
        <x:f>AL126</x:f>
        <x:v>1.2104178532525203</x:v>
      </x:c>
      <x:c r="K127" s="242" t="n">
        <x:f>AM126</x:f>
        <x:v>-1.74765129778269</x:v>
      </x:c>
      <x:c r="L127" s="242" t="n">
        <x:f>AN126</x:f>
        <x:v>1.35938536534874</x:v>
      </x:c>
      <x:c r="M127" s="242" t="n">
        <x:f>AO126</x:f>
        <x:v>1.5470124315491798</x:v>
      </x:c>
      <x:c r="N127" s="242" t="n">
        <x:f>AP126</x:f>
        <x:v>-1.7860972308495835</x:v>
      </x:c>
      <x:c r="O127" s="242" t="n">
        <x:f>AQ126</x:f>
        <x:v>0.863737936199794</x:v>
      </x:c>
      <x:c r="P127" s="243" t="n">
        <x:f>D127*G127+E127*H127+I127</x:f>
        <x:v>0.056777441315283506</x:v>
      </x:c>
      <x:c r="Q127" s="243" t="n">
        <x:f>1/(1+EXP(-P127))</x:f>
        <x:v>0.5141905483872569</x:v>
      </x:c>
      <x:c r="R127" s="243" t="n">
        <x:f>D127*J127+E127*K127+L127</x:f>
        <x:v>2.56980321860126</x:v>
      </x:c>
      <x:c r="S127" s="243" t="n">
        <x:f>1/(1+EXP(-R127))</x:f>
        <x:v>0.9288926993941558</x:v>
      </x:c>
      <x:c r="T127" s="243" t="n">
        <x:f>Q127*M127+S127*N127+O127</x:f>
        <x:v>0.00010442859567438845</x:v>
      </x:c>
      <x:c r="U127" s="243" t="n">
        <x:f>1/(1+EXP(-T127))</x:f>
        <x:v>0.5000261071488948</x:v>
      </x:c>
      <x:c r="V127" s="243" t="n">
        <x:f>0.5*(F127-U127)^2</x:f>
        <x:v>0.1249869467663442</x:v>
      </x:c>
      <x:c r="W127" s="244" t="n">
        <x:f>(U127-F127)*U127*(1-U127)</x:f>
        <x:v>-0.12499347287200246</x:v>
      </x:c>
      <x:c r="X127" s="244" t="n">
        <x:f>W127*M127*Q127*(1-Q127)</x:f>
        <x:v>-0.048302675573877775</x:v>
      </x:c>
      <x:c r="Y127" s="244" t="n">
        <x:f>W127*N127*S127*(1-S127)</x:f>
        <x:v>0.014745930195920942</x:v>
      </x:c>
      <x:c r="Z127" s="245" t="n">
        <x:f>X127*D127</x:f>
        <x:v>-0.048302675573877775</x:v>
      </x:c>
      <x:c r="AA127" s="245" t="n">
        <x:f>X127*E127</x:f>
        <x:v>0</x:v>
      </x:c>
      <x:c r="AB127" s="245" t="n">
        <x:f>X127</x:f>
        <x:v>-0.048302675573877775</x:v>
      </x:c>
      <x:c r="AC127" s="245" t="n">
        <x:f>Y127*D127</x:f>
        <x:v>0.014745930195920942</x:v>
      </x:c>
      <x:c r="AD127" s="245" t="n">
        <x:f>Y127*E127</x:f>
        <x:v>0</x:v>
      </x:c>
      <x:c r="AE127" s="245" t="n">
        <x:f>Y127</x:f>
        <x:v>0.014745930195920942</x:v>
      </x:c>
      <x:c r="AF127" s="245" t="n">
        <x:f>W127*Q127</x:f>
        <x:v>-0.06427046236088266</x:v>
      </x:c>
      <x:c r="AG127" s="245" t="n">
        <x:f>W127*S127</x:f>
        <x:v>-0.11610552442272455</x:v>
      </x:c>
      <x:c r="AH127" s="245" t="n">
        <x:f>W127</x:f>
        <x:v>-0.12499347287200246</x:v>
      </x:c>
      <x:c r="AI127" s="246" t="n">
        <x:f>G127-$B$4*Z127</x:f>
        <x:v>1.38305108690807</x:v>
      </x:c>
      <x:c r="AJ127" s="246" t="n">
        <x:f>H127-$B$4*AA127</x:f>
        <x:v>-1.7127025260085826</x:v>
      </x:c>
      <x:c r="AK127" s="246" t="n">
        <x:f>I127-$B$4*AB127</x:f>
        <x:v>-1.229668294445031</x:v>
      </x:c>
      <x:c r="AL127" s="246" t="n">
        <x:f>J127-$B$4*AC127</x:f>
        <x:v>1.1956719230565993</x:v>
      </x:c>
      <x:c r="AM127" s="246" t="n">
        <x:f>K127-$B$4*AD127</x:f>
        <x:v>-1.74765129778269</x:v>
      </x:c>
      <x:c r="AN127" s="246" t="n">
        <x:f>L127-$B$4*AE127</x:f>
        <x:v>1.344639435152819</x:v>
      </x:c>
      <x:c r="AO127" s="246" t="n">
        <x:f>M127-$B$4*AF127</x:f>
        <x:v>1.6112828939100625</x:v>
      </x:c>
      <x:c r="AP127" s="246" t="n">
        <x:f>N127-$B$4*AG127</x:f>
        <x:v>-1.669991706426859</x:v>
      </x:c>
      <x:c r="AQ127" s="246" t="n">
        <x:f>O127-$B$4*AH127</x:f>
        <x:v>0.9887314090717965</x:v>
      </x:c>
      <x:c r="AR127" s="182" t="n">
        <x:f>IF(U127&gt;=$B$5,1,0)</x:f>
        <x:v>1</x:v>
      </x:c>
      <x:c r="AS127" s="182" t="n">
        <x:f>IF(AR127=F127,1,0)</x:f>
        <x:v>1</x:v>
      </x:c>
      <x:c r="AT127" s="252" t="n">
        <x:f>ABS(F127-U127)</x:f>
        <x:v>0.49997389285110516</x:v>
      </x:c>
    </x:row>
    <x:row r="128">
      <x:c r="A128" s="114" t="n">
        <x:v>112</x:v>
      </x:c>
      <x:c r="B128" s="114" t="n">
        <x:v>28</x:v>
      </x:c>
      <x:c r="C128" s="114" t="n">
        <x:v>4</x:v>
      </x:c>
      <x:c r="D128" s="168" t="n">
        <x:f>$I$8</x:f>
        <x:v>1</x:v>
      </x:c>
      <x:c r="E128" s="168" t="n">
        <x:f>$J$8</x:f>
        <x:v>1</x:v>
      </x:c>
      <x:c r="F128" s="168" t="n">
        <x:f>$K$8</x:f>
        <x:v>0</x:v>
      </x:c>
      <x:c r="G128" s="242" t="n">
        <x:f>AI127</x:f>
        <x:v>1.38305108690807</x:v>
      </x:c>
      <x:c r="H128" s="242" t="n">
        <x:f>AJ127</x:f>
        <x:v>-1.7127025260085826</x:v>
      </x:c>
      <x:c r="I128" s="242" t="n">
        <x:f>AK127</x:f>
        <x:v>-1.229668294445031</x:v>
      </x:c>
      <x:c r="J128" s="242" t="n">
        <x:f>AL127</x:f>
        <x:v>1.1956719230565993</x:v>
      </x:c>
      <x:c r="K128" s="242" t="n">
        <x:f>AM127</x:f>
        <x:v>-1.74765129778269</x:v>
      </x:c>
      <x:c r="L128" s="242" t="n">
        <x:f>AN127</x:f>
        <x:v>1.344639435152819</x:v>
      </x:c>
      <x:c r="M128" s="242" t="n">
        <x:f>AO127</x:f>
        <x:v>1.6112828939100625</x:v>
      </x:c>
      <x:c r="N128" s="242" t="n">
        <x:f>AP127</x:f>
        <x:v>-1.669991706426859</x:v>
      </x:c>
      <x:c r="O128" s="242" t="n">
        <x:f>AQ127</x:f>
        <x:v>0.9887314090717965</x:v>
      </x:c>
      <x:c r="P128" s="243" t="n">
        <x:f>D128*G128+E128*H128+I128</x:f>
        <x:v>-1.5593197335455435</x:v>
      </x:c>
      <x:c r="Q128" s="243" t="n">
        <x:f>1/(1+EXP(-P128))</x:f>
        <x:v>0.17374428249802124</x:v>
      </x:c>
      <x:c r="R128" s="243" t="n">
        <x:f>D128*J128+E128*K128+L128</x:f>
        <x:v>0.7926600604267284</x:v>
      </x:c>
      <x:c r="S128" s="243" t="n">
        <x:f>1/(1+EXP(-R128))</x:f>
        <x:v>0.6884022115652246</x:v>
      </x:c>
      <x:c r="T128" s="243" t="n">
        <x:f>Q128*M128+S128*N128+O128</x:f>
        <x:v>0.11905661537570245</x:v>
      </x:c>
      <x:c r="U128" s="243" t="n">
        <x:f>1/(1+EXP(-T128))</x:f>
        <x:v>0.5297290459954715</x:v>
      </x:c>
      <x:c r="V128" s="243" t="n">
        <x:f>0.5*(F128-U128)^2</x:f>
        <x:v>0.1403064310856362</x:v>
      </x:c>
      <x:c r="W128" s="244" t="n">
        <x:f>(U128-F128)*U128*(1-U128)</x:f>
        <x:v>0.13196407839922553</x:v>
      </x:c>
      <x:c r="X128" s="244" t="n">
        <x:f>W128*M128*Q128*(1-Q128)</x:f>
        <x:v>0.03052477878135985</x:v>
      </x:c>
      <x:c r="Y128" s="244" t="n">
        <x:f>W128*N128*S128*(1-S128)</x:f>
        <x:v>-0.047272292798011206</x:v>
      </x:c>
      <x:c r="Z128" s="245" t="n">
        <x:f>X128*D128</x:f>
        <x:v>0.03052477878135985</x:v>
      </x:c>
      <x:c r="AA128" s="245" t="n">
        <x:f>X128*E128</x:f>
        <x:v>0.03052477878135985</x:v>
      </x:c>
      <x:c r="AB128" s="245" t="n">
        <x:f>X128</x:f>
        <x:v>0.03052477878135985</x:v>
      </x:c>
      <x:c r="AC128" s="245" t="n">
        <x:f>Y128*D128</x:f>
        <x:v>-0.047272292798011206</x:v>
      </x:c>
      <x:c r="AD128" s="245" t="n">
        <x:f>Y128*E128</x:f>
        <x:v>-0.047272292798011206</x:v>
      </x:c>
      <x:c r="AE128" s="245" t="n">
        <x:f>Y128</x:f>
        <x:v>-0.047272292798011206</x:v>
      </x:c>
      <x:c r="AF128" s="245" t="n">
        <x:f>W128*Q128</x:f>
        <x:v>0.02292800411698606</x:v>
      </x:c>
      <x:c r="AG128" s="245" t="n">
        <x:f>W128*S128</x:f>
        <x:v>0.09084436341719354</x:v>
      </x:c>
      <x:c r="AH128" s="245" t="n">
        <x:f>W128</x:f>
        <x:v>0.13196407839922553</x:v>
      </x:c>
      <x:c r="AI128" s="246" t="n">
        <x:f>G128-$B$4*Z128</x:f>
        <x:v>1.3525263081267103</x:v>
      </x:c>
      <x:c r="AJ128" s="246" t="n">
        <x:f>H128-$B$4*AA128</x:f>
        <x:v>-1.7432273047899425</x:v>
      </x:c>
      <x:c r="AK128" s="246" t="n">
        <x:f>I128-$B$4*AB128</x:f>
        <x:v>-1.2601930732263908</x:v>
      </x:c>
      <x:c r="AL128" s="246" t="n">
        <x:f>J128-$B$4*AC128</x:f>
        <x:v>1.2429442158546105</x:v>
      </x:c>
      <x:c r="AM128" s="246" t="n">
        <x:f>K128-$B$4*AD128</x:f>
        <x:v>-1.7003790049846788</x:v>
      </x:c>
      <x:c r="AN128" s="246" t="n">
        <x:f>L128-$B$4*AE128</x:f>
        <x:v>1.3919117279508302</x:v>
      </x:c>
      <x:c r="AO128" s="246" t="n">
        <x:f>M128-$B$4*AF128</x:f>
        <x:v>1.5883548897930764</x:v>
      </x:c>
      <x:c r="AP128" s="246" t="n">
        <x:f>N128-$B$4*AG128</x:f>
        <x:v>-1.7608360698440526</x:v>
      </x:c>
      <x:c r="AQ128" s="246" t="n">
        <x:f>O128-$B$4*AH128</x:f>
        <x:v>0.8567673306725709</x:v>
      </x:c>
      <x:c r="AR128" s="182" t="n">
        <x:f>IF(U128&gt;=$B$5,1,0)</x:f>
        <x:v>1</x:v>
      </x:c>
      <x:c r="AS128" s="182" t="n">
        <x:f>IF(AR128=F128,1,0)</x:f>
        <x:v>0</x:v>
      </x:c>
      <x:c r="AT128" s="252" t="n">
        <x:f>ABS(F128-U128)</x:f>
        <x:v>0.5297290459954715</x:v>
      </x:c>
    </x:row>
    <x:row r="129">
      <x:c r="A129" s="114" t="n">
        <x:v>113</x:v>
      </x:c>
      <x:c r="B129" s="114" t="n">
        <x:v>29</x:v>
      </x:c>
      <x:c r="C129" s="114" t="n">
        <x:v>1</x:v>
      </x:c>
      <x:c r="D129" s="168" t="n">
        <x:f>$I$5</x:f>
        <x:v>0</x:v>
      </x:c>
      <x:c r="E129" s="168" t="n">
        <x:f>$J$5</x:f>
        <x:v>0</x:v>
      </x:c>
      <x:c r="F129" s="168" t="n">
        <x:f>$K$5</x:f>
        <x:v>0</x:v>
      </x:c>
      <x:c r="G129" s="242" t="n">
        <x:f>AI128</x:f>
        <x:v>1.3525263081267103</x:v>
      </x:c>
      <x:c r="H129" s="242" t="n">
        <x:f>AJ128</x:f>
        <x:v>-1.7432273047899425</x:v>
      </x:c>
      <x:c r="I129" s="242" t="n">
        <x:f>AK128</x:f>
        <x:v>-1.2601930732263908</x:v>
      </x:c>
      <x:c r="J129" s="242" t="n">
        <x:f>AL128</x:f>
        <x:v>1.2429442158546105</x:v>
      </x:c>
      <x:c r="K129" s="242" t="n">
        <x:f>AM128</x:f>
        <x:v>-1.7003790049846788</x:v>
      </x:c>
      <x:c r="L129" s="242" t="n">
        <x:f>AN128</x:f>
        <x:v>1.3919117279508302</x:v>
      </x:c>
      <x:c r="M129" s="242" t="n">
        <x:f>AO128</x:f>
        <x:v>1.5883548897930764</x:v>
      </x:c>
      <x:c r="N129" s="242" t="n">
        <x:f>AP128</x:f>
        <x:v>-1.7608360698440526</x:v>
      </x:c>
      <x:c r="O129" s="242" t="n">
        <x:f>AQ128</x:f>
        <x:v>0.8567673306725709</x:v>
      </x:c>
      <x:c r="P129" s="243" t="n">
        <x:f>D129*G129+E129*H129+I129</x:f>
        <x:v>-1.2601930732263908</x:v>
      </x:c>
      <x:c r="Q129" s="243" t="n">
        <x:f>1/(1+EXP(-P129))</x:f>
        <x:v>0.22094065752999334</x:v>
      </x:c>
      <x:c r="R129" s="243" t="n">
        <x:f>D129*J129+E129*K129+L129</x:f>
        <x:v>1.3919117279508302</x:v>
      </x:c>
      <x:c r="S129" s="243" t="n">
        <x:f>1/(1+EXP(-R129))</x:f>
        <x:v>0.8008972642547956</x:v>
      </x:c>
      <x:c r="T129" s="243" t="n">
        <x:f>Q129*M129+S129*N129+O129</x:f>
        <x:v>-0.2025492867248344</x:v>
      </x:c>
      <x:c r="U129" s="243" t="n">
        <x:f>1/(1+EXP(-T129))</x:f>
        <x:v>0.44953509246777296</x:v>
      </x:c>
      <x:c r="V129" s="243" t="n">
        <x:f>0.5*(F129-U129)^2</x:f>
        <x:v>0.1010408996800046</x:v>
      </x:c>
      <x:c r="W129" s="244" t="n">
        <x:f>(U129-F129)*U129*(1-U129)</x:f>
        <x:v>0.1112389389986535</x:v>
      </x:c>
      <x:c r="X129" s="244" t="n">
        <x:f>W129*M129*Q129*(1-Q129)</x:f>
        <x:v>0.030412390929160003</x:v>
      </x:c>
      <x:c r="Y129" s="244" t="n">
        <x:f>W129*N129*S129*(1-S129)</x:f>
        <x:v>-0.031234157897645633</x:v>
      </x:c>
      <x:c r="Z129" s="245" t="n">
        <x:f>X129*D129</x:f>
        <x:v>0</x:v>
      </x:c>
      <x:c r="AA129" s="245" t="n">
        <x:f>X129*E129</x:f>
        <x:v>0</x:v>
      </x:c>
      <x:c r="AB129" s="245" t="n">
        <x:f>X129</x:f>
        <x:v>0.030412390929160003</x:v>
      </x:c>
      <x:c r="AC129" s="245" t="n">
        <x:f>Y129*D129</x:f>
        <x:v>0</x:v>
      </x:c>
      <x:c r="AD129" s="245" t="n">
        <x:f>Y129*E129</x:f>
        <x:v>0</x:v>
      </x:c>
      <x:c r="AE129" s="245" t="n">
        <x:f>Y129</x:f>
        <x:v>-0.031234157897645633</x:v>
      </x:c>
      <x:c r="AF129" s="245" t="n">
        <x:f>W129*Q129</x:f>
        <x:v>0.024577204325301322</x:v>
      </x:c>
      <x:c r="AG129" s="245" t="n">
        <x:f>W129*S129</x:f>
        <x:v>0.08909096192262768</x:v>
      </x:c>
      <x:c r="AH129" s="245" t="n">
        <x:f>W129</x:f>
        <x:v>0.1112389389986535</x:v>
      </x:c>
      <x:c r="AI129" s="246" t="n">
        <x:f>G129-$B$4*Z129</x:f>
        <x:v>1.3525263081267103</x:v>
      </x:c>
      <x:c r="AJ129" s="246" t="n">
        <x:f>H129-$B$4*AA129</x:f>
        <x:v>-1.7432273047899425</x:v>
      </x:c>
      <x:c r="AK129" s="246" t="n">
        <x:f>I129-$B$4*AB129</x:f>
        <x:v>-1.2906054641555509</x:v>
      </x:c>
      <x:c r="AL129" s="246" t="n">
        <x:f>J129-$B$4*AC129</x:f>
        <x:v>1.2429442158546105</x:v>
      </x:c>
      <x:c r="AM129" s="246" t="n">
        <x:f>K129-$B$4*AD129</x:f>
        <x:v>-1.7003790049846788</x:v>
      </x:c>
      <x:c r="AN129" s="246" t="n">
        <x:f>L129-$B$4*AE129</x:f>
        <x:v>1.4231458858484758</x:v>
      </x:c>
      <x:c r="AO129" s="246" t="n">
        <x:f>M129-$B$4*AF129</x:f>
        <x:v>1.563777685467775</x:v>
      </x:c>
      <x:c r="AP129" s="246" t="n">
        <x:f>N129-$B$4*AG129</x:f>
        <x:v>-1.8499270317666803</x:v>
      </x:c>
      <x:c r="AQ129" s="246" t="n">
        <x:f>O129-$B$4*AH129</x:f>
        <x:v>0.7455283916739175</x:v>
      </x:c>
      <x:c r="AR129" s="182" t="n">
        <x:f>IF(U129&gt;=$B$5,1,0)</x:f>
        <x:v>0</x:v>
      </x:c>
      <x:c r="AS129" s="182" t="n">
        <x:f>IF(AR129=F129,1,0)</x:f>
        <x:v>1</x:v>
      </x:c>
      <x:c r="AT129" s="252" t="n">
        <x:f>ABS(F129-U129)</x:f>
        <x:v>0.44953509246777296</x:v>
      </x:c>
    </x:row>
    <x:row r="130">
      <x:c r="A130" s="114" t="n">
        <x:v>114</x:v>
      </x:c>
      <x:c r="B130" s="114" t="n">
        <x:v>29</x:v>
      </x:c>
      <x:c r="C130" s="114" t="n">
        <x:v>2</x:v>
      </x:c>
      <x:c r="D130" s="168" t="n">
        <x:f>$I$6</x:f>
        <x:v>0</x:v>
      </x:c>
      <x:c r="E130" s="168" t="n">
        <x:f>$J$6</x:f>
        <x:v>1</x:v>
      </x:c>
      <x:c r="F130" s="168" t="n">
        <x:f>$K$6</x:f>
        <x:v>1</x:v>
      </x:c>
      <x:c r="G130" s="242" t="n">
        <x:f>AI129</x:f>
        <x:v>1.3525263081267103</x:v>
      </x:c>
      <x:c r="H130" s="242" t="n">
        <x:f>AJ129</x:f>
        <x:v>-1.7432273047899425</x:v>
      </x:c>
      <x:c r="I130" s="242" t="n">
        <x:f>AK129</x:f>
        <x:v>-1.2906054641555509</x:v>
      </x:c>
      <x:c r="J130" s="242" t="n">
        <x:f>AL129</x:f>
        <x:v>1.2429442158546105</x:v>
      </x:c>
      <x:c r="K130" s="242" t="n">
        <x:f>AM129</x:f>
        <x:v>-1.7003790049846788</x:v>
      </x:c>
      <x:c r="L130" s="242" t="n">
        <x:f>AN129</x:f>
        <x:v>1.4231458858484758</x:v>
      </x:c>
      <x:c r="M130" s="242" t="n">
        <x:f>AO129</x:f>
        <x:v>1.563777685467775</x:v>
      </x:c>
      <x:c r="N130" s="242" t="n">
        <x:f>AP129</x:f>
        <x:v>-1.8499270317666803</x:v>
      </x:c>
      <x:c r="O130" s="242" t="n">
        <x:f>AQ129</x:f>
        <x:v>0.7455283916739175</x:v>
      </x:c>
      <x:c r="P130" s="243" t="n">
        <x:f>D130*G130+E130*H130+I130</x:f>
        <x:v>-3.0338327689454934</x:v>
      </x:c>
      <x:c r="Q130" s="243" t="n">
        <x:f>1/(1+EXP(-P130))</x:f>
        <x:v>0.04592061355641026</x:v>
      </x:c>
      <x:c r="R130" s="243" t="n">
        <x:f>D130*J130+E130*K130+L130</x:f>
        <x:v>-0.27723311913620297</x:v>
      </x:c>
      <x:c r="S130" s="243" t="n">
        <x:f>1/(1+EXP(-R130))</x:f>
        <x:v>0.4311322438890412</x:v>
      </x:c>
      <x:c r="T130" s="243" t="n">
        <x:f>Q130*M130+S130*N130+O130</x:f>
        <x:v>0.019774830219858375</x:v>
      </x:c>
      <x:c r="U130" s="243" t="n">
        <x:f>1/(1+EXP(-T130))</x:f>
        <x:v>0.5049435464607029</x:v>
      </x:c>
      <x:c r="V130" s="243" t="n">
        <x:f>0.5*(F130-U130)^2</x:f>
        <x:v>0.12254044609545309</x:v>
      </x:c>
      <x:c r="W130" s="244" t="n">
        <x:f>(U130-F130)*U130*(1-U130)</x:f>
        <x:v>-0.12375201487262938</x:v>
      </x:c>
      <x:c r="X130" s="244" t="n">
        <x:f>W130*M130*Q130*(1-Q130)</x:f>
        <x:v>-0.008478508992248656</x:v>
      </x:c>
      <x:c r="Y130" s="244" t="n">
        <x:f>W130*N130*S130*(1-S130)</x:f>
        <x:v>0.056147277124930665</x:v>
      </x:c>
      <x:c r="Z130" s="245" t="n">
        <x:f>X130*D130</x:f>
        <x:v>0</x:v>
      </x:c>
      <x:c r="AA130" s="245" t="n">
        <x:f>X130*E130</x:f>
        <x:v>-0.008478508992248656</x:v>
      </x:c>
      <x:c r="AB130" s="245" t="n">
        <x:f>X130</x:f>
        <x:v>-0.008478508992248656</x:v>
      </x:c>
      <x:c r="AC130" s="245" t="n">
        <x:f>Y130*D130</x:f>
        <x:v>0</x:v>
      </x:c>
      <x:c r="AD130" s="245" t="n">
        <x:f>Y130*E130</x:f>
        <x:v>0.056147277124930665</x:v>
      </x:c>
      <x:c r="AE130" s="245" t="n">
        <x:f>Y130</x:f>
        <x:v>0.056147277124930665</x:v>
      </x:c>
      <x:c r="AF130" s="245" t="n">
        <x:f>W130*Q130</x:f>
        <x:v>-0.005682768451793148</x:v>
      </x:c>
      <x:c r="AG130" s="245" t="n">
        <x:f>W130*S130</x:f>
        <x:v>-0.053353483857826706</x:v>
      </x:c>
      <x:c r="AH130" s="245" t="n">
        <x:f>W130</x:f>
        <x:v>-0.12375201487262938</x:v>
      </x:c>
      <x:c r="AI130" s="246" t="n">
        <x:f>G130-$B$4*Z130</x:f>
        <x:v>1.3525263081267103</x:v>
      </x:c>
      <x:c r="AJ130" s="246" t="n">
        <x:f>H130-$B$4*AA130</x:f>
        <x:v>-1.734748795797694</x:v>
      </x:c>
      <x:c r="AK130" s="246" t="n">
        <x:f>I130-$B$4*AB130</x:f>
        <x:v>-1.2821269551633023</x:v>
      </x:c>
      <x:c r="AL130" s="246" t="n">
        <x:f>J130-$B$4*AC130</x:f>
        <x:v>1.2429442158546105</x:v>
      </x:c>
      <x:c r="AM130" s="246" t="n">
        <x:f>K130-$B$4*AD130</x:f>
        <x:v>-1.7565262821096095</x:v>
      </x:c>
      <x:c r="AN130" s="246" t="n">
        <x:f>L130-$B$4*AE130</x:f>
        <x:v>1.366998608723545</x:v>
      </x:c>
      <x:c r="AO130" s="246" t="n">
        <x:f>M130-$B$4*AF130</x:f>
        <x:v>1.569460453919568</x:v>
      </x:c>
      <x:c r="AP130" s="246" t="n">
        <x:f>N130-$B$4*AG130</x:f>
        <x:v>-1.7965735479088536</x:v>
      </x:c>
      <x:c r="AQ130" s="246" t="n">
        <x:f>O130-$B$4*AH130</x:f>
        <x:v>0.8692804065465469</x:v>
      </x:c>
      <x:c r="AR130" s="182" t="n">
        <x:f>IF(U130&gt;=$B$5,1,0)</x:f>
        <x:v>1</x:v>
      </x:c>
      <x:c r="AS130" s="182" t="n">
        <x:f>IF(AR130=F130,1,0)</x:f>
        <x:v>1</x:v>
      </x:c>
      <x:c r="AT130" s="252" t="n">
        <x:f>ABS(F130-U130)</x:f>
        <x:v>0.49505645353929706</x:v>
      </x:c>
    </x:row>
    <x:row r="131">
      <x:c r="A131" s="114" t="n">
        <x:v>115</x:v>
      </x:c>
      <x:c r="B131" s="114" t="n">
        <x:v>29</x:v>
      </x:c>
      <x:c r="C131" s="114" t="n">
        <x:v>3</x:v>
      </x:c>
      <x:c r="D131" s="168" t="n">
        <x:f>$I$7</x:f>
        <x:v>1</x:v>
      </x:c>
      <x:c r="E131" s="168" t="n">
        <x:f>$J$7</x:f>
        <x:v>0</x:v>
      </x:c>
      <x:c r="F131" s="168" t="n">
        <x:f>$K$7</x:f>
        <x:v>1</x:v>
      </x:c>
      <x:c r="G131" s="242" t="n">
        <x:f>AI130</x:f>
        <x:v>1.3525263081267103</x:v>
      </x:c>
      <x:c r="H131" s="242" t="n">
        <x:f>AJ130</x:f>
        <x:v>-1.734748795797694</x:v>
      </x:c>
      <x:c r="I131" s="242" t="n">
        <x:f>AK130</x:f>
        <x:v>-1.2821269551633023</x:v>
      </x:c>
      <x:c r="J131" s="242" t="n">
        <x:f>AL130</x:f>
        <x:v>1.2429442158546105</x:v>
      </x:c>
      <x:c r="K131" s="242" t="n">
        <x:f>AM130</x:f>
        <x:v>-1.7565262821096095</x:v>
      </x:c>
      <x:c r="L131" s="242" t="n">
        <x:f>AN130</x:f>
        <x:v>1.366998608723545</x:v>
      </x:c>
      <x:c r="M131" s="242" t="n">
        <x:f>AO130</x:f>
        <x:v>1.569460453919568</x:v>
      </x:c>
      <x:c r="N131" s="242" t="n">
        <x:f>AP130</x:f>
        <x:v>-1.7965735479088536</x:v>
      </x:c>
      <x:c r="O131" s="242" t="n">
        <x:f>AQ130</x:f>
        <x:v>0.8692804065465469</x:v>
      </x:c>
      <x:c r="P131" s="243" t="n">
        <x:f>D131*G131+E131*H131+I131</x:f>
        <x:v>0.07039935296340794</x:v>
      </x:c>
      <x:c r="Q131" s="243" t="n">
        <x:f>1/(1+EXP(-P131))</x:f>
        <x:v>0.5175925730072881</x:v>
      </x:c>
      <x:c r="R131" s="243" t="n">
        <x:f>D131*J131+E131*K131+L131</x:f>
        <x:v>2.6099428245781553</x:v>
      </x:c>
      <x:c r="S131" s="243" t="n">
        <x:f>1/(1+EXP(-R131))</x:f>
        <x:v>0.9314987480688839</x:v>
      </x:c>
      <x:c r="T131" s="243" t="n">
        <x:f>Q131*M131+S131*N131+O131</x:f>
        <x:v>0.008115470433192273</x:v>
      </x:c>
      <x:c r="U131" s="243" t="n">
        <x:f>1/(1+EXP(-T131))</x:f>
        <x:v>0.5020288564731242</x:v>
      </x:c>
      <x:c r="V131" s="243" t="n">
        <x:f>0.5*(F131-U131)^2</x:f>
        <x:v>0.12398762989273215</x:v>
      </x:c>
      <x:c r="W131" s="244" t="n">
        <x:f>(U131-F131)*U131*(1-U131)</x:f>
        <x:v>-0.12449073610372256</x:v>
      </x:c>
      <x:c r="X131" s="244" t="n">
        <x:f>W131*M131*Q131*(1-Q131)</x:f>
        <x:v>-0.048785350939794546</x:v>
      </x:c>
      <x:c r="Y131" s="244" t="n">
        <x:f>W131*N131*S131*(1-S131)</x:f>
        <x:v>0.014271276489740452</x:v>
      </x:c>
      <x:c r="Z131" s="245" t="n">
        <x:f>X131*D131</x:f>
        <x:v>-0.048785350939794546</x:v>
      </x:c>
      <x:c r="AA131" s="245" t="n">
        <x:f>X131*E131</x:f>
        <x:v>0</x:v>
      </x:c>
      <x:c r="AB131" s="245" t="n">
        <x:f>X131</x:f>
        <x:v>-0.048785350939794546</x:v>
      </x:c>
      <x:c r="AC131" s="245" t="n">
        <x:f>Y131*D131</x:f>
        <x:v>0.014271276489740452</x:v>
      </x:c>
      <x:c r="AD131" s="245" t="n">
        <x:f>Y131*E131</x:f>
        <x:v>0</x:v>
      </x:c>
      <x:c r="AE131" s="245" t="n">
        <x:f>Y131</x:f>
        <x:v>0.014271276489740452</x:v>
      </x:c>
      <x:c r="AF131" s="245" t="n">
        <x:f>W131*Q131</x:f>
        <x:v>-0.06443548041549706</x:v>
      </x:c>
      <x:c r="AG131" s="245" t="n">
        <x:f>W131*S131</x:f>
        <x:v>-0.11596296482679137</x:v>
      </x:c>
      <x:c r="AH131" s="245" t="n">
        <x:f>W131</x:f>
        <x:v>-0.12449073610372256</x:v>
      </x:c>
      <x:c r="AI131" s="246" t="n">
        <x:f>G131-$B$4*Z131</x:f>
        <x:v>1.401311659066505</x:v>
      </x:c>
      <x:c r="AJ131" s="246" t="n">
        <x:f>H131-$B$4*AA131</x:f>
        <x:v>-1.734748795797694</x:v>
      </x:c>
      <x:c r="AK131" s="246" t="n">
        <x:f>I131-$B$4*AB131</x:f>
        <x:v>-1.2333416042235077</x:v>
      </x:c>
      <x:c r="AL131" s="246" t="n">
        <x:f>J131-$B$4*AC131</x:f>
        <x:v>1.22867293936487</x:v>
      </x:c>
      <x:c r="AM131" s="246" t="n">
        <x:f>K131-$B$4*AD131</x:f>
        <x:v>-1.7565262821096095</x:v>
      </x:c>
      <x:c r="AN131" s="246" t="n">
        <x:f>L131-$B$4*AE131</x:f>
        <x:v>1.3527273322338047</x:v>
      </x:c>
      <x:c r="AO131" s="246" t="n">
        <x:f>M131-$B$4*AF131</x:f>
        <x:v>1.633895934335065</x:v>
      </x:c>
      <x:c r="AP131" s="246" t="n">
        <x:f>N131-$B$4*AG131</x:f>
        <x:v>-1.6806105830820621</x:v>
      </x:c>
      <x:c r="AQ131" s="246" t="n">
        <x:f>O131-$B$4*AH131</x:f>
        <x:v>0.9937711426502694</x:v>
      </x:c>
      <x:c r="AR131" s="182" t="n">
        <x:f>IF(U131&gt;=$B$5,1,0)</x:f>
        <x:v>1</x:v>
      </x:c>
      <x:c r="AS131" s="182" t="n">
        <x:f>IF(AR131=F131,1,0)</x:f>
        <x:v>1</x:v>
      </x:c>
      <x:c r="AT131" s="252" t="n">
        <x:f>ABS(F131-U131)</x:f>
        <x:v>0.49797114352687577</x:v>
      </x:c>
    </x:row>
    <x:row r="132">
      <x:c r="A132" s="114" t="n">
        <x:v>116</x:v>
      </x:c>
      <x:c r="B132" s="114" t="n">
        <x:v>29</x:v>
      </x:c>
      <x:c r="C132" s="114" t="n">
        <x:v>4</x:v>
      </x:c>
      <x:c r="D132" s="168" t="n">
        <x:f>$I$8</x:f>
        <x:v>1</x:v>
      </x:c>
      <x:c r="E132" s="168" t="n">
        <x:f>$J$8</x:f>
        <x:v>1</x:v>
      </x:c>
      <x:c r="F132" s="168" t="n">
        <x:f>$K$8</x:f>
        <x:v>0</x:v>
      </x:c>
      <x:c r="G132" s="242" t="n">
        <x:f>AI131</x:f>
        <x:v>1.401311659066505</x:v>
      </x:c>
      <x:c r="H132" s="242" t="n">
        <x:f>AJ131</x:f>
        <x:v>-1.734748795797694</x:v>
      </x:c>
      <x:c r="I132" s="242" t="n">
        <x:f>AK131</x:f>
        <x:v>-1.2333416042235077</x:v>
      </x:c>
      <x:c r="J132" s="242" t="n">
        <x:f>AL131</x:f>
        <x:v>1.22867293936487</x:v>
      </x:c>
      <x:c r="K132" s="242" t="n">
        <x:f>AM131</x:f>
        <x:v>-1.7565262821096095</x:v>
      </x:c>
      <x:c r="L132" s="242" t="n">
        <x:f>AN131</x:f>
        <x:v>1.3527273322338047</x:v>
      </x:c>
      <x:c r="M132" s="242" t="n">
        <x:f>AO131</x:f>
        <x:v>1.633895934335065</x:v>
      </x:c>
      <x:c r="N132" s="242" t="n">
        <x:f>AP131</x:f>
        <x:v>-1.6806105830820621</x:v>
      </x:c>
      <x:c r="O132" s="242" t="n">
        <x:f>AQ131</x:f>
        <x:v>0.9937711426502694</x:v>
      </x:c>
      <x:c r="P132" s="243" t="n">
        <x:f>D132*G132+E132*H132+I132</x:f>
        <x:v>-1.5667787409546967</x:v>
      </x:c>
      <x:c r="Q132" s="243" t="n">
        <x:f>1/(1+EXP(-P132))</x:f>
        <x:v>0.17267609266818573</x:v>
      </x:c>
      <x:c r="R132" s="243" t="n">
        <x:f>D132*J132+E132*K132+L132</x:f>
        <x:v>0.8248739894890653</x:v>
      </x:c>
      <x:c r="S132" s="243" t="n">
        <x:f>1/(1+EXP(-R132))</x:f>
        <x:v>0.6952699722031822</x:v>
      </x:c>
      <x:c r="T132" s="243" t="n">
        <x:f>Q132*M132+S132*N132+O132</x:f>
        <x:v>0.1074278350338439</x:v>
      </x:c>
      <x:c r="U132" s="243" t="n">
        <x:f>1/(1+EXP(-T132))</x:f>
        <x:v>0.5268311594347765</x:v>
      </x:c>
      <x:c r="V132" s="243" t="n">
        <x:f>0.5*(F132-U132)^2</x:f>
        <x:v>0.13877553527569547</x:v>
      </x:c>
      <x:c r="W132" s="244" t="n">
        <x:f>(U132-F132)*U132*(1-U132)</x:f>
        <x:v>0.13132851825043818</x:v>
      </x:c>
      <x:c r="X132" s="244" t="n">
        <x:f>W132*M132*Q132*(1-Q132)</x:f>
        <x:v>0.03065428731280966</x:v>
      </x:c>
      <x:c r="Y132" s="244" t="n">
        <x:f>W132*N132*S132*(1-S132)</x:f>
        <x:v>-0.046762192217786526</x:v>
      </x:c>
      <x:c r="Z132" s="245" t="n">
        <x:f>X132*D132</x:f>
        <x:v>0.03065428731280966</x:v>
      </x:c>
      <x:c r="AA132" s="245" t="n">
        <x:f>X132*E132</x:f>
        <x:v>0.03065428731280966</x:v>
      </x:c>
      <x:c r="AB132" s="245" t="n">
        <x:f>X132</x:f>
        <x:v>0.03065428731280966</x:v>
      </x:c>
      <x:c r="AC132" s="245" t="n">
        <x:f>Y132*D132</x:f>
        <x:v>-0.046762192217786526</x:v>
      </x:c>
      <x:c r="AD132" s="245" t="n">
        <x:f>Y132*E132</x:f>
        <x:v>-0.046762192217786526</x:v>
      </x:c>
      <x:c r="AE132" s="245" t="n">
        <x:f>Y132</x:f>
        <x:v>-0.046762192217786526</x:v>
      </x:c>
      <x:c r="AF132" s="245" t="n">
        <x:f>W132*Q132</x:f>
        <x:v>0.022677295387388184</x:v>
      </x:c>
      <x:c r="AG132" s="245" t="n">
        <x:f>W132*S132</x:f>
        <x:v>0.09130877523346725</x:v>
      </x:c>
      <x:c r="AH132" s="245" t="n">
        <x:f>W132</x:f>
        <x:v>0.13132851825043818</x:v>
      </x:c>
      <x:c r="AI132" s="246" t="n">
        <x:f>G132-$B$4*Z132</x:f>
        <x:v>1.3706573717536952</x:v>
      </x:c>
      <x:c r="AJ132" s="246" t="n">
        <x:f>H132-$B$4*AA132</x:f>
        <x:v>-1.7654030831105036</x:v>
      </x:c>
      <x:c r="AK132" s="246" t="n">
        <x:f>I132-$B$4*AB132</x:f>
        <x:v>-1.2639958915363174</x:v>
      </x:c>
      <x:c r="AL132" s="246" t="n">
        <x:f>J132-$B$4*AC132</x:f>
        <x:v>1.2754351315826566</x:v>
      </x:c>
      <x:c r="AM132" s="246" t="n">
        <x:f>K132-$B$4*AD132</x:f>
        <x:v>-1.709764089891823</x:v>
      </x:c>
      <x:c r="AN132" s="246" t="n">
        <x:f>L132-$B$4*AE132</x:f>
        <x:v>1.3994895244515912</x:v>
      </x:c>
      <x:c r="AO132" s="246" t="n">
        <x:f>M132-$B$4*AF132</x:f>
        <x:v>1.6112186389476768</x:v>
      </x:c>
      <x:c r="AP132" s="246" t="n">
        <x:f>N132-$B$4*AG132</x:f>
        <x:v>-1.7719193583155293</x:v>
      </x:c>
      <x:c r="AQ132" s="246" t="n">
        <x:f>O132-$B$4*AH132</x:f>
        <x:v>0.8624426243998313</x:v>
      </x:c>
      <x:c r="AR132" s="182" t="n">
        <x:f>IF(U132&gt;=$B$5,1,0)</x:f>
        <x:v>1</x:v>
      </x:c>
      <x:c r="AS132" s="182" t="n">
        <x:f>IF(AR132=F132,1,0)</x:f>
        <x:v>0</x:v>
      </x:c>
      <x:c r="AT132" s="252" t="n">
        <x:f>ABS(F132-U132)</x:f>
        <x:v>0.5268311594347765</x:v>
      </x:c>
    </x:row>
    <x:row r="133">
      <x:c r="A133" s="114" t="n">
        <x:v>117</x:v>
      </x:c>
      <x:c r="B133" s="114" t="n">
        <x:v>30</x:v>
      </x:c>
      <x:c r="C133" s="114" t="n">
        <x:v>1</x:v>
      </x:c>
      <x:c r="D133" s="168" t="n">
        <x:f>$I$5</x:f>
        <x:v>0</x:v>
      </x:c>
      <x:c r="E133" s="168" t="n">
        <x:f>$J$5</x:f>
        <x:v>0</x:v>
      </x:c>
      <x:c r="F133" s="168" t="n">
        <x:f>$K$5</x:f>
        <x:v>0</x:v>
      </x:c>
      <x:c r="G133" s="242" t="n">
        <x:f>AI132</x:f>
        <x:v>1.3706573717536952</x:v>
      </x:c>
      <x:c r="H133" s="242" t="n">
        <x:f>AJ132</x:f>
        <x:v>-1.7654030831105036</x:v>
      </x:c>
      <x:c r="I133" s="242" t="n">
        <x:f>AK132</x:f>
        <x:v>-1.2639958915363174</x:v>
      </x:c>
      <x:c r="J133" s="242" t="n">
        <x:f>AL132</x:f>
        <x:v>1.2754351315826566</x:v>
      </x:c>
      <x:c r="K133" s="242" t="n">
        <x:f>AM132</x:f>
        <x:v>-1.709764089891823</x:v>
      </x:c>
      <x:c r="L133" s="242" t="n">
        <x:f>AN132</x:f>
        <x:v>1.3994895244515912</x:v>
      </x:c>
      <x:c r="M133" s="242" t="n">
        <x:f>AO132</x:f>
        <x:v>1.6112186389476768</x:v>
      </x:c>
      <x:c r="N133" s="242" t="n">
        <x:f>AP132</x:f>
        <x:v>-1.7719193583155293</x:v>
      </x:c>
      <x:c r="O133" s="242" t="n">
        <x:f>AQ132</x:f>
        <x:v>0.8624426243998313</x:v>
      </x:c>
      <x:c r="P133" s="243" t="n">
        <x:f>D133*G133+E133*H133+I133</x:f>
        <x:v>-1.2639958915363174</x:v>
      </x:c>
      <x:c r="Q133" s="243" t="n">
        <x:f>1/(1+EXP(-P133))</x:f>
        <x:v>0.22028678875043256</x:v>
      </x:c>
      <x:c r="R133" s="243" t="n">
        <x:f>D133*J133+E133*K133+L133</x:f>
        <x:v>1.3994895244515912</x:v>
      </x:c>
      <x:c r="S133" s="243" t="n">
        <x:f>1/(1+EXP(-R133))</x:f>
        <x:v>0.8021028713027495</x:v>
      </x:c>
      <x:c r="T133" s="243" t="n">
        <x:f>Q133*M133+S133*N133+O133</x:f>
        <x:v>-0.2038888006733537</x:v>
      </x:c>
      <x:c r="U133" s="243" t="n">
        <x:f>1/(1+EXP(-T133))</x:f>
        <x:v>0.4492036477847532</x:v>
      </x:c>
      <x:c r="V133" s="243" t="n">
        <x:f>0.5*(F133-U133)^2</x:f>
        <x:v>0.1008919585915643</x:v>
      </x:c>
      <x:c r="W133" s="244" t="n">
        <x:f>(U133-F133)*U133*(1-U133)</x:f>
        <x:v>0.1111418455201707</x:v>
      </x:c>
      <x:c r="X133" s="244" t="n">
        <x:f>W133*M133*Q133*(1-Q133)</x:f>
        <x:v>0.030757811153087698</x:v>
      </x:c>
      <x:c r="Y133" s="244" t="n">
        <x:f>W133*N133*S133*(1-S133)</x:f>
        <x:v>-0.03126015455485895</x:v>
      </x:c>
      <x:c r="Z133" s="245" t="n">
        <x:f>X133*D133</x:f>
        <x:v>0</x:v>
      </x:c>
      <x:c r="AA133" s="245" t="n">
        <x:f>X133*E133</x:f>
        <x:v>0</x:v>
      </x:c>
      <x:c r="AB133" s="245" t="n">
        <x:f>X133</x:f>
        <x:v>0.030757811153087698</x:v>
      </x:c>
      <x:c r="AC133" s="245" t="n">
        <x:f>Y133*D133</x:f>
        <x:v>0</x:v>
      </x:c>
      <x:c r="AD133" s="245" t="n">
        <x:f>Y133*E133</x:f>
        <x:v>0</x:v>
      </x:c>
      <x:c r="AE133" s="245" t="n">
        <x:f>Y133</x:f>
        <x:v>-0.03126015455485895</x:v>
      </x:c>
      <x:c r="AF133" s="245" t="n">
        <x:f>W133*Q133</x:f>
        <x:v>0.02448308024543505</x:v>
      </x:c>
      <x:c r="AG133" s="245" t="n">
        <x:f>W133*S133</x:f>
        <x:v>0.08914719341361554</x:v>
      </x:c>
      <x:c r="AH133" s="245" t="n">
        <x:f>W133</x:f>
        <x:v>0.1111418455201707</x:v>
      </x:c>
      <x:c r="AI133" s="246" t="n">
        <x:f>G133-$B$4*Z133</x:f>
        <x:v>1.3706573717536952</x:v>
      </x:c>
      <x:c r="AJ133" s="246" t="n">
        <x:f>H133-$B$4*AA133</x:f>
        <x:v>-1.7654030831105036</x:v>
      </x:c>
      <x:c r="AK133" s="246" t="n">
        <x:f>I133-$B$4*AB133</x:f>
        <x:v>-1.2947537026894052</x:v>
      </x:c>
      <x:c r="AL133" s="246" t="n">
        <x:f>J133-$B$4*AC133</x:f>
        <x:v>1.2754351315826566</x:v>
      </x:c>
      <x:c r="AM133" s="246" t="n">
        <x:f>K133-$B$4*AD133</x:f>
        <x:v>-1.709764089891823</x:v>
      </x:c>
      <x:c r="AN133" s="246" t="n">
        <x:f>L133-$B$4*AE133</x:f>
        <x:v>1.4307496790064502</x:v>
      </x:c>
      <x:c r="AO133" s="246" t="n">
        <x:f>M133-$B$4*AF133</x:f>
        <x:v>1.5867355587022418</x:v>
      </x:c>
      <x:c r="AP133" s="246" t="n">
        <x:f>N133-$B$4*AG133</x:f>
        <x:v>-1.8610665517291447</x:v>
      </x:c>
      <x:c r="AQ133" s="246" t="n">
        <x:f>O133-$B$4*AH133</x:f>
        <x:v>0.7513007788796606</x:v>
      </x:c>
      <x:c r="AR133" s="182" t="n">
        <x:f>IF(U133&gt;=$B$5,1,0)</x:f>
        <x:v>0</x:v>
      </x:c>
      <x:c r="AS133" s="182" t="n">
        <x:f>IF(AR133=F133,1,0)</x:f>
        <x:v>1</x:v>
      </x:c>
      <x:c r="AT133" s="252" t="n">
        <x:f>ABS(F133-U133)</x:f>
        <x:v>0.4492036477847532</x:v>
      </x:c>
    </x:row>
    <x:row r="134">
      <x:c r="A134" s="114" t="n">
        <x:v>118</x:v>
      </x:c>
      <x:c r="B134" s="114" t="n">
        <x:v>30</x:v>
      </x:c>
      <x:c r="C134" s="114" t="n">
        <x:v>2</x:v>
      </x:c>
      <x:c r="D134" s="168" t="n">
        <x:f>$I$6</x:f>
        <x:v>0</x:v>
      </x:c>
      <x:c r="E134" s="168" t="n">
        <x:f>$J$6</x:f>
        <x:v>1</x:v>
      </x:c>
      <x:c r="F134" s="168" t="n">
        <x:f>$K$6</x:f>
        <x:v>1</x:v>
      </x:c>
      <x:c r="G134" s="242" t="n">
        <x:f>AI133</x:f>
        <x:v>1.3706573717536952</x:v>
      </x:c>
      <x:c r="H134" s="242" t="n">
        <x:f>AJ133</x:f>
        <x:v>-1.7654030831105036</x:v>
      </x:c>
      <x:c r="I134" s="242" t="n">
        <x:f>AK133</x:f>
        <x:v>-1.2947537026894052</x:v>
      </x:c>
      <x:c r="J134" s="242" t="n">
        <x:f>AL133</x:f>
        <x:v>1.2754351315826566</x:v>
      </x:c>
      <x:c r="K134" s="242" t="n">
        <x:f>AM133</x:f>
        <x:v>-1.709764089891823</x:v>
      </x:c>
      <x:c r="L134" s="242" t="n">
        <x:f>AN133</x:f>
        <x:v>1.4307496790064502</x:v>
      </x:c>
      <x:c r="M134" s="242" t="n">
        <x:f>AO133</x:f>
        <x:v>1.5867355587022418</x:v>
      </x:c>
      <x:c r="N134" s="242" t="n">
        <x:f>AP133</x:f>
        <x:v>-1.8610665517291447</x:v>
      </x:c>
      <x:c r="O134" s="242" t="n">
        <x:f>AQ133</x:f>
        <x:v>0.7513007788796606</x:v>
      </x:c>
      <x:c r="P134" s="243" t="n">
        <x:f>D134*G134+E134*H134+I134</x:f>
        <x:v>-3.060156785799909</x:v>
      </x:c>
      <x:c r="Q134" s="243" t="n">
        <x:f>1/(1+EXP(-P134))</x:f>
        <x:v>0.04478099595529051</x:v>
      </x:c>
      <x:c r="R134" s="243" t="n">
        <x:f>D134*J134+E134*K134+L134</x:f>
        <x:v>-0.2790144108853727</x:v>
      </x:c>
      <x:c r="S134" s="243" t="n">
        <x:f>1/(1+EXP(-R134))</x:f>
        <x:v>0.430695422906846</x:v>
      </x:c>
      <x:c r="T134" s="243" t="n">
        <x:f>Q134*M134+S134*N134+O134</x:f>
        <x:v>0.02080353196125173</x:v>
      </x:c>
      <x:c r="U134" s="243" t="n">
        <x:f>1/(1+EXP(-T134))</x:f>
        <x:v>0.5052006954255767</x:v>
      </x:c>
      <x:c r="V134" s="243" t="n">
        <x:f>0.5*(F134-U134)^2</x:f>
        <x:v>0.12241317590366647</x:v>
      </x:c>
      <x:c r="W134" s="244" t="n">
        <x:f>(U134-F134)*U134*(1-U134)</x:f>
        <x:v>-0.1236864431915715</x:v>
      </x:c>
      <x:c r="X134" s="244" t="n">
        <x:f>W134*M134*Q134*(1-Q134)</x:f>
        <x:v>-0.008395051364362513</x:v>
      </x:c>
      <x:c r="Y134" s="244" t="n">
        <x:f>W134*N134*S134*(1-S134)</x:f>
        <x:v>0.0564415506074028</x:v>
      </x:c>
      <x:c r="Z134" s="245" t="n">
        <x:f>X134*D134</x:f>
        <x:v>0</x:v>
      </x:c>
      <x:c r="AA134" s="245" t="n">
        <x:f>X134*E134</x:f>
        <x:v>-0.008395051364362513</x:v>
      </x:c>
      <x:c r="AB134" s="245" t="n">
        <x:f>X134</x:f>
        <x:v>-0.008395051364362513</x:v>
      </x:c>
      <x:c r="AC134" s="245" t="n">
        <x:f>Y134*D134</x:f>
        <x:v>0</x:v>
      </x:c>
      <x:c r="AD134" s="245" t="n">
        <x:f>Y134*E134</x:f>
        <x:v>0.0564415506074028</x:v>
      </x:c>
      <x:c r="AE134" s="245" t="n">
        <x:f>Y134</x:f>
        <x:v>0.0564415506074028</x:v>
      </x:c>
      <x:c r="AF134" s="245" t="n">
        <x:f>W134*Q134</x:f>
        <x:v>-0.005538802112286033</x:v>
      </x:c>
      <x:c r="AG134" s="245" t="n">
        <x:f>W134*S134</x:f>
        <x:v>-0.05327118495823747</x:v>
      </x:c>
      <x:c r="AH134" s="245" t="n">
        <x:f>W134</x:f>
        <x:v>-0.1236864431915715</x:v>
      </x:c>
      <x:c r="AI134" s="246" t="n">
        <x:f>G134-$B$4*Z134</x:f>
        <x:v>1.3706573717536952</x:v>
      </x:c>
      <x:c r="AJ134" s="246" t="n">
        <x:f>H134-$B$4*AA134</x:f>
        <x:v>-1.7570080317461412</x:v>
      </x:c>
      <x:c r="AK134" s="246" t="n">
        <x:f>I134-$B$4*AB134</x:f>
        <x:v>-1.2863586513250427</x:v>
      </x:c>
      <x:c r="AL134" s="246" t="n">
        <x:f>J134-$B$4*AC134</x:f>
        <x:v>1.2754351315826566</x:v>
      </x:c>
      <x:c r="AM134" s="246" t="n">
        <x:f>K134-$B$4*AD134</x:f>
        <x:v>-1.7662056404992257</x:v>
      </x:c>
      <x:c r="AN134" s="246" t="n">
        <x:f>L134-$B$4*AE134</x:f>
        <x:v>1.3743081283990475</x:v>
      </x:c>
      <x:c r="AO134" s="246" t="n">
        <x:f>M134-$B$4*AF134</x:f>
        <x:v>1.5922743608145278</x:v>
      </x:c>
      <x:c r="AP134" s="246" t="n">
        <x:f>N134-$B$4*AG134</x:f>
        <x:v>-1.8077953667709072</x:v>
      </x:c>
      <x:c r="AQ134" s="246" t="n">
        <x:f>O134-$B$4*AH134</x:f>
        <x:v>0.8749872220712321</x:v>
      </x:c>
      <x:c r="AR134" s="182" t="n">
        <x:f>IF(U134&gt;=$B$5,1,0)</x:f>
        <x:v>1</x:v>
      </x:c>
      <x:c r="AS134" s="182" t="n">
        <x:f>IF(AR134=F134,1,0)</x:f>
        <x:v>1</x:v>
      </x:c>
      <x:c r="AT134" s="252" t="n">
        <x:f>ABS(F134-U134)</x:f>
        <x:v>0.49479930457442334</x:v>
      </x:c>
    </x:row>
    <x:row r="135">
      <x:c r="A135" s="114" t="n">
        <x:v>119</x:v>
      </x:c>
      <x:c r="B135" s="114" t="n">
        <x:v>30</x:v>
      </x:c>
      <x:c r="C135" s="114" t="n">
        <x:v>3</x:v>
      </x:c>
      <x:c r="D135" s="168" t="n">
        <x:f>$I$7</x:f>
        <x:v>1</x:v>
      </x:c>
      <x:c r="E135" s="168" t="n">
        <x:f>$J$7</x:f>
        <x:v>0</x:v>
      </x:c>
      <x:c r="F135" s="168" t="n">
        <x:f>$K$7</x:f>
        <x:v>1</x:v>
      </x:c>
      <x:c r="G135" s="242" t="n">
        <x:f>AI134</x:f>
        <x:v>1.3706573717536952</x:v>
      </x:c>
      <x:c r="H135" s="242" t="n">
        <x:f>AJ134</x:f>
        <x:v>-1.7570080317461412</x:v>
      </x:c>
      <x:c r="I135" s="242" t="n">
        <x:f>AK134</x:f>
        <x:v>-1.2863586513250427</x:v>
      </x:c>
      <x:c r="J135" s="242" t="n">
        <x:f>AL134</x:f>
        <x:v>1.2754351315826566</x:v>
      </x:c>
      <x:c r="K135" s="242" t="n">
        <x:f>AM134</x:f>
        <x:v>-1.7662056404992257</x:v>
      </x:c>
      <x:c r="L135" s="242" t="n">
        <x:f>AN134</x:f>
        <x:v>1.3743081283990475</x:v>
      </x:c>
      <x:c r="M135" s="242" t="n">
        <x:f>AO134</x:f>
        <x:v>1.5922743608145278</x:v>
      </x:c>
      <x:c r="N135" s="242" t="n">
        <x:f>AP134</x:f>
        <x:v>-1.8077953667709072</x:v>
      </x:c>
      <x:c r="O135" s="242" t="n">
        <x:f>AQ134</x:f>
        <x:v>0.8749872220712321</x:v>
      </x:c>
      <x:c r="P135" s="243" t="n">
        <x:f>D135*G135+E135*H135+I135</x:f>
        <x:v>0.0842987204286525</x:v>
      </x:c>
      <x:c r="Q135" s="243" t="n">
        <x:f>1/(1+EXP(-P135))</x:f>
        <x:v>0.5210622087648238</x:v>
      </x:c>
      <x:c r="R135" s="243" t="n">
        <x:f>D135*J135+E135*K135+L135</x:f>
        <x:v>2.649743259981704</x:v>
      </x:c>
      <x:c r="S135" s="243" t="n">
        <x:f>1/(1+EXP(-R135))</x:f>
        <x:v>0.9339951647130134</x:v>
      </x:c>
      <x:c r="T135" s="243" t="n">
        <x:f>Q135*M135+S135*N135+O135</x:f>
        <x:v>0.016189086122232133</x:v>
      </x:c>
      <x:c r="U135" s="243" t="n">
        <x:f>1/(1+EXP(-T135))</x:f>
        <x:v>0.504047183138269</x:v>
      </x:c>
      <x:c r="V135" s="243" t="n">
        <x:f>0.5*(F135-U135)^2</x:f>
        <x:v>0.12298459827654283</x:v>
      </x:c>
      <x:c r="W135" s="244" t="n">
        <x:f>(U135-F135)*U135*(1-U135)</x:f>
        <x:v>-0.12398008066136607</x:v>
      </x:c>
      <x:c r="X135" s="244" t="n">
        <x:f>W135*M135*Q135*(1-Q135)</x:f>
        <x:v>-0.049265001426963106</x:v>
      </x:c>
      <x:c r="Y135" s="244" t="n">
        <x:f>W135*N135*S135*(1-S135)</x:f>
        <x:v>0.013817248332669495</x:v>
      </x:c>
      <x:c r="Z135" s="245" t="n">
        <x:f>X135*D135</x:f>
        <x:v>-0.049265001426963106</x:v>
      </x:c>
      <x:c r="AA135" s="245" t="n">
        <x:f>X135*E135</x:f>
        <x:v>0</x:v>
      </x:c>
      <x:c r="AB135" s="245" t="n">
        <x:f>X135</x:f>
        <x:v>-0.049265001426963106</x:v>
      </x:c>
      <x:c r="AC135" s="245" t="n">
        <x:f>Y135*D135</x:f>
        <x:v>0.013817248332669495</x:v>
      </x:c>
      <x:c r="AD135" s="245" t="n">
        <x:f>Y135*E135</x:f>
        <x:v>0</x:v>
      </x:c>
      <x:c r="AE135" s="245" t="n">
        <x:f>Y135</x:f>
        <x:v>0.013817248332669495</x:v>
      </x:c>
      <x:c r="AF135" s="245" t="n">
        <x:f>W135*Q135</x:f>
        <x:v>-0.06460133467225242</x:v>
      </x:c>
      <x:c r="AG135" s="245" t="n">
        <x:f>W135*S135</x:f>
        <x:v>-0.11579679585844528</x:v>
      </x:c>
      <x:c r="AH135" s="245" t="n">
        <x:f>W135</x:f>
        <x:v>-0.12398008066136607</x:v>
      </x:c>
      <x:c r="AI135" s="246" t="n">
        <x:f>G135-$B$4*Z135</x:f>
        <x:v>1.4199223731806583</x:v>
      </x:c>
      <x:c r="AJ135" s="246" t="n">
        <x:f>H135-$B$4*AA135</x:f>
        <x:v>-1.7570080317461412</x:v>
      </x:c>
      <x:c r="AK135" s="246" t="n">
        <x:f>I135-$B$4*AB135</x:f>
        <x:v>-1.2370936498980796</x:v>
      </x:c>
      <x:c r="AL135" s="246" t="n">
        <x:f>J135-$B$4*AC135</x:f>
        <x:v>1.2616178832499871</x:v>
      </x:c>
      <x:c r="AM135" s="246" t="n">
        <x:f>K135-$B$4*AD135</x:f>
        <x:v>-1.7662056404992257</x:v>
      </x:c>
      <x:c r="AN135" s="246" t="n">
        <x:f>L135-$B$4*AE135</x:f>
        <x:v>1.360490880066378</x:v>
      </x:c>
      <x:c r="AO135" s="246" t="n">
        <x:f>M135-$B$4*AF135</x:f>
        <x:v>1.6568756954867803</x:v>
      </x:c>
      <x:c r="AP135" s="246" t="n">
        <x:f>N135-$B$4*AG135</x:f>
        <x:v>-1.6919985709124619</x:v>
      </x:c>
      <x:c r="AQ135" s="246" t="n">
        <x:f>O135-$B$4*AH135</x:f>
        <x:v>0.9989673027325983</x:v>
      </x:c>
      <x:c r="AR135" s="182" t="n">
        <x:f>IF(U135&gt;=$B$5,1,0)</x:f>
        <x:v>1</x:v>
      </x:c>
      <x:c r="AS135" s="182" t="n">
        <x:f>IF(AR135=F135,1,0)</x:f>
        <x:v>1</x:v>
      </x:c>
      <x:c r="AT135" s="252" t="n">
        <x:f>ABS(F135-U135)</x:f>
        <x:v>0.495952816861731</x:v>
      </x:c>
    </x:row>
    <x:row r="136">
      <x:c r="A136" s="114" t="n">
        <x:v>120</x:v>
      </x:c>
      <x:c r="B136" s="114" t="n">
        <x:v>30</x:v>
      </x:c>
      <x:c r="C136" s="114" t="n">
        <x:v>4</x:v>
      </x:c>
      <x:c r="D136" s="168" t="n">
        <x:f>$I$8</x:f>
        <x:v>1</x:v>
      </x:c>
      <x:c r="E136" s="168" t="n">
        <x:f>$J$8</x:f>
        <x:v>1</x:v>
      </x:c>
      <x:c r="F136" s="168" t="n">
        <x:f>$K$8</x:f>
        <x:v>0</x:v>
      </x:c>
      <x:c r="G136" s="242" t="n">
        <x:f>AI135</x:f>
        <x:v>1.4199223731806583</x:v>
      </x:c>
      <x:c r="H136" s="242" t="n">
        <x:f>AJ135</x:f>
        <x:v>-1.7570080317461412</x:v>
      </x:c>
      <x:c r="I136" s="242" t="n">
        <x:f>AK135</x:f>
        <x:v>-1.2370936498980796</x:v>
      </x:c>
      <x:c r="J136" s="242" t="n">
        <x:f>AL135</x:f>
        <x:v>1.2616178832499871</x:v>
      </x:c>
      <x:c r="K136" s="242" t="n">
        <x:f>AM135</x:f>
        <x:v>-1.7662056404992257</x:v>
      </x:c>
      <x:c r="L136" s="242" t="n">
        <x:f>AN135</x:f>
        <x:v>1.360490880066378</x:v>
      </x:c>
      <x:c r="M136" s="242" t="n">
        <x:f>AO135</x:f>
        <x:v>1.6568756954867803</x:v>
      </x:c>
      <x:c r="N136" s="242" t="n">
        <x:f>AP135</x:f>
        <x:v>-1.6919985709124619</x:v>
      </x:c>
      <x:c r="O136" s="242" t="n">
        <x:f>AQ135</x:f>
        <x:v>0.9989673027325983</x:v>
      </x:c>
      <x:c r="P136" s="243" t="n">
        <x:f>D136*G136+E136*H136+I136</x:f>
        <x:v>-1.5741793084635625</x:v>
      </x:c>
      <x:c r="Q136" s="243" t="n">
        <x:f>1/(1+EXP(-P136))</x:f>
        <x:v>0.1716214142011319</x:v>
      </x:c>
      <x:c r="R136" s="243" t="n">
        <x:f>D136*J136+E136*K136+L136</x:f>
        <x:v>0.8559031228171394</x:v>
      </x:c>
      <x:c r="S136" s="243" t="n">
        <x:f>1/(1+EXP(-R136))</x:f>
        <x:v>0.7018039892179738</x:v>
      </x:c>
      <x:c r="T136" s="243" t="n">
        <x:f>Q136*M136+S136*N136+O136</x:f>
        <x:v>0.09587130593004689</x:v>
      </x:c>
      <x:c r="U136" s="243" t="n">
        <x:f>1/(1+EXP(-T136))</x:f>
        <x:v>0.5239494853686644</x:v>
      </x:c>
      <x:c r="V136" s="243" t="n">
        <x:f>0.5*(F136-U136)^2</x:f>
        <x:v>0.1372615316090441</x:v>
      </x:c>
      <x:c r="W136" s="244" t="n">
        <x:f>(U136-F136)*U136*(1-U136)</x:f>
        <x:v>0.13068684552314158</x:v>
      </x:c>
      <x:c r="X136" s="244" t="n">
        <x:f>W136*M136*Q136*(1-Q136)</x:f>
        <x:v>0.03078379388205954</x:v>
      </x:c>
      <x:c r="Y136" s="244" t="n">
        <x:f>W136*N136*S136*(1-S136)</x:f>
        <x:v>-0.04627533046714254</x:v>
      </x:c>
      <x:c r="Z136" s="245" t="n">
        <x:f>X136*D136</x:f>
        <x:v>0.03078379388205954</x:v>
      </x:c>
      <x:c r="AA136" s="245" t="n">
        <x:f>X136*E136</x:f>
        <x:v>0.03078379388205954</x:v>
      </x:c>
      <x:c r="AB136" s="245" t="n">
        <x:f>X136</x:f>
        <x:v>0.03078379388205954</x:v>
      </x:c>
      <x:c r="AC136" s="245" t="n">
        <x:f>Y136*D136</x:f>
        <x:v>-0.04627533046714254</x:v>
      </x:c>
      <x:c r="AD136" s="245" t="n">
        <x:f>Y136*E136</x:f>
        <x:v>-0.04627533046714254</x:v>
      </x:c>
      <x:c r="AE136" s="245" t="n">
        <x:f>Y136</x:f>
        <x:v>-0.04627533046714254</x:v>
      </x:c>
      <x:c r="AF136" s="245" t="n">
        <x:f>W136*Q136</x:f>
        <x:v>0.02242866124616642</x:v>
      </x:c>
      <x:c r="AG136" s="245" t="n">
        <x:f>W136*S136</x:f>
        <x:v>0.09171654952645386</x:v>
      </x:c>
      <x:c r="AH136" s="245" t="n">
        <x:f>W136</x:f>
        <x:v>0.13068684552314158</x:v>
      </x:c>
      <x:c r="AI136" s="246" t="n">
        <x:f>G136-$B$4*Z136</x:f>
        <x:v>1.3891385792985989</x:v>
      </x:c>
      <x:c r="AJ136" s="246" t="n">
        <x:f>H136-$B$4*AA136</x:f>
        <x:v>-1.7877918256282008</x:v>
      </x:c>
      <x:c r="AK136" s="246" t="n">
        <x:f>I136-$B$4*AB136</x:f>
        <x:v>-1.2678774437801392</x:v>
      </x:c>
      <x:c r="AL136" s="246" t="n">
        <x:f>J136-$B$4*AC136</x:f>
        <x:v>1.3078932137171297</x:v>
      </x:c>
      <x:c r="AM136" s="246" t="n">
        <x:f>K136-$B$4*AD136</x:f>
        <x:v>-1.719930310032083</x:v>
      </x:c>
      <x:c r="AN136" s="246" t="n">
        <x:f>L136-$B$4*AE136</x:f>
        <x:v>1.4067662105335206</x:v>
      </x:c>
      <x:c r="AO136" s="246" t="n">
        <x:f>M136-$B$4*AF136</x:f>
        <x:v>1.6344470342406139</x:v>
      </x:c>
      <x:c r="AP136" s="246" t="n">
        <x:f>N136-$B$4*AG136</x:f>
        <x:v>-1.7837151204389157</x:v>
      </x:c>
      <x:c r="AQ136" s="246" t="n">
        <x:f>O136-$B$4*AH136</x:f>
        <x:v>0.8682804572094567</x:v>
      </x:c>
      <x:c r="AR136" s="182" t="n">
        <x:f>IF(U136&gt;=$B$5,1,0)</x:f>
        <x:v>1</x:v>
      </x:c>
      <x:c r="AS136" s="182" t="n">
        <x:f>IF(AR136=F136,1,0)</x:f>
        <x:v>0</x:v>
      </x:c>
      <x:c r="AT136" s="252" t="n">
        <x:f>ABS(F136-U136)</x:f>
        <x:v>0.5239494853686644</x:v>
      </x:c>
    </x:row>
    <x:row r="137">
      <x:c r="A137" s="114" t="n">
        <x:v>121</x:v>
      </x:c>
      <x:c r="B137" s="114" t="n">
        <x:v>31</x:v>
      </x:c>
      <x:c r="C137" s="114" t="n">
        <x:v>1</x:v>
      </x:c>
      <x:c r="D137" s="168" t="n">
        <x:f>$I$5</x:f>
        <x:v>0</x:v>
      </x:c>
      <x:c r="E137" s="168" t="n">
        <x:f>$J$5</x:f>
        <x:v>0</x:v>
      </x:c>
      <x:c r="F137" s="168" t="n">
        <x:f>$K$5</x:f>
        <x:v>0</x:v>
      </x:c>
      <x:c r="G137" s="242" t="n">
        <x:f>AI136</x:f>
        <x:v>1.3891385792985989</x:v>
      </x:c>
      <x:c r="H137" s="242" t="n">
        <x:f>AJ136</x:f>
        <x:v>-1.7877918256282008</x:v>
      </x:c>
      <x:c r="I137" s="242" t="n">
        <x:f>AK136</x:f>
        <x:v>-1.2678774437801392</x:v>
      </x:c>
      <x:c r="J137" s="242" t="n">
        <x:f>AL136</x:f>
        <x:v>1.3078932137171297</x:v>
      </x:c>
      <x:c r="K137" s="242" t="n">
        <x:f>AM136</x:f>
        <x:v>-1.719930310032083</x:v>
      </x:c>
      <x:c r="L137" s="242" t="n">
        <x:f>AN136</x:f>
        <x:v>1.4067662105335206</x:v>
      </x:c>
      <x:c r="M137" s="242" t="n">
        <x:f>AO136</x:f>
        <x:v>1.6344470342406139</x:v>
      </x:c>
      <x:c r="N137" s="242" t="n">
        <x:f>AP136</x:f>
        <x:v>-1.7837151204389157</x:v>
      </x:c>
      <x:c r="O137" s="242" t="n">
        <x:f>AQ136</x:f>
        <x:v>0.8682804572094567</x:v>
      </x:c>
      <x:c r="P137" s="243" t="n">
        <x:f>D137*G137+E137*H137+I137</x:f>
        <x:v>-1.2678774437801392</x:v>
      </x:c>
      <x:c r="Q137" s="243" t="n">
        <x:f>1/(1+EXP(-P137))</x:f>
        <x:v>0.21962081521865004</x:v>
      </x:c>
      <x:c r="R137" s="243" t="n">
        <x:f>D137*J137+E137*K137+L137</x:f>
        <x:v>1.4067662105335206</x:v>
      </x:c>
      <x:c r="S137" s="243" t="n">
        <x:f>1/(1+EXP(-R137))</x:f>
        <x:v>0.803255389063025</x:v>
      </x:c>
      <x:c r="T137" s="243" t="n">
        <x:f>Q137*M137+S137*N137+O137</x:f>
        <x:v>-0.20553973574467643</x:v>
      </x:c>
      <x:c r="U137" s="243" t="n">
        <x:f>1/(1+EXP(-T137))</x:f>
        <x:v>0.44879520821928176</x:v>
      </x:c>
      <x:c r="V137" s="243" t="n">
        <x:f>0.5*(F137-U137)^2</x:f>
        <x:v>0.10070856946029423</x:v>
      </x:c>
      <x:c r="W137" s="244" t="n">
        <x:f>(U137-F137)*U137*(1-U137)</x:f>
        <x:v>0.11102209211979096</x:v>
      </x:c>
      <x:c r="X137" s="244" t="n">
        <x:f>W137*M137*Q137*(1-Q137)</x:f>
        <x:v>0.031099931650371348</x:v>
      </x:c>
      <x:c r="Y137" s="244" t="n">
        <x:f>W137*N137*S137*(1-S137)</x:f>
        <x:v>-0.031296184550308574</x:v>
      </x:c>
      <x:c r="Z137" s="245" t="n">
        <x:f>X137*D137</x:f>
        <x:v>0</x:v>
      </x:c>
      <x:c r="AA137" s="245" t="n">
        <x:f>X137*E137</x:f>
        <x:v>0</x:v>
      </x:c>
      <x:c r="AB137" s="245" t="n">
        <x:f>X137</x:f>
        <x:v>0.031099931650371348</x:v>
      </x:c>
      <x:c r="AC137" s="245" t="n">
        <x:f>Y137*D137</x:f>
        <x:v>0</x:v>
      </x:c>
      <x:c r="AD137" s="245" t="n">
        <x:f>Y137*E137</x:f>
        <x:v>0</x:v>
      </x:c>
      <x:c r="AE137" s="245" t="n">
        <x:f>Y137</x:f>
        <x:v>-0.031296184550308574</x:v>
      </x:c>
      <x:c r="AF137" s="245" t="n">
        <x:f>W137*Q137</x:f>
        <x:v>0.02438276237862855</x:v>
      </x:c>
      <x:c r="AG137" s="245" t="n">
        <x:f>W137*S137</x:f>
        <x:v>0.08917909380027368</x:v>
      </x:c>
      <x:c r="AH137" s="245" t="n">
        <x:f>W137</x:f>
        <x:v>0.11102209211979096</x:v>
      </x:c>
      <x:c r="AI137" s="246" t="n">
        <x:f>G137-$B$4*Z137</x:f>
        <x:v>1.3891385792985989</x:v>
      </x:c>
      <x:c r="AJ137" s="246" t="n">
        <x:f>H137-$B$4*AA137</x:f>
        <x:v>-1.7877918256282008</x:v>
      </x:c>
      <x:c r="AK137" s="246" t="n">
        <x:f>I137-$B$4*AB137</x:f>
        <x:v>-1.2989773754305105</x:v>
      </x:c>
      <x:c r="AL137" s="246" t="n">
        <x:f>J137-$B$4*AC137</x:f>
        <x:v>1.3078932137171297</x:v>
      </x:c>
      <x:c r="AM137" s="246" t="n">
        <x:f>K137-$B$4*AD137</x:f>
        <x:v>-1.719930310032083</x:v>
      </x:c>
      <x:c r="AN137" s="246" t="n">
        <x:f>L137-$B$4*AE137</x:f>
        <x:v>1.4380623950838292</x:v>
      </x:c>
      <x:c r="AO137" s="246" t="n">
        <x:f>M137-$B$4*AF137</x:f>
        <x:v>1.6100642718619853</x:v>
      </x:c>
      <x:c r="AP137" s="246" t="n">
        <x:f>N137-$B$4*AG137</x:f>
        <x:v>-1.8728942142391893</x:v>
      </x:c>
      <x:c r="AQ137" s="246" t="n">
        <x:f>O137-$B$4*AH137</x:f>
        <x:v>0.7572583650896657</x:v>
      </x:c>
      <x:c r="AR137" s="182" t="n">
        <x:f>IF(U137&gt;=$B$5,1,0)</x:f>
        <x:v>0</x:v>
      </x:c>
      <x:c r="AS137" s="182" t="n">
        <x:f>IF(AR137=F137,1,0)</x:f>
        <x:v>1</x:v>
      </x:c>
      <x:c r="AT137" s="252" t="n">
        <x:f>ABS(F137-U137)</x:f>
        <x:v>0.44879520821928176</x:v>
      </x:c>
    </x:row>
    <x:row r="138">
      <x:c r="A138" s="114" t="n">
        <x:v>122</x:v>
      </x:c>
      <x:c r="B138" s="114" t="n">
        <x:v>31</x:v>
      </x:c>
      <x:c r="C138" s="114" t="n">
        <x:v>2</x:v>
      </x:c>
      <x:c r="D138" s="168" t="n">
        <x:f>$I$6</x:f>
        <x:v>0</x:v>
      </x:c>
      <x:c r="E138" s="168" t="n">
        <x:f>$J$6</x:f>
        <x:v>1</x:v>
      </x:c>
      <x:c r="F138" s="168" t="n">
        <x:f>$K$6</x:f>
        <x:v>1</x:v>
      </x:c>
      <x:c r="G138" s="242" t="n">
        <x:f>AI137</x:f>
        <x:v>1.3891385792985989</x:v>
      </x:c>
      <x:c r="H138" s="242" t="n">
        <x:f>AJ137</x:f>
        <x:v>-1.7877918256282008</x:v>
      </x:c>
      <x:c r="I138" s="242" t="n">
        <x:f>AK137</x:f>
        <x:v>-1.2989773754305105</x:v>
      </x:c>
      <x:c r="J138" s="242" t="n">
        <x:f>AL137</x:f>
        <x:v>1.3078932137171297</x:v>
      </x:c>
      <x:c r="K138" s="242" t="n">
        <x:f>AM137</x:f>
        <x:v>-1.719930310032083</x:v>
      </x:c>
      <x:c r="L138" s="242" t="n">
        <x:f>AN137</x:f>
        <x:v>1.4380623950838292</x:v>
      </x:c>
      <x:c r="M138" s="242" t="n">
        <x:f>AO137</x:f>
        <x:v>1.6100642718619853</x:v>
      </x:c>
      <x:c r="N138" s="242" t="n">
        <x:f>AP137</x:f>
        <x:v>-1.8728942142391893</x:v>
      </x:c>
      <x:c r="O138" s="242" t="n">
        <x:f>AQ137</x:f>
        <x:v>0.7572583650896657</x:v>
      </x:c>
      <x:c r="P138" s="243" t="n">
        <x:f>D138*G138+E138*H138+I138</x:f>
        <x:v>-3.0867692010587113</x:v>
      </x:c>
      <x:c r="Q138" s="243" t="n">
        <x:f>1/(1+EXP(-P138))</x:f>
        <x:v>0.04365632356569135</x:v>
      </x:c>
      <x:c r="R138" s="243" t="n">
        <x:f>D138*J138+E138*K138+L138</x:f>
        <x:v>-0.2818679149482539</x:v>
      </x:c>
      <x:c r="S138" s="243" t="n">
        <x:f>1/(1+EXP(-R138))</x:f>
        <x:v>0.42999589144076017</x:v>
      </x:c>
      <x:c r="T138" s="243" t="n">
        <x:f>Q138*M138+S138*N138+O138</x:f>
        <x:v>0.022211034677609542</x:v>
      </x:c>
      <x:c r="U138" s="243" t="n">
        <x:f>1/(1+EXP(-T138))</x:f>
        <x:v>0.5055525304020988</x:v>
      </x:c>
      <x:c r="V138" s="243" t="n">
        <x:f>0.5*(F138-U138)^2</x:f>
        <x:v>0.12223915009588372</x:v>
      </x:c>
      <x:c r="W138" s="244" t="n">
        <x:f>(U138-F138)*U138*(1-U138)</x:f>
        <x:v>-0.12359662329035194</x:v>
      </x:c>
      <x:c r="X138" s="244" t="n">
        <x:f>W138*M138*Q138*(1-Q138)</x:f>
        <x:v>-0.008308277025082925</x:v>
      </x:c>
      <x:c r="Y138" s="244" t="n">
        <x:f>W138*N138*S138*(1-S138)</x:f>
        <x:v>0.05673644834900164</x:v>
      </x:c>
      <x:c r="Z138" s="245" t="n">
        <x:f>X138*D138</x:f>
        <x:v>0</x:v>
      </x:c>
      <x:c r="AA138" s="245" t="n">
        <x:f>X138*E138</x:f>
        <x:v>-0.008308277025082925</x:v>
      </x:c>
      <x:c r="AB138" s="245" t="n">
        <x:f>X138</x:f>
        <x:v>-0.008308277025082925</x:v>
      </x:c>
      <x:c r="AC138" s="245" t="n">
        <x:f>Y138*D138</x:f>
        <x:v>0</x:v>
      </x:c>
      <x:c r="AD138" s="245" t="n">
        <x:f>Y138*E138</x:f>
        <x:v>0.05673644834900164</x:v>
      </x:c>
      <x:c r="AE138" s="245" t="n">
        <x:f>Y138</x:f>
        <x:v>0.05673644834900164</x:v>
      </x:c>
      <x:c r="AF138" s="245" t="n">
        <x:f>W138*Q138</x:f>
        <x:v>-0.005395774177990468</x:v>
      </x:c>
      <x:c r="AG138" s="245" t="n">
        <x:f>W138*S138</x:f>
        <x:v>-0.0531460402108027</x:v>
      </x:c>
      <x:c r="AH138" s="245" t="n">
        <x:f>W138</x:f>
        <x:v>-0.12359662329035194</x:v>
      </x:c>
      <x:c r="AI138" s="246" t="n">
        <x:f>G138-$B$4*Z138</x:f>
        <x:v>1.3891385792985989</x:v>
      </x:c>
      <x:c r="AJ138" s="246" t="n">
        <x:f>H138-$B$4*AA138</x:f>
        <x:v>-1.779483548603118</x:v>
      </x:c>
      <x:c r="AK138" s="246" t="n">
        <x:f>I138-$B$4*AB138</x:f>
        <x:v>-1.2906690984054277</x:v>
      </x:c>
      <x:c r="AL138" s="246" t="n">
        <x:f>J138-$B$4*AC138</x:f>
        <x:v>1.3078932137171297</x:v>
      </x:c>
      <x:c r="AM138" s="246" t="n">
        <x:f>K138-$B$4*AD138</x:f>
        <x:v>-1.7766667583810847</x:v>
      </x:c>
      <x:c r="AN138" s="246" t="n">
        <x:f>L138-$B$4*AE138</x:f>
        <x:v>1.3813259467348276</x:v>
      </x:c>
      <x:c r="AO138" s="246" t="n">
        <x:f>M138-$B$4*AF138</x:f>
        <x:v>1.6154600460399757</x:v>
      </x:c>
      <x:c r="AP138" s="246" t="n">
        <x:f>N138-$B$4*AG138</x:f>
        <x:v>-1.8197481740283867</x:v>
      </x:c>
      <x:c r="AQ138" s="246" t="n">
        <x:f>O138-$B$4*AH138</x:f>
        <x:v>0.8808549883800176</x:v>
      </x:c>
      <x:c r="AR138" s="182" t="n">
        <x:f>IF(U138&gt;=$B$5,1,0)</x:f>
        <x:v>1</x:v>
      </x:c>
      <x:c r="AS138" s="182" t="n">
        <x:f>IF(AR138=F138,1,0)</x:f>
        <x:v>1</x:v>
      </x:c>
      <x:c r="AT138" s="252" t="n">
        <x:f>ABS(F138-U138)</x:f>
        <x:v>0.4944474695979012</x:v>
      </x:c>
    </x:row>
    <x:row r="139">
      <x:c r="A139" s="114" t="n">
        <x:v>123</x:v>
      </x:c>
      <x:c r="B139" s="114" t="n">
        <x:v>31</x:v>
      </x:c>
      <x:c r="C139" s="114" t="n">
        <x:v>3</x:v>
      </x:c>
      <x:c r="D139" s="168" t="n">
        <x:f>$I$7</x:f>
        <x:v>1</x:v>
      </x:c>
      <x:c r="E139" s="168" t="n">
        <x:f>$J$7</x:f>
        <x:v>0</x:v>
      </x:c>
      <x:c r="F139" s="168" t="n">
        <x:f>$K$7</x:f>
        <x:v>1</x:v>
      </x:c>
      <x:c r="G139" s="242" t="n">
        <x:f>AI138</x:f>
        <x:v>1.3891385792985989</x:v>
      </x:c>
      <x:c r="H139" s="242" t="n">
        <x:f>AJ138</x:f>
        <x:v>-1.779483548603118</x:v>
      </x:c>
      <x:c r="I139" s="242" t="n">
        <x:f>AK138</x:f>
        <x:v>-1.2906690984054277</x:v>
      </x:c>
      <x:c r="J139" s="242" t="n">
        <x:f>AL138</x:f>
        <x:v>1.3078932137171297</x:v>
      </x:c>
      <x:c r="K139" s="242" t="n">
        <x:f>AM138</x:f>
        <x:v>-1.7766667583810847</x:v>
      </x:c>
      <x:c r="L139" s="242" t="n">
        <x:f>AN138</x:f>
        <x:v>1.3813259467348276</x:v>
      </x:c>
      <x:c r="M139" s="242" t="n">
        <x:f>AO138</x:f>
        <x:v>1.6154600460399757</x:v>
      </x:c>
      <x:c r="N139" s="242" t="n">
        <x:f>AP138</x:f>
        <x:v>-1.8197481740283867</x:v>
      </x:c>
      <x:c r="O139" s="242" t="n">
        <x:f>AQ138</x:f>
        <x:v>0.8808549883800176</x:v>
      </x:c>
      <x:c r="P139" s="243" t="n">
        <x:f>D139*G139+E139*H139+I139</x:f>
        <x:v>0.0984694808931712</x:v>
      </x:c>
      <x:c r="Q139" s="243" t="n">
        <x:f>1/(1+EXP(-P139))</x:f>
        <x:v>0.5245974981667367</x:v>
      </x:c>
      <x:c r="R139" s="243" t="n">
        <x:f>D139*J139+E139*K139+L139</x:f>
        <x:v>2.689219160451957</x:v>
      </x:c>
      <x:c r="S139" s="243" t="n">
        <x:f>1/(1+EXP(-R139))</x:f>
        <x:v>0.936387486051762</x:v>
      </x:c>
      <x:c r="T139" s="243" t="n">
        <x:f>Q139*M139+S139*N139+O139</x:f>
        <x:v>0.024331868995184913</x:v>
      </x:c>
      <x:c r="U139" s="243" t="n">
        <x:f>1/(1+EXP(-T139))</x:f>
        <x:v>0.5060826671533122</x:v>
      </x:c>
      <x:c r="V139" s="243" t="n">
        <x:f>0.5*(F139-U139)^2</x:f>
        <x:v>0.1219771658431929</x:v>
      </x:c>
      <x:c r="W139" s="244" t="n">
        <x:f>(U139-F139)*U139*(1-U139)</x:f>
        <x:v>-0.1234610588434499</x:v>
      </x:c>
      <x:c r="X139" s="244" t="n">
        <x:f>W139*M139*Q139*(1-Q139)</x:f>
        <x:v>-0.049740929511348814</x:v>
      </x:c>
      <x:c r="Y139" s="244" t="n">
        <x:f>W139*N139*S139*(1-S139)</x:f>
        <x:v>0.013382567722372818</x:v>
      </x:c>
      <x:c r="Z139" s="245" t="n">
        <x:f>X139*D139</x:f>
        <x:v>-0.049740929511348814</x:v>
      </x:c>
      <x:c r="AA139" s="245" t="n">
        <x:f>X139*E139</x:f>
        <x:v>0</x:v>
      </x:c>
      <x:c r="AB139" s="245" t="n">
        <x:f>X139</x:f>
        <x:v>-0.049740929511348814</x:v>
      </x:c>
      <x:c r="AC139" s="245" t="n">
        <x:f>Y139*D139</x:f>
        <x:v>0.013382567722372818</x:v>
      </x:c>
      <x:c r="AD139" s="245" t="n">
        <x:f>Y139*E139</x:f>
        <x:v>0</x:v>
      </x:c>
      <x:c r="AE139" s="245" t="n">
        <x:f>Y139</x:f>
        <x:v>0.013382567722372818</x:v>
      </x:c>
      <x:c r="AF139" s="245" t="n">
        <x:f>W139*Q139</x:f>
        <x:v>-0.06476736259029009</x:v>
      </x:c>
      <x:c r="AG139" s="245" t="n">
        <x:f>W139*S139</x:f>
        <x:v>-0.11560739051570672</x:v>
      </x:c>
      <x:c r="AH139" s="245" t="n">
        <x:f>W139</x:f>
        <x:v>-0.1234610588434499</x:v>
      </x:c>
      <x:c r="AI139" s="246" t="n">
        <x:f>G139-$B$4*Z139</x:f>
        <x:v>1.4388795088099477</x:v>
      </x:c>
      <x:c r="AJ139" s="246" t="n">
        <x:f>H139-$B$4*AA139</x:f>
        <x:v>-1.779483548603118</x:v>
      </x:c>
      <x:c r="AK139" s="246" t="n">
        <x:f>I139-$B$4*AB139</x:f>
        <x:v>-1.2409281688940788</x:v>
      </x:c>
      <x:c r="AL139" s="246" t="n">
        <x:f>J139-$B$4*AC139</x:f>
        <x:v>1.2945106459947568</x:v>
      </x:c>
      <x:c r="AM139" s="246" t="n">
        <x:f>K139-$B$4*AD139</x:f>
        <x:v>-1.7766667583810847</x:v>
      </x:c>
      <x:c r="AN139" s="246" t="n">
        <x:f>L139-$B$4*AE139</x:f>
        <x:v>1.3679433790124547</x:v>
      </x:c>
      <x:c r="AO139" s="246" t="n">
        <x:f>M139-$B$4*AF139</x:f>
        <x:v>1.6802274086302658</x:v>
      </x:c>
      <x:c r="AP139" s="246" t="n">
        <x:f>N139-$B$4*AG139</x:f>
        <x:v>-1.70414078351268</x:v>
      </x:c>
      <x:c r="AQ139" s="246" t="n">
        <x:f>O139-$B$4*AH139</x:f>
        <x:v>1.0043160472234676</x:v>
      </x:c>
      <x:c r="AR139" s="182" t="n">
        <x:f>IF(U139&gt;=$B$5,1,0)</x:f>
        <x:v>1</x:v>
      </x:c>
      <x:c r="AS139" s="182" t="n">
        <x:f>IF(AR139=F139,1,0)</x:f>
        <x:v>1</x:v>
      </x:c>
      <x:c r="AT139" s="252" t="n">
        <x:f>ABS(F139-U139)</x:f>
        <x:v>0.4939173328466878</x:v>
      </x:c>
    </x:row>
    <x:row r="140">
      <x:c r="A140" s="114" t="n">
        <x:v>124</x:v>
      </x:c>
      <x:c r="B140" s="114" t="n">
        <x:v>31</x:v>
      </x:c>
      <x:c r="C140" s="114" t="n">
        <x:v>4</x:v>
      </x:c>
      <x:c r="D140" s="168" t="n">
        <x:f>$I$8</x:f>
        <x:v>1</x:v>
      </x:c>
      <x:c r="E140" s="168" t="n">
        <x:f>$J$8</x:f>
        <x:v>1</x:v>
      </x:c>
      <x:c r="F140" s="168" t="n">
        <x:f>$K$8</x:f>
        <x:v>0</x:v>
      </x:c>
      <x:c r="G140" s="242" t="n">
        <x:f>AI139</x:f>
        <x:v>1.4388795088099477</x:v>
      </x:c>
      <x:c r="H140" s="242" t="n">
        <x:f>AJ139</x:f>
        <x:v>-1.779483548603118</x:v>
      </x:c>
      <x:c r="I140" s="242" t="n">
        <x:f>AK139</x:f>
        <x:v>-1.2409281688940788</x:v>
      </x:c>
      <x:c r="J140" s="242" t="n">
        <x:f>AL139</x:f>
        <x:v>1.2945106459947568</x:v>
      </x:c>
      <x:c r="K140" s="242" t="n">
        <x:f>AM139</x:f>
        <x:v>-1.7766667583810847</x:v>
      </x:c>
      <x:c r="L140" s="242" t="n">
        <x:f>AN139</x:f>
        <x:v>1.3679433790124547</x:v>
      </x:c>
      <x:c r="M140" s="242" t="n">
        <x:f>AO139</x:f>
        <x:v>1.6802274086302658</x:v>
      </x:c>
      <x:c r="N140" s="242" t="n">
        <x:f>AP139</x:f>
        <x:v>-1.70414078351268</x:v>
      </x:c>
      <x:c r="O140" s="242" t="n">
        <x:f>AQ139</x:f>
        <x:v>1.0043160472234676</x:v>
      </x:c>
      <x:c r="P140" s="243" t="n">
        <x:f>D140*G140+E140*H140+I140</x:f>
        <x:v>-1.581532208687249</x:v>
      </x:c>
      <x:c r="Q140" s="243" t="n">
        <x:f>1/(1+EXP(-P140))</x:f>
        <x:v>0.17057859335207629</x:v>
      </x:c>
      <x:c r="R140" s="243" t="n">
        <x:f>D140*J140+E140*K140+L140</x:f>
        <x:v>0.8857872666261268</x:v>
      </x:c>
      <x:c r="S140" s="243" t="n">
        <x:f>1/(1+EXP(-R140))</x:f>
        <x:v>0.7080200478606916</x:v>
      </x:c>
      <x:c r="T140" s="243" t="n">
        <x:f>Q140*M140+S140*N140+O140</x:f>
        <x:v>0.08436103599521849</x:v>
      </x:c>
      <x:c r="U140" s="243" t="n">
        <x:f>1/(1+EXP(-T140))</x:f>
        <x:v>0.521077759991827</x:v>
      </x:c>
      <x:c r="V140" s="243" t="n">
        <x:f>0.5*(F140-U140)^2</x:f>
        <x:v>0.13576101597905005</x:v>
      </x:c>
      <x:c r="W140" s="244" t="n">
        <x:f>(U140-F140)*U140*(1-U140)</x:f>
        <x:v>0.13003793975694403</x:v>
      </x:c>
      <x:c r="X140" s="244" t="n">
        <x:f>W140*M140*Q140*(1-Q140)</x:f>
        <x:v>0.030912769365120253</x:v>
      </x:c>
      <x:c r="Y140" s="244" t="n">
        <x:f>W140*N140*S140*(1-S140)</x:f>
        <x:v>-0.0458114605862437</x:v>
      </x:c>
      <x:c r="Z140" s="245" t="n">
        <x:f>X140*D140</x:f>
        <x:v>0.030912769365120253</x:v>
      </x:c>
      <x:c r="AA140" s="245" t="n">
        <x:f>X140*E140</x:f>
        <x:v>0.030912769365120253</x:v>
      </x:c>
      <x:c r="AB140" s="245" t="n">
        <x:f>X140</x:f>
        <x:v>0.030912769365120253</x:v>
      </x:c>
      <x:c r="AC140" s="245" t="n">
        <x:f>Y140*D140</x:f>
        <x:v>-0.0458114605862437</x:v>
      </x:c>
      <x:c r="AD140" s="245" t="n">
        <x:f>Y140*E140</x:f>
        <x:v>-0.0458114605862437</x:v>
      </x:c>
      <x:c r="AE140" s="245" t="n">
        <x:f>Y140</x:f>
        <x:v>-0.0458114605862437</x:v>
      </x:c>
      <x:c r="AF140" s="245" t="n">
        <x:f>W140*Q140</x:f>
        <x:v>0.022181688846141547</x:v>
      </x:c>
      <x:c r="AG140" s="245" t="n">
        <x:f>W140*S140</x:f>
        <x:v>0.09206946833041724</x:v>
      </x:c>
      <x:c r="AH140" s="245" t="n">
        <x:f>W140</x:f>
        <x:v>0.13003793975694403</x:v>
      </x:c>
      <x:c r="AI140" s="246" t="n">
        <x:f>G140-$B$4*Z140</x:f>
        <x:v>1.4079667394448274</x:v>
      </x:c>
      <x:c r="AJ140" s="246" t="n">
        <x:f>H140-$B$4*AA140</x:f>
        <x:v>-1.8103963179682383</x:v>
      </x:c>
      <x:c r="AK140" s="246" t="n">
        <x:f>I140-$B$4*AB140</x:f>
        <x:v>-1.271840938259199</x:v>
      </x:c>
      <x:c r="AL140" s="246" t="n">
        <x:f>J140-$B$4*AC140</x:f>
        <x:v>1.3403221065810005</x:v>
      </x:c>
      <x:c r="AM140" s="246" t="n">
        <x:f>K140-$B$4*AD140</x:f>
        <x:v>-1.730855297794841</x:v>
      </x:c>
      <x:c r="AN140" s="246" t="n">
        <x:f>L140-$B$4*AE140</x:f>
        <x:v>1.4137548395986983</x:v>
      </x:c>
      <x:c r="AO140" s="246" t="n">
        <x:f>M140-$B$4*AF140</x:f>
        <x:v>1.6580457197841243</x:v>
      </x:c>
      <x:c r="AP140" s="246" t="n">
        <x:f>N140-$B$4*AG140</x:f>
        <x:v>-1.7962102518430973</x:v>
      </x:c>
      <x:c r="AQ140" s="246" t="n">
        <x:f>O140-$B$4*AH140</x:f>
        <x:v>0.8742781074665236</x:v>
      </x:c>
      <x:c r="AR140" s="182" t="n">
        <x:f>IF(U140&gt;=$B$5,1,0)</x:f>
        <x:v>1</x:v>
      </x:c>
      <x:c r="AS140" s="182" t="n">
        <x:f>IF(AR140=F140,1,0)</x:f>
        <x:v>0</x:v>
      </x:c>
      <x:c r="AT140" s="252" t="n">
        <x:f>ABS(F140-U140)</x:f>
        <x:v>0.521077759991827</x:v>
      </x:c>
    </x:row>
    <x:row r="141">
      <x:c r="A141" s="114" t="n">
        <x:v>125</x:v>
      </x:c>
      <x:c r="B141" s="114" t="n">
        <x:v>32</x:v>
      </x:c>
      <x:c r="C141" s="114" t="n">
        <x:v>1</x:v>
      </x:c>
      <x:c r="D141" s="168" t="n">
        <x:f>$I$5</x:f>
        <x:v>0</x:v>
      </x:c>
      <x:c r="E141" s="168" t="n">
        <x:f>$J$5</x:f>
        <x:v>0</x:v>
      </x:c>
      <x:c r="F141" s="168" t="n">
        <x:f>$K$5</x:f>
        <x:v>0</x:v>
      </x:c>
      <x:c r="G141" s="242" t="n">
        <x:f>AI140</x:f>
        <x:v>1.4079667394448274</x:v>
      </x:c>
      <x:c r="H141" s="242" t="n">
        <x:f>AJ140</x:f>
        <x:v>-1.8103963179682383</x:v>
      </x:c>
      <x:c r="I141" s="242" t="n">
        <x:f>AK140</x:f>
        <x:v>-1.271840938259199</x:v>
      </x:c>
      <x:c r="J141" s="242" t="n">
        <x:f>AL140</x:f>
        <x:v>1.3403221065810005</x:v>
      </x:c>
      <x:c r="K141" s="242" t="n">
        <x:f>AM140</x:f>
        <x:v>-1.730855297794841</x:v>
      </x:c>
      <x:c r="L141" s="242" t="n">
        <x:f>AN140</x:f>
        <x:v>1.4137548395986983</x:v>
      </x:c>
      <x:c r="M141" s="242" t="n">
        <x:f>AO140</x:f>
        <x:v>1.6580457197841243</x:v>
      </x:c>
      <x:c r="N141" s="242" t="n">
        <x:f>AP140</x:f>
        <x:v>-1.7962102518430973</x:v>
      </x:c>
      <x:c r="O141" s="242" t="n">
        <x:f>AQ140</x:f>
        <x:v>0.8742781074665236</x:v>
      </x:c>
      <x:c r="P141" s="243" t="n">
        <x:f>D141*G141+E141*H141+I141</x:f>
        <x:v>-1.271840938259199</x:v>
      </x:c>
      <x:c r="Q141" s="243" t="n">
        <x:f>1/(1+EXP(-P141))</x:f>
        <x:v>0.21894227669360825</x:v>
      </x:c>
      <x:c r="R141" s="243" t="n">
        <x:f>D141*J141+E141*K141+L141</x:f>
        <x:v>1.4137548395986983</x:v>
      </x:c>
      <x:c r="S141" s="243" t="n">
        <x:f>1/(1+EXP(-R141))</x:f>
        <x:v>0.8043575049836603</x:v>
      </x:c>
      <x:c r="T141" s="243" t="n">
        <x:f>Q141*M141+S141*N141+O141</x:f>
        <x:v>-0.20750078438043373</x:v>
      </x:c>
      <x:c r="U141" s="243" t="n">
        <x:f>1/(1+EXP(-T141))</x:f>
        <x:v>0.44831013665792413</x:v>
      </x:c>
      <x:c r="V141" s="243" t="n">
        <x:f>0.5*(F141-U141)^2</x:f>
        <x:v>0.1004909893151233</x:v>
      </x:c>
      <x:c r="W141" s="244" t="n">
        <x:f>(U141-F141)*U141*(1-U141)</x:f>
        <x:v>0.11087972032474078</x:v>
      </x:c>
      <x:c r="X141" s="244" t="n">
        <x:f>W141*M141*Q141*(1-Q141)</x:f>
        <x:v>0.031438468724058755</x:v>
      </x:c>
      <x:c r="Y141" s="244" t="n">
        <x:f>W141*N141*S141*(1-S141)</x:f>
        <x:v>-0.031341631758180825</x:v>
      </x:c>
      <x:c r="Z141" s="245" t="n">
        <x:f>X141*D141</x:f>
        <x:v>0</x:v>
      </x:c>
      <x:c r="AA141" s="245" t="n">
        <x:f>X141*E141</x:f>
        <x:v>0</x:v>
      </x:c>
      <x:c r="AB141" s="245" t="n">
        <x:f>X141</x:f>
        <x:v>0.031438468724058755</x:v>
      </x:c>
      <x:c r="AC141" s="245" t="n">
        <x:f>Y141*D141</x:f>
        <x:v>0</x:v>
      </x:c>
      <x:c r="AD141" s="245" t="n">
        <x:f>Y141*E141</x:f>
        <x:v>0</x:v>
      </x:c>
      <x:c r="AE141" s="245" t="n">
        <x:f>Y141</x:f>
        <x:v>-0.031341631758180825</x:v>
      </x:c>
      <x:c r="AF141" s="245" t="n">
        <x:f>W141*Q141</x:f>
        <x:v>0.024276258407049292</x:v>
      </x:c>
      <x:c r="AG141" s="245" t="n">
        <x:f>W141*S141</x:f>
        <x:v>0.08918693519369454</x:v>
      </x:c>
      <x:c r="AH141" s="245" t="n">
        <x:f>W141</x:f>
        <x:v>0.11087972032474078</x:v>
      </x:c>
      <x:c r="AI141" s="246" t="n">
        <x:f>G141-$B$4*Z141</x:f>
        <x:v>1.4079667394448274</x:v>
      </x:c>
      <x:c r="AJ141" s="246" t="n">
        <x:f>H141-$B$4*AA141</x:f>
        <x:v>-1.8103963179682383</x:v>
      </x:c>
      <x:c r="AK141" s="246" t="n">
        <x:f>I141-$B$4*AB141</x:f>
        <x:v>-1.3032794069832578</x:v>
      </x:c>
      <x:c r="AL141" s="246" t="n">
        <x:f>J141-$B$4*AC141</x:f>
        <x:v>1.3403221065810005</x:v>
      </x:c>
      <x:c r="AM141" s="246" t="n">
        <x:f>K141-$B$4*AD141</x:f>
        <x:v>-1.730855297794841</x:v>
      </x:c>
      <x:c r="AN141" s="246" t="n">
        <x:f>L141-$B$4*AE141</x:f>
        <x:v>1.445096471356879</x:v>
      </x:c>
      <x:c r="AO141" s="246" t="n">
        <x:f>M141-$B$4*AF141</x:f>
        <x:v>1.633769461377075</x:v>
      </x:c>
      <x:c r="AP141" s="246" t="n">
        <x:f>N141-$B$4*AG141</x:f>
        <x:v>-1.8853971870367918</x:v>
      </x:c>
      <x:c r="AQ141" s="246" t="n">
        <x:f>O141-$B$4*AH141</x:f>
        <x:v>0.7633983871417828</x:v>
      </x:c>
      <x:c r="AR141" s="182" t="n">
        <x:f>IF(U141&gt;=$B$5,1,0)</x:f>
        <x:v>0</x:v>
      </x:c>
      <x:c r="AS141" s="182" t="n">
        <x:f>IF(AR141=F141,1,0)</x:f>
        <x:v>1</x:v>
      </x:c>
      <x:c r="AT141" s="252" t="n">
        <x:f>ABS(F141-U141)</x:f>
        <x:v>0.44831013665792413</x:v>
      </x:c>
    </x:row>
    <x:row r="142">
      <x:c r="A142" s="114" t="n">
        <x:v>126</x:v>
      </x:c>
      <x:c r="B142" s="114" t="n">
        <x:v>32</x:v>
      </x:c>
      <x:c r="C142" s="114" t="n">
        <x:v>2</x:v>
      </x:c>
      <x:c r="D142" s="168" t="n">
        <x:f>$I$6</x:f>
        <x:v>0</x:v>
      </x:c>
      <x:c r="E142" s="168" t="n">
        <x:f>$J$6</x:f>
        <x:v>1</x:v>
      </x:c>
      <x:c r="F142" s="168" t="n">
        <x:f>$K$6</x:f>
        <x:v>1</x:v>
      </x:c>
      <x:c r="G142" s="242" t="n">
        <x:f>AI141</x:f>
        <x:v>1.4079667394448274</x:v>
      </x:c>
      <x:c r="H142" s="242" t="n">
        <x:f>AJ141</x:f>
        <x:v>-1.8103963179682383</x:v>
      </x:c>
      <x:c r="I142" s="242" t="n">
        <x:f>AK141</x:f>
        <x:v>-1.3032794069832578</x:v>
      </x:c>
      <x:c r="J142" s="242" t="n">
        <x:f>AL141</x:f>
        <x:v>1.3403221065810005</x:v>
      </x:c>
      <x:c r="K142" s="242" t="n">
        <x:f>AM141</x:f>
        <x:v>-1.730855297794841</x:v>
      </x:c>
      <x:c r="L142" s="242" t="n">
        <x:f>AN141</x:f>
        <x:v>1.445096471356879</x:v>
      </x:c>
      <x:c r="M142" s="242" t="n">
        <x:f>AO141</x:f>
        <x:v>1.633769461377075</x:v>
      </x:c>
      <x:c r="N142" s="242" t="n">
        <x:f>AP141</x:f>
        <x:v>-1.8853971870367918</x:v>
      </x:c>
      <x:c r="O142" s="242" t="n">
        <x:f>AQ141</x:f>
        <x:v>0.7633983871417828</x:v>
      </x:c>
      <x:c r="P142" s="243" t="n">
        <x:f>D142*G142+E142*H142+I142</x:f>
        <x:v>-3.113675724951496</x:v>
      </x:c>
      <x:c r="Q142" s="243" t="n">
        <x:f>1/(1+EXP(-P142))</x:f>
        <x:v>0.04254665624386329</x:v>
      </x:c>
      <x:c r="R142" s="243" t="n">
        <x:f>D142*J142+E142*K142+L142</x:f>
        <x:v>-0.285758826437962</x:v>
      </x:c>
      <x:c r="S142" s="243" t="n">
        <x:f>1/(1+EXP(-R142))</x:f>
        <x:v>0.4290424921622472</x:v>
      </x:c>
      <x:c r="T142" s="243" t="n">
        <x:f>Q142*M142+S142*N142+O142</x:f>
        <x:v>0.023994306954759237</x:v>
      </x:c>
      <x:c r="U142" s="243" t="n">
        <x:f>1/(1+EXP(-T142))</x:f>
        <x:v>0.505998288960159</x:v>
      </x:c>
      <x:c r="V142" s="243" t="n">
        <x:f>0.5*(F142-U142)^2</x:f>
        <x:v>0.1220188452551453</x:v>
      </x:c>
      <x:c r="W142" s="244" t="n">
        <x:f>(U142-F142)*U142*(1-U142)</x:f>
        <x:v>-0.12348265383999586</x:v>
      </x:c>
      <x:c r="X142" s="244" t="n">
        <x:f>W142*M142*Q142*(1-Q142)</x:f>
        <x:v>-0.008218258225983032</x:v>
      </x:c>
      <x:c r="Y142" s="244" t="n">
        <x:f>W142*N142*S142*(1-S142)</x:f>
        <x:v>0.057031251792772825</x:v>
      </x:c>
      <x:c r="Z142" s="245" t="n">
        <x:f>X142*D142</x:f>
        <x:v>0</x:v>
      </x:c>
      <x:c r="AA142" s="245" t="n">
        <x:f>X142*E142</x:f>
        <x:v>-0.008218258225983032</x:v>
      </x:c>
      <x:c r="AB142" s="245" t="n">
        <x:f>X142</x:f>
        <x:v>-0.008218258225983032</x:v>
      </x:c>
      <x:c r="AC142" s="245" t="n">
        <x:f>Y142*D142</x:f>
        <x:v>0</x:v>
      </x:c>
      <x:c r="AD142" s="245" t="n">
        <x:f>Y142*E142</x:f>
        <x:v>0.057031251792772825</x:v>
      </x:c>
      <x:c r="AE142" s="245" t="n">
        <x:f>Y142</x:f>
        <x:v>0.057031251792772825</x:v>
      </x:c>
      <x:c r="AF142" s="245" t="n">
        <x:f>W142*Q142</x:f>
        <x:v>-0.005253774025010269</x:v>
      </x:c>
      <x:c r="AG142" s="245" t="n">
        <x:f>W142*S142</x:f>
        <x:v>-0.05297930554231991</x:v>
      </x:c>
      <x:c r="AH142" s="245" t="n">
        <x:f>W142</x:f>
        <x:v>-0.12348265383999586</x:v>
      </x:c>
      <x:c r="AI142" s="246" t="n">
        <x:f>G142-$B$4*Z142</x:f>
        <x:v>1.4079667394448274</x:v>
      </x:c>
      <x:c r="AJ142" s="246" t="n">
        <x:f>H142-$B$4*AA142</x:f>
        <x:v>-1.8021780597422552</x:v>
      </x:c>
      <x:c r="AK142" s="246" t="n">
        <x:f>I142-$B$4*AB142</x:f>
        <x:v>-1.2950611487572747</x:v>
      </x:c>
      <x:c r="AL142" s="246" t="n">
        <x:f>J142-$B$4*AC142</x:f>
        <x:v>1.3403221065810005</x:v>
      </x:c>
      <x:c r="AM142" s="246" t="n">
        <x:f>K142-$B$4*AD142</x:f>
        <x:v>-1.787886549587614</x:v>
      </x:c>
      <x:c r="AN142" s="246" t="n">
        <x:f>L142-$B$4*AE142</x:f>
        <x:v>1.3880652195641061</x:v>
      </x:c>
      <x:c r="AO142" s="246" t="n">
        <x:f>M142-$B$4*AF142</x:f>
        <x:v>1.6390232354020853</x:v>
      </x:c>
      <x:c r="AP142" s="246" t="n">
        <x:f>N142-$B$4*AG142</x:f>
        <x:v>-1.8324178814944718</x:v>
      </x:c>
      <x:c r="AQ142" s="246" t="n">
        <x:f>O142-$B$4*AH142</x:f>
        <x:v>0.8868810409817787</x:v>
      </x:c>
      <x:c r="AR142" s="182" t="n">
        <x:f>IF(U142&gt;=$B$5,1,0)</x:f>
        <x:v>1</x:v>
      </x:c>
      <x:c r="AS142" s="182" t="n">
        <x:f>IF(AR142=F142,1,0)</x:f>
        <x:v>1</x:v>
      </x:c>
      <x:c r="AT142" s="252" t="n">
        <x:f>ABS(F142-U142)</x:f>
        <x:v>0.49400171103984103</x:v>
      </x:c>
    </x:row>
    <x:row r="143">
      <x:c r="A143" s="114" t="n">
        <x:v>127</x:v>
      </x:c>
      <x:c r="B143" s="114" t="n">
        <x:v>32</x:v>
      </x:c>
      <x:c r="C143" s="114" t="n">
        <x:v>3</x:v>
      </x:c>
      <x:c r="D143" s="168" t="n">
        <x:f>$I$7</x:f>
        <x:v>1</x:v>
      </x:c>
      <x:c r="E143" s="168" t="n">
        <x:f>$J$7</x:f>
        <x:v>0</x:v>
      </x:c>
      <x:c r="F143" s="168" t="n">
        <x:f>$K$7</x:f>
        <x:v>1</x:v>
      </x:c>
      <x:c r="G143" s="242" t="n">
        <x:f>AI142</x:f>
        <x:v>1.4079667394448274</x:v>
      </x:c>
      <x:c r="H143" s="242" t="n">
        <x:f>AJ142</x:f>
        <x:v>-1.8021780597422552</x:v>
      </x:c>
      <x:c r="I143" s="242" t="n">
        <x:f>AK142</x:f>
        <x:v>-1.2950611487572747</x:v>
      </x:c>
      <x:c r="J143" s="242" t="n">
        <x:f>AL142</x:f>
        <x:v>1.3403221065810005</x:v>
      </x:c>
      <x:c r="K143" s="242" t="n">
        <x:f>AM142</x:f>
        <x:v>-1.787886549587614</x:v>
      </x:c>
      <x:c r="L143" s="242" t="n">
        <x:f>AN142</x:f>
        <x:v>1.3880652195641061</x:v>
      </x:c>
      <x:c r="M143" s="242" t="n">
        <x:f>AO142</x:f>
        <x:v>1.6390232354020853</x:v>
      </x:c>
      <x:c r="N143" s="242" t="n">
        <x:f>AP142</x:f>
        <x:v>-1.8324178814944718</x:v>
      </x:c>
      <x:c r="O143" s="242" t="n">
        <x:f>AQ142</x:f>
        <x:v>0.8868810409817787</x:v>
      </x:c>
      <x:c r="P143" s="243" t="n">
        <x:f>D143*G143+E143*H143+I143</x:f>
        <x:v>0.11290559068755268</x:v>
      </x:c>
      <x:c r="Q143" s="243" t="n">
        <x:f>1/(1+EXP(-P143))</x:f>
        <x:v>0.5281964507740671</x:v>
      </x:c>
      <x:c r="R143" s="243" t="n">
        <x:f>D143*J143+E143*K143+L143</x:f>
        <x:v>2.7283873261451066</x:v>
      </x:c>
      <x:c r="S143" s="243" t="n">
        <x:f>1/(1+EXP(-R143))</x:f>
        <x:v>0.9386810790712055</x:v>
      </x:c>
      <x:c r="T143" s="243" t="n">
        <x:f>Q143*M143+S143*N143+O143</x:f>
        <x:v>0.03255130234678527</x:v>
      </x:c>
      <x:c r="U143" s="243" t="n">
        <x:f>1/(1+EXP(-T143))</x:f>
        <x:v>0.5081371071014498</x:v>
      </x:c>
      <x:c r="V143" s="243" t="n">
        <x:f>0.5*(F143-U143)^2</x:f>
        <x:v>0.12096455270526535</x:v>
      </x:c>
      <x:c r="W143" s="244" t="n">
        <x:f>(U143-F143)*U143*(1-U143)</x:f>
        <x:v>-0.12293315574694877</x:v>
      </x:c>
      <x:c r="X143" s="244" t="n">
        <x:f>W143*M143*Q143*(1-Q143)</x:f>
        <x:v>-0.050212381853576224</x:v>
      </x:c>
      <x:c r="Y143" s="244" t="n">
        <x:f>W143*N143*S143*(1-S143)</x:f>
        <x:v>0.012966003037958031</x:v>
      </x:c>
      <x:c r="Z143" s="245" t="n">
        <x:f>X143*D143</x:f>
        <x:v>-0.050212381853576224</x:v>
      </x:c>
      <x:c r="AA143" s="245" t="n">
        <x:f>X143*E143</x:f>
        <x:v>0</x:v>
      </x:c>
      <x:c r="AB143" s="245" t="n">
        <x:f>X143</x:f>
        <x:v>-0.050212381853576224</x:v>
      </x:c>
      <x:c r="AC143" s="245" t="n">
        <x:f>Y143*D143</x:f>
        <x:v>0.012966003037958031</x:v>
      </x:c>
      <x:c r="AD143" s="245" t="n">
        <x:f>Y143*E143</x:f>
        <x:v>0</x:v>
      </x:c>
      <x:c r="AE143" s="245" t="n">
        <x:f>Y143</x:f>
        <x:v>0.012966003037958031</x:v>
      </x:c>
      <x:c r="AF143" s="245" t="n">
        <x:f>W143*Q143</x:f>
        <x:v>-0.06493285654799395</x:v>
      </x:c>
      <x:c r="AG143" s="245" t="n">
        <x:f>W143*S143</x:f>
        <x:v>-0.11539502729017444</x:v>
      </x:c>
      <x:c r="AH143" s="245" t="n">
        <x:f>W143</x:f>
        <x:v>-0.12293315574694877</x:v>
      </x:c>
      <x:c r="AI143" s="246" t="n">
        <x:f>G143-$B$4*Z143</x:f>
        <x:v>1.4581791212984037</x:v>
      </x:c>
      <x:c r="AJ143" s="246" t="n">
        <x:f>H143-$B$4*AA143</x:f>
        <x:v>-1.8021780597422552</x:v>
      </x:c>
      <x:c r="AK143" s="246" t="n">
        <x:f>I143-$B$4*AB143</x:f>
        <x:v>-1.2448487669036985</x:v>
      </x:c>
      <x:c r="AL143" s="246" t="n">
        <x:f>J143-$B$4*AC143</x:f>
        <x:v>1.3273561035430423</x:v>
      </x:c>
      <x:c r="AM143" s="246" t="n">
        <x:f>K143-$B$4*AD143</x:f>
        <x:v>-1.787886549587614</x:v>
      </x:c>
      <x:c r="AN143" s="246" t="n">
        <x:f>L143-$B$4*AE143</x:f>
        <x:v>1.375099216526148</x:v>
      </x:c>
      <x:c r="AO143" s="246" t="n">
        <x:f>M143-$B$4*AF143</x:f>
        <x:v>1.7039560919500791</x:v>
      </x:c>
      <x:c r="AP143" s="246" t="n">
        <x:f>N143-$B$4*AG143</x:f>
        <x:v>-1.7170228542042973</x:v>
      </x:c>
      <x:c r="AQ143" s="246" t="n">
        <x:f>O143-$B$4*AH143</x:f>
        <x:v>1.0098141967287275</x:v>
      </x:c>
      <x:c r="AR143" s="182" t="n">
        <x:f>IF(U143&gt;=$B$5,1,0)</x:f>
        <x:v>1</x:v>
      </x:c>
      <x:c r="AS143" s="182" t="n">
        <x:f>IF(AR143=F143,1,0)</x:f>
        <x:v>1</x:v>
      </x:c>
      <x:c r="AT143" s="252" t="n">
        <x:f>ABS(F143-U143)</x:f>
        <x:v>0.49186289289855023</x:v>
      </x:c>
    </x:row>
    <x:row r="144">
      <x:c r="A144" s="114" t="n">
        <x:v>128</x:v>
      </x:c>
      <x:c r="B144" s="114" t="n">
        <x:v>32</x:v>
      </x:c>
      <x:c r="C144" s="114" t="n">
        <x:v>4</x:v>
      </x:c>
      <x:c r="D144" s="168" t="n">
        <x:f>$I$8</x:f>
        <x:v>1</x:v>
      </x:c>
      <x:c r="E144" s="168" t="n">
        <x:f>$J$8</x:f>
        <x:v>1</x:v>
      </x:c>
      <x:c r="F144" s="168" t="n">
        <x:f>$K$8</x:f>
        <x:v>0</x:v>
      </x:c>
      <x:c r="G144" s="242" t="n">
        <x:f>AI143</x:f>
        <x:v>1.4581791212984037</x:v>
      </x:c>
      <x:c r="H144" s="242" t="n">
        <x:f>AJ143</x:f>
        <x:v>-1.8021780597422552</x:v>
      </x:c>
      <x:c r="I144" s="242" t="n">
        <x:f>AK143</x:f>
        <x:v>-1.2448487669036985</x:v>
      </x:c>
      <x:c r="J144" s="242" t="n">
        <x:f>AL143</x:f>
        <x:v>1.3273561035430423</x:v>
      </x:c>
      <x:c r="K144" s="242" t="n">
        <x:f>AM143</x:f>
        <x:v>-1.787886549587614</x:v>
      </x:c>
      <x:c r="L144" s="242" t="n">
        <x:f>AN143</x:f>
        <x:v>1.375099216526148</x:v>
      </x:c>
      <x:c r="M144" s="242" t="n">
        <x:f>AO143</x:f>
        <x:v>1.7039560919500791</x:v>
      </x:c>
      <x:c r="N144" s="242" t="n">
        <x:f>AP143</x:f>
        <x:v>-1.7170228542042973</x:v>
      </x:c>
      <x:c r="O144" s="242" t="n">
        <x:f>AQ143</x:f>
        <x:v>1.0098141967287275</x:v>
      </x:c>
      <x:c r="P144" s="243" t="n">
        <x:f>D144*G144+E144*H144+I144</x:f>
        <x:v>-1.58884770534755</x:v>
      </x:c>
      <x:c r="Q144" s="243" t="n">
        <x:f>1/(1+EXP(-P144))</x:f>
        <x:v>0.16954607848469172</x:v>
      </x:c>
      <x:c r="R144" s="243" t="n">
        <x:f>D144*J144+E144*K144+L144</x:f>
        <x:v>0.9145687704815764</x:v>
      </x:c>
      <x:c r="S144" s="243" t="n">
        <x:f>1/(1+EXP(-R144))</x:f>
        <x:v>0.7139341639610565</x:v>
      </x:c>
      <x:c r="T144" s="243" t="n">
        <x:f>Q144*M144+S144*N144+O144</x:f>
        <x:v>0.07287199411059231</x:v>
      </x:c>
      <x:c r="U144" s="243" t="n">
        <x:f>1/(1+EXP(-T144))</x:f>
        <x:v>0.5182099408449276</x:v>
      </x:c>
      <x:c r="V144" s="243" t="n">
        <x:f>0.5*(F144-U144)^2</x:f>
        <x:v>0.13427077139525165</x:v>
      </x:c>
      <x:c r="W144" s="244" t="n">
        <x:f>(U144-F144)*U144*(1-U144)</x:f>
        <x:v>0.129380645786631</x:v>
      </x:c>
      <x:c r="X144" s="244" t="n">
        <x:f>W144*M144*Q144*(1-Q144)</x:f>
        <x:v>0.031040664051817147</x:v>
      </x:c>
      <x:c r="Y144" s="244" t="n">
        <x:f>W144*N144*S144*(1-S144)</x:f>
        <x:v>-0.04537008047504906</x:v>
      </x:c>
      <x:c r="Z144" s="245" t="n">
        <x:f>X144*D144</x:f>
        <x:v>0.031040664051817147</x:v>
      </x:c>
      <x:c r="AA144" s="245" t="n">
        <x:f>X144*E144</x:f>
        <x:v>0.031040664051817147</x:v>
      </x:c>
      <x:c r="AB144" s="245" t="n">
        <x:f>X144</x:f>
        <x:v>0.031040664051817147</x:v>
      </x:c>
      <x:c r="AC144" s="245" t="n">
        <x:f>Y144*D144</x:f>
        <x:v>-0.04537008047504906</x:v>
      </x:c>
      <x:c r="AD144" s="245" t="n">
        <x:f>Y144*E144</x:f>
        <x:v>-0.04537008047504906</x:v>
      </x:c>
      <x:c r="AE144" s="245" t="n">
        <x:f>Y144</x:f>
        <x:v>-0.04537008047504906</x:v>
      </x:c>
      <x:c r="AF144" s="245" t="n">
        <x:f>W144*Q144</x:f>
        <x:v>0.02193598112494024</x:v>
      </x:c>
      <x:c r="AG144" s="245" t="n">
        <x:f>W144*S144</x:f>
        <x:v>0.09236926318241999</x:v>
      </x:c>
      <x:c r="AH144" s="245" t="n">
        <x:f>W144</x:f>
        <x:v>0.129380645786631</x:v>
      </x:c>
      <x:c r="AI144" s="246" t="n">
        <x:f>G144-$B$4*Z144</x:f>
        <x:v>1.4271384572465866</x:v>
      </x:c>
      <x:c r="AJ144" s="246" t="n">
        <x:f>H144-$B$4*AA144</x:f>
        <x:v>-1.8332187237940722</x:v>
      </x:c>
      <x:c r="AK144" s="246" t="n">
        <x:f>I144-$B$4*AB144</x:f>
        <x:v>-1.2758894309555155</x:v>
      </x:c>
      <x:c r="AL144" s="246" t="n">
        <x:f>J144-$B$4*AC144</x:f>
        <x:v>1.3727261840180913</x:v>
      </x:c>
      <x:c r="AM144" s="246" t="n">
        <x:f>K144-$B$4*AD144</x:f>
        <x:v>-1.742516469112565</x:v>
      </x:c>
      <x:c r="AN144" s="246" t="n">
        <x:f>L144-$B$4*AE144</x:f>
        <x:v>1.420469297001197</x:v>
      </x:c>
      <x:c r="AO144" s="246" t="n">
        <x:f>M144-$B$4*AF144</x:f>
        <x:v>1.682020110825139</x:v>
      </x:c>
      <x:c r="AP144" s="246" t="n">
        <x:f>N144-$B$4*AG144</x:f>
        <x:v>-1.8093921173867173</x:v>
      </x:c>
      <x:c r="AQ144" s="246" t="n">
        <x:f>O144-$B$4*AH144</x:f>
        <x:v>0.8804335509420965</x:v>
      </x:c>
      <x:c r="AR144" s="182" t="n">
        <x:f>IF(U144&gt;=$B$5,1,0)</x:f>
        <x:v>1</x:v>
      </x:c>
      <x:c r="AS144" s="182" t="n">
        <x:f>IF(AR144=F144,1,0)</x:f>
        <x:v>0</x:v>
      </x:c>
      <x:c r="AT144" s="252" t="n">
        <x:f>ABS(F144-U144)</x:f>
        <x:v>0.5182099408449276</x:v>
      </x:c>
    </x:row>
    <x:row r="145">
      <x:c r="A145" s="114" t="n">
        <x:v>129</x:v>
      </x:c>
      <x:c r="B145" s="114" t="n">
        <x:v>33</x:v>
      </x:c>
      <x:c r="C145" s="114" t="n">
        <x:v>1</x:v>
      </x:c>
      <x:c r="D145" s="168" t="n">
        <x:f>$I$5</x:f>
        <x:v>0</x:v>
      </x:c>
      <x:c r="E145" s="168" t="n">
        <x:f>$J$5</x:f>
        <x:v>0</x:v>
      </x:c>
      <x:c r="F145" s="168" t="n">
        <x:f>$K$5</x:f>
        <x:v>0</x:v>
      </x:c>
      <x:c r="G145" s="242" t="n">
        <x:f>AI144</x:f>
        <x:v>1.4271384572465866</x:v>
      </x:c>
      <x:c r="H145" s="242" t="n">
        <x:f>AJ144</x:f>
        <x:v>-1.8332187237940722</x:v>
      </x:c>
      <x:c r="I145" s="242" t="n">
        <x:f>AK144</x:f>
        <x:v>-1.2758894309555155</x:v>
      </x:c>
      <x:c r="J145" s="242" t="n">
        <x:f>AL144</x:f>
        <x:v>1.3727261840180913</x:v>
      </x:c>
      <x:c r="K145" s="242" t="n">
        <x:f>AM144</x:f>
        <x:v>-1.742516469112565</x:v>
      </x:c>
      <x:c r="L145" s="242" t="n">
        <x:f>AN144</x:f>
        <x:v>1.420469297001197</x:v>
      </x:c>
      <x:c r="M145" s="242" t="n">
        <x:f>AO144</x:f>
        <x:v>1.682020110825139</x:v>
      </x:c>
      <x:c r="N145" s="242" t="n">
        <x:f>AP144</x:f>
        <x:v>-1.8093921173867173</x:v>
      </x:c>
      <x:c r="O145" s="242" t="n">
        <x:f>AQ144</x:f>
        <x:v>0.8804335509420965</x:v>
      </x:c>
      <x:c r="P145" s="243" t="n">
        <x:f>D145*G145+E145*H145+I145</x:f>
        <x:v>-1.2758894309555155</x:v>
      </x:c>
      <x:c r="Q145" s="243" t="n">
        <x:f>1/(1+EXP(-P145))</x:f>
        <x:v>0.21825074571000705</x:v>
      </x:c>
      <x:c r="R145" s="243" t="n">
        <x:f>D145*J145+E145*K145+L145</x:f>
        <x:v>1.420469297001197</x:v>
      </x:c>
      <x:c r="S145" s="243" t="n">
        <x:f>1/(1+EXP(-R145))</x:f>
        <x:v>0.8054119768304302</x:v>
      </x:c>
      <x:c r="T145" s="243" t="n">
        <x:f>Q145*M145+S145*N145+O145</x:f>
        <x:v>-0.20977038769692224</x:v>
      </x:c>
      <x:c r="U145" s="243" t="n">
        <x:f>1/(1+EXP(-T145))</x:f>
        <x:v>0.4477488659368806</x:v>
      </x:c>
      <x:c r="V145" s="243" t="n">
        <x:f>0.5*(F145-U145)^2</x:f>
        <x:v>0.10023952347388135</x:v>
      </x:c>
      <x:c r="W145" s="244" t="n">
        <x:f>(U145-F145)*U145*(1-U145)</x:f>
        <x:v>0.11071478103279529</x:v>
      </x:c>
      <x:c r="X145" s="244" t="n">
        <x:f>W145*M145*Q145*(1-Q145)</x:f>
        <x:v>0.03177313012773704</x:v>
      </x:c>
      <x:c r="Y145" s="244" t="n">
        <x:f>W145*N145*S145*(1-S145)</x:f>
        <x:v>-0.03139586760206713</x:v>
      </x:c>
      <x:c r="Z145" s="245" t="n">
        <x:f>X145*D145</x:f>
        <x:v>0</x:v>
      </x:c>
      <x:c r="AA145" s="245" t="n">
        <x:f>X145*E145</x:f>
        <x:v>0</x:v>
      </x:c>
      <x:c r="AB145" s="245" t="n">
        <x:f>X145</x:f>
        <x:v>0.03177313012773704</x:v>
      </x:c>
      <x:c r="AC145" s="245" t="n">
        <x:f>Y145*D145</x:f>
        <x:v>0</x:v>
      </x:c>
      <x:c r="AD145" s="245" t="n">
        <x:f>Y145*E145</x:f>
        <x:v>0</x:v>
      </x:c>
      <x:c r="AE145" s="245" t="n">
        <x:f>Y145</x:f>
        <x:v>-0.03139586760206713</x:v>
      </x:c>
      <x:c r="AF145" s="245" t="n">
        <x:f>W145*Q145</x:f>
        <x:v>0.024163583521527716</x:v>
      </x:c>
      <x:c r="AG145" s="245" t="n">
        <x:f>W145*S145</x:f>
        <x:v>0.08917101065597187</x:v>
      </x:c>
      <x:c r="AH145" s="245" t="n">
        <x:f>W145</x:f>
        <x:v>0.11071478103279529</x:v>
      </x:c>
      <x:c r="AI145" s="246" t="n">
        <x:f>G145-$B$4*Z145</x:f>
        <x:v>1.4271384572465866</x:v>
      </x:c>
      <x:c r="AJ145" s="246" t="n">
        <x:f>H145-$B$4*AA145</x:f>
        <x:v>-1.8332187237940722</x:v>
      </x:c>
      <x:c r="AK145" s="246" t="n">
        <x:f>I145-$B$4*AB145</x:f>
        <x:v>-1.3076625610832526</x:v>
      </x:c>
      <x:c r="AL145" s="246" t="n">
        <x:f>J145-$B$4*AC145</x:f>
        <x:v>1.3727261840180913</x:v>
      </x:c>
      <x:c r="AM145" s="246" t="n">
        <x:f>K145-$B$4*AD145</x:f>
        <x:v>-1.742516469112565</x:v>
      </x:c>
      <x:c r="AN145" s="246" t="n">
        <x:f>L145-$B$4*AE145</x:f>
        <x:v>1.451865164603264</x:v>
      </x:c>
      <x:c r="AO145" s="246" t="n">
        <x:f>M145-$B$4*AF145</x:f>
        <x:v>1.6578565273036112</x:v>
      </x:c>
      <x:c r="AP145" s="246" t="n">
        <x:f>N145-$B$4*AG145</x:f>
        <x:v>-1.8985631280426891</x:v>
      </x:c>
      <x:c r="AQ145" s="246" t="n">
        <x:f>O145-$B$4*AH145</x:f>
        <x:v>0.7697187699093012</x:v>
      </x:c>
      <x:c r="AR145" s="182" t="n">
        <x:f>IF(U145&gt;=$B$5,1,0)</x:f>
        <x:v>0</x:v>
      </x:c>
      <x:c r="AS145" s="182" t="n">
        <x:f>IF(AR145=F145,1,0)</x:f>
        <x:v>1</x:v>
      </x:c>
      <x:c r="AT145" s="252" t="n">
        <x:f>ABS(F145-U145)</x:f>
        <x:v>0.4477488659368806</x:v>
      </x:c>
    </x:row>
    <x:row r="146">
      <x:c r="A146" s="114" t="n">
        <x:v>130</x:v>
      </x:c>
      <x:c r="B146" s="114" t="n">
        <x:v>33</x:v>
      </x:c>
      <x:c r="C146" s="114" t="n">
        <x:v>2</x:v>
      </x:c>
      <x:c r="D146" s="168" t="n">
        <x:f>$I$6</x:f>
        <x:v>0</x:v>
      </x:c>
      <x:c r="E146" s="168" t="n">
        <x:f>$J$6</x:f>
        <x:v>1</x:v>
      </x:c>
      <x:c r="F146" s="168" t="n">
        <x:f>$K$6</x:f>
        <x:v>1</x:v>
      </x:c>
      <x:c r="G146" s="242" t="n">
        <x:f>AI145</x:f>
        <x:v>1.4271384572465866</x:v>
      </x:c>
      <x:c r="H146" s="242" t="n">
        <x:f>AJ145</x:f>
        <x:v>-1.8332187237940722</x:v>
      </x:c>
      <x:c r="I146" s="242" t="n">
        <x:f>AK145</x:f>
        <x:v>-1.3076625610832526</x:v>
      </x:c>
      <x:c r="J146" s="242" t="n">
        <x:f>AL145</x:f>
        <x:v>1.3727261840180913</x:v>
      </x:c>
      <x:c r="K146" s="242" t="n">
        <x:f>AM145</x:f>
        <x:v>-1.742516469112565</x:v>
      </x:c>
      <x:c r="L146" s="242" t="n">
        <x:f>AN145</x:f>
        <x:v>1.451865164603264</x:v>
      </x:c>
      <x:c r="M146" s="242" t="n">
        <x:f>AO145</x:f>
        <x:v>1.6578565273036112</x:v>
      </x:c>
      <x:c r="N146" s="242" t="n">
        <x:f>AP145</x:f>
        <x:v>-1.8985631280426891</x:v>
      </x:c>
      <x:c r="O146" s="242" t="n">
        <x:f>AQ145</x:f>
        <x:v>0.7697187699093012</x:v>
      </x:c>
      <x:c r="P146" s="243" t="n">
        <x:f>D146*G146+E146*H146+I146</x:f>
        <x:v>-3.1408812848773247</x:v>
      </x:c>
      <x:c r="Q146" s="243" t="n">
        <x:f>1/(1+EXP(-P146))</x:f>
        <x:v>0.04145208833929277</x:v>
      </x:c>
      <x:c r="R146" s="243" t="n">
        <x:f>D146*J146+E146*K146+L146</x:f>
        <x:v>-0.2906513045093009</x:v>
      </x:c>
      <x:c r="S146" s="243" t="n">
        <x:f>1/(1+EXP(-R146))</x:f>
        <x:v>0.4278444244231841</x:v>
      </x:c>
      <x:c r="T146" s="243" t="n">
        <x:f>Q146*M146+S146*N146+O146</x:f>
        <x:v>0.026150736384459417</x:v>
      </x:c>
      <x:c r="U146" s="243" t="n">
        <x:f>1/(1+EXP(-T146))</x:f>
        <x:v>0.5065373115493192</x:v>
      </x:c>
      <x:c r="V146" s="243" t="n">
        <x:f>0.5*(F146-U146)^2</x:f>
        <x:v>0.1217527124464868</x:v>
      </x:c>
      <x:c r="W146" s="244" t="n">
        <x:f>(U146-F146)*U146*(1-U146)</x:f>
        <x:v>-0.12334458327296154</x:v>
      </x:c>
      <x:c r="X146" s="244" t="n">
        <x:f>W146*M146*Q146*(1-Q146)</x:f>
        <x:v>-0.008125072893724713</x:v>
      </x:c>
      <x:c r="Y146" s="244" t="n">
        <x:f>W146*N146*S146*(1-S146)</x:f>
        <x:v>0.05732514149767884</x:v>
      </x:c>
      <x:c r="Z146" s="245" t="n">
        <x:f>X146*D146</x:f>
        <x:v>0</x:v>
      </x:c>
      <x:c r="AA146" s="245" t="n">
        <x:f>X146*E146</x:f>
        <x:v>-0.008125072893724713</x:v>
      </x:c>
      <x:c r="AB146" s="245" t="n">
        <x:f>X146</x:f>
        <x:v>-0.008125072893724713</x:v>
      </x:c>
      <x:c r="AC146" s="245" t="n">
        <x:f>Y146*D146</x:f>
        <x:v>0</x:v>
      </x:c>
      <x:c r="AD146" s="245" t="n">
        <x:f>Y146*E146</x:f>
        <x:v>0.05732514149767884</x:v>
      </x:c>
      <x:c r="AE146" s="245" t="n">
        <x:f>Y146</x:f>
        <x:v>0.05732514149767884</x:v>
      </x:c>
      <x:c r="AF146" s="245" t="n">
        <x:f>W146*Q146</x:f>
        <x:v>-0.005112890562004055</x:v>
      </x:c>
      <x:c r="AG146" s="245" t="n">
        <x:f>W146*S146</x:f>
        <x:v>-0.05277229223613773</x:v>
      </x:c>
      <x:c r="AH146" s="245" t="n">
        <x:f>W146</x:f>
        <x:v>-0.12334458327296154</x:v>
      </x:c>
      <x:c r="AI146" s="246" t="n">
        <x:f>G146-$B$4*Z146</x:f>
        <x:v>1.4271384572465866</x:v>
      </x:c>
      <x:c r="AJ146" s="246" t="n">
        <x:f>H146-$B$4*AA146</x:f>
        <x:v>-1.8250936509003475</x:v>
      </x:c>
      <x:c r="AK146" s="246" t="n">
        <x:f>I146-$B$4*AB146</x:f>
        <x:v>-1.2995374881895279</x:v>
      </x:c>
      <x:c r="AL146" s="246" t="n">
        <x:f>J146-$B$4*AC146</x:f>
        <x:v>1.3727261840180913</x:v>
      </x:c>
      <x:c r="AM146" s="246" t="n">
        <x:f>K146-$B$4*AD146</x:f>
        <x:v>-1.7998416106102437</x:v>
      </x:c>
      <x:c r="AN146" s="246" t="n">
        <x:f>L146-$B$4*AE146</x:f>
        <x:v>1.3945400231055853</x:v>
      </x:c>
      <x:c r="AO146" s="246" t="n">
        <x:f>M146-$B$4*AF146</x:f>
        <x:v>1.6629694178656154</x:v>
      </x:c>
      <x:c r="AP146" s="246" t="n">
        <x:f>N146-$B$4*AG146</x:f>
        <x:v>-1.8457908358065513</x:v>
      </x:c>
      <x:c r="AQ146" s="246" t="n">
        <x:f>O146-$B$4*AH146</x:f>
        <x:v>0.8930633531822627</x:v>
      </x:c>
      <x:c r="AR146" s="182" t="n">
        <x:f>IF(U146&gt;=$B$5,1,0)</x:f>
        <x:v>1</x:v>
      </x:c>
      <x:c r="AS146" s="182" t="n">
        <x:f>IF(AR146=F146,1,0)</x:f>
        <x:v>1</x:v>
      </x:c>
      <x:c r="AT146" s="252" t="n">
        <x:f>ABS(F146-U146)</x:f>
        <x:v>0.49346268845068075</x:v>
      </x:c>
    </x:row>
    <x:row r="147">
      <x:c r="A147" s="114" t="n">
        <x:v>131</x:v>
      </x:c>
      <x:c r="B147" s="114" t="n">
        <x:v>33</x:v>
      </x:c>
      <x:c r="C147" s="114" t="n">
        <x:v>3</x:v>
      </x:c>
      <x:c r="D147" s="168" t="n">
        <x:f>$I$7</x:f>
        <x:v>1</x:v>
      </x:c>
      <x:c r="E147" s="168" t="n">
        <x:f>$J$7</x:f>
        <x:v>0</x:v>
      </x:c>
      <x:c r="F147" s="168" t="n">
        <x:f>$K$7</x:f>
        <x:v>1</x:v>
      </x:c>
      <x:c r="G147" s="242" t="n">
        <x:f>AI146</x:f>
        <x:v>1.4271384572465866</x:v>
      </x:c>
      <x:c r="H147" s="242" t="n">
        <x:f>AJ146</x:f>
        <x:v>-1.8250936509003475</x:v>
      </x:c>
      <x:c r="I147" s="242" t="n">
        <x:f>AK146</x:f>
        <x:v>-1.2995374881895279</x:v>
      </x:c>
      <x:c r="J147" s="242" t="n">
        <x:f>AL146</x:f>
        <x:v>1.3727261840180913</x:v>
      </x:c>
      <x:c r="K147" s="242" t="n">
        <x:f>AM146</x:f>
        <x:v>-1.7998416106102437</x:v>
      </x:c>
      <x:c r="L147" s="242" t="n">
        <x:f>AN146</x:f>
        <x:v>1.3945400231055853</x:v>
      </x:c>
      <x:c r="M147" s="242" t="n">
        <x:f>AO146</x:f>
        <x:v>1.6629694178656154</x:v>
      </x:c>
      <x:c r="N147" s="242" t="n">
        <x:f>AP146</x:f>
        <x:v>-1.8457908358065513</x:v>
      </x:c>
      <x:c r="O147" s="242" t="n">
        <x:f>AQ146</x:f>
        <x:v>0.8930633531822627</x:v>
      </x:c>
      <x:c r="P147" s="243" t="n">
        <x:f>D147*G147+E147*H147+I147</x:f>
        <x:v>0.12760096905705876</x:v>
      </x:c>
      <x:c r="Q147" s="243" t="n">
        <x:f>1/(1+EXP(-P147))</x:f>
        <x:v>0.5318570292908331</x:v>
      </x:c>
      <x:c r="R147" s="243" t="n">
        <x:f>D147*J147+E147*K147+L147</x:f>
        <x:v>2.7672662071236767</x:v>
      </x:c>
      <x:c r="S147" s="243" t="n">
        <x:f>1/(1+EXP(-R147))</x:f>
        <x:v>0.9408811056016295</x:v>
      </x:c>
      <x:c r="T147" s="243" t="n">
        <x:f>Q147*M147+S147*N147+O147</x:f>
        <x:v>0.04085560526675114</x:v>
      </x:c>
      <x:c r="U147" s="243" t="n">
        <x:f>1/(1+EXP(-T147))</x:f>
        <x:v>0.5102124808167344</x:v>
      </x:c>
      <x:c r="V147" s="243" t="n">
        <x:f>0.5*(F147-U147)^2</x:f>
        <x:v>0.11994590697384887</x:v>
      </x:c>
      <x:c r="W147" s="244" t="n">
        <x:f>(U147-F147)*U147*(1-U147)</x:f>
        <x:v>-0.12239579752188136</x:v>
      </x:c>
      <x:c r="X147" s="244" t="n">
        <x:f>W147*M147*Q147*(1-Q147)</x:f>
        <x:v>-0.05067854985946109</x:v>
      </x:c>
      <x:c r="Y147" s="244" t="n">
        <x:f>W147*N147*S147*(1-S147)</x:f>
        <x:v>0.012566375787121135</x:v>
      </x:c>
      <x:c r="Z147" s="245" t="n">
        <x:f>X147*D147</x:f>
        <x:v>-0.05067854985946109</x:v>
      </x:c>
      <x:c r="AA147" s="245" t="n">
        <x:f>X147*E147</x:f>
        <x:v>0</x:v>
      </x:c>
      <x:c r="AB147" s="245" t="n">
        <x:f>X147</x:f>
        <x:v>-0.05067854985946109</x:v>
      </x:c>
      <x:c r="AC147" s="245" t="n">
        <x:f>Y147*D147</x:f>
        <x:v>0.012566375787121135</x:v>
      </x:c>
      <x:c r="AD147" s="245" t="n">
        <x:f>Y147*E147</x:f>
        <x:v>0</x:v>
      </x:c>
      <x:c r="AE147" s="245" t="n">
        <x:f>Y147</x:f>
        <x:v>0.012566375787121135</x:v>
      </x:c>
      <x:c r="AF147" s="245" t="n">
        <x:f>W147*Q147</x:f>
        <x:v>-0.06509706526767013</x:v>
      </x:c>
      <x:c r="AG147" s="245" t="n">
        <x:f>W147*S147</x:f>
        <x:v>-0.11515989329338092</x:v>
      </x:c>
      <x:c r="AH147" s="245" t="n">
        <x:f>W147</x:f>
        <x:v>-0.12239579752188136</x:v>
      </x:c>
      <x:c r="AI147" s="246" t="n">
        <x:f>G147-$B$4*Z147</x:f>
        <x:v>1.4778170071060477</x:v>
      </x:c>
      <x:c r="AJ147" s="246" t="n">
        <x:f>H147-$B$4*AA147</x:f>
        <x:v>-1.8250936509003475</x:v>
      </x:c>
      <x:c r="AK147" s="246" t="n">
        <x:f>I147-$B$4*AB147</x:f>
        <x:v>-1.2488589383300668</x:v>
      </x:c>
      <x:c r="AL147" s="246" t="n">
        <x:f>J147-$B$4*AC147</x:f>
        <x:v>1.3601598082309703</x:v>
      </x:c>
      <x:c r="AM147" s="246" t="n">
        <x:f>K147-$B$4*AD147</x:f>
        <x:v>-1.7998416106102437</x:v>
      </x:c>
      <x:c r="AN147" s="246" t="n">
        <x:f>L147-$B$4*AE147</x:f>
        <x:v>1.3819736473184643</x:v>
      </x:c>
      <x:c r="AO147" s="246" t="n">
        <x:f>M147-$B$4*AF147</x:f>
        <x:v>1.7280664831332855</x:v>
      </x:c>
      <x:c r="AP147" s="246" t="n">
        <x:f>N147-$B$4*AG147</x:f>
        <x:v>-1.7306309425131705</x:v>
      </x:c>
      <x:c r="AQ147" s="246" t="n">
        <x:f>O147-$B$4*AH147</x:f>
        <x:v>1.0154591507041442</x:v>
      </x:c>
      <x:c r="AR147" s="182" t="n">
        <x:f>IF(U147&gt;=$B$5,1,0)</x:f>
        <x:v>1</x:v>
      </x:c>
      <x:c r="AS147" s="182" t="n">
        <x:f>IF(AR147=F147,1,0)</x:f>
        <x:v>1</x:v>
      </x:c>
      <x:c r="AT147" s="252" t="n">
        <x:f>ABS(F147-U147)</x:f>
        <x:v>0.4897875191832656</x:v>
      </x:c>
    </x:row>
    <x:row r="148">
      <x:c r="A148" s="114" t="n">
        <x:v>132</x:v>
      </x:c>
      <x:c r="B148" s="114" t="n">
        <x:v>33</x:v>
      </x:c>
      <x:c r="C148" s="114" t="n">
        <x:v>4</x:v>
      </x:c>
      <x:c r="D148" s="168" t="n">
        <x:f>$I$8</x:f>
        <x:v>1</x:v>
      </x:c>
      <x:c r="E148" s="168" t="n">
        <x:f>$J$8</x:f>
        <x:v>1</x:v>
      </x:c>
      <x:c r="F148" s="168" t="n">
        <x:f>$K$8</x:f>
        <x:v>0</x:v>
      </x:c>
      <x:c r="G148" s="242" t="n">
        <x:f>AI147</x:f>
        <x:v>1.4778170071060477</x:v>
      </x:c>
      <x:c r="H148" s="242" t="n">
        <x:f>AJ147</x:f>
        <x:v>-1.8250936509003475</x:v>
      </x:c>
      <x:c r="I148" s="242" t="n">
        <x:f>AK147</x:f>
        <x:v>-1.2488589383300668</x:v>
      </x:c>
      <x:c r="J148" s="242" t="n">
        <x:f>AL147</x:f>
        <x:v>1.3601598082309703</x:v>
      </x:c>
      <x:c r="K148" s="242" t="n">
        <x:f>AM147</x:f>
        <x:v>-1.7998416106102437</x:v>
      </x:c>
      <x:c r="L148" s="242" t="n">
        <x:f>AN147</x:f>
        <x:v>1.3819736473184643</x:v>
      </x:c>
      <x:c r="M148" s="242" t="n">
        <x:f>AO147</x:f>
        <x:v>1.7280664831332855</x:v>
      </x:c>
      <x:c r="N148" s="242" t="n">
        <x:f>AP147</x:f>
        <x:v>-1.7306309425131705</x:v>
      </x:c>
      <x:c r="O148" s="242" t="n">
        <x:f>AQ147</x:f>
        <x:v>1.0154591507041442</x:v>
      </x:c>
      <x:c r="P148" s="243" t="n">
        <x:f>D148*G148+E148*H148+I148</x:f>
        <x:v>-1.5961355821243666</x:v>
      </x:c>
      <x:c r="Q148" s="243" t="n">
        <x:f>1/(1+EXP(-P148))</x:f>
        <x:v>0.1685224137652126</x:v>
      </x:c>
      <x:c r="R148" s="243" t="n">
        <x:f>D148*J148+E148*K148+L148</x:f>
        <x:v>0.9422918449391908</x:v>
      </x:c>
      <x:c r="S148" s="243" t="n">
        <x:f>1/(1+EXP(-R148))</x:f>
        <x:v>0.7195623668657918</x:v>
      </x:c>
      <x:c r="T148" s="243" t="n">
        <x:f>Q148*M148+S148*N148+O148</x:f>
        <x:v>0.06138018842257442</x:v>
      </x:c>
      <x:c r="U148" s="243" t="n">
        <x:f>1/(1+EXP(-T148))</x:f>
        <x:v>0.5153402311794296</x:v>
      </x:c>
      <x:c r="V148" s="243" t="n">
        <x:f>0.5*(F148-U148)^2</x:f>
        <x:v>0.13278777693603397</x:v>
      </x:c>
      <x:c r="W148" s="244" t="n">
        <x:f>(U148-F148)*U148*(1-U148)</x:f>
        <x:v>0.12871378654403137</x:v>
      </x:c>
      <x:c r="X148" s="244" t="n">
        <x:f>W148*M148*Q148*(1-Q148)</x:f>
        <x:v>0.031166908872453932</x:v>
      </x:c>
      <x:c r="Y148" s="244" t="n">
        <x:f>W148*N148*S148*(1-S148)</x:f>
        <x:v>-0.0449504729708454</x:v>
      </x:c>
      <x:c r="Z148" s="245" t="n">
        <x:f>X148*D148</x:f>
        <x:v>0.031166908872453932</x:v>
      </x:c>
      <x:c r="AA148" s="245" t="n">
        <x:f>X148*E148</x:f>
        <x:v>0.031166908872453932</x:v>
      </x:c>
      <x:c r="AB148" s="245" t="n">
        <x:f>X148</x:f>
        <x:v>0.031166908872453932</x:v>
      </x:c>
      <x:c r="AC148" s="245" t="n">
        <x:f>Y148*D148</x:f>
        <x:v>-0.0449504729708454</x:v>
      </x:c>
      <x:c r="AD148" s="245" t="n">
        <x:f>Y148*E148</x:f>
        <x:v>-0.0449504729708454</x:v>
      </x:c>
      <x:c r="AE148" s="245" t="n">
        <x:f>Y148</x:f>
        <x:v>-0.0449504729708454</x:v>
      </x:c>
      <x:c r="AF148" s="245" t="n">
        <x:f>W148*Q148</x:f>
        <x:v>0.021691157993260508</x:v>
      </x:c>
      <x:c r="AG148" s="245" t="n">
        <x:f>W148*S148</x:f>
        <x:v>0.09261759689388152</x:v>
      </x:c>
      <x:c r="AH148" s="245" t="n">
        <x:f>W148</x:f>
        <x:v>0.12871378654403137</x:v>
      </x:c>
      <x:c r="AI148" s="246" t="n">
        <x:f>G148-$B$4*Z148</x:f>
        <x:v>1.4466500982335937</x:v>
      </x:c>
      <x:c r="AJ148" s="246" t="n">
        <x:f>H148-$B$4*AA148</x:f>
        <x:v>-1.8562605597728015</x:v>
      </x:c>
      <x:c r="AK148" s="246" t="n">
        <x:f>I148-$B$4*AB148</x:f>
        <x:v>-1.2800258472025208</x:v>
      </x:c>
      <x:c r="AL148" s="246" t="n">
        <x:f>J148-$B$4*AC148</x:f>
        <x:v>1.4051102812018157</x:v>
      </x:c>
      <x:c r="AM148" s="246" t="n">
        <x:f>K148-$B$4*AD148</x:f>
        <x:v>-1.7548911376393983</x:v>
      </x:c>
      <x:c r="AN148" s="246" t="n">
        <x:f>L148-$B$4*AE148</x:f>
        <x:v>1.4269241202893097</x:v>
      </x:c>
      <x:c r="AO148" s="246" t="n">
        <x:f>M148-$B$4*AF148</x:f>
        <x:v>1.7063753251400249</x:v>
      </x:c>
      <x:c r="AP148" s="246" t="n">
        <x:f>N148-$B$4*AG148</x:f>
        <x:v>-1.8232485394070521</x:v>
      </x:c>
      <x:c r="AQ148" s="246" t="n">
        <x:f>O148-$B$4*AH148</x:f>
        <x:v>0.8867453641601128</x:v>
      </x:c>
      <x:c r="AR148" s="182" t="n">
        <x:f>IF(U148&gt;=$B$5,1,0)</x:f>
        <x:v>1</x:v>
      </x:c>
      <x:c r="AS148" s="182" t="n">
        <x:f>IF(AR148=F148,1,0)</x:f>
        <x:v>0</x:v>
      </x:c>
      <x:c r="AT148" s="252" t="n">
        <x:f>ABS(F148-U148)</x:f>
        <x:v>0.5153402311794296</x:v>
      </x:c>
    </x:row>
    <x:row r="149">
      <x:c r="A149" s="114" t="n">
        <x:v>133</x:v>
      </x:c>
      <x:c r="B149" s="114" t="n">
        <x:v>34</x:v>
      </x:c>
      <x:c r="C149" s="114" t="n">
        <x:v>1</x:v>
      </x:c>
      <x:c r="D149" s="168" t="n">
        <x:f>$I$5</x:f>
        <x:v>0</x:v>
      </x:c>
      <x:c r="E149" s="168" t="n">
        <x:f>$J$5</x:f>
        <x:v>0</x:v>
      </x:c>
      <x:c r="F149" s="168" t="n">
        <x:f>$K$5</x:f>
        <x:v>0</x:v>
      </x:c>
      <x:c r="G149" s="242" t="n">
        <x:f>AI148</x:f>
        <x:v>1.4466500982335937</x:v>
      </x:c>
      <x:c r="H149" s="242" t="n">
        <x:f>AJ148</x:f>
        <x:v>-1.8562605597728015</x:v>
      </x:c>
      <x:c r="I149" s="242" t="n">
        <x:f>AK148</x:f>
        <x:v>-1.2800258472025208</x:v>
      </x:c>
      <x:c r="J149" s="242" t="n">
        <x:f>AL148</x:f>
        <x:v>1.4051102812018157</x:v>
      </x:c>
      <x:c r="K149" s="242" t="n">
        <x:f>AM148</x:f>
        <x:v>-1.7548911376393983</x:v>
      </x:c>
      <x:c r="L149" s="242" t="n">
        <x:f>AN148</x:f>
        <x:v>1.4269241202893097</x:v>
      </x:c>
      <x:c r="M149" s="242" t="n">
        <x:f>AO148</x:f>
        <x:v>1.7063753251400249</x:v>
      </x:c>
      <x:c r="N149" s="242" t="n">
        <x:f>AP148</x:f>
        <x:v>-1.8232485394070521</x:v>
      </x:c>
      <x:c r="O149" s="242" t="n">
        <x:f>AQ148</x:f>
        <x:v>0.8867453641601128</x:v>
      </x:c>
      <x:c r="P149" s="243" t="n">
        <x:f>D149*G149+E149*H149+I149</x:f>
        <x:v>-1.2800258472025208</x:v>
      </x:c>
      <x:c r="Q149" s="243" t="n">
        <x:f>1/(1+EXP(-P149))</x:f>
        <x:v>0.21754582384330082</x:v>
      </x:c>
      <x:c r="R149" s="243" t="n">
        <x:f>D149*J149+E149*K149+L149</x:f>
        <x:v>1.4269241202893097</x:v>
      </x:c>
      <x:c r="S149" s="243" t="n">
        <x:f>1/(1+EXP(-R149))</x:f>
        <x:v>0.8064216056177436</x:v>
      </x:c>
      <x:c r="T149" s="243" t="n">
        <x:f>Q149*M149+S149*N149+O149</x:f>
        <x:v>-0.21234682453526088</x:v>
      </x:c>
      <x:c r="U149" s="243" t="n">
        <x:f>1/(1+EXP(-T149))</x:f>
        <x:v>0.4471118769711573</x:v>
      </x:c>
      <x:c r="V149" s="243" t="n">
        <x:f>0.5*(F149-U149)^2</x:f>
        <x:v>0.09995451526433564</x:v>
      </x:c>
      <x:c r="W149" s="244" t="n">
        <x:f>(U149-F149)*U149*(1-U149)</x:f>
        <x:v>0.11052732866551268</x:v>
      </x:c>
      <x:c r="X149" s="244" t="n">
        <x:f>W149*M149*Q149*(1-Q149)</x:f>
        <x:v>0.03210361212593708</x:v>
      </x:c>
      <x:c r="Y149" s="244" t="n">
        <x:f>W149*N149*S149*(1-S149)</x:f>
        <x:v>-0.0314582519359957</x:v>
      </x:c>
      <x:c r="Z149" s="245" t="n">
        <x:f>X149*D149</x:f>
        <x:v>0</x:v>
      </x:c>
      <x:c r="AA149" s="245" t="n">
        <x:f>X149*E149</x:f>
        <x:v>0</x:v>
      </x:c>
      <x:c r="AB149" s="245" t="n">
        <x:f>X149</x:f>
        <x:v>0.03210361212593708</x:v>
      </x:c>
      <x:c r="AC149" s="245" t="n">
        <x:f>Y149*D149</x:f>
        <x:v>0</x:v>
      </x:c>
      <x:c r="AD149" s="245" t="n">
        <x:f>Y149*E149</x:f>
        <x:v>0</x:v>
      </x:c>
      <x:c r="AE149" s="245" t="n">
        <x:f>Y149</x:f>
        <x:v>-0.0314582519359957</x:v>
      </x:c>
      <x:c r="AF149" s="245" t="n">
        <x:f>W149*Q149</x:f>
        <x:v>0.024044758771738235</x:v>
      </x:c>
      <x:c r="AG149" s="245" t="n">
        <x:f>W149*S149</x:f>
        <x:v>0.08913162584708278</x:v>
      </x:c>
      <x:c r="AH149" s="245" t="n">
        <x:f>W149</x:f>
        <x:v>0.11052732866551268</x:v>
      </x:c>
      <x:c r="AI149" s="246" t="n">
        <x:f>G149-$B$4*Z149</x:f>
        <x:v>1.4466500982335937</x:v>
      </x:c>
      <x:c r="AJ149" s="246" t="n">
        <x:f>H149-$B$4*AA149</x:f>
        <x:v>-1.8562605597728015</x:v>
      </x:c>
      <x:c r="AK149" s="246" t="n">
        <x:f>I149-$B$4*AB149</x:f>
        <x:v>-1.3121294593284578</x:v>
      </x:c>
      <x:c r="AL149" s="246" t="n">
        <x:f>J149-$B$4*AC149</x:f>
        <x:v>1.4051102812018157</x:v>
      </x:c>
      <x:c r="AM149" s="246" t="n">
        <x:f>K149-$B$4*AD149</x:f>
        <x:v>-1.7548911376393983</x:v>
      </x:c>
      <x:c r="AN149" s="246" t="n">
        <x:f>L149-$B$4*AE149</x:f>
        <x:v>1.4583823722253053</x:v>
      </x:c>
      <x:c r="AO149" s="246" t="n">
        <x:f>M149-$B$4*AF149</x:f>
        <x:v>1.6823305663682866</x:v>
      </x:c>
      <x:c r="AP149" s="246" t="n">
        <x:f>N149-$B$4*AG149</x:f>
        <x:v>-1.912380165254135</x:v>
      </x:c>
      <x:c r="AQ149" s="246" t="n">
        <x:f>O149-$B$4*AH149</x:f>
        <x:v>0.7762180354946002</x:v>
      </x:c>
      <x:c r="AR149" s="182" t="n">
        <x:f>IF(U149&gt;=$B$5,1,0)</x:f>
        <x:v>0</x:v>
      </x:c>
      <x:c r="AS149" s="182" t="n">
        <x:f>IF(AR149=F149,1,0)</x:f>
        <x:v>1</x:v>
      </x:c>
      <x:c r="AT149" s="252" t="n">
        <x:f>ABS(F149-U149)</x:f>
        <x:v>0.4471118769711573</x:v>
      </x:c>
    </x:row>
    <x:row r="150">
      <x:c r="A150" s="114" t="n">
        <x:v>134</x:v>
      </x:c>
      <x:c r="B150" s="114" t="n">
        <x:v>34</x:v>
      </x:c>
      <x:c r="C150" s="114" t="n">
        <x:v>2</x:v>
      </x:c>
      <x:c r="D150" s="168" t="n">
        <x:f>$I$6</x:f>
        <x:v>0</x:v>
      </x:c>
      <x:c r="E150" s="168" t="n">
        <x:f>$J$6</x:f>
        <x:v>1</x:v>
      </x:c>
      <x:c r="F150" s="168" t="n">
        <x:f>$K$6</x:f>
        <x:v>1</x:v>
      </x:c>
      <x:c r="G150" s="242" t="n">
        <x:f>AI149</x:f>
        <x:v>1.4466500982335937</x:v>
      </x:c>
      <x:c r="H150" s="242" t="n">
        <x:f>AJ149</x:f>
        <x:v>-1.8562605597728015</x:v>
      </x:c>
      <x:c r="I150" s="242" t="n">
        <x:f>AK149</x:f>
        <x:v>-1.3121294593284578</x:v>
      </x:c>
      <x:c r="J150" s="242" t="n">
        <x:f>AL149</x:f>
        <x:v>1.4051102812018157</x:v>
      </x:c>
      <x:c r="K150" s="242" t="n">
        <x:f>AM149</x:f>
        <x:v>-1.7548911376393983</x:v>
      </x:c>
      <x:c r="L150" s="242" t="n">
        <x:f>AN149</x:f>
        <x:v>1.4583823722253053</x:v>
      </x:c>
      <x:c r="M150" s="242" t="n">
        <x:f>AO149</x:f>
        <x:v>1.6823305663682866</x:v>
      </x:c>
      <x:c r="N150" s="242" t="n">
        <x:f>AP149</x:f>
        <x:v>-1.912380165254135</x:v>
      </x:c>
      <x:c r="O150" s="242" t="n">
        <x:f>AQ149</x:f>
        <x:v>0.7762180354946002</x:v>
      </x:c>
      <x:c r="P150" s="243" t="n">
        <x:f>D150*G150+E150*H150+I150</x:f>
        <x:v>-3.1683900191012593</x:v>
      </x:c>
      <x:c r="Q150" s="243" t="n">
        <x:f>1/(1+EXP(-P150))</x:f>
        <x:v>0.040372744431659266</x:v>
      </x:c>
      <x:c r="R150" s="243" t="n">
        <x:f>D150*J150+E150*K150+L150</x:f>
        <x:v>-0.296508765414093</x:v>
      </x:c>
      <x:c r="S150" s="243" t="n">
        <x:f>1/(1+EXP(-R150))</x:f>
        <x:v>0.4264111655026864</x:v>
      </x:c>
      <x:c r="T150" s="243" t="n">
        <x:f>Q150*M150+S150*N150+O150</x:f>
        <x:v>0.028678082349919976</x:v>
      </x:c>
      <x:c r="U150" s="243" t="n">
        <x:f>1/(1+EXP(-T150))</x:f>
        <x:v>0.5071690292573823</x:v>
      </x:c>
      <x:c r="V150" s="243" t="n">
        <x:f>0.5*(F150-U150)^2</x:f>
        <x:v>0.12144118286155546</x:v>
      </x:c>
      <x:c r="W150" s="244" t="n">
        <x:f>(U150-F150)*U150*(1-U150)</x:f>
        <x:v>-0.12318241364752668</x:v>
      </x:c>
      <x:c r="X150" s="244" t="n">
        <x:f>W150*M150*Q150*(1-Q150)</x:f>
        <x:v>-0.008028804668626629</x:v>
      </x:c>
      <x:c r="Y150" s="244" t="n">
        <x:f>W150*N150*S150*(1-S150)</x:f>
        <x:v>0.05761720633000436</x:v>
      </x:c>
      <x:c r="Z150" s="245" t="n">
        <x:f>X150*D150</x:f>
        <x:v>0</x:v>
      </x:c>
      <x:c r="AA150" s="245" t="n">
        <x:f>X150*E150</x:f>
        <x:v>-0.008028804668626629</x:v>
      </x:c>
      <x:c r="AB150" s="245" t="n">
        <x:f>X150</x:f>
        <x:v>-0.008028804668626629</x:v>
      </x:c>
      <x:c r="AC150" s="245" t="n">
        <x:f>Y150*D150</x:f>
        <x:v>0</x:v>
      </x:c>
      <x:c r="AD150" s="245" t="n">
        <x:f>Y150*E150</x:f>
        <x:v>0.05761720633000436</x:v>
      </x:c>
      <x:c r="AE150" s="245" t="n">
        <x:f>Y150</x:f>
        <x:v>0.05761720633000436</x:v>
      </x:c>
      <x:c r="AF150" s="245" t="n">
        <x:f>W150*Q150</x:f>
        <x:v>-0.004973212104666531</x:v>
      </x:c>
      <x:c r="AG150" s="245" t="n">
        <x:f>W150*S150</x:f>
        <x:v>-0.05252635657287587</x:v>
      </x:c>
      <x:c r="AH150" s="245" t="n">
        <x:f>W150</x:f>
        <x:v>-0.12318241364752668</x:v>
      </x:c>
      <x:c r="AI150" s="246" t="n">
        <x:f>G150-$B$4*Z150</x:f>
        <x:v>1.4466500982335937</x:v>
      </x:c>
      <x:c r="AJ150" s="246" t="n">
        <x:f>H150-$B$4*AA150</x:f>
        <x:v>-1.848231755104175</x:v>
      </x:c>
      <x:c r="AK150" s="246" t="n">
        <x:f>I150-$B$4*AB150</x:f>
        <x:v>-1.3041006546598313</x:v>
      </x:c>
      <x:c r="AL150" s="246" t="n">
        <x:f>J150-$B$4*AC150</x:f>
        <x:v>1.4051102812018157</x:v>
      </x:c>
      <x:c r="AM150" s="246" t="n">
        <x:f>K150-$B$4*AD150</x:f>
        <x:v>-1.8125083439694027</x:v>
      </x:c>
      <x:c r="AN150" s="246" t="n">
        <x:f>L150-$B$4*AE150</x:f>
        <x:v>1.4007651658953009</x:v>
      </x:c>
      <x:c r="AO150" s="246" t="n">
        <x:f>M150-$B$4*AF150</x:f>
        <x:v>1.6873037784729532</x:v>
      </x:c>
      <x:c r="AP150" s="246" t="n">
        <x:f>N150-$B$4*AG150</x:f>
        <x:v>-1.859853808681259</x:v>
      </x:c>
      <x:c r="AQ150" s="246" t="n">
        <x:f>O150-$B$4*AH150</x:f>
        <x:v>0.8994004491421269</x:v>
      </x:c>
      <x:c r="AR150" s="182" t="n">
        <x:f>IF(U150&gt;=$B$5,1,0)</x:f>
        <x:v>1</x:v>
      </x:c>
      <x:c r="AS150" s="182" t="n">
        <x:f>IF(AR150=F150,1,0)</x:f>
        <x:v>1</x:v>
      </x:c>
      <x:c r="AT150" s="252" t="n">
        <x:f>ABS(F150-U150)</x:f>
        <x:v>0.4928309707426177</x:v>
      </x:c>
    </x:row>
    <x:row r="151">
      <x:c r="A151" s="114" t="n">
        <x:v>135</x:v>
      </x:c>
      <x:c r="B151" s="114" t="n">
        <x:v>34</x:v>
      </x:c>
      <x:c r="C151" s="114" t="n">
        <x:v>3</x:v>
      </x:c>
      <x:c r="D151" s="168" t="n">
        <x:f>$I$7</x:f>
        <x:v>1</x:v>
      </x:c>
      <x:c r="E151" s="168" t="n">
        <x:f>$J$7</x:f>
        <x:v>0</x:v>
      </x:c>
      <x:c r="F151" s="168" t="n">
        <x:f>$K$7</x:f>
        <x:v>1</x:v>
      </x:c>
      <x:c r="G151" s="242" t="n">
        <x:f>AI150</x:f>
        <x:v>1.4466500982335937</x:v>
      </x:c>
      <x:c r="H151" s="242" t="n">
        <x:f>AJ150</x:f>
        <x:v>-1.848231755104175</x:v>
      </x:c>
      <x:c r="I151" s="242" t="n">
        <x:f>AK150</x:f>
        <x:v>-1.3041006546598313</x:v>
      </x:c>
      <x:c r="J151" s="242" t="n">
        <x:f>AL150</x:f>
        <x:v>1.4051102812018157</x:v>
      </x:c>
      <x:c r="K151" s="242" t="n">
        <x:f>AM150</x:f>
        <x:v>-1.8125083439694027</x:v>
      </x:c>
      <x:c r="L151" s="242" t="n">
        <x:f>AN150</x:f>
        <x:v>1.4007651658953009</x:v>
      </x:c>
      <x:c r="M151" s="242" t="n">
        <x:f>AO150</x:f>
        <x:v>1.6873037784729532</x:v>
      </x:c>
      <x:c r="N151" s="242" t="n">
        <x:f>AP150</x:f>
        <x:v>-1.859853808681259</x:v>
      </x:c>
      <x:c r="O151" s="242" t="n">
        <x:f>AQ150</x:f>
        <x:v>0.8994004491421269</x:v>
      </x:c>
      <x:c r="P151" s="243" t="n">
        <x:f>D151*G151+E151*H151+I151</x:f>
        <x:v>0.14254944357376242</x:v>
      </x:c>
      <x:c r="Q151" s="243" t="n">
        <x:f>1/(1+EXP(-P151))</x:f>
        <x:v>0.535577136316581</x:v>
      </x:c>
      <x:c r="R151" s="243" t="n">
        <x:f>D151*J151+E151*K151+L151</x:f>
        <x:v>2.8058754470971166</x:v>
      </x:c>
      <x:c r="S151" s="243" t="n">
        <x:f>1/(1+EXP(-R151))</x:f>
        <x:v>0.9429924976326132</x:v>
      </x:c>
      <x:c r="T151" s="243" t="n">
        <x:f>Q151*M151+S151*N151+O151</x:f>
        <x:v>0.04925358663294921</x:v>
      </x:c>
      <x:c r="U151" s="243" t="n">
        <x:f>1/(1+EXP(-T151))</x:f>
        <x:v>0.5123109079900107</x:v>
      </x:c>
      <x:c r="V151" s="243" t="n">
        <x:f>0.5*(F151-U151)^2</x:f>
        <x:v>0.11892032523276393</x:v>
      </x:c>
      <x:c r="W151" s="244" t="n">
        <x:f>(U151-F151)*U151*(1-U151)</x:f>
        <x:v>-0.12184835959692931</x:v>
      </x:c>
      <x:c r="X151" s="244" t="n">
        <x:f>W151*M151*Q151*(1-Q151)</x:f>
        <x:v>-0.051138570837359634</x:v>
      </x:c>
      <x:c r="Y151" s="244" t="n">
        <x:f>W151*N151*S151*(1-S151)</x:f>
        <x:v>0.012182565266206436</x:v>
      </x:c>
      <x:c r="Z151" s="245" t="n">
        <x:f>X151*D151</x:f>
        <x:v>-0.051138570837359634</x:v>
      </x:c>
      <x:c r="AA151" s="245" t="n">
        <x:f>X151*E151</x:f>
        <x:v>0</x:v>
      </x:c>
      <x:c r="AB151" s="245" t="n">
        <x:f>X151</x:f>
        <x:v>-0.051138570837359634</x:v>
      </x:c>
      <x:c r="AC151" s="245" t="n">
        <x:f>Y151*D151</x:f>
        <x:v>0.012182565266206436</x:v>
      </x:c>
      <x:c r="AD151" s="245" t="n">
        <x:f>Y151*E151</x:f>
        <x:v>0</x:v>
      </x:c>
      <x:c r="AE151" s="245" t="n">
        <x:f>Y151</x:f>
        <x:v>0.012182565266206436</x:v>
      </x:c>
      <x:c r="AF151" s="245" t="n">
        <x:f>W151*Q151</x:f>
        <x:v>-0.0652591954977964</x:v>
      </x:c>
      <x:c r="AG151" s="245" t="n">
        <x:f>W151*S151</x:f>
        <x:v>-0.11490208894874517</x:v>
      </x:c>
      <x:c r="AH151" s="245" t="n">
        <x:f>W151</x:f>
        <x:v>-0.12184835959692931</x:v>
      </x:c>
      <x:c r="AI151" s="246" t="n">
        <x:f>G151-$B$4*Z151</x:f>
        <x:v>1.4977886690709534</x:v>
      </x:c>
      <x:c r="AJ151" s="246" t="n">
        <x:f>H151-$B$4*AA151</x:f>
        <x:v>-1.848231755104175</x:v>
      </x:c>
      <x:c r="AK151" s="246" t="n">
        <x:f>I151-$B$4*AB151</x:f>
        <x:v>-1.2529620838224715</x:v>
      </x:c>
      <x:c r="AL151" s="246" t="n">
        <x:f>J151-$B$4*AC151</x:f>
        <x:v>1.3929277159356093</x:v>
      </x:c>
      <x:c r="AM151" s="246" t="n">
        <x:f>K151-$B$4*AD151</x:f>
        <x:v>-1.8125083439694027</x:v>
      </x:c>
      <x:c r="AN151" s="246" t="n">
        <x:f>L151-$B$4*AE151</x:f>
        <x:v>1.3885826006290944</x:v>
      </x:c>
      <x:c r="AO151" s="246" t="n">
        <x:f>M151-$B$4*AF151</x:f>
        <x:v>1.7525629739707496</x:v>
      </x:c>
      <x:c r="AP151" s="246" t="n">
        <x:f>N151-$B$4*AG151</x:f>
        <x:v>-1.744951719732514</x:v>
      </x:c>
      <x:c r="AQ151" s="246" t="n">
        <x:f>O151-$B$4*AH151</x:f>
        <x:v>1.0212488087390563</x:v>
      </x:c>
      <x:c r="AR151" s="182" t="n">
        <x:f>IF(U151&gt;=$B$5,1,0)</x:f>
        <x:v>1</x:v>
      </x:c>
      <x:c r="AS151" s="182" t="n">
        <x:f>IF(AR151=F151,1,0)</x:f>
        <x:v>1</x:v>
      </x:c>
      <x:c r="AT151" s="252" t="n">
        <x:f>ABS(F151-U151)</x:f>
        <x:v>0.48768909200998933</x:v>
      </x:c>
    </x:row>
    <x:row r="152">
      <x:c r="A152" s="114" t="n">
        <x:v>136</x:v>
      </x:c>
      <x:c r="B152" s="114" t="n">
        <x:v>34</x:v>
      </x:c>
      <x:c r="C152" s="114" t="n">
        <x:v>4</x:v>
      </x:c>
      <x:c r="D152" s="168" t="n">
        <x:f>$I$8</x:f>
        <x:v>1</x:v>
      </x:c>
      <x:c r="E152" s="168" t="n">
        <x:f>$J$8</x:f>
        <x:v>1</x:v>
      </x:c>
      <x:c r="F152" s="168" t="n">
        <x:f>$K$8</x:f>
        <x:v>0</x:v>
      </x:c>
      <x:c r="G152" s="242" t="n">
        <x:f>AI151</x:f>
        <x:v>1.4977886690709534</x:v>
      </x:c>
      <x:c r="H152" s="242" t="n">
        <x:f>AJ151</x:f>
        <x:v>-1.848231755104175</x:v>
      </x:c>
      <x:c r="I152" s="242" t="n">
        <x:f>AK151</x:f>
        <x:v>-1.2529620838224715</x:v>
      </x:c>
      <x:c r="J152" s="242" t="n">
        <x:f>AL151</x:f>
        <x:v>1.3929277159356093</x:v>
      </x:c>
      <x:c r="K152" s="242" t="n">
        <x:f>AM151</x:f>
        <x:v>-1.8125083439694027</x:v>
      </x:c>
      <x:c r="L152" s="242" t="n">
        <x:f>AN151</x:f>
        <x:v>1.3885826006290944</x:v>
      </x:c>
      <x:c r="M152" s="242" t="n">
        <x:f>AO151</x:f>
        <x:v>1.7525629739707496</x:v>
      </x:c>
      <x:c r="N152" s="242" t="n">
        <x:f>AP151</x:f>
        <x:v>-1.744951719732514</x:v>
      </x:c>
      <x:c r="O152" s="242" t="n">
        <x:f>AQ151</x:f>
        <x:v>1.0212488087390563</x:v>
      </x:c>
      <x:c r="P152" s="243" t="n">
        <x:f>D152*G152+E152*H152+I152</x:f>
        <x:v>-1.603405169855693</x:v>
      </x:c>
      <x:c r="Q152" s="243" t="n">
        <x:f>1/(1+EXP(-P152))</x:f>
        <x:v>0.16750623333059161</x:v>
      </x:c>
      <x:c r="R152" s="243" t="n">
        <x:f>D152*J152+E152*K152+L152</x:f>
        <x:v>0.969001972595301</x:v>
      </x:c>
      <x:c r="S152" s="243" t="n">
        <x:f>1/(1+EXP(-R152))</x:f>
        <x:v>0.7249205250704286</x:v>
      </x:c>
      <x:c r="T152" s="243" t="n">
        <x:f>Q152*M152+S152*N152+O152</x:f>
        <x:v>0.04986271429251499</x:v>
      </x:c>
      <x:c r="U152" s="243" t="n">
        <x:f>1/(1+EXP(-T152))</x:f>
        <x:v>0.512463096440501</x:v>
      </x:c>
      <x:c r="V152" s="243" t="n">
        <x:f>0.5*(F152-U152)^2</x:f>
        <x:v>0.13130921260669312</x:v>
      </x:c>
      <x:c r="W152" s="244" t="n">
        <x:f>(U152-F152)*U152*(1-U152)</x:f>
        <x:v>0.1280361738462062</x:v>
      </x:c>
      <x:c r="X152" s="244" t="n">
        <x:f>W152*M152*Q152*(1-Q152)</x:f>
        <x:v>0.03129091644821015</x:v>
      </x:c>
      <x:c r="Y152" s="244" t="n">
        <x:f>W152*N152*S152*(1-S152)</x:f>
        <x:v>-0.044551741569002636</x:v>
      </x:c>
      <x:c r="Z152" s="245" t="n">
        <x:f>X152*D152</x:f>
        <x:v>0.03129091644821015</x:v>
      </x:c>
      <x:c r="AA152" s="245" t="n">
        <x:f>X152*E152</x:f>
        <x:v>0.03129091644821015</x:v>
      </x:c>
      <x:c r="AB152" s="245" t="n">
        <x:f>X152</x:f>
        <x:v>0.03129091644821015</x:v>
      </x:c>
      <x:c r="AC152" s="245" t="n">
        <x:f>Y152*D152</x:f>
        <x:v>-0.044551741569002636</x:v>
      </x:c>
      <x:c r="AD152" s="245" t="n">
        <x:f>Y152*E152</x:f>
        <x:v>-0.044551741569002636</x:v>
      </x:c>
      <x:c r="AE152" s="245" t="n">
        <x:f>Y152</x:f>
        <x:v>-0.044551741569002636</x:v>
      </x:c>
      <x:c r="AF152" s="245" t="n">
        <x:f>W152*Q152</x:f>
        <x:v>0.021446857211038804</x:v>
      </x:c>
      <x:c r="AG152" s="245" t="n">
        <x:f>W152*S152</x:f>
        <x:v>0.09281605037260048</x:v>
      </x:c>
      <x:c r="AH152" s="245" t="n">
        <x:f>W152</x:f>
        <x:v>0.1280361738462062</x:v>
      </x:c>
      <x:c r="AI152" s="246" t="n">
        <x:f>G152-$B$4*Z152</x:f>
        <x:v>1.4664977526227432</x:v>
      </x:c>
      <x:c r="AJ152" s="246" t="n">
        <x:f>H152-$B$4*AA152</x:f>
        <x:v>-1.8795226715523852</x:v>
      </x:c>
      <x:c r="AK152" s="246" t="n">
        <x:f>I152-$B$4*AB152</x:f>
        <x:v>-1.2842530002706818</x:v>
      </x:c>
      <x:c r="AL152" s="246" t="n">
        <x:f>J152-$B$4*AC152</x:f>
        <x:v>1.437479457504612</x:v>
      </x:c>
      <x:c r="AM152" s="246" t="n">
        <x:f>K152-$B$4*AD152</x:f>
        <x:v>-1.7679566024004</x:v>
      </x:c>
      <x:c r="AN152" s="246" t="n">
        <x:f>L152-$B$4*AE152</x:f>
        <x:v>1.433134342198097</x:v>
      </x:c>
      <x:c r="AO152" s="246" t="n">
        <x:f>M152-$B$4*AF152</x:f>
        <x:v>1.7311161167597107</x:v>
      </x:c>
      <x:c r="AP152" s="246" t="n">
        <x:f>N152-$B$4*AG152</x:f>
        <x:v>-1.8377677701051145</x:v>
      </x:c>
      <x:c r="AQ152" s="246" t="n">
        <x:f>O152-$B$4*AH152</x:f>
        <x:v>0.8932126348928502</x:v>
      </x:c>
      <x:c r="AR152" s="182" t="n">
        <x:f>IF(U152&gt;=$B$5,1,0)</x:f>
        <x:v>1</x:v>
      </x:c>
      <x:c r="AS152" s="182" t="n">
        <x:f>IF(AR152=F152,1,0)</x:f>
        <x:v>0</x:v>
      </x:c>
      <x:c r="AT152" s="252" t="n">
        <x:f>ABS(F152-U152)</x:f>
        <x:v>0.512463096440501</x:v>
      </x:c>
    </x:row>
    <x:row r="153">
      <x:c r="A153" s="114" t="n">
        <x:v>137</x:v>
      </x:c>
      <x:c r="B153" s="114" t="n">
        <x:v>35</x:v>
      </x:c>
      <x:c r="C153" s="114" t="n">
        <x:v>1</x:v>
      </x:c>
      <x:c r="D153" s="168" t="n">
        <x:f>$I$5</x:f>
        <x:v>0</x:v>
      </x:c>
      <x:c r="E153" s="168" t="n">
        <x:f>$J$5</x:f>
        <x:v>0</x:v>
      </x:c>
      <x:c r="F153" s="168" t="n">
        <x:f>$K$5</x:f>
        <x:v>0</x:v>
      </x:c>
      <x:c r="G153" s="242" t="n">
        <x:f>AI152</x:f>
        <x:v>1.4664977526227432</x:v>
      </x:c>
      <x:c r="H153" s="242" t="n">
        <x:f>AJ152</x:f>
        <x:v>-1.8795226715523852</x:v>
      </x:c>
      <x:c r="I153" s="242" t="n">
        <x:f>AK152</x:f>
        <x:v>-1.2842530002706818</x:v>
      </x:c>
      <x:c r="J153" s="242" t="n">
        <x:f>AL152</x:f>
        <x:v>1.437479457504612</x:v>
      </x:c>
      <x:c r="K153" s="242" t="n">
        <x:f>AM152</x:f>
        <x:v>-1.7679566024004</x:v>
      </x:c>
      <x:c r="L153" s="242" t="n">
        <x:f>AN152</x:f>
        <x:v>1.433134342198097</x:v>
      </x:c>
      <x:c r="M153" s="242" t="n">
        <x:f>AO152</x:f>
        <x:v>1.7311161167597107</x:v>
      </x:c>
      <x:c r="N153" s="242" t="n">
        <x:f>AP152</x:f>
        <x:v>-1.8377677701051145</x:v>
      </x:c>
      <x:c r="O153" s="242" t="n">
        <x:f>AQ152</x:f>
        <x:v>0.8932126348928502</x:v>
      </x:c>
      <x:c r="P153" s="243" t="n">
        <x:f>D153*G153+E153*H153+I153</x:f>
        <x:v>-1.2842530002706818</x:v>
      </x:c>
      <x:c r="Q153" s="243" t="n">
        <x:f>1/(1+EXP(-P153))</x:f>
        <x:v>0.21682713854061678</x:v>
      </x:c>
      <x:c r="R153" s="243" t="n">
        <x:f>D153*J153+E153*K153+L153</x:f>
        <x:v>1.433134342198097</x:v>
      </x:c>
      <x:c r="S153" s="243" t="n">
        <x:f>1/(1+EXP(-R153))</x:f>
        <x:v>0.8073892128602841</x:v>
      </x:c>
      <x:c r="T153" s="243" t="n">
        <x:f>Q153*M153+S153*N153+O153</x:f>
        <x:v>-0.2152282843537654</x:v>
      </x:c>
      <x:c r="U153" s="243" t="n">
        <x:f>1/(1+EXP(-T153))</x:f>
        <x:v>0.44639968092999904</x:v>
      </x:c>
      <x:c r="V153" s="243" t="n">
        <x:f>0.5*(F153-U153)^2</x:f>
        <x:v>0.09963633756720247</x:v>
      </x:c>
      <x:c r="W153" s="244" t="n">
        <x:f>(U153-F153)*U153*(1-U153)</x:f>
        <x:v>0.11031741653633922</x:v>
      </x:c>
      <x:c r="X153" s="244" t="n">
        <x:f>W153*M153*Q153*(1-Q153)</x:f>
        <x:v>0.032429596929278603</x:v>
      </x:c>
      <x:c r="Y153" s="244" t="n">
        <x:f>W153*N153*S153*(1-S153)</x:f>
        <x:v>-0.03152813361401637</x:v>
      </x:c>
      <x:c r="Z153" s="245" t="n">
        <x:f>X153*D153</x:f>
        <x:v>0</x:v>
      </x:c>
      <x:c r="AA153" s="245" t="n">
        <x:f>X153*E153</x:f>
        <x:v>0</x:v>
      </x:c>
      <x:c r="AB153" s="245" t="n">
        <x:f>X153</x:f>
        <x:v>0.032429596929278603</x:v>
      </x:c>
      <x:c r="AC153" s="245" t="n">
        <x:f>Y153*D153</x:f>
        <x:v>0</x:v>
      </x:c>
      <x:c r="AD153" s="245" t="n">
        <x:f>Y153*E153</x:f>
        <x:v>0</x:v>
      </x:c>
      <x:c r="AE153" s="245" t="n">
        <x:f>Y153</x:f>
        <x:v>-0.03152813361401637</x:v>
      </x:c>
      <x:c r="AF153" s="245" t="n">
        <x:f>W153*Q153</x:f>
        <x:v>0.023919809758767754</x:v>
      </x:c>
      <x:c r="AG153" s="245" t="n">
        <x:f>W153*S153</x:f>
        <x:v>0.08906909210205502</x:v>
      </x:c>
      <x:c r="AH153" s="245" t="n">
        <x:f>W153</x:f>
        <x:v>0.11031741653633922</x:v>
      </x:c>
      <x:c r="AI153" s="246" t="n">
        <x:f>G153-$B$4*Z153</x:f>
        <x:v>1.4664977526227432</x:v>
      </x:c>
      <x:c r="AJ153" s="246" t="n">
        <x:f>H153-$B$4*AA153</x:f>
        <x:v>-1.8795226715523852</x:v>
      </x:c>
      <x:c r="AK153" s="246" t="n">
        <x:f>I153-$B$4*AB153</x:f>
        <x:v>-1.3166825971999603</x:v>
      </x:c>
      <x:c r="AL153" s="246" t="n">
        <x:f>J153-$B$4*AC153</x:f>
        <x:v>1.437479457504612</x:v>
      </x:c>
      <x:c r="AM153" s="246" t="n">
        <x:f>K153-$B$4*AD153</x:f>
        <x:v>-1.7679566024004</x:v>
      </x:c>
      <x:c r="AN153" s="246" t="n">
        <x:f>L153-$B$4*AE153</x:f>
        <x:v>1.4646624758121134</x:v>
      </x:c>
      <x:c r="AO153" s="246" t="n">
        <x:f>M153-$B$4*AF153</x:f>
        <x:v>1.7071963070009428</x:v>
      </x:c>
      <x:c r="AP153" s="246" t="n">
        <x:f>N153-$B$4*AG153</x:f>
        <x:v>-1.9268368622071694</x:v>
      </x:c>
      <x:c r="AQ153" s="246" t="n">
        <x:f>O153-$B$4*AH153</x:f>
        <x:v>0.782895218356511</x:v>
      </x:c>
      <x:c r="AR153" s="182" t="n">
        <x:f>IF(U153&gt;=$B$5,1,0)</x:f>
        <x:v>0</x:v>
      </x:c>
      <x:c r="AS153" s="182" t="n">
        <x:f>IF(AR153=F153,1,0)</x:f>
        <x:v>1</x:v>
      </x:c>
      <x:c r="AT153" s="252" t="n">
        <x:f>ABS(F153-U153)</x:f>
        <x:v>0.44639968092999904</x:v>
      </x:c>
    </x:row>
    <x:row r="154">
      <x:c r="A154" s="114" t="n">
        <x:v>138</x:v>
      </x:c>
      <x:c r="B154" s="114" t="n">
        <x:v>35</x:v>
      </x:c>
      <x:c r="C154" s="114" t="n">
        <x:v>2</x:v>
      </x:c>
      <x:c r="D154" s="168" t="n">
        <x:f>$I$6</x:f>
        <x:v>0</x:v>
      </x:c>
      <x:c r="E154" s="168" t="n">
        <x:f>$J$6</x:f>
        <x:v>1</x:v>
      </x:c>
      <x:c r="F154" s="168" t="n">
        <x:f>$K$6</x:f>
        <x:v>1</x:v>
      </x:c>
      <x:c r="G154" s="242" t="n">
        <x:f>AI153</x:f>
        <x:v>1.4664977526227432</x:v>
      </x:c>
      <x:c r="H154" s="242" t="n">
        <x:f>AJ153</x:f>
        <x:v>-1.8795226715523852</x:v>
      </x:c>
      <x:c r="I154" s="242" t="n">
        <x:f>AK153</x:f>
        <x:v>-1.3166825971999603</x:v>
      </x:c>
      <x:c r="J154" s="242" t="n">
        <x:f>AL153</x:f>
        <x:v>1.437479457504612</x:v>
      </x:c>
      <x:c r="K154" s="242" t="n">
        <x:f>AM153</x:f>
        <x:v>-1.7679566024004</x:v>
      </x:c>
      <x:c r="L154" s="242" t="n">
        <x:f>AN153</x:f>
        <x:v>1.4646624758121134</x:v>
      </x:c>
      <x:c r="M154" s="242" t="n">
        <x:f>AO153</x:f>
        <x:v>1.7071963070009428</x:v>
      </x:c>
      <x:c r="N154" s="242" t="n">
        <x:f>AP153</x:f>
        <x:v>-1.9268368622071694</x:v>
      </x:c>
      <x:c r="O154" s="242" t="n">
        <x:f>AQ153</x:f>
        <x:v>0.782895218356511</x:v>
      </x:c>
      <x:c r="P154" s="243" t="n">
        <x:f>D154*G154+E154*H154+I154</x:f>
        <x:v>-3.1962052687523457</x:v>
      </x:c>
      <x:c r="Q154" s="243" t="n">
        <x:f>1/(1+EXP(-P154))</x:f>
        <x:v>0.03930877523650078</x:v>
      </x:c>
      <x:c r="R154" s="243" t="n">
        <x:f>D154*J154+E154*K154+L154</x:f>
        <x:v>-0.3032941265882867</x:v>
      </x:c>
      <x:c r="S154" s="243" t="n">
        <x:f>1/(1+EXP(-R154))</x:f>
        <x:v>0.42475240471590087</x:v>
      </x:c>
      <x:c r="T154" s="243" t="n">
        <x:f>Q154*M154+S154*N154+O154</x:f>
        <x:v>0.03157442355525908</x:v>
      </x:c>
      <x:c r="U154" s="243" t="n">
        <x:f>1/(1+EXP(-T154))</x:f>
        <x:v>0.5078929501637878</x:v>
      </x:c>
      <x:c r="V154" s="243" t="n">
        <x:f>0.5*(F154-U154)^2</x:f>
        <x:v>0.12108467424925014</x:v>
      </x:c>
      <x:c r="W154" s="244" t="n">
        <x:f>(U154-F154)*U154*(1-U154)</x:f>
        <x:v>-0.12299610484814574</x:v>
      </x:c>
      <x:c r="X154" s="244" t="n">
        <x:f>W154*M154*Q154*(1-Q154)</x:f>
        <x:v>-0.007929542970036696</x:v>
      </x:c>
      <x:c r="Y154" s="244" t="n">
        <x:f>W154*N154*S154*(1-S154)</x:f>
        <x:v>0.05790645284891776</x:v>
      </x:c>
      <x:c r="Z154" s="245" t="n">
        <x:f>X154*D154</x:f>
        <x:v>0</x:v>
      </x:c>
      <x:c r="AA154" s="245" t="n">
        <x:f>X154*E154</x:f>
        <x:v>-0.007929542970036696</x:v>
      </x:c>
      <x:c r="AB154" s="245" t="n">
        <x:f>X154</x:f>
        <x:v>-0.007929542970036696</x:v>
      </x:c>
      <x:c r="AC154" s="245" t="n">
        <x:f>Y154*D154</x:f>
        <x:v>0</x:v>
      </x:c>
      <x:c r="AD154" s="245" t="n">
        <x:f>Y154*E154</x:f>
        <x:v>0.05790645284891776</x:v>
      </x:c>
      <x:c r="AE154" s="245" t="n">
        <x:f>Y154</x:f>
        <x:v>0.05790645284891776</x:v>
      </x:c>
      <x:c r="AF154" s="245" t="n">
        <x:f>W154*Q154</x:f>
        <x:v>-0.004834826240440845</x:v>
      </x:c>
      <x:c r="AG154" s="245" t="n">
        <x:f>W154*S154</x:f>
        <x:v>-0.052242891304938976</x:v>
      </x:c>
      <x:c r="AH154" s="245" t="n">
        <x:f>W154</x:f>
        <x:v>-0.12299610484814574</x:v>
      </x:c>
      <x:c r="AI154" s="246" t="n">
        <x:f>G154-$B$4*Z154</x:f>
        <x:v>1.4664977526227432</x:v>
      </x:c>
      <x:c r="AJ154" s="246" t="n">
        <x:f>H154-$B$4*AA154</x:f>
        <x:v>-1.8715931285823484</x:v>
      </x:c>
      <x:c r="AK154" s="246" t="n">
        <x:f>I154-$B$4*AB154</x:f>
        <x:v>-1.3087530542299235</x:v>
      </x:c>
      <x:c r="AL154" s="246" t="n">
        <x:f>J154-$B$4*AC154</x:f>
        <x:v>1.437479457504612</x:v>
      </x:c>
      <x:c r="AM154" s="246" t="n">
        <x:f>K154-$B$4*AD154</x:f>
        <x:v>-1.8258630552493178</x:v>
      </x:c>
      <x:c r="AN154" s="246" t="n">
        <x:f>L154-$B$4*AE154</x:f>
        <x:v>1.4067560229631957</x:v>
      </x:c>
      <x:c r="AO154" s="246" t="n">
        <x:f>M154-$B$4*AF154</x:f>
        <x:v>1.7120311332413836</x:v>
      </x:c>
      <x:c r="AP154" s="246" t="n">
        <x:f>N154-$B$4*AG154</x:f>
        <x:v>-1.8745939709022306</x:v>
      </x:c>
      <x:c r="AQ154" s="246" t="n">
        <x:f>O154-$B$4*AH154</x:f>
        <x:v>0.9058913232046567</x:v>
      </x:c>
      <x:c r="AR154" s="182" t="n">
        <x:f>IF(U154&gt;=$B$5,1,0)</x:f>
        <x:v>1</x:v>
      </x:c>
      <x:c r="AS154" s="182" t="n">
        <x:f>IF(AR154=F154,1,0)</x:f>
        <x:v>1</x:v>
      </x:c>
      <x:c r="AT154" s="252" t="n">
        <x:f>ABS(F154-U154)</x:f>
        <x:v>0.49210704983621223</x:v>
      </x:c>
    </x:row>
    <x:row r="155">
      <x:c r="A155" s="114" t="n">
        <x:v>139</x:v>
      </x:c>
      <x:c r="B155" s="114" t="n">
        <x:v>35</x:v>
      </x:c>
      <x:c r="C155" s="114" t="n">
        <x:v>3</x:v>
      </x:c>
      <x:c r="D155" s="168" t="n">
        <x:f>$I$7</x:f>
        <x:v>1</x:v>
      </x:c>
      <x:c r="E155" s="168" t="n">
        <x:f>$J$7</x:f>
        <x:v>0</x:v>
      </x:c>
      <x:c r="F155" s="168" t="n">
        <x:f>$K$7</x:f>
        <x:v>1</x:v>
      </x:c>
      <x:c r="G155" s="242" t="n">
        <x:f>AI154</x:f>
        <x:v>1.4664977526227432</x:v>
      </x:c>
      <x:c r="H155" s="242" t="n">
        <x:f>AJ154</x:f>
        <x:v>-1.8715931285823484</x:v>
      </x:c>
      <x:c r="I155" s="242" t="n">
        <x:f>AK154</x:f>
        <x:v>-1.3087530542299235</x:v>
      </x:c>
      <x:c r="J155" s="242" t="n">
        <x:f>AL154</x:f>
        <x:v>1.437479457504612</x:v>
      </x:c>
      <x:c r="K155" s="242" t="n">
        <x:f>AM154</x:f>
        <x:v>-1.8258630552493178</x:v>
      </x:c>
      <x:c r="L155" s="242" t="n">
        <x:f>AN154</x:f>
        <x:v>1.4067560229631957</x:v>
      </x:c>
      <x:c r="M155" s="242" t="n">
        <x:f>AO154</x:f>
        <x:v>1.7120311332413836</x:v>
      </x:c>
      <x:c r="N155" s="242" t="n">
        <x:f>AP154</x:f>
        <x:v>-1.8745939709022306</x:v>
      </x:c>
      <x:c r="O155" s="242" t="n">
        <x:f>AQ154</x:f>
        <x:v>0.9058913232046567</x:v>
      </x:c>
      <x:c r="P155" s="243" t="n">
        <x:f>D155*G155+E155*H155+I155</x:f>
        <x:v>0.15774469839281968</x:v>
      </x:c>
      <x:c r="Q155" s="243" t="n">
        <x:f>1/(1+EXP(-P155))</x:f>
        <x:v>0.5393546020966006</x:v>
      </x:c>
      <x:c r="R155" s="243" t="n">
        <x:f>D155*J155+E155*K155+L155</x:f>
        <x:v>2.8442354804678076</x:v>
      </x:c>
      <x:c r="S155" s="243" t="n">
        <x:f>1/(1+EXP(-R155))</x:f>
        <x:v>0.9450199413877788</x:v>
      </x:c>
      <x:c r="T155" s="243" t="n">
        <x:f>Q155*M155+S155*N155+O155</x:f>
        <x:v>0.057754509343145854</x:v>
      </x:c>
      <x:c r="U155" s="243" t="n">
        <x:f>1/(1+EXP(-T155))</x:f>
        <x:v>0.5144346152369726</x:v>
      </x:c>
      <x:c r="V155" s="243" t="n">
        <x:f>0.5*(F155-U155)^2</x:f>
        <x:v>0.1178868714400334</x:v>
      </x:c>
      <x:c r="W155" s="244" t="n">
        <x:f>(U155-F155)*U155*(1-U155)</x:f>
        <x:v>-0.12129017470148808</x:v>
      </x:c>
      <x:c r="X155" s="244" t="n">
        <x:f>W155*M155*Q155*(1-Q155)</x:f>
        <x:v>-0.05159152970954513</x:v>
      </x:c>
      <x:c r="Y155" s="244" t="n">
        <x:f>W155*N155*S155*(1-S155)</x:f>
        <x:v>0.011813511513274486</x:v>
      </x:c>
      <x:c r="Z155" s="245" t="n">
        <x:f>X155*D155</x:f>
        <x:v>-0.05159152970954513</x:v>
      </x:c>
      <x:c r="AA155" s="245" t="n">
        <x:f>X155*E155</x:f>
        <x:v>0</x:v>
      </x:c>
      <x:c r="AB155" s="245" t="n">
        <x:f>X155</x:f>
        <x:v>-0.05159152970954513</x:v>
      </x:c>
      <x:c r="AC155" s="245" t="n">
        <x:f>Y155*D155</x:f>
        <x:v>0.011813511513274486</x:v>
      </x:c>
      <x:c r="AD155" s="245" t="n">
        <x:f>Y155*E155</x:f>
        <x:v>0</x:v>
      </x:c>
      <x:c r="AE155" s="245" t="n">
        <x:f>Y155</x:f>
        <x:v>0.011813511513274486</x:v>
      </x:c>
      <x:c r="AF155" s="245" t="n">
        <x:f>W155*Q155</x:f>
        <x:v>-0.06541841391434827</x:v>
      </x:c>
      <x:c r="AG155" s="245" t="n">
        <x:f>W155*S155</x:f>
        <x:v>-0.11462163378731371</x:v>
      </x:c>
      <x:c r="AH155" s="245" t="n">
        <x:f>W155</x:f>
        <x:v>-0.12129017470148808</x:v>
      </x:c>
      <x:c r="AI155" s="246" t="n">
        <x:f>G155-$B$4*Z155</x:f>
        <x:v>1.5180892823322882</x:v>
      </x:c>
      <x:c r="AJ155" s="246" t="n">
        <x:f>H155-$B$4*AA155</x:f>
        <x:v>-1.8715931285823484</x:v>
      </x:c>
      <x:c r="AK155" s="246" t="n">
        <x:f>I155-$B$4*AB155</x:f>
        <x:v>-1.2571615245203784</x:v>
      </x:c>
      <x:c r="AL155" s="246" t="n">
        <x:f>J155-$B$4*AC155</x:f>
        <x:v>1.4256659459913374</x:v>
      </x:c>
      <x:c r="AM155" s="246" t="n">
        <x:f>K155-$B$4*AD155</x:f>
        <x:v>-1.8258630552493178</x:v>
      </x:c>
      <x:c r="AN155" s="246" t="n">
        <x:f>L155-$B$4*AE155</x:f>
        <x:v>1.3949425114499212</x:v>
      </x:c>
      <x:c r="AO155" s="246" t="n">
        <x:f>M155-$B$4*AF155</x:f>
        <x:v>1.777449547155732</x:v>
      </x:c>
      <x:c r="AP155" s="246" t="n">
        <x:f>N155-$B$4*AG155</x:f>
        <x:v>-1.7599723371149167</x:v>
      </x:c>
      <x:c r="AQ155" s="246" t="n">
        <x:f>O155-$B$4*AH155</x:f>
        <x:v>1.0271814979061449</x:v>
      </x:c>
      <x:c r="AR155" s="182" t="n">
        <x:f>IF(U155&gt;=$B$5,1,0)</x:f>
        <x:v>1</x:v>
      </x:c>
      <x:c r="AS155" s="182" t="n">
        <x:f>IF(AR155=F155,1,0)</x:f>
        <x:v>1</x:v>
      </x:c>
      <x:c r="AT155" s="252" t="n">
        <x:f>ABS(F155-U155)</x:f>
        <x:v>0.48556538476302735</x:v>
      </x:c>
    </x:row>
    <x:row r="156">
      <x:c r="A156" s="114" t="n">
        <x:v>140</x:v>
      </x:c>
      <x:c r="B156" s="114" t="n">
        <x:v>35</x:v>
      </x:c>
      <x:c r="C156" s="114" t="n">
        <x:v>4</x:v>
      </x:c>
      <x:c r="D156" s="168" t="n">
        <x:f>$I$8</x:f>
        <x:v>1</x:v>
      </x:c>
      <x:c r="E156" s="168" t="n">
        <x:f>$J$8</x:f>
        <x:v>1</x:v>
      </x:c>
      <x:c r="F156" s="168" t="n">
        <x:f>$K$8</x:f>
        <x:v>0</x:v>
      </x:c>
      <x:c r="G156" s="242" t="n">
        <x:f>AI155</x:f>
        <x:v>1.5180892823322882</x:v>
      </x:c>
      <x:c r="H156" s="242" t="n">
        <x:f>AJ155</x:f>
        <x:v>-1.8715931285823484</x:v>
      </x:c>
      <x:c r="I156" s="242" t="n">
        <x:f>AK155</x:f>
        <x:v>-1.2571615245203784</x:v>
      </x:c>
      <x:c r="J156" s="242" t="n">
        <x:f>AL155</x:f>
        <x:v>1.4256659459913374</x:v>
      </x:c>
      <x:c r="K156" s="242" t="n">
        <x:f>AM155</x:f>
        <x:v>-1.8258630552493178</x:v>
      </x:c>
      <x:c r="L156" s="242" t="n">
        <x:f>AN155</x:f>
        <x:v>1.3949425114499212</x:v>
      </x:c>
      <x:c r="M156" s="242" t="n">
        <x:f>AO155</x:f>
        <x:v>1.777449547155732</x:v>
      </x:c>
      <x:c r="N156" s="242" t="n">
        <x:f>AP155</x:f>
        <x:v>-1.7599723371149167</x:v>
      </x:c>
      <x:c r="O156" s="242" t="n">
        <x:f>AQ155</x:f>
        <x:v>1.0271814979061449</x:v>
      </x:c>
      <x:c r="P156" s="243" t="n">
        <x:f>D156*G156+E156*H156+I156</x:f>
        <x:v>-1.6106653707704386</x:v>
      </x:c>
      <x:c r="Q156" s="243" t="n">
        <x:f>1/(1+EXP(-P156))</x:f>
        <x:v>0.16649625608753305</x:v>
      </x:c>
      <x:c r="R156" s="243" t="n">
        <x:f>D156*J156+E156*K156+L156</x:f>
        <x:v>0.9947454021919409</x:v>
      </x:c>
      <x:c r="S156" s="243" t="n">
        <x:f>1/(1+EXP(-R156))</x:f>
        <x:v>0.7300242085272102</x:v>
      </x:c>
      <x:c r="T156" s="243" t="n">
        <x:f>Q156*M156+S156*N156+O156</x:f>
        <x:v>0.0382977804599538</x:v>
      </x:c>
      <x:c r="U156" s="243" t="n">
        <x:f>1/(1+EXP(-T156))</x:f>
        <x:v>0.5095732750341041</x:v>
      </x:c>
      <x:c r="V156" s="243" t="n">
        <x:f>0.5*(F156-U156)^2</x:f>
        <x:v>0.12983246131449136</x:v>
      </x:c>
      <x:c r="W156" s="244" t="n">
        <x:f>(U156-F156)*U156*(1-U156)</x:f>
        <x:v>0.12734661759345475</x:v>
      </x:c>
      <x:c r="X156" s="244" t="n">
        <x:f>W156*M156*Q156*(1-Q156)</x:f>
        <x:v>0.031412082079250635</x:v>
      </x:c>
      <x:c r="Y156" s="244" t="n">
        <x:f>W156*N156*S156*(1-S156)</x:f>
        <x:v>-0.04417284193081921</x:v>
      </x:c>
      <x:c r="Z156" s="245" t="n">
        <x:f>X156*D156</x:f>
        <x:v>0.031412082079250635</x:v>
      </x:c>
      <x:c r="AA156" s="245" t="n">
        <x:f>X156*E156</x:f>
        <x:v>0.031412082079250635</x:v>
      </x:c>
      <x:c r="AB156" s="245" t="n">
        <x:f>X156</x:f>
        <x:v>0.031412082079250635</x:v>
      </x:c>
      <x:c r="AC156" s="245" t="n">
        <x:f>Y156*D156</x:f>
        <x:v>-0.04417284193081921</x:v>
      </x:c>
      <x:c r="AD156" s="245" t="n">
        <x:f>Y156*E156</x:f>
        <x:v>-0.04417284193081921</x:v>
      </x:c>
      <x:c r="AE156" s="245" t="n">
        <x:f>Y156</x:f>
        <x:v>-0.04417284193081921</x:v>
      </x:c>
      <x:c r="AF156" s="245" t="n">
        <x:f>W156*Q156</x:f>
        <x:v>0.021202735054720985</x:v>
      </x:c>
      <x:c r="AG156" s="245" t="n">
        <x:f>W156*S156</x:f>
        <x:v>0.0929661137172791</x:v>
      </x:c>
      <x:c r="AH156" s="245" t="n">
        <x:f>W156</x:f>
        <x:v>0.12734661759345475</x:v>
      </x:c>
      <x:c r="AI156" s="246" t="n">
        <x:f>G156-$B$4*Z156</x:f>
        <x:v>1.4866772002530375</x:v>
      </x:c>
      <x:c r="AJ156" s="246" t="n">
        <x:f>H156-$B$4*AA156</x:f>
        <x:v>-1.9030052106615991</x:v>
      </x:c>
      <x:c r="AK156" s="246" t="n">
        <x:f>I156-$B$4*AB156</x:f>
        <x:v>-1.2885736065996292</x:v>
      </x:c>
      <x:c r="AL156" s="246" t="n">
        <x:f>J156-$B$4*AC156</x:f>
        <x:v>1.4698387879221566</x:v>
      </x:c>
      <x:c r="AM156" s="246" t="n">
        <x:f>K156-$B$4*AD156</x:f>
        <x:v>-1.7816902133184986</x:v>
      </x:c>
      <x:c r="AN156" s="246" t="n">
        <x:f>L156-$B$4*AE156</x:f>
        <x:v>1.4391153533807404</x:v>
      </x:c>
      <x:c r="AO156" s="246" t="n">
        <x:f>M156-$B$4*AF156</x:f>
        <x:v>1.7562468121010109</x:v>
      </x:c>
      <x:c r="AP156" s="246" t="n">
        <x:f>N156-$B$4*AG156</x:f>
        <x:v>-1.8529384508321958</x:v>
      </x:c>
      <x:c r="AQ156" s="246" t="n">
        <x:f>O156-$B$4*AH156</x:f>
        <x:v>0.8998348803126901</x:v>
      </x:c>
      <x:c r="AR156" s="182" t="n">
        <x:f>IF(U156&gt;=$B$5,1,0)</x:f>
        <x:v>1</x:v>
      </x:c>
      <x:c r="AS156" s="182" t="n">
        <x:f>IF(AR156=F156,1,0)</x:f>
        <x:v>0</x:v>
      </x:c>
      <x:c r="AT156" s="252" t="n">
        <x:f>ABS(F156-U156)</x:f>
        <x:v>0.5095732750341041</x:v>
      </x:c>
    </x:row>
    <x:row r="157">
      <x:c r="A157" s="114" t="n">
        <x:v>141</x:v>
      </x:c>
      <x:c r="B157" s="114" t="n">
        <x:v>36</x:v>
      </x:c>
      <x:c r="C157" s="114" t="n">
        <x:v>1</x:v>
      </x:c>
      <x:c r="D157" s="168" t="n">
        <x:f>$I$5</x:f>
        <x:v>0</x:v>
      </x:c>
      <x:c r="E157" s="168" t="n">
        <x:f>$J$5</x:f>
        <x:v>0</x:v>
      </x:c>
      <x:c r="F157" s="168" t="n">
        <x:f>$K$5</x:f>
        <x:v>0</x:v>
      </x:c>
      <x:c r="G157" s="242" t="n">
        <x:f>AI156</x:f>
        <x:v>1.4866772002530375</x:v>
      </x:c>
      <x:c r="H157" s="242" t="n">
        <x:f>AJ156</x:f>
        <x:v>-1.9030052106615991</x:v>
      </x:c>
      <x:c r="I157" s="242" t="n">
        <x:f>AK156</x:f>
        <x:v>-1.2885736065996292</x:v>
      </x:c>
      <x:c r="J157" s="242" t="n">
        <x:f>AL156</x:f>
        <x:v>1.4698387879221566</x:v>
      </x:c>
      <x:c r="K157" s="242" t="n">
        <x:f>AM156</x:f>
        <x:v>-1.7816902133184986</x:v>
      </x:c>
      <x:c r="L157" s="242" t="n">
        <x:f>AN156</x:f>
        <x:v>1.4391153533807404</x:v>
      </x:c>
      <x:c r="M157" s="242" t="n">
        <x:f>AO156</x:f>
        <x:v>1.7562468121010109</x:v>
      </x:c>
      <x:c r="N157" s="242" t="n">
        <x:f>AP156</x:f>
        <x:v>-1.8529384508321958</x:v>
      </x:c>
      <x:c r="O157" s="242" t="n">
        <x:f>AQ156</x:f>
        <x:v>0.8998348803126901</x:v>
      </x:c>
      <x:c r="P157" s="243" t="n">
        <x:f>D157*G157+E157*H157+I157</x:f>
        <x:v>-1.2885736065996292</x:v>
      </x:c>
      <x:c r="Q157" s="243" t="n">
        <x:f>1/(1+EXP(-P157))</x:f>
        <x:v>0.216094340556612</x:v>
      </x:c>
      <x:c r="R157" s="243" t="n">
        <x:f>D157*J157+E157*K157+L157</x:f>
        <x:v>1.4391153533807404</x:v>
      </x:c>
      <x:c r="S157" s="243" t="n">
        <x:f>1/(1+EXP(-R157))</x:f>
        <x:v>0.8083176214593842</x:v>
      </x:c>
      <x:c r="T157" s="243" t="n">
        <x:f>Q157*M157+S157*N157+O157</x:f>
        <x:v>-0.2184129242590067</x:v>
      </x:c>
      <x:c r="U157" s="243" t="n">
        <x:f>1/(1+EXP(-T157))</x:f>
        <x:v>0.4456128053885729</x:v>
      </x:c>
      <x:c r="V157" s="243" t="n">
        <x:f>0.5*(F157-U157)^2</x:f>
        <x:v>0.09928538616313708</x:v>
      </x:c>
      <x:c r="W157" s="244" t="n">
        <x:f>(U157-F157)*U157*(1-U157)</x:f>
        <x:v>0.11008509340178754</x:v>
      </x:c>
      <x:c r="X157" s="244" t="n">
        <x:f>W157*M157*Q157*(1-Q157)</x:f>
        <x:v>0.032750750538062916</x:v>
      </x:c>
      <x:c r="Y157" s="244" t="n">
        <x:f>W157*N157*S157*(1-S157)</x:f>
        <x:v>-0.031604850854186926</x:v>
      </x:c>
      <x:c r="Z157" s="245" t="n">
        <x:f>X157*D157</x:f>
        <x:v>0</x:v>
      </x:c>
      <x:c r="AA157" s="245" t="n">
        <x:f>X157*E157</x:f>
        <x:v>0</x:v>
      </x:c>
      <x:c r="AB157" s="245" t="n">
        <x:f>X157</x:f>
        <x:v>0.032750750538062916</x:v>
      </x:c>
      <x:c r="AC157" s="245" t="n">
        <x:f>Y157*D157</x:f>
        <x:v>0</x:v>
      </x:c>
      <x:c r="AD157" s="245" t="n">
        <x:f>Y157*E157</x:f>
        <x:v>0</x:v>
      </x:c>
      <x:c r="AE157" s="245" t="n">
        <x:f>Y157</x:f>
        <x:v>-0.031604850854186926</x:v>
      </x:c>
      <x:c r="AF157" s="245" t="n">
        <x:f>W157*Q157</x:f>
        <x:v>0.02378876566377232</x:v>
      </x:c>
      <x:c r="AG157" s="245" t="n">
        <x:f>W157*S157</x:f>
        <x:v>0.08898372085666706</x:v>
      </x:c>
      <x:c r="AH157" s="245" t="n">
        <x:f>W157</x:f>
        <x:v>0.11008509340178754</x:v>
      </x:c>
      <x:c r="AI157" s="246" t="n">
        <x:f>G157-$B$4*Z157</x:f>
        <x:v>1.4866772002530375</x:v>
      </x:c>
      <x:c r="AJ157" s="246" t="n">
        <x:f>H157-$B$4*AA157</x:f>
        <x:v>-1.9030052106615991</x:v>
      </x:c>
      <x:c r="AK157" s="246" t="n">
        <x:f>I157-$B$4*AB157</x:f>
        <x:v>-1.321324357137692</x:v>
      </x:c>
      <x:c r="AL157" s="246" t="n">
        <x:f>J157-$B$4*AC157</x:f>
        <x:v>1.4698387879221566</x:v>
      </x:c>
      <x:c r="AM157" s="246" t="n">
        <x:f>K157-$B$4*AD157</x:f>
        <x:v>-1.7816902133184986</x:v>
      </x:c>
      <x:c r="AN157" s="246" t="n">
        <x:f>L157-$B$4*AE157</x:f>
        <x:v>1.4707202042349272</x:v>
      </x:c>
      <x:c r="AO157" s="246" t="n">
        <x:f>M157-$B$4*AF157</x:f>
        <x:v>1.7324580464372386</x:v>
      </x:c>
      <x:c r="AP157" s="246" t="n">
        <x:f>N157-$B$4*AG157</x:f>
        <x:v>-1.9419221716888628</x:v>
      </x:c>
      <x:c r="AQ157" s="246" t="n">
        <x:f>O157-$B$4*AH157</x:f>
        <x:v>0.7897497869109026</x:v>
      </x:c>
      <x:c r="AR157" s="182" t="n">
        <x:f>IF(U157&gt;=$B$5,1,0)</x:f>
        <x:v>0</x:v>
      </x:c>
      <x:c r="AS157" s="182" t="n">
        <x:f>IF(AR157=F157,1,0)</x:f>
        <x:v>1</x:v>
      </x:c>
      <x:c r="AT157" s="252" t="n">
        <x:f>ABS(F157-U157)</x:f>
        <x:v>0.4456128053885729</x:v>
      </x:c>
    </x:row>
    <x:row r="158">
      <x:c r="A158" s="114" t="n">
        <x:v>142</x:v>
      </x:c>
      <x:c r="B158" s="114" t="n">
        <x:v>36</x:v>
      </x:c>
      <x:c r="C158" s="114" t="n">
        <x:v>2</x:v>
      </x:c>
      <x:c r="D158" s="168" t="n">
        <x:f>$I$6</x:f>
        <x:v>0</x:v>
      </x:c>
      <x:c r="E158" s="168" t="n">
        <x:f>$J$6</x:f>
        <x:v>1</x:v>
      </x:c>
      <x:c r="F158" s="168" t="n">
        <x:f>$K$6</x:f>
        <x:v>1</x:v>
      </x:c>
      <x:c r="G158" s="242" t="n">
        <x:f>AI157</x:f>
        <x:v>1.4866772002530375</x:v>
      </x:c>
      <x:c r="H158" s="242" t="n">
        <x:f>AJ157</x:f>
        <x:v>-1.9030052106615991</x:v>
      </x:c>
      <x:c r="I158" s="242" t="n">
        <x:f>AK157</x:f>
        <x:v>-1.321324357137692</x:v>
      </x:c>
      <x:c r="J158" s="242" t="n">
        <x:f>AL157</x:f>
        <x:v>1.4698387879221566</x:v>
      </x:c>
      <x:c r="K158" s="242" t="n">
        <x:f>AM157</x:f>
        <x:v>-1.7816902133184986</x:v>
      </x:c>
      <x:c r="L158" s="242" t="n">
        <x:f>AN157</x:f>
        <x:v>1.4707202042349272</x:v>
      </x:c>
      <x:c r="M158" s="242" t="n">
        <x:f>AO157</x:f>
        <x:v>1.7324580464372386</x:v>
      </x:c>
      <x:c r="N158" s="242" t="n">
        <x:f>AP157</x:f>
        <x:v>-1.9419221716888628</x:v>
      </x:c>
      <x:c r="O158" s="242" t="n">
        <x:f>AQ157</x:f>
        <x:v>0.7897497869109026</x:v>
      </x:c>
      <x:c r="P158" s="243" t="n">
        <x:f>D158*G158+E158*H158+I158</x:f>
        <x:v>-3.224329567799291</x:v>
      </x:c>
      <x:c r="Q158" s="243" t="n">
        <x:f>1/(1+EXP(-P158))</x:f>
        <x:v>0.0382603536883823</x:v>
      </x:c>
      <x:c r="R158" s="243" t="n">
        <x:f>D158*J158+E158*K158+L158</x:f>
        <x:v>-0.3109700090835714</x:v>
      </x:c>
      <x:c r="S158" s="243" t="n">
        <x:f>1/(1+EXP(-R158))</x:f>
        <x:v>0.422877988329112</x:v>
      </x:c>
      <x:c r="T158" s="243" t="n">
        <x:f>Q158*M158+S158*N158+O158</x:f>
        <x:v>0.034838103062388326</x:v>
      </x:c>
      <x:c r="U158" s="243" t="n">
        <x:f>1/(1+EXP(-T158))</x:f>
        <x:v>0.5087086449813174</x:v>
      </x:c>
      <x:c r="V158" s="243" t="n">
        <x:f>0.5*(F158-U158)^2</x:f>
        <x:v>0.12068359775804662</x:v>
      </x:c>
      <x:c r="W158" s="244" t="n">
        <x:f>(U158-F158)*U158*(1-U158)</x:f>
        <x:v>-0.12278557897393248</x:v>
      </x:c>
      <x:c r="X158" s="244" t="n">
        <x:f>W158*M158*Q158*(1-Q158)</x:f>
        <x:v>-0.00782738307486245</x:v>
      </x:c>
      <x:c r="Y158" s="244" t="n">
        <x:f>W158*N158*S158*(1-S158)</x:f>
        <x:v>0.058191814767344786</x:v>
      </x:c>
      <x:c r="Z158" s="245" t="n">
        <x:f>X158*D158</x:f>
        <x:v>0</x:v>
      </x:c>
      <x:c r="AA158" s="245" t="n">
        <x:f>X158*E158</x:f>
        <x:v>-0.00782738307486245</x:v>
      </x:c>
      <x:c r="AB158" s="245" t="n">
        <x:f>X158</x:f>
        <x:v>-0.00782738307486245</x:v>
      </x:c>
      <x:c r="AC158" s="245" t="n">
        <x:f>Y158*D158</x:f>
        <x:v>0</x:v>
      </x:c>
      <x:c r="AD158" s="245" t="n">
        <x:f>Y158*E158</x:f>
        <x:v>0.058191814767344786</x:v>
      </x:c>
      <x:c r="AE158" s="245" t="n">
        <x:f>Y158</x:f>
        <x:v>0.058191814767344786</x:v>
      </x:c>
      <x:c r="AF158" s="245" t="n">
        <x:f>W158*Q158</x:f>
        <x:v>-0.004697819679375454</x:v>
      </x:c>
      <x:c r="AG158" s="245" t="n">
        <x:f>W158*S158</x:f>
        <x:v>-0.05192331863232188</x:v>
      </x:c>
      <x:c r="AH158" s="245" t="n">
        <x:f>W158</x:f>
        <x:v>-0.12278557897393248</x:v>
      </x:c>
      <x:c r="AI158" s="246" t="n">
        <x:f>G158-$B$4*Z158</x:f>
        <x:v>1.4866772002530375</x:v>
      </x:c>
      <x:c r="AJ158" s="246" t="n">
        <x:f>H158-$B$4*AA158</x:f>
        <x:v>-1.8951778275867366</x:v>
      </x:c>
      <x:c r="AK158" s="246" t="n">
        <x:f>I158-$B$4*AB158</x:f>
        <x:v>-1.3134969740628295</x:v>
      </x:c>
      <x:c r="AL158" s="246" t="n">
        <x:f>J158-$B$4*AC158</x:f>
        <x:v>1.4698387879221566</x:v>
      </x:c>
      <x:c r="AM158" s="246" t="n">
        <x:f>K158-$B$4*AD158</x:f>
        <x:v>-1.8398820280858434</x:v>
      </x:c>
      <x:c r="AN158" s="246" t="n">
        <x:f>L158-$B$4*AE158</x:f>
        <x:v>1.4125283894675824</x:v>
      </x:c>
      <x:c r="AO158" s="246" t="n">
        <x:f>M158-$B$4*AF158</x:f>
        <x:v>1.737155866116614</x:v>
      </x:c>
      <x:c r="AP158" s="246" t="n">
        <x:f>N158-$B$4*AG158</x:f>
        <x:v>-1.889998853056541</x:v>
      </x:c>
      <x:c r="AQ158" s="246" t="n">
        <x:f>O158-$B$4*AH158</x:f>
        <x:v>0.9125353658848351</x:v>
      </x:c>
      <x:c r="AR158" s="182" t="n">
        <x:f>IF(U158&gt;=$B$5,1,0)</x:f>
        <x:v>1</x:v>
      </x:c>
      <x:c r="AS158" s="182" t="n">
        <x:f>IF(AR158=F158,1,0)</x:f>
        <x:v>1</x:v>
      </x:c>
      <x:c r="AT158" s="252" t="n">
        <x:f>ABS(F158-U158)</x:f>
        <x:v>0.4912913550186826</x:v>
      </x:c>
    </x:row>
    <x:row r="159">
      <x:c r="A159" s="114" t="n">
        <x:v>143</x:v>
      </x:c>
      <x:c r="B159" s="114" t="n">
        <x:v>36</x:v>
      </x:c>
      <x:c r="C159" s="114" t="n">
        <x:v>3</x:v>
      </x:c>
      <x:c r="D159" s="168" t="n">
        <x:f>$I$7</x:f>
        <x:v>1</x:v>
      </x:c>
      <x:c r="E159" s="168" t="n">
        <x:f>$J$7</x:f>
        <x:v>0</x:v>
      </x:c>
      <x:c r="F159" s="168" t="n">
        <x:f>$K$7</x:f>
        <x:v>1</x:v>
      </x:c>
      <x:c r="G159" s="242" t="n">
        <x:f>AI158</x:f>
        <x:v>1.4866772002530375</x:v>
      </x:c>
      <x:c r="H159" s="242" t="n">
        <x:f>AJ158</x:f>
        <x:v>-1.8951778275867366</x:v>
      </x:c>
      <x:c r="I159" s="242" t="n">
        <x:f>AK158</x:f>
        <x:v>-1.3134969740628295</x:v>
      </x:c>
      <x:c r="J159" s="242" t="n">
        <x:f>AL158</x:f>
        <x:v>1.4698387879221566</x:v>
      </x:c>
      <x:c r="K159" s="242" t="n">
        <x:f>AM158</x:f>
        <x:v>-1.8398820280858434</x:v>
      </x:c>
      <x:c r="L159" s="242" t="n">
        <x:f>AN158</x:f>
        <x:v>1.4125283894675824</x:v>
      </x:c>
      <x:c r="M159" s="242" t="n">
        <x:f>AO158</x:f>
        <x:v>1.737155866116614</x:v>
      </x:c>
      <x:c r="N159" s="242" t="n">
        <x:f>AP158</x:f>
        <x:v>-1.889998853056541</x:v>
      </x:c>
      <x:c r="O159" s="242" t="n">
        <x:f>AQ158</x:f>
        <x:v>0.9125353658848351</x:v>
      </x:c>
      <x:c r="P159" s="243" t="n">
        <x:f>D159*G159+E159*H159+I159</x:f>
        <x:v>0.173180226190208</x:v>
      </x:c>
      <x:c r="Q159" s="243" t="n">
        <x:f>1/(1+EXP(-P159))</x:f>
        <x:v>0.5431871735123823</x:v>
      </x:c>
      <x:c r="R159" s="243" t="n">
        <x:f>D159*J159+E159*K159+L159</x:f>
        <x:v>2.882367177389739</x:v>
      </x:c>
      <x:c r="S159" s="243" t="n">
        <x:f>1/(1+EXP(-R159))</x:f>
        <x:v>0.9469678684562329</x:v>
      </x:c>
      <x:c r="T159" s="243" t="n">
        <x:f>Q159*M159+S159*N159+O159</x:f>
        <x:v>0.06636796548749535</x:v>
      </x:c>
      <x:c r="U159" s="243" t="n">
        <x:f>1/(1+EXP(-T159))</x:f>
        <x:v>0.516585903815089</x:v>
      </x:c>
      <x:c r="V159" s="243" t="n">
        <x:f>0.5*(F159-U159)^2</x:f>
        <x:v>0.11684459419513721</x:v>
      </x:c>
      <x:c r="W159" s="244" t="n">
        <x:f>(U159-F159)*U159*(1-U159)</x:f>
        <x:v>-0.12072054059640451</x:v>
      </x:c>
      <x:c r="X159" s="244" t="n">
        <x:f>W159*M159*Q159*(1-Q159)</x:f>
        <x:v>-0.05203646125475488</x:v>
      </x:c>
      <x:c r="Y159" s="244" t="n">
        <x:f>W159*N159*S159*(1-S159)</x:f>
        <x:v>0.011458216890598274</x:v>
      </x:c>
      <x:c r="Z159" s="245" t="n">
        <x:f>X159*D159</x:f>
        <x:v>-0.05203646125475488</x:v>
      </x:c>
      <x:c r="AA159" s="245" t="n">
        <x:f>X159*E159</x:f>
        <x:v>0</x:v>
      </x:c>
      <x:c r="AB159" s="245" t="n">
        <x:f>X159</x:f>
        <x:v>-0.05203646125475488</x:v>
      </x:c>
      <x:c r="AC159" s="245" t="n">
        <x:f>Y159*D159</x:f>
        <x:v>0.011458216890598274</x:v>
      </x:c>
      <x:c r="AD159" s="245" t="n">
        <x:f>Y159*E159</x:f>
        <x:v>0</x:v>
      </x:c>
      <x:c r="AE159" s="245" t="n">
        <x:f>Y159</x:f>
        <x:v>0.011458216890598274</x:v>
      </x:c>
      <x:c r="AF159" s="245" t="n">
        <x:f>W159*Q159</x:f>
        <x:v>-0.06557384923144777</x:v>
      </x:c>
      <x:c r="AG159" s="245" t="n">
        <x:f>W159*S159</x:f>
        <x:v>-0.11431847300746131</x:v>
      </x:c>
      <x:c r="AH159" s="245" t="n">
        <x:f>W159</x:f>
        <x:v>-0.12072054059640451</x:v>
      </x:c>
      <x:c r="AI159" s="246" t="n">
        <x:f>G159-$B$4*Z159</x:f>
        <x:v>1.5387136615077923</x:v>
      </x:c>
      <x:c r="AJ159" s="246" t="n">
        <x:f>H159-$B$4*AA159</x:f>
        <x:v>-1.8951778275867366</x:v>
      </x:c>
      <x:c r="AK159" s="246" t="n">
        <x:f>I159-$B$4*AB159</x:f>
        <x:v>-1.2614605128080747</x:v>
      </x:c>
      <x:c r="AL159" s="246" t="n">
        <x:f>J159-$B$4*AC159</x:f>
        <x:v>1.4583805710315583</x:v>
      </x:c>
      <x:c r="AM159" s="246" t="n">
        <x:f>K159-$B$4*AD159</x:f>
        <x:v>-1.8398820280858434</x:v>
      </x:c>
      <x:c r="AN159" s="246" t="n">
        <x:f>L159-$B$4*AE159</x:f>
        <x:v>1.401070172576984</x:v>
      </x:c>
      <x:c r="AO159" s="246" t="n">
        <x:f>M159-$B$4*AF159</x:f>
        <x:v>1.8027297153480617</x:v>
      </x:c>
      <x:c r="AP159" s="246" t="n">
        <x:f>N159-$B$4*AG159</x:f>
        <x:v>-1.7756803800490797</x:v>
      </x:c>
      <x:c r="AQ159" s="246" t="n">
        <x:f>O159-$B$4*AH159</x:f>
        <x:v>1.0332559064812397</x:v>
      </x:c>
      <x:c r="AR159" s="182" t="n">
        <x:f>IF(U159&gt;=$B$5,1,0)</x:f>
        <x:v>1</x:v>
      </x:c>
      <x:c r="AS159" s="182" t="n">
        <x:f>IF(AR159=F159,1,0)</x:f>
        <x:v>1</x:v>
      </x:c>
      <x:c r="AT159" s="252" t="n">
        <x:f>ABS(F159-U159)</x:f>
        <x:v>0.48341409618491105</x:v>
      </x:c>
    </x:row>
    <x:row r="160">
      <x:c r="A160" s="114" t="n">
        <x:v>144</x:v>
      </x:c>
      <x:c r="B160" s="114" t="n">
        <x:v>36</x:v>
      </x:c>
      <x:c r="C160" s="114" t="n">
        <x:v>4</x:v>
      </x:c>
      <x:c r="D160" s="168" t="n">
        <x:f>$I$8</x:f>
        <x:v>1</x:v>
      </x:c>
      <x:c r="E160" s="168" t="n">
        <x:f>$J$8</x:f>
        <x:v>1</x:v>
      </x:c>
      <x:c r="F160" s="168" t="n">
        <x:f>$K$8</x:f>
        <x:v>0</x:v>
      </x:c>
      <x:c r="G160" s="242" t="n">
        <x:f>AI159</x:f>
        <x:v>1.5387136615077923</x:v>
      </x:c>
      <x:c r="H160" s="242" t="n">
        <x:f>AJ159</x:f>
        <x:v>-1.8951778275867366</x:v>
      </x:c>
      <x:c r="I160" s="242" t="n">
        <x:f>AK159</x:f>
        <x:v>-1.2614605128080747</x:v>
      </x:c>
      <x:c r="J160" s="242" t="n">
        <x:f>AL159</x:f>
        <x:v>1.4583805710315583</x:v>
      </x:c>
      <x:c r="K160" s="242" t="n">
        <x:f>AM159</x:f>
        <x:v>-1.8398820280858434</x:v>
      </x:c>
      <x:c r="L160" s="242" t="n">
        <x:f>AN159</x:f>
        <x:v>1.401070172576984</x:v>
      </x:c>
      <x:c r="M160" s="242" t="n">
        <x:f>AO159</x:f>
        <x:v>1.8027297153480617</x:v>
      </x:c>
      <x:c r="N160" s="242" t="n">
        <x:f>AP159</x:f>
        <x:v>-1.7756803800490797</x:v>
      </x:c>
      <x:c r="O160" s="242" t="n">
        <x:f>AQ159</x:f>
        <x:v>1.0332559064812397</x:v>
      </x:c>
      <x:c r="P160" s="243" t="n">
        <x:f>D160*G160+E160*H160+I160</x:f>
        <x:v>-1.617924678887019</x:v>
      </x:c>
      <x:c r="Q160" s="243" t="n">
        <x:f>1/(1+EXP(-P160))</x:f>
        <x:v>0.1654912812324251</x:v>
      </x:c>
      <x:c r="R160" s="243" t="n">
        <x:f>D160*J160+E160*K160+L160</x:f>
        <x:v>1.019568715522699</x:v>
      </x:c>
      <x:c r="S160" s="243" t="n">
        <x:f>1/(1+EXP(-R160))</x:f>
        <x:v>0.7348885819655525</x:v>
      </x:c>
      <x:c r="T160" s="243" t="n">
        <x:f>Q160*M160+S160*N160+O160</x:f>
        <x:v>0.026664720271633913</x:v>
      </x:c>
      <x:c r="U160" s="243" t="n">
        <x:f>1/(1+EXP(-T160))</x:f>
        <x:v>0.5066657851207612</x:v>
      </x:c>
      <x:c r="V160" s="243" t="n">
        <x:f>0.5*(F160-U160)^2</x:f>
        <x:v>0.1283551089060187</x:v>
      </x:c>
      <x:c r="W160" s="244" t="n">
        <x:f>(U160-F160)*U160*(1-U160)</x:f>
        <x:v>0.12664393375577984</x:v>
      </x:c>
      <x:c r="X160" s="244" t="n">
        <x:f>W160*M160*Q160*(1-Q160)</x:f>
        <x:v>0.031529784769447906</x:v>
      </x:c>
      <x:c r="Y160" s="244" t="n">
        <x:f>W160*N160*S160*(1-S160)</x:f>
        <x:v>-0.04381260947089449</x:v>
      </x:c>
      <x:c r="Z160" s="245" t="n">
        <x:f>X160*D160</x:f>
        <x:v>0.031529784769447906</x:v>
      </x:c>
      <x:c r="AA160" s="245" t="n">
        <x:f>X160*E160</x:f>
        <x:v>0.031529784769447906</x:v>
      </x:c>
      <x:c r="AB160" s="245" t="n">
        <x:f>X160</x:f>
        <x:v>0.031529784769447906</x:v>
      </x:c>
      <x:c r="AC160" s="245" t="n">
        <x:f>Y160*D160</x:f>
        <x:v>-0.04381260947089449</x:v>
      </x:c>
      <x:c r="AD160" s="245" t="n">
        <x:f>Y160*E160</x:f>
        <x:v>-0.04381260947089449</x:v>
      </x:c>
      <x:c r="AE160" s="245" t="n">
        <x:f>Y160</x:f>
        <x:v>-0.04381260947089449</x:v>
      </x:c>
      <x:c r="AF160" s="245" t="n">
        <x:f>W160*Q160</x:f>
        <x:v>0.020958466857558377</x:v>
      </x:c>
      <x:c r="AG160" s="245" t="n">
        <x:f>W160*S160</x:f>
        <x:v>0.09306918089232441</x:v>
      </x:c>
      <x:c r="AH160" s="245" t="n">
        <x:f>W160</x:f>
        <x:v>0.12664393375577984</x:v>
      </x:c>
      <x:c r="AI160" s="246" t="n">
        <x:f>G160-$B$4*Z160</x:f>
        <x:v>1.5071838767383443</x:v>
      </x:c>
      <x:c r="AJ160" s="246" t="n">
        <x:f>H160-$B$4*AA160</x:f>
        <x:v>-1.9267076123561846</x:v>
      </x:c>
      <x:c r="AK160" s="246" t="n">
        <x:f>I160-$B$4*AB160</x:f>
        <x:v>-1.2929902975775227</x:v>
      </x:c>
      <x:c r="AL160" s="246" t="n">
        <x:f>J160-$B$4*AC160</x:f>
        <x:v>1.5021931805024527</x:v>
      </x:c>
      <x:c r="AM160" s="246" t="n">
        <x:f>K160-$B$4*AD160</x:f>
        <x:v>-1.796069418614949</x:v>
      </x:c>
      <x:c r="AN160" s="246" t="n">
        <x:f>L160-$B$4*AE160</x:f>
        <x:v>1.4448827820478787</x:v>
      </x:c>
      <x:c r="AO160" s="246" t="n">
        <x:f>M160-$B$4*AF160</x:f>
        <x:v>1.7817712484905033</x:v>
      </x:c>
      <x:c r="AP160" s="246" t="n">
        <x:f>N160-$B$4*AG160</x:f>
        <x:v>-1.8687495609414042</x:v>
      </x:c>
      <x:c r="AQ160" s="246" t="n">
        <x:f>O160-$B$4*AH160</x:f>
        <x:v>0.9066119727254598</x:v>
      </x:c>
      <x:c r="AR160" s="182" t="n">
        <x:f>IF(U160&gt;=$B$5,1,0)</x:f>
        <x:v>1</x:v>
      </x:c>
      <x:c r="AS160" s="182" t="n">
        <x:f>IF(AR160=F160,1,0)</x:f>
        <x:v>0</x:v>
      </x:c>
      <x:c r="AT160" s="252" t="n">
        <x:f>ABS(F160-U160)</x:f>
        <x:v>0.5066657851207612</x:v>
      </x:c>
    </x:row>
    <x:row r="161">
      <x:c r="A161" s="114" t="n">
        <x:v>145</x:v>
      </x:c>
      <x:c r="B161" s="114" t="n">
        <x:v>37</x:v>
      </x:c>
      <x:c r="C161" s="114" t="n">
        <x:v>1</x:v>
      </x:c>
      <x:c r="D161" s="168" t="n">
        <x:f>$I$5</x:f>
        <x:v>0</x:v>
      </x:c>
      <x:c r="E161" s="168" t="n">
        <x:f>$J$5</x:f>
        <x:v>0</x:v>
      </x:c>
      <x:c r="F161" s="168" t="n">
        <x:f>$K$5</x:f>
        <x:v>0</x:v>
      </x:c>
      <x:c r="G161" s="242" t="n">
        <x:f>AI160</x:f>
        <x:v>1.5071838767383443</x:v>
      </x:c>
      <x:c r="H161" s="242" t="n">
        <x:f>AJ160</x:f>
        <x:v>-1.9267076123561846</x:v>
      </x:c>
      <x:c r="I161" s="242" t="n">
        <x:f>AK160</x:f>
        <x:v>-1.2929902975775227</x:v>
      </x:c>
      <x:c r="J161" s="242" t="n">
        <x:f>AL160</x:f>
        <x:v>1.5021931805024527</x:v>
      </x:c>
      <x:c r="K161" s="242" t="n">
        <x:f>AM160</x:f>
        <x:v>-1.796069418614949</x:v>
      </x:c>
      <x:c r="L161" s="242" t="n">
        <x:f>AN160</x:f>
        <x:v>1.4448827820478787</x:v>
      </x:c>
      <x:c r="M161" s="242" t="n">
        <x:f>AO160</x:f>
        <x:v>1.7817712484905033</x:v>
      </x:c>
      <x:c r="N161" s="242" t="n">
        <x:f>AP160</x:f>
        <x:v>-1.8687495609414042</x:v>
      </x:c>
      <x:c r="O161" s="242" t="n">
        <x:f>AQ160</x:f>
        <x:v>0.9066119727254598</x:v>
      </x:c>
      <x:c r="P161" s="243" t="n">
        <x:f>D161*G161+E161*H161+I161</x:f>
        <x:v>-1.2929902975775227</x:v>
      </x:c>
      <x:c r="Q161" s="243" t="n">
        <x:f>1/(1+EXP(-P161))</x:f>
        <x:v>0.21534710200338666</x:v>
      </x:c>
      <x:c r="R161" s="243" t="n">
        <x:f>D161*J161+E161*K161+L161</x:f>
        <x:v>1.4448827820478787</x:v>
      </x:c>
      <x:c r="S161" s="243" t="n">
        <x:f>1/(1+EXP(-R161))</x:f>
        <x:v>0.8092096396068534</x:v>
      </x:c>
      <x:c r="T161" s="243" t="n">
        <x:f>Q161*M161+S161*N161+O161</x:f>
        <x:v>-0.2218989112040135</x:v>
      </x:c>
      <x:c r="U161" s="243" t="n">
        <x:f>1/(1+EXP(-T161))</x:f>
        <x:v>0.44475178420201783</x:v>
      </x:c>
      <x:c r="V161" s="243" t="n">
        <x:f>0.5*(F161-U161)^2</x:f>
        <x:v>0.09890207477543912</x:v>
      </x:c>
      <x:c r="W161" s="244" t="n">
        <x:f>(U161-F161)*U161*(1-U161)</x:f>
        <x:v>0.10983040111556237</x:v>
      </x:c>
      <x:c r="X161" s="244" t="n">
        <x:f>W161*M161*Q161*(1-Q161)</x:f>
        <x:v>0.03306672100902855</x:v>
      </x:c>
      <x:c r="Y161" s="244" t="n">
        <x:f>W161*N161*S161*(1-S161)</x:f>
        <x:v>-0.03168773148636788</x:v>
      </x:c>
      <x:c r="Z161" s="245" t="n">
        <x:f>X161*D161</x:f>
        <x:v>0</x:v>
      </x:c>
      <x:c r="AA161" s="245" t="n">
        <x:f>X161*E161</x:f>
        <x:v>0</x:v>
      </x:c>
      <x:c r="AB161" s="245" t="n">
        <x:f>X161</x:f>
        <x:v>0.03306672100902855</x:v>
      </x:c>
      <x:c r="AC161" s="245" t="n">
        <x:f>Y161*D161</x:f>
        <x:v>0</x:v>
      </x:c>
      <x:c r="AD161" s="245" t="n">
        <x:f>Y161*E161</x:f>
        <x:v>0</x:v>
      </x:c>
      <x:c r="AE161" s="245" t="n">
        <x:f>Y161</x:f>
        <x:v>-0.03168773148636788</x:v>
      </x:c>
      <x:c r="AF161" s="245" t="n">
        <x:f>W161*Q161</x:f>
        <x:v>0.023651658592105884</x:v>
      </x:c>
      <x:c r="AG161" s="245" t="n">
        <x:f>W161*S161</x:f>
        <x:v>0.08887581930460038</x:v>
      </x:c>
      <x:c r="AH161" s="245" t="n">
        <x:f>W161</x:f>
        <x:v>0.10983040111556237</x:v>
      </x:c>
      <x:c r="AI161" s="246" t="n">
        <x:f>G161-$B$4*Z161</x:f>
        <x:v>1.5071838767383443</x:v>
      </x:c>
      <x:c r="AJ161" s="246" t="n">
        <x:f>H161-$B$4*AA161</x:f>
        <x:v>-1.9267076123561846</x:v>
      </x:c>
      <x:c r="AK161" s="246" t="n">
        <x:f>I161-$B$4*AB161</x:f>
        <x:v>-1.3260570185865512</x:v>
      </x:c>
      <x:c r="AL161" s="246" t="n">
        <x:f>J161-$B$4*AC161</x:f>
        <x:v>1.5021931805024527</x:v>
      </x:c>
      <x:c r="AM161" s="246" t="n">
        <x:f>K161-$B$4*AD161</x:f>
        <x:v>-1.796069418614949</x:v>
      </x:c>
      <x:c r="AN161" s="246" t="n">
        <x:f>L161-$B$4*AE161</x:f>
        <x:v>1.4765705135342466</x:v>
      </x:c>
      <x:c r="AO161" s="246" t="n">
        <x:f>M161-$B$4*AF161</x:f>
        <x:v>1.7581195898983975</x:v>
      </x:c>
      <x:c r="AP161" s="246" t="n">
        <x:f>N161-$B$4*AG161</x:f>
        <x:v>-1.9576253802460046</x:v>
      </x:c>
      <x:c r="AQ161" s="246" t="n">
        <x:f>O161-$B$4*AH161</x:f>
        <x:v>0.7967815716098974</x:v>
      </x:c>
      <x:c r="AR161" s="182" t="n">
        <x:f>IF(U161&gt;=$B$5,1,0)</x:f>
        <x:v>0</x:v>
      </x:c>
      <x:c r="AS161" s="182" t="n">
        <x:f>IF(AR161=F161,1,0)</x:f>
        <x:v>1</x:v>
      </x:c>
      <x:c r="AT161" s="252" t="n">
        <x:f>ABS(F161-U161)</x:f>
        <x:v>0.44475178420201783</x:v>
      </x:c>
    </x:row>
    <x:row r="162">
      <x:c r="A162" s="114" t="n">
        <x:v>146</x:v>
      </x:c>
      <x:c r="B162" s="114" t="n">
        <x:v>37</x:v>
      </x:c>
      <x:c r="C162" s="114" t="n">
        <x:v>2</x:v>
      </x:c>
      <x:c r="D162" s="168" t="n">
        <x:f>$I$6</x:f>
        <x:v>0</x:v>
      </x:c>
      <x:c r="E162" s="168" t="n">
        <x:f>$J$6</x:f>
        <x:v>1</x:v>
      </x:c>
      <x:c r="F162" s="168" t="n">
        <x:f>$K$6</x:f>
        <x:v>1</x:v>
      </x:c>
      <x:c r="G162" s="242" t="n">
        <x:f>AI161</x:f>
        <x:v>1.5071838767383443</x:v>
      </x:c>
      <x:c r="H162" s="242" t="n">
        <x:f>AJ161</x:f>
        <x:v>-1.9267076123561846</x:v>
      </x:c>
      <x:c r="I162" s="242" t="n">
        <x:f>AK161</x:f>
        <x:v>-1.3260570185865512</x:v>
      </x:c>
      <x:c r="J162" s="242" t="n">
        <x:f>AL161</x:f>
        <x:v>1.5021931805024527</x:v>
      </x:c>
      <x:c r="K162" s="242" t="n">
        <x:f>AM161</x:f>
        <x:v>-1.796069418614949</x:v>
      </x:c>
      <x:c r="L162" s="242" t="n">
        <x:f>AN161</x:f>
        <x:v>1.4765705135342466</x:v>
      </x:c>
      <x:c r="M162" s="242" t="n">
        <x:f>AO161</x:f>
        <x:v>1.7581195898983975</x:v>
      </x:c>
      <x:c r="N162" s="242" t="n">
        <x:f>AP161</x:f>
        <x:v>-1.9576253802460046</x:v>
      </x:c>
      <x:c r="O162" s="242" t="n">
        <x:f>AQ161</x:f>
        <x:v>0.7967815716098974</x:v>
      </x:c>
      <x:c r="P162" s="243" t="n">
        <x:f>D162*G162+E162*H162+I162</x:f>
        <x:v>-3.252764630942736</x:v>
      </x:c>
      <x:c r="Q162" s="243" t="n">
        <x:f>1/(1+EXP(-P162))</x:f>
        <x:v>0.037227671199638865</x:v>
      </x:c>
      <x:c r="R162" s="243" t="n">
        <x:f>D162*J162+E162*K162+L162</x:f>
        <x:v>-0.31949890508070244</x:v>
      </x:c>
      <x:c r="S162" s="243" t="n">
        <x:f>1/(1+EXP(-R162))</x:f>
        <x:v>0.4207978733747938</x:v>
      </x:c>
      <x:c r="T162" s="243" t="n">
        <x:f>Q162*M162+S162*N162+O162</x:f>
        <x:v>0.03846767276023799</x:v>
      </x:c>
      <x:c r="U162" s="243" t="n">
        <x:f>1/(1+EXP(-T162))</x:f>
        <x:v>0.5096157324697984</x:v>
      </x:c>
      <x:c r="V162" s="243" t="n">
        <x:f>0.5*(F162-U162)^2</x:f>
        <x:v>0.12023836492056617</x:v>
      </x:c>
      <x:c r="W162" s="244" t="n">
        <x:f>(U162-F162)*U162*(1-U162)</x:f>
        <x:v>-0.12255072481993047</x:v>
      </x:c>
      <x:c r="X162" s="244" t="n">
        <x:f>W162*M162*Q162*(1-Q162)</x:f>
        <x:v>-0.007722426197124231</x:v>
      </x:c>
      <x:c r="Y162" s="244" t="n">
        <x:f>W162*N162*S162*(1-S162)</x:f>
        <x:v>0.058472162418389165</x:v>
      </x:c>
      <x:c r="Z162" s="245" t="n">
        <x:f>X162*D162</x:f>
        <x:v>0</x:v>
      </x:c>
      <x:c r="AA162" s="245" t="n">
        <x:f>X162*E162</x:f>
        <x:v>-0.007722426197124231</x:v>
      </x:c>
      <x:c r="AB162" s="245" t="n">
        <x:f>X162</x:f>
        <x:v>-0.007722426197124231</x:v>
      </x:c>
      <x:c r="AC162" s="245" t="n">
        <x:f>Y162*D162</x:f>
        <x:v>0</x:v>
      </x:c>
      <x:c r="AD162" s="245" t="n">
        <x:f>Y162*E162</x:f>
        <x:v>0.058472162418389165</x:v>
      </x:c>
      <x:c r="AE162" s="245" t="n">
        <x:f>Y162</x:f>
        <x:v>0.058472162418389165</x:v>
      </x:c>
      <x:c r="AF162" s="245" t="n">
        <x:f>W162*Q162</x:f>
        <x:v>-0.004562278088873793</x:v>
      </x:c>
      <x:c r="AG162" s="245" t="n">
        <x:f>W162*S162</x:f>
        <x:v>-0.0515690843847663</x:v>
      </x:c>
      <x:c r="AH162" s="245" t="n">
        <x:f>W162</x:f>
        <x:v>-0.12255072481993047</x:v>
      </x:c>
      <x:c r="AI162" s="246" t="n">
        <x:f>G162-$B$4*Z162</x:f>
        <x:v>1.5071838767383443</x:v>
      </x:c>
      <x:c r="AJ162" s="246" t="n">
        <x:f>H162-$B$4*AA162</x:f>
        <x:v>-1.9189851861590603</x:v>
      </x:c>
      <x:c r="AK162" s="246" t="n">
        <x:f>I162-$B$4*AB162</x:f>
        <x:v>-1.318334592389427</x:v>
      </x:c>
      <x:c r="AL162" s="246" t="n">
        <x:f>J162-$B$4*AC162</x:f>
        <x:v>1.5021931805024527</x:v>
      </x:c>
      <x:c r="AM162" s="246" t="n">
        <x:f>K162-$B$4*AD162</x:f>
        <x:v>-1.8545415810333383</x:v>
      </x:c>
      <x:c r="AN162" s="246" t="n">
        <x:f>L162-$B$4*AE162</x:f>
        <x:v>1.4180983511158574</x:v>
      </x:c>
      <x:c r="AO162" s="246" t="n">
        <x:f>M162-$B$4*AF162</x:f>
        <x:v>1.7626818679872713</x:v>
      </x:c>
      <x:c r="AP162" s="246" t="n">
        <x:f>N162-$B$4*AG162</x:f>
        <x:v>-1.9060562958612384</x:v>
      </x:c>
      <x:c r="AQ162" s="246" t="n">
        <x:f>O162-$B$4*AH162</x:f>
        <x:v>0.9193322964298278</x:v>
      </x:c>
      <x:c r="AR162" s="182" t="n">
        <x:f>IF(U162&gt;=$B$5,1,0)</x:f>
        <x:v>1</x:v>
      </x:c>
      <x:c r="AS162" s="182" t="n">
        <x:f>IF(AR162=F162,1,0)</x:f>
        <x:v>1</x:v>
      </x:c>
      <x:c r="AT162" s="252" t="n">
        <x:f>ABS(F162-U162)</x:f>
        <x:v>0.4903842675302016</x:v>
      </x:c>
    </x:row>
    <x:row r="163">
      <x:c r="A163" s="114" t="n">
        <x:v>147</x:v>
      </x:c>
      <x:c r="B163" s="114" t="n">
        <x:v>37</x:v>
      </x:c>
      <x:c r="C163" s="114" t="n">
        <x:v>3</x:v>
      </x:c>
      <x:c r="D163" s="168" t="n">
        <x:f>$I$7</x:f>
        <x:v>1</x:v>
      </x:c>
      <x:c r="E163" s="168" t="n">
        <x:f>$J$7</x:f>
        <x:v>0</x:v>
      </x:c>
      <x:c r="F163" s="168" t="n">
        <x:f>$K$7</x:f>
        <x:v>1</x:v>
      </x:c>
      <x:c r="G163" s="242" t="n">
        <x:f>AI162</x:f>
        <x:v>1.5071838767383443</x:v>
      </x:c>
      <x:c r="H163" s="242" t="n">
        <x:f>AJ162</x:f>
        <x:v>-1.9189851861590603</x:v>
      </x:c>
      <x:c r="I163" s="242" t="n">
        <x:f>AK162</x:f>
        <x:v>-1.318334592389427</x:v>
      </x:c>
      <x:c r="J163" s="242" t="n">
        <x:f>AL162</x:f>
        <x:v>1.5021931805024527</x:v>
      </x:c>
      <x:c r="K163" s="242" t="n">
        <x:f>AM162</x:f>
        <x:v>-1.8545415810333383</x:v>
      </x:c>
      <x:c r="L163" s="242" t="n">
        <x:f>AN162</x:f>
        <x:v>1.4180983511158574</x:v>
      </x:c>
      <x:c r="M163" s="242" t="n">
        <x:f>AO162</x:f>
        <x:v>1.7626818679872713</x:v>
      </x:c>
      <x:c r="N163" s="242" t="n">
        <x:f>AP162</x:f>
        <x:v>-1.9060562958612384</x:v>
      </x:c>
      <x:c r="O163" s="242" t="n">
        <x:f>AQ162</x:f>
        <x:v>0.9193322964298278</x:v>
      </x:c>
      <x:c r="P163" s="243" t="n">
        <x:f>D163*G163+E163*H163+I163</x:f>
        <x:v>0.18884928434891735</x:v>
      </x:c>
      <x:c r="Q163" s="243" t="n">
        <x:f>1/(1+EXP(-P163))</x:f>
        <x:v>0.5470725044850852</x:v>
      </x:c>
      <x:c r="R163" s="243" t="n">
        <x:f>D163*J163+E163*K163+L163</x:f>
        <x:v>2.92029153161831</x:v>
      </x:c>
      <x:c r="S163" s="243" t="n">
        <x:f>1/(1+EXP(-R163))</x:f>
        <x:v>0.9488404525349688</x:v>
      </x:c>
      <x:c r="T163" s="243" t="n">
        <x:f>Q163*M163+S163*N163+O163</x:f>
        <x:v>0.07510376223796877</x:v>
      </x:c>
      <x:c r="U163" s="243" t="n">
        <x:f>1/(1+EXP(-T163))</x:f>
        <x:v>0.5187671199428903</x:v>
      </x:c>
      <x:c r="V163" s="243" t="n">
        <x:f>0.5*(F163-U163)^2</x:f>
        <x:v>0.11579254242403028</x:v>
      </x:c>
      <x:c r="W163" s="244" t="n">
        <x:f>(U163-F163)*U163*(1-U163)</x:f>
        <x:v>-0.12013872748835826</x:v>
      </x:c>
      <x:c r="X163" s="244" t="n">
        <x:f>W163*M163*Q163*(1-Q163)</x:f>
        <x:v>-0.052472352874763</x:v>
      </x:c>
      <x:c r="Y163" s="244" t="n">
        <x:f>W163*N163*S163*(1-S163)</x:f>
        <x:v>0.011115746586239717</x:v>
      </x:c>
      <x:c r="Z163" s="245" t="n">
        <x:f>X163*D163</x:f>
        <x:v>-0.052472352874763</x:v>
      </x:c>
      <x:c r="AA163" s="245" t="n">
        <x:f>X163*E163</x:f>
        <x:v>0</x:v>
      </x:c>
      <x:c r="AB163" s="245" t="n">
        <x:f>X163</x:f>
        <x:v>-0.052472352874763</x:v>
      </x:c>
      <x:c r="AC163" s="245" t="n">
        <x:f>Y163*D163</x:f>
        <x:v>0.011115746586239717</x:v>
      </x:c>
      <x:c r="AD163" s="245" t="n">
        <x:f>Y163*E163</x:f>
        <x:v>0</x:v>
      </x:c>
      <x:c r="AE163" s="245" t="n">
        <x:f>Y163</x:f>
        <x:v>0.011115746586239717</x:v>
      </x:c>
      <x:c r="AF163" s="245" t="n">
        <x:f>W163*Q163</x:f>
        <x:v>-0.06572459453270729</x:v>
      </x:c>
      <x:c r="AG163" s="245" t="n">
        <x:f>W163*S163</x:f>
        <x:v>-0.11399248455702915</x:v>
      </x:c>
      <x:c r="AH163" s="245" t="n">
        <x:f>W163</x:f>
        <x:v>-0.12013872748835826</x:v>
      </x:c>
      <x:c r="AI163" s="246" t="n">
        <x:f>G163-$B$4*Z163</x:f>
        <x:v>1.5596562296131073</x:v>
      </x:c>
      <x:c r="AJ163" s="246" t="n">
        <x:f>H163-$B$4*AA163</x:f>
        <x:v>-1.9189851861590603</x:v>
      </x:c>
      <x:c r="AK163" s="246" t="n">
        <x:f>I163-$B$4*AB163</x:f>
        <x:v>-1.265862239514664</x:v>
      </x:c>
      <x:c r="AL163" s="246" t="n">
        <x:f>J163-$B$4*AC163</x:f>
        <x:v>1.491077433916213</x:v>
      </x:c>
      <x:c r="AM163" s="246" t="n">
        <x:f>K163-$B$4*AD163</x:f>
        <x:v>-1.8545415810333383</x:v>
      </x:c>
      <x:c r="AN163" s="246" t="n">
        <x:f>L163-$B$4*AE163</x:f>
        <x:v>1.4069826045296177</x:v>
      </x:c>
      <x:c r="AO163" s="246" t="n">
        <x:f>M163-$B$4*AF163</x:f>
        <x:v>1.8284064625199785</x:v>
      </x:c>
      <x:c r="AP163" s="246" t="n">
        <x:f>N163-$B$4*AG163</x:f>
        <x:v>-1.7920638113042093</x:v>
      </x:c>
      <x:c r="AQ163" s="246" t="n">
        <x:f>O163-$B$4*AH163</x:f>
        <x:v>1.0394710239181861</x:v>
      </x:c>
      <x:c r="AR163" s="182" t="n">
        <x:f>IF(U163&gt;=$B$5,1,0)</x:f>
        <x:v>1</x:v>
      </x:c>
      <x:c r="AS163" s="182" t="n">
        <x:f>IF(AR163=F163,1,0)</x:f>
        <x:v>1</x:v>
      </x:c>
      <x:c r="AT163" s="252" t="n">
        <x:f>ABS(F163-U163)</x:f>
        <x:v>0.48123288005710974</x:v>
      </x:c>
    </x:row>
    <x:row r="164">
      <x:c r="A164" s="114" t="n">
        <x:v>148</x:v>
      </x:c>
      <x:c r="B164" s="114" t="n">
        <x:v>37</x:v>
      </x:c>
      <x:c r="C164" s="114" t="n">
        <x:v>4</x:v>
      </x:c>
      <x:c r="D164" s="168" t="n">
        <x:f>$I$8</x:f>
        <x:v>1</x:v>
      </x:c>
      <x:c r="E164" s="168" t="n">
        <x:f>$J$8</x:f>
        <x:v>1</x:v>
      </x:c>
      <x:c r="F164" s="168" t="n">
        <x:f>$K$8</x:f>
        <x:v>0</x:v>
      </x:c>
      <x:c r="G164" s="242" t="n">
        <x:f>AI163</x:f>
        <x:v>1.5596562296131073</x:v>
      </x:c>
      <x:c r="H164" s="242" t="n">
        <x:f>AJ163</x:f>
        <x:v>-1.9189851861590603</x:v>
      </x:c>
      <x:c r="I164" s="242" t="n">
        <x:f>AK163</x:f>
        <x:v>-1.265862239514664</x:v>
      </x:c>
      <x:c r="J164" s="242" t="n">
        <x:f>AL163</x:f>
        <x:v>1.491077433916213</x:v>
      </x:c>
      <x:c r="K164" s="242" t="n">
        <x:f>AM163</x:f>
        <x:v>-1.8545415810333383</x:v>
      </x:c>
      <x:c r="L164" s="242" t="n">
        <x:f>AN163</x:f>
        <x:v>1.4069826045296177</x:v>
      </x:c>
      <x:c r="M164" s="242" t="n">
        <x:f>AO163</x:f>
        <x:v>1.8284064625199785</x:v>
      </x:c>
      <x:c r="N164" s="242" t="n">
        <x:f>AP163</x:f>
        <x:v>-1.7920638113042093</x:v>
      </x:c>
      <x:c r="O164" s="242" t="n">
        <x:f>AQ163</x:f>
        <x:v>1.0394710239181861</x:v>
      </x:c>
      <x:c r="P164" s="243" t="n">
        <x:f>D164*G164+E164*H164+I164</x:f>
        <x:v>-1.625191196060617</x:v>
      </x:c>
      <x:c r="Q164" s="243" t="n">
        <x:f>1/(1+EXP(-P164))</x:f>
        <x:v>0.16449018453143238</x:v>
      </x:c>
      <x:c r="R164" s="243" t="n">
        <x:f>D164*J164+E164*K164+L164</x:f>
        <x:v>1.0435184574124923</x:v>
      </x:c>
      <x:c r="S164" s="243" t="n">
        <x:f>1/(1+EXP(-R164))</x:f>
        <x:v>0.7395283240684539</x:v>
      </x:c>
      <x:c r="T164" s="243" t="n">
        <x:f>Q164*M164+S164*N164+O164</x:f>
        <x:v>0.014943993339032957</x:v>
      </x:c>
      <x:c r="U164" s="243" t="n">
        <x:f>1/(1+EXP(-T164))</x:f>
        <x:v>0.5037359288084676</x:v>
      </x:c>
      <x:c r="V164" s="243" t="n">
        <x:f>0.5*(F164-U164)^2</x:f>
        <x:v>0.12687494298626478</x:v>
      </x:c>
      <x:c r="W164" s="244" t="n">
        <x:f>(U164-F164)*U164*(1-U164)</x:f>
        <x:v>0.12592695147711463</x:v>
      </x:c>
      <x:c r="X164" s="244" t="n">
        <x:f>W164*M164*Q164*(1-Q164)</x:f>
        <x:v>0.031643388372471735</x:v>
      </x:c>
      <x:c r="Y164" s="244" t="n">
        <x:f>W164*N164*S164*(1-S164)</x:f>
        <x:v>-0.043469783402910384</x:v>
      </x:c>
      <x:c r="Z164" s="245" t="n">
        <x:f>X164*D164</x:f>
        <x:v>0.031643388372471735</x:v>
      </x:c>
      <x:c r="AA164" s="245" t="n">
        <x:f>X164*E164</x:f>
        <x:v>0.031643388372471735</x:v>
      </x:c>
      <x:c r="AB164" s="245" t="n">
        <x:f>X164</x:f>
        <x:v>0.031643388372471735</x:v>
      </x:c>
      <x:c r="AC164" s="245" t="n">
        <x:f>Y164*D164</x:f>
        <x:v>-0.043469783402910384</x:v>
      </x:c>
      <x:c r="AD164" s="245" t="n">
        <x:f>Y164*E164</x:f>
        <x:v>-0.043469783402910384</x:v>
      </x:c>
      <x:c r="AE164" s="245" t="n">
        <x:f>Y164</x:f>
        <x:v>-0.043469783402910384</x:v>
      </x:c>
      <x:c r="AF164" s="245" t="n">
        <x:f>W164*Q164</x:f>
        <x:v>0.02071374748595132</x:v>
      </x:c>
      <x:c r="AG164" s="245" t="n">
        <x:f>W164*S164</x:f>
        <x:v>0.0931265473809201</x:v>
      </x:c>
      <x:c r="AH164" s="245" t="n">
        <x:f>W164</x:f>
        <x:v>0.12592695147711463</x:v>
      </x:c>
      <x:c r="AI164" s="246" t="n">
        <x:f>G164-$B$4*Z164</x:f>
        <x:v>1.5280128412406355</x:v>
      </x:c>
      <x:c r="AJ164" s="246" t="n">
        <x:f>H164-$B$4*AA164</x:f>
        <x:v>-1.9506285745315322</x:v>
      </x:c>
      <x:c r="AK164" s="246" t="n">
        <x:f>I164-$B$4*AB164</x:f>
        <x:v>-1.2975056278871357</x:v>
      </x:c>
      <x:c r="AL164" s="246" t="n">
        <x:f>J164-$B$4*AC164</x:f>
        <x:v>1.5345472173191232</x:v>
      </x:c>
      <x:c r="AM164" s="246" t="n">
        <x:f>K164-$B$4*AD164</x:f>
        <x:v>-1.811071797630428</x:v>
      </x:c>
      <x:c r="AN164" s="246" t="n">
        <x:f>L164-$B$4*AE164</x:f>
        <x:v>1.450452387932528</x:v>
      </x:c>
      <x:c r="AO164" s="246" t="n">
        <x:f>M164-$B$4*AF164</x:f>
        <x:v>1.8076927150340272</x:v>
      </x:c>
      <x:c r="AP164" s="246" t="n">
        <x:f>N164-$B$4*AG164</x:f>
        <x:v>-1.8851903586851295</x:v>
      </x:c>
      <x:c r="AQ164" s="246" t="n">
        <x:f>O164-$B$4*AH164</x:f>
        <x:v>0.9135440724410715</x:v>
      </x:c>
      <x:c r="AR164" s="182" t="n">
        <x:f>IF(U164&gt;=$B$5,1,0)</x:f>
        <x:v>1</x:v>
      </x:c>
      <x:c r="AS164" s="182" t="n">
        <x:f>IF(AR164=F164,1,0)</x:f>
        <x:v>0</x:v>
      </x:c>
      <x:c r="AT164" s="252" t="n">
        <x:f>ABS(F164-U164)</x:f>
        <x:v>0.5037359288084676</x:v>
      </x:c>
    </x:row>
    <x:row r="165">
      <x:c r="A165" s="114" t="n">
        <x:v>149</x:v>
      </x:c>
      <x:c r="B165" s="114" t="n">
        <x:v>38</x:v>
      </x:c>
      <x:c r="C165" s="114" t="n">
        <x:v>1</x:v>
      </x:c>
      <x:c r="D165" s="168" t="n">
        <x:f>$I$5</x:f>
        <x:v>0</x:v>
      </x:c>
      <x:c r="E165" s="168" t="n">
        <x:f>$J$5</x:f>
        <x:v>0</x:v>
      </x:c>
      <x:c r="F165" s="168" t="n">
        <x:f>$K$5</x:f>
        <x:v>0</x:v>
      </x:c>
      <x:c r="G165" s="242" t="n">
        <x:f>AI164</x:f>
        <x:v>1.5280128412406355</x:v>
      </x:c>
      <x:c r="H165" s="242" t="n">
        <x:f>AJ164</x:f>
        <x:v>-1.9506285745315322</x:v>
      </x:c>
      <x:c r="I165" s="242" t="n">
        <x:f>AK164</x:f>
        <x:v>-1.2975056278871357</x:v>
      </x:c>
      <x:c r="J165" s="242" t="n">
        <x:f>AL164</x:f>
        <x:v>1.5345472173191232</x:v>
      </x:c>
      <x:c r="K165" s="242" t="n">
        <x:f>AM164</x:f>
        <x:v>-1.811071797630428</x:v>
      </x:c>
      <x:c r="L165" s="242" t="n">
        <x:f>AN164</x:f>
        <x:v>1.450452387932528</x:v>
      </x:c>
      <x:c r="M165" s="242" t="n">
        <x:f>AO164</x:f>
        <x:v>1.8076927150340272</x:v>
      </x:c>
      <x:c r="N165" s="242" t="n">
        <x:f>AP164</x:f>
        <x:v>-1.8851903586851295</x:v>
      </x:c>
      <x:c r="O165" s="242" t="n">
        <x:f>AQ164</x:f>
        <x:v>0.9135440724410715</x:v>
      </x:c>
      <x:c r="P165" s="243" t="n">
        <x:f>D165*G165+E165*H165+I165</x:f>
        <x:v>-1.2975056278871357</x:v>
      </x:c>
      <x:c r="Q165" s="243" t="n">
        <x:f>1/(1+EXP(-P165))</x:f>
        <x:v>0.2145851150026125</x:v>
      </x:c>
      <x:c r="R165" s="243" t="n">
        <x:f>D165*J165+E165*K165+L165</x:f>
        <x:v>1.450452387932528</x:v>
      </x:c>
      <x:c r="S165" s="243" t="n">
        <x:f>1/(1+EXP(-R165))</x:f>
        <x:v>0.8100680471630307</x:v>
      </x:c>
      <x:c r="T165" s="243" t="n">
        <x:f>Q165*M165+S165*N165+O165</x:f>
        <x:v>-0.22568445080460342</x:v>
      </x:c>
      <x:c r="U165" s="243" t="n">
        <x:f>1/(1+EXP(-T165))</x:f>
        <x:v>0.4438171507411751</x:v>
      </x:c>
      <x:c r="V165" s="243" t="n">
        <x:f>0.5*(F165-U165)^2</x:f>
        <x:v>0.09848683164600748</x:v>
      </x:c>
      <x:c r="W165" s="244" t="n">
        <x:f>(U165-F165)*U165*(1-U165)</x:f>
        <x:v>0.10955337327870128</x:v>
      </x:c>
      <x:c r="X165" s="244" t="n">
        <x:f>W165*M165*Q165*(1-Q165)</x:f>
        <x:v>0.03337713714758827</x:v>
      </x:c>
      <x:c r="Y165" s="244" t="n">
        <x:f>W165*N165*S165*(1-S165)</x:f>
        <x:v>-0.031776093159397514</x:v>
      </x:c>
      <x:c r="Z165" s="245" t="n">
        <x:f>X165*D165</x:f>
        <x:v>0</x:v>
      </x:c>
      <x:c r="AA165" s="245" t="n">
        <x:f>X165*E165</x:f>
        <x:v>0</x:v>
      </x:c>
      <x:c r="AB165" s="245" t="n">
        <x:f>X165</x:f>
        <x:v>0.03337713714758827</x:v>
      </x:c>
      <x:c r="AC165" s="245" t="n">
        <x:f>Y165*D165</x:f>
        <x:v>0</x:v>
      </x:c>
      <x:c r="AD165" s="245" t="n">
        <x:f>Y165*E165</x:f>
        <x:v>0</x:v>
      </x:c>
      <x:c r="AE165" s="245" t="n">
        <x:f>Y165</x:f>
        <x:v>-0.031776093159397514</x:v>
      </x:c>
      <x:c r="AF165" s="245" t="n">
        <x:f>W165*Q165</x:f>
        <x:v>0.023508523203934248</x:v>
      </x:c>
      <x:c r="AG165" s="245" t="n">
        <x:f>W165*S165</x:f>
        <x:v>0.0887456871520001</x:v>
      </x:c>
      <x:c r="AH165" s="245" t="n">
        <x:f>W165</x:f>
        <x:v>0.10955337327870128</x:v>
      </x:c>
      <x:c r="AI165" s="246" t="n">
        <x:f>G165-$B$4*Z165</x:f>
        <x:v>1.5280128412406355</x:v>
      </x:c>
      <x:c r="AJ165" s="246" t="n">
        <x:f>H165-$B$4*AA165</x:f>
        <x:v>-1.9506285745315322</x:v>
      </x:c>
      <x:c r="AK165" s="246" t="n">
        <x:f>I165-$B$4*AB165</x:f>
        <x:v>-1.330882765034724</x:v>
      </x:c>
      <x:c r="AL165" s="246" t="n">
        <x:f>J165-$B$4*AC165</x:f>
        <x:v>1.5345472173191232</x:v>
      </x:c>
      <x:c r="AM165" s="246" t="n">
        <x:f>K165-$B$4*AD165</x:f>
        <x:v>-1.811071797630428</x:v>
      </x:c>
      <x:c r="AN165" s="246" t="n">
        <x:f>L165-$B$4*AE165</x:f>
        <x:v>1.4822284810919255</x:v>
      </x:c>
      <x:c r="AO165" s="246" t="n">
        <x:f>M165-$B$4*AF165</x:f>
        <x:v>1.784184191830093</x:v>
      </x:c>
      <x:c r="AP165" s="246" t="n">
        <x:f>N165-$B$4*AG165</x:f>
        <x:v>-1.9739360458371296</x:v>
      </x:c>
      <x:c r="AQ165" s="246" t="n">
        <x:f>O165-$B$4*AH165</x:f>
        <x:v>0.8039906991623702</x:v>
      </x:c>
      <x:c r="AR165" s="182" t="n">
        <x:f>IF(U165&gt;=$B$5,1,0)</x:f>
        <x:v>0</x:v>
      </x:c>
      <x:c r="AS165" s="182" t="n">
        <x:f>IF(AR165=F165,1,0)</x:f>
        <x:v>1</x:v>
      </x:c>
      <x:c r="AT165" s="252" t="n">
        <x:f>ABS(F165-U165)</x:f>
        <x:v>0.4438171507411751</x:v>
      </x:c>
    </x:row>
    <x:row r="166">
      <x:c r="A166" s="114" t="n">
        <x:v>150</x:v>
      </x:c>
      <x:c r="B166" s="114" t="n">
        <x:v>38</x:v>
      </x:c>
      <x:c r="C166" s="114" t="n">
        <x:v>2</x:v>
      </x:c>
      <x:c r="D166" s="168" t="n">
        <x:f>$I$6</x:f>
        <x:v>0</x:v>
      </x:c>
      <x:c r="E166" s="168" t="n">
        <x:f>$J$6</x:f>
        <x:v>1</x:v>
      </x:c>
      <x:c r="F166" s="168" t="n">
        <x:f>$K$6</x:f>
        <x:v>1</x:v>
      </x:c>
      <x:c r="G166" s="242" t="n">
        <x:f>AI165</x:f>
        <x:v>1.5280128412406355</x:v>
      </x:c>
      <x:c r="H166" s="242" t="n">
        <x:f>AJ165</x:f>
        <x:v>-1.9506285745315322</x:v>
      </x:c>
      <x:c r="I166" s="242" t="n">
        <x:f>AK165</x:f>
        <x:v>-1.330882765034724</x:v>
      </x:c>
      <x:c r="J166" s="242" t="n">
        <x:f>AL165</x:f>
        <x:v>1.5345472173191232</x:v>
      </x:c>
      <x:c r="K166" s="242" t="n">
        <x:f>AM165</x:f>
        <x:v>-1.811071797630428</x:v>
      </x:c>
      <x:c r="L166" s="242" t="n">
        <x:f>AN165</x:f>
        <x:v>1.4822284810919255</x:v>
      </x:c>
      <x:c r="M166" s="242" t="n">
        <x:f>AO165</x:f>
        <x:v>1.784184191830093</x:v>
      </x:c>
      <x:c r="N166" s="242" t="n">
        <x:f>AP165</x:f>
        <x:v>-1.9739360458371296</x:v>
      </x:c>
      <x:c r="O166" s="242" t="n">
        <x:f>AQ165</x:f>
        <x:v>0.8039906991623702</x:v>
      </x:c>
      <x:c r="P166" s="243" t="n">
        <x:f>D166*G166+E166*H166+I166</x:f>
        <x:v>-3.281511339566256</x:v>
      </x:c>
      <x:c r="Q166" s="243" t="n">
        <x:f>1/(1+EXP(-P166))</x:f>
        <x:v>0.03621093408633668</x:v>
      </x:c>
      <x:c r="R166" s="243" t="n">
        <x:f>D166*J166+E166*K166+L166</x:f>
        <x:v>-0.3288433165385025</x:v>
      </x:c>
      <x:c r="S166" s="243" t="n">
        <x:f>1/(1+EXP(-R166))</x:f>
        <x:v>0.4185220886489743</x:v>
      </x:c>
      <x:c r="T166" s="243" t="n">
        <x:f>Q166*M166+S166*N166+O166</x:f>
        <x:v>0.04246183856736074</x:v>
      </x:c>
      <x:c r="U166" s="243" t="n">
        <x:f>1/(1+EXP(-T166))</x:f>
        <x:v>0.5106138649497104</x:v>
      </x:c>
      <x:c r="V166" s="243" t="n">
        <x:f>0.5*(F166-U166)^2</x:f>
        <x:v>0.11974939458973015</x:v>
      </x:c>
      <x:c r="W166" s="244" t="n">
        <x:f>(U166-F166)*U166*(1-U166)</x:f>
        <x:v>-0.1222914023937001</x:v>
      </x:c>
      <x:c r="X166" s="244" t="n">
        <x:f>W166*M166*Q166*(1-Q166)</x:f>
        <x:v>-0.0076147795576865995</x:v>
      </x:c>
      <x:c r="Y166" s="244" t="n">
        <x:f>W166*N166*S166*(1-S166)</x:f>
        <x:v>0.05874631219047574</x:v>
      </x:c>
      <x:c r="Z166" s="245" t="n">
        <x:f>X166*D166</x:f>
        <x:v>0</x:v>
      </x:c>
      <x:c r="AA166" s="245" t="n">
        <x:f>X166*E166</x:f>
        <x:v>-0.0076147795576865995</x:v>
      </x:c>
      <x:c r="AB166" s="245" t="n">
        <x:f>X166</x:f>
        <x:v>-0.0076147795576865995</x:v>
      </x:c>
      <x:c r="AC166" s="245" t="n">
        <x:f>Y166*D166</x:f>
        <x:v>0</x:v>
      </x:c>
      <x:c r="AD166" s="245" t="n">
        <x:f>Y166*E166</x:f>
        <x:v>0.05874631219047574</x:v>
      </x:c>
      <x:c r="AE166" s="245" t="n">
        <x:f>Y166</x:f>
        <x:v>0.05874631219047574</x:v>
      </x:c>
      <x:c r="AF166" s="245" t="n">
        <x:f>W166*Q166</x:f>
        <x:v>-0.00442828591140395</x:v>
      </x:c>
      <x:c r="AG166" s="245" t="n">
        <x:f>W166*S166</x:f>
        <x:v>-0.05118165315362354</x:v>
      </x:c>
      <x:c r="AH166" s="245" t="n">
        <x:f>W166</x:f>
        <x:v>-0.1222914023937001</x:v>
      </x:c>
      <x:c r="AI166" s="246" t="n">
        <x:f>G166-$B$4*Z166</x:f>
        <x:v>1.5280128412406355</x:v>
      </x:c>
      <x:c r="AJ166" s="246" t="n">
        <x:f>H166-$B$4*AA166</x:f>
        <x:v>-1.9430137949738455</x:v>
      </x:c>
      <x:c r="AK166" s="246" t="n">
        <x:f>I166-$B$4*AB166</x:f>
        <x:v>-1.3232679854770373</x:v>
      </x:c>
      <x:c r="AL166" s="246" t="n">
        <x:f>J166-$B$4*AC166</x:f>
        <x:v>1.5345472173191232</x:v>
      </x:c>
      <x:c r="AM166" s="246" t="n">
        <x:f>K166-$B$4*AD166</x:f>
        <x:v>-1.8698181098209037</x:v>
      </x:c>
      <x:c r="AN166" s="246" t="n">
        <x:f>L166-$B$4*AE166</x:f>
        <x:v>1.4234821689014499</x:v>
      </x:c>
      <x:c r="AO166" s="246" t="n">
        <x:f>M166-$B$4*AF166</x:f>
        <x:v>1.788612477741497</x:v>
      </x:c>
      <x:c r="AP166" s="246" t="n">
        <x:f>N166-$B$4*AG166</x:f>
        <x:v>-1.922754392683506</x:v>
      </x:c>
      <x:c r="AQ166" s="246" t="n">
        <x:f>O166-$B$4*AH166</x:f>
        <x:v>0.9262821015560703</x:v>
      </x:c>
      <x:c r="AR166" s="182" t="n">
        <x:f>IF(U166&gt;=$B$5,1,0)</x:f>
        <x:v>1</x:v>
      </x:c>
      <x:c r="AS166" s="182" t="n">
        <x:f>IF(AR166=F166,1,0)</x:f>
        <x:v>1</x:v>
      </x:c>
      <x:c r="AT166" s="252" t="n">
        <x:f>ABS(F166-U166)</x:f>
        <x:v>0.4893861350502896</x:v>
      </x:c>
    </x:row>
    <x:row r="167">
      <x:c r="A167" s="114" t="n">
        <x:v>151</x:v>
      </x:c>
      <x:c r="B167" s="114" t="n">
        <x:v>38</x:v>
      </x:c>
      <x:c r="C167" s="114" t="n">
        <x:v>3</x:v>
      </x:c>
      <x:c r="D167" s="168" t="n">
        <x:f>$I$7</x:f>
        <x:v>1</x:v>
      </x:c>
      <x:c r="E167" s="168" t="n">
        <x:f>$J$7</x:f>
        <x:v>0</x:v>
      </x:c>
      <x:c r="F167" s="168" t="n">
        <x:f>$K$7</x:f>
        <x:v>1</x:v>
      </x:c>
      <x:c r="G167" s="242" t="n">
        <x:f>AI166</x:f>
        <x:v>1.5280128412406355</x:v>
      </x:c>
      <x:c r="H167" s="242" t="n">
        <x:f>AJ166</x:f>
        <x:v>-1.9430137949738455</x:v>
      </x:c>
      <x:c r="I167" s="242" t="n">
        <x:f>AK166</x:f>
        <x:v>-1.3232679854770373</x:v>
      </x:c>
      <x:c r="J167" s="242" t="n">
        <x:f>AL166</x:f>
        <x:v>1.5345472173191232</x:v>
      </x:c>
      <x:c r="K167" s="242" t="n">
        <x:f>AM166</x:f>
        <x:v>-1.8698181098209037</x:v>
      </x:c>
      <x:c r="L167" s="242" t="n">
        <x:f>AN166</x:f>
        <x:v>1.4234821689014499</x:v>
      </x:c>
      <x:c r="M167" s="242" t="n">
        <x:f>AO166</x:f>
        <x:v>1.788612477741497</x:v>
      </x:c>
      <x:c r="N167" s="242" t="n">
        <x:f>AP166</x:f>
        <x:v>-1.922754392683506</x:v>
      </x:c>
      <x:c r="O167" s="242" t="n">
        <x:f>AQ166</x:f>
        <x:v>0.9262821015560703</x:v>
      </x:c>
      <x:c r="P167" s="243" t="n">
        <x:f>D167*G167+E167*H167+I167</x:f>
        <x:v>0.20474485576359824</x:v>
      </x:c>
      <x:c r="Q167" s="243" t="n">
        <x:f>1/(1+EXP(-P167))</x:f>
        <x:v>0.5510081479122961</x:v>
      </x:c>
      <x:c r="R167" s="243" t="n">
        <x:f>D167*J167+E167*K167+L167</x:f>
        <x:v>2.958029386220573</x:v>
      </x:c>
      <x:c r="S167" s="243" t="n">
        <x:f>1/(1+EXP(-R167))</x:f>
        <x:v>0.9506416105727065</x:v>
      </x:c>
      <x:c r="T167" s="243" t="n">
        <x:f>Q167*M167+S167*N167+O167</x:f>
        <x:v>0.08397181765284134</x:v>
      </x:c>
      <x:c r="U167" s="243" t="n">
        <x:f>1/(1+EXP(-T167))</x:f>
        <x:v>0.520980627529397</x:v>
      </x:c>
      <x:c r="V167" s="243" t="n">
        <x:f>0.5*(F167-U167)^2</x:f>
        <x:v>0.11472977960106515</x:v>
      </x:c>
      <x:c r="W167" s="244" t="n">
        <x:f>(U167-F167)*U167*(1-U167)</x:f>
        <x:v>-0.11954398514574466</x:v>
      </x:c>
      <x:c r="X167" s="244" t="n">
        <x:f>W167*M167*Q167*(1-Q167)</x:f>
        <x:v>-0.05289814788931534</x:v>
      </x:c>
      <x:c r="Y167" s="244" t="n">
        <x:f>W167*N167*S167*(1-S167)</x:f>
        <x:v>0.010785228278254738</x:v>
      </x:c>
      <x:c r="Z167" s="245" t="n">
        <x:f>X167*D167</x:f>
        <x:v>-0.05289814788931534</x:v>
      </x:c>
      <x:c r="AA167" s="245" t="n">
        <x:f>X167*E167</x:f>
        <x:v>0</x:v>
      </x:c>
      <x:c r="AB167" s="245" t="n">
        <x:f>X167</x:f>
        <x:v>-0.05289814788931534</x:v>
      </x:c>
      <x:c r="AC167" s="245" t="n">
        <x:f>Y167*D167</x:f>
        <x:v>0.010785228278254738</x:v>
      </x:c>
      <x:c r="AD167" s="245" t="n">
        <x:f>Y167*E167</x:f>
        <x:v>0</x:v>
      </x:c>
      <x:c r="AE167" s="245" t="n">
        <x:f>Y167</x:f>
        <x:v>0.010785228278254738</x:v>
      </x:c>
      <x:c r="AF167" s="245" t="n">
        <x:f>W167*Q167</x:f>
        <x:v>-0.06586970984921181</x:v>
      </x:c>
      <x:c r="AG167" s="245" t="n">
        <x:f>W167*S167</x:f>
        <x:v>-0.1136434865732304</x:v>
      </x:c>
      <x:c r="AH167" s="245" t="n">
        <x:f>W167</x:f>
        <x:v>-0.11954398514574466</x:v>
      </x:c>
      <x:c r="AI167" s="246" t="n">
        <x:f>G167-$B$4*Z167</x:f>
        <x:v>1.5809109891299509</x:v>
      </x:c>
      <x:c r="AJ167" s="246" t="n">
        <x:f>H167-$B$4*AA167</x:f>
        <x:v>-1.9430137949738455</x:v>
      </x:c>
      <x:c r="AK167" s="246" t="n">
        <x:f>I167-$B$4*AB167</x:f>
        <x:v>-1.270369837587722</x:v>
      </x:c>
      <x:c r="AL167" s="246" t="n">
        <x:f>J167-$B$4*AC167</x:f>
        <x:v>1.5237619890408685</x:v>
      </x:c>
      <x:c r="AM167" s="246" t="n">
        <x:f>K167-$B$4*AD167</x:f>
        <x:v>-1.8698181098209037</x:v>
      </x:c>
      <x:c r="AN167" s="246" t="n">
        <x:f>L167-$B$4*AE167</x:f>
        <x:v>1.412696940623195</x:v>
      </x:c>
      <x:c r="AO167" s="246" t="n">
        <x:f>M167-$B$4*AF167</x:f>
        <x:v>1.8544821875907087</x:v>
      </x:c>
      <x:c r="AP167" s="246" t="n">
        <x:f>N167-$B$4*AG167</x:f>
        <x:v>-1.8091109061102757</x:v>
      </x:c>
      <x:c r="AQ167" s="246" t="n">
        <x:f>O167-$B$4*AH167</x:f>
        <x:v>1.045826086701815</x:v>
      </x:c>
      <x:c r="AR167" s="182" t="n">
        <x:f>IF(U167&gt;=$B$5,1,0)</x:f>
        <x:v>1</x:v>
      </x:c>
      <x:c r="AS167" s="182" t="n">
        <x:f>IF(AR167=F167,1,0)</x:f>
        <x:v>1</x:v>
      </x:c>
      <x:c r="AT167" s="252" t="n">
        <x:f>ABS(F167-U167)</x:f>
        <x:v>0.479019372470603</x:v>
      </x:c>
    </x:row>
    <x:row r="168">
      <x:c r="A168" s="114" t="n">
        <x:v>152</x:v>
      </x:c>
      <x:c r="B168" s="114" t="n">
        <x:v>38</x:v>
      </x:c>
      <x:c r="C168" s="114" t="n">
        <x:v>4</x:v>
      </x:c>
      <x:c r="D168" s="168" t="n">
        <x:f>$I$8</x:f>
        <x:v>1</x:v>
      </x:c>
      <x:c r="E168" s="168" t="n">
        <x:f>$J$8</x:f>
        <x:v>1</x:v>
      </x:c>
      <x:c r="F168" s="168" t="n">
        <x:f>$K$8</x:f>
        <x:v>0</x:v>
      </x:c>
      <x:c r="G168" s="242" t="n">
        <x:f>AI167</x:f>
        <x:v>1.5809109891299509</x:v>
      </x:c>
      <x:c r="H168" s="242" t="n">
        <x:f>AJ167</x:f>
        <x:v>-1.9430137949738455</x:v>
      </x:c>
      <x:c r="I168" s="242" t="n">
        <x:f>AK167</x:f>
        <x:v>-1.270369837587722</x:v>
      </x:c>
      <x:c r="J168" s="242" t="n">
        <x:f>AL167</x:f>
        <x:v>1.5237619890408685</x:v>
      </x:c>
      <x:c r="K168" s="242" t="n">
        <x:f>AM167</x:f>
        <x:v>-1.8698181098209037</x:v>
      </x:c>
      <x:c r="L168" s="242" t="n">
        <x:f>AN167</x:f>
        <x:v>1.412696940623195</x:v>
      </x:c>
      <x:c r="M168" s="242" t="n">
        <x:f>AO167</x:f>
        <x:v>1.8544821875907087</x:v>
      </x:c>
      <x:c r="N168" s="242" t="n">
        <x:f>AP167</x:f>
        <x:v>-1.8091109061102757</x:v>
      </x:c>
      <x:c r="O168" s="242" t="n">
        <x:f>AQ167</x:f>
        <x:v>1.045826086701815</x:v>
      </x:c>
      <x:c r="P168" s="243" t="n">
        <x:f>D168*G168+E168*H168+I168</x:f>
        <x:v>-1.6324726434316166</x:v>
      </x:c>
      <x:c r="Q168" s="243" t="n">
        <x:f>1/(1+EXP(-P168))</x:f>
        <x:v>0.16349191536203245</x:v>
      </x:c>
      <x:c r="R168" s="243" t="n">
        <x:f>D168*J168+E168*K168+L168</x:f>
        <x:v>1.0666408198431598</x:v>
      </x:c>
      <x:c r="S168" s="243" t="n">
        <x:f>1/(1+EXP(-R168))</x:f>
        <x:v>0.7439575679312507</x:v>
      </x:c>
      <x:c r="T168" s="243" t="n">
        <x:f>Q168*M168+S168*N168+O168</x:f>
        <x:v>0.003117181728089946</x:v>
      </x:c>
      <x:c r="U168" s="243" t="n">
        <x:f>1/(1+EXP(-T168))</x:f>
        <x:v>0.5007792948010003</x:v>
      </x:c>
      <x:c r="V168" s="243" t="n">
        <x:f>0.5*(F168-U168)^2</x:f>
        <x:v>0.12538995105069356</x:v>
      </x:c>
      <x:c r="W168" s="244" t="n">
        <x:f>(U168-F168)*U168*(1-U168)</x:f>
        <x:v>0.1251945195767906</x:v>
      </x:c>
      <x:c r="X168" s="244" t="n">
        <x:f>W168*M168*Q168*(1-Q168)</x:f>
        <x:v>0.03175224293094401</x:v>
      </x:c>
      <x:c r="Y168" s="244" t="n">
        <x:f>W168*N168*S168*(1-S168)</x:f>
        <x:v>-0.043143027662956454</x:v>
      </x:c>
      <x:c r="Z168" s="245" t="n">
        <x:f>X168*D168</x:f>
        <x:v>0.03175224293094401</x:v>
      </x:c>
      <x:c r="AA168" s="245" t="n">
        <x:f>X168*E168</x:f>
        <x:v>0.03175224293094401</x:v>
      </x:c>
      <x:c r="AB168" s="245" t="n">
        <x:f>X168</x:f>
        <x:v>0.03175224293094401</x:v>
      </x:c>
      <x:c r="AC168" s="245" t="n">
        <x:f>Y168*D168</x:f>
        <x:v>-0.043143027662956454</x:v>
      </x:c>
      <x:c r="AD168" s="245" t="n">
        <x:f>Y168*E168</x:f>
        <x:v>-0.043143027662956454</x:v>
      </x:c>
      <x:c r="AE168" s="245" t="n">
        <x:f>Y168</x:f>
        <x:v>-0.043143027662956454</x:v>
      </x:c>
      <x:c r="AF168" s="245" t="n">
        <x:f>W168*Q168</x:f>
        <x:v>0.02046829179843896</x:v>
      </x:c>
      <x:c r="AG168" s="245" t="n">
        <x:f>W168*S168</x:f>
        <x:v>0.09313941030267048</x:v>
      </x:c>
      <x:c r="AH168" s="245" t="n">
        <x:f>W168</x:f>
        <x:v>0.1251945195767906</x:v>
      </x:c>
      <x:c r="AI168" s="246" t="n">
        <x:f>G168-$B$4*Z168</x:f>
        <x:v>1.5491587461990068</x:v>
      </x:c>
      <x:c r="AJ168" s="246" t="n">
        <x:f>H168-$B$4*AA168</x:f>
        <x:v>-1.9747660379047896</x:v>
      </x:c>
      <x:c r="AK168" s="246" t="n">
        <x:f>I168-$B$4*AB168</x:f>
        <x:v>-1.302122080518666</x:v>
      </x:c>
      <x:c r="AL168" s="246" t="n">
        <x:f>J168-$B$4*AC168</x:f>
        <x:v>1.566905016703825</x:v>
      </x:c>
      <x:c r="AM168" s="246" t="n">
        <x:f>K168-$B$4*AD168</x:f>
        <x:v>-1.8266750821579472</x:v>
      </x:c>
      <x:c r="AN168" s="246" t="n">
        <x:f>L168-$B$4*AE168</x:f>
        <x:v>1.4558399682861516</x:v>
      </x:c>
      <x:c r="AO168" s="246" t="n">
        <x:f>M168-$B$4*AF168</x:f>
        <x:v>1.8340138957922698</x:v>
      </x:c>
      <x:c r="AP168" s="246" t="n">
        <x:f>N168-$B$4*AG168</x:f>
        <x:v>-1.902250316412946</x:v>
      </x:c>
      <x:c r="AQ168" s="246" t="n">
        <x:f>O168-$B$4*AH168</x:f>
        <x:v>0.9206315671250244</x:v>
      </x:c>
      <x:c r="AR168" s="182" t="n">
        <x:f>IF(U168&gt;=$B$5,1,0)</x:f>
        <x:v>1</x:v>
      </x:c>
      <x:c r="AS168" s="182" t="n">
        <x:f>IF(AR168=F168,1,0)</x:f>
        <x:v>0</x:v>
      </x:c>
      <x:c r="AT168" s="252" t="n">
        <x:f>ABS(F168-U168)</x:f>
        <x:v>0.5007792948010003</x:v>
      </x:c>
    </x:row>
    <x:row r="169">
      <x:c r="A169" s="114" t="n">
        <x:v>153</x:v>
      </x:c>
      <x:c r="B169" s="114" t="n">
        <x:v>39</x:v>
      </x:c>
      <x:c r="C169" s="114" t="n">
        <x:v>1</x:v>
      </x:c>
      <x:c r="D169" s="168" t="n">
        <x:f>$I$5</x:f>
        <x:v>0</x:v>
      </x:c>
      <x:c r="E169" s="168" t="n">
        <x:f>$J$5</x:f>
        <x:v>0</x:v>
      </x:c>
      <x:c r="F169" s="168" t="n">
        <x:f>$K$5</x:f>
        <x:v>0</x:v>
      </x:c>
      <x:c r="G169" s="242" t="n">
        <x:f>AI168</x:f>
        <x:v>1.5491587461990068</x:v>
      </x:c>
      <x:c r="H169" s="242" t="n">
        <x:f>AJ168</x:f>
        <x:v>-1.9747660379047896</x:v>
      </x:c>
      <x:c r="I169" s="242" t="n">
        <x:f>AK168</x:f>
        <x:v>-1.302122080518666</x:v>
      </x:c>
      <x:c r="J169" s="242" t="n">
        <x:f>AL168</x:f>
        <x:v>1.566905016703825</x:v>
      </x:c>
      <x:c r="K169" s="242" t="n">
        <x:f>AM168</x:f>
        <x:v>-1.8266750821579472</x:v>
      </x:c>
      <x:c r="L169" s="242" t="n">
        <x:f>AN168</x:f>
        <x:v>1.4558399682861516</x:v>
      </x:c>
      <x:c r="M169" s="242" t="n">
        <x:f>AO168</x:f>
        <x:v>1.8340138957922698</x:v>
      </x:c>
      <x:c r="N169" s="242" t="n">
        <x:f>AP168</x:f>
        <x:v>-1.902250316412946</x:v>
      </x:c>
      <x:c r="O169" s="242" t="n">
        <x:f>AQ168</x:f>
        <x:v>0.9206315671250244</x:v>
      </x:c>
      <x:c r="P169" s="243" t="n">
        <x:f>D169*G169+E169*H169+I169</x:f>
        <x:v>-1.302122080518666</x:v>
      </x:c>
      <x:c r="Q169" s="243" t="n">
        <x:f>1/(1+EXP(-P169))</x:f>
        <x:v>0.21380809091385736</x:v>
      </x:c>
      <x:c r="R169" s="243" t="n">
        <x:f>D169*J169+E169*K169+L169</x:f>
        <x:v>1.4558399682861516</x:v>
      </x:c>
      <x:c r="S169" s="243" t="n">
        <x:f>1/(1+EXP(-R169))</x:f>
        <x:v>0.8108955840408811</x:v>
      </x:c>
      <x:c r="T169" s="243" t="n">
        <x:f>Q169*M169+S169*N169+O169</x:f>
        <x:v>-0.22976780442577105</x:v>
      </x:c>
      <x:c r="U169" s="243" t="n">
        <x:f>1/(1+EXP(-T169))</x:f>
        <x:v>0.44280943407779605</x:v>
      </x:c>
      <x:c r="V169" s="243" t="n">
        <x:f>0.5*(F169-U169)^2</x:f>
        <x:v>0.098040097454149</x:v>
      </x:c>
      <x:c r="W169" s="244" t="n">
        <x:f>(U169-F169)*U169*(1-U169)</x:f>
        <x:v>0.10925403476709061</x:v>
      </x:c>
      <x:c r="X169" s="244" t="n">
        <x:f>W169*M169*Q169*(1-Q169)</x:f>
        <x:v>0.03368160762034757</x:v>
      </x:c>
      <x:c r="Y169" s="244" t="n">
        <x:f>W169*N169*S169*(1-S169)</x:f>
        <x:v>-0.031869243571388886</x:v>
      </x:c>
      <x:c r="Z169" s="245" t="n">
        <x:f>X169*D169</x:f>
        <x:v>0</x:v>
      </x:c>
      <x:c r="AA169" s="245" t="n">
        <x:f>X169*E169</x:f>
        <x:v>0</x:v>
      </x:c>
      <x:c r="AB169" s="245" t="n">
        <x:f>X169</x:f>
        <x:v>0.03368160762034757</x:v>
      </x:c>
      <x:c r="AC169" s="245" t="n">
        <x:f>Y169*D169</x:f>
        <x:v>0</x:v>
      </x:c>
      <x:c r="AD169" s="245" t="n">
        <x:f>Y169*E169</x:f>
        <x:v>0</x:v>
      </x:c>
      <x:c r="AE169" s="245" t="n">
        <x:f>Y169</x:f>
        <x:v>-0.031869243571388886</x:v>
      </x:c>
      <x:c r="AF169" s="245" t="n">
        <x:f>W169*Q169</x:f>
        <x:v>0.023359396598187844</x:v>
      </x:c>
      <x:c r="AG169" s="245" t="n">
        <x:f>W169*S169</x:f>
        <x:v>0.08859361433128267</x:v>
      </x:c>
      <x:c r="AH169" s="245" t="n">
        <x:f>W169</x:f>
        <x:v>0.10925403476709061</x:v>
      </x:c>
      <x:c r="AI169" s="246" t="n">
        <x:f>G169-$B$4*Z169</x:f>
        <x:v>1.5491587461990068</x:v>
      </x:c>
      <x:c r="AJ169" s="246" t="n">
        <x:f>H169-$B$4*AA169</x:f>
        <x:v>-1.9747660379047896</x:v>
      </x:c>
      <x:c r="AK169" s="246" t="n">
        <x:f>I169-$B$4*AB169</x:f>
        <x:v>-1.3358036881390136</x:v>
      </x:c>
      <x:c r="AL169" s="246" t="n">
        <x:f>J169-$B$4*AC169</x:f>
        <x:v>1.566905016703825</x:v>
      </x:c>
      <x:c r="AM169" s="246" t="n">
        <x:f>K169-$B$4*AD169</x:f>
        <x:v>-1.8266750821579472</x:v>
      </x:c>
      <x:c r="AN169" s="246" t="n">
        <x:f>L169-$B$4*AE169</x:f>
        <x:v>1.4877092118575406</x:v>
      </x:c>
      <x:c r="AO169" s="246" t="n">
        <x:f>M169-$B$4*AF169</x:f>
        <x:v>1.810654499194082</x:v>
      </x:c>
      <x:c r="AP169" s="246" t="n">
        <x:f>N169-$B$4*AG169</x:f>
        <x:v>-1.9908439307442287</x:v>
      </x:c>
      <x:c r="AQ169" s="246" t="n">
        <x:f>O169-$B$4*AH169</x:f>
        <x:v>0.8113775323579338</x:v>
      </x:c>
      <x:c r="AR169" s="182" t="n">
        <x:f>IF(U169&gt;=$B$5,1,0)</x:f>
        <x:v>0</x:v>
      </x:c>
      <x:c r="AS169" s="182" t="n">
        <x:f>IF(AR169=F169,1,0)</x:f>
        <x:v>1</x:v>
      </x:c>
      <x:c r="AT169" s="252" t="n">
        <x:f>ABS(F169-U169)</x:f>
        <x:v>0.44280943407779605</x:v>
      </x:c>
    </x:row>
    <x:row r="170">
      <x:c r="A170" s="114" t="n">
        <x:v>154</x:v>
      </x:c>
      <x:c r="B170" s="114" t="n">
        <x:v>39</x:v>
      </x:c>
      <x:c r="C170" s="114" t="n">
        <x:v>2</x:v>
      </x:c>
      <x:c r="D170" s="168" t="n">
        <x:f>$I$6</x:f>
        <x:v>0</x:v>
      </x:c>
      <x:c r="E170" s="168" t="n">
        <x:f>$J$6</x:f>
        <x:v>1</x:v>
      </x:c>
      <x:c r="F170" s="168" t="n">
        <x:f>$K$6</x:f>
        <x:v>1</x:v>
      </x:c>
      <x:c r="G170" s="242" t="n">
        <x:f>AI169</x:f>
        <x:v>1.5491587461990068</x:v>
      </x:c>
      <x:c r="H170" s="242" t="n">
        <x:f>AJ169</x:f>
        <x:v>-1.9747660379047896</x:v>
      </x:c>
      <x:c r="I170" s="242" t="n">
        <x:f>AK169</x:f>
        <x:v>-1.3358036881390136</x:v>
      </x:c>
      <x:c r="J170" s="242" t="n">
        <x:f>AL169</x:f>
        <x:v>1.566905016703825</x:v>
      </x:c>
      <x:c r="K170" s="242" t="n">
        <x:f>AM169</x:f>
        <x:v>-1.8266750821579472</x:v>
      </x:c>
      <x:c r="L170" s="242" t="n">
        <x:f>AN169</x:f>
        <x:v>1.4877092118575406</x:v>
      </x:c>
      <x:c r="M170" s="242" t="n">
        <x:f>AO169</x:f>
        <x:v>1.810654499194082</x:v>
      </x:c>
      <x:c r="N170" s="242" t="n">
        <x:f>AP169</x:f>
        <x:v>-1.9908439307442287</x:v>
      </x:c>
      <x:c r="O170" s="242" t="n">
        <x:f>AQ169</x:f>
        <x:v>0.8113775323579338</x:v>
      </x:c>
      <x:c r="P170" s="243" t="n">
        <x:f>D170*G170+E170*H170+I170</x:f>
        <x:v>-3.310569726043803</x:v>
      </x:c>
      <x:c r="Q170" s="243" t="n">
        <x:f>1/(1+EXP(-P170))</x:f>
        <x:v>0.03521036014987529</x:v>
      </x:c>
      <x:c r="R170" s="243" t="n">
        <x:f>D170*J170+E170*K170+L170</x:f>
        <x:v>-0.3389658703004066</x:v>
      </x:c>
      <x:c r="S170" s="243" t="n">
        <x:f>1/(1+EXP(-R170))</x:f>
        <x:v>0.41606070138270645</x:v>
      </x:c>
      <x:c r="T170" s="243" t="n">
        <x:f>Q170*M170+S170*N170+O170</x:f>
        <x:v>0.04681940721260136</x:v>
      </x:c>
      <x:c r="U170" s="243" t="n">
        <x:f>1/(1+EXP(-T170))</x:f>
        <x:v>0.511702714129984</x:v>
      </x:c>
      <x:c r="V170" s="243" t="n">
        <x:f>0.5*(F170-U170)^2</x:f>
        <x:v>0.11921711969401205</x:v>
      </x:c>
      <x:c r="W170" s="244" t="n">
        <x:f>(U170-F170)*U170*(1-U170)</x:f>
        <x:v>-0.12200744743637028</x:v>
      </x:c>
      <x:c r="X170" s="244" t="n">
        <x:f>W170*M170*Q170*(1-Q170)</x:f>
        <x:v>-0.007504556434463111</x:v>
      </x:c>
      <x:c r="Y170" s="244" t="n">
        <x:f>W170*N170*S170*(1-S170)</x:f>
        <x:v>0.05901303591479768</x:v>
      </x:c>
      <x:c r="Z170" s="245" t="n">
        <x:f>X170*D170</x:f>
        <x:v>0</x:v>
      </x:c>
      <x:c r="AA170" s="245" t="n">
        <x:f>X170*E170</x:f>
        <x:v>-0.007504556434463111</x:v>
      </x:c>
      <x:c r="AB170" s="245" t="n">
        <x:f>X170</x:f>
        <x:v>-0.007504556434463111</x:v>
      </x:c>
      <x:c r="AC170" s="245" t="n">
        <x:f>Y170*D170</x:f>
        <x:v>0</x:v>
      </x:c>
      <x:c r="AD170" s="245" t="n">
        <x:f>Y170*E170</x:f>
        <x:v>0.05901303591479768</x:v>
      </x:c>
      <x:c r="AE170" s="245" t="n">
        <x:f>Y170</x:f>
        <x:v>0.05901303591479768</x:v>
      </x:c>
      <x:c r="AF170" s="245" t="n">
        <x:f>W170*Q170</x:f>
        <x:v>-0.004295926165201576</x:v>
      </x:c>
      <x:c r="AG170" s="245" t="n">
        <x:f>W170*S170</x:f>
        <x:v>-0.05076250415428991</x:v>
      </x:c>
      <x:c r="AH170" s="245" t="n">
        <x:f>W170</x:f>
        <x:v>-0.12200744743637028</x:v>
      </x:c>
      <x:c r="AI170" s="246" t="n">
        <x:f>G170-$B$4*Z170</x:f>
        <x:v>1.5491587461990068</x:v>
      </x:c>
      <x:c r="AJ170" s="246" t="n">
        <x:f>H170-$B$4*AA170</x:f>
        <x:v>-1.9672614814703264</x:v>
      </x:c>
      <x:c r="AK170" s="246" t="n">
        <x:f>I170-$B$4*AB170</x:f>
        <x:v>-1.3282991317045505</x:v>
      </x:c>
      <x:c r="AL170" s="246" t="n">
        <x:f>J170-$B$4*AC170</x:f>
        <x:v>1.566905016703825</x:v>
      </x:c>
      <x:c r="AM170" s="246" t="n">
        <x:f>K170-$B$4*AD170</x:f>
        <x:v>-1.885688118072745</x:v>
      </x:c>
      <x:c r="AN170" s="246" t="n">
        <x:f>L170-$B$4*AE170</x:f>
        <x:v>1.4286961759427428</x:v>
      </x:c>
      <x:c r="AO170" s="246" t="n">
        <x:f>M170-$B$4*AF170</x:f>
        <x:v>1.8149504253592836</x:v>
      </x:c>
      <x:c r="AP170" s="246" t="n">
        <x:f>N170-$B$4*AG170</x:f>
        <x:v>-1.9400814265899389</x:v>
      </x:c>
      <x:c r="AQ170" s="246" t="n">
        <x:f>O170-$B$4*AH170</x:f>
        <x:v>0.933384979794304</x:v>
      </x:c>
      <x:c r="AR170" s="182" t="n">
        <x:f>IF(U170&gt;=$B$5,1,0)</x:f>
        <x:v>1</x:v>
      </x:c>
      <x:c r="AS170" s="182" t="n">
        <x:f>IF(AR170=F170,1,0)</x:f>
        <x:v>1</x:v>
      </x:c>
      <x:c r="AT170" s="252" t="n">
        <x:f>ABS(F170-U170)</x:f>
        <x:v>0.488297285870016</x:v>
      </x:c>
    </x:row>
    <x:row r="171">
      <x:c r="A171" s="114" t="n">
        <x:v>155</x:v>
      </x:c>
      <x:c r="B171" s="114" t="n">
        <x:v>39</x:v>
      </x:c>
      <x:c r="C171" s="114" t="n">
        <x:v>3</x:v>
      </x:c>
      <x:c r="D171" s="168" t="n">
        <x:f>$I$7</x:f>
        <x:v>1</x:v>
      </x:c>
      <x:c r="E171" s="168" t="n">
        <x:f>$J$7</x:f>
        <x:v>0</x:v>
      </x:c>
      <x:c r="F171" s="168" t="n">
        <x:f>$K$7</x:f>
        <x:v>1</x:v>
      </x:c>
      <x:c r="G171" s="242" t="n">
        <x:f>AI170</x:f>
        <x:v>1.5491587461990068</x:v>
      </x:c>
      <x:c r="H171" s="242" t="n">
        <x:f>AJ170</x:f>
        <x:v>-1.9672614814703264</x:v>
      </x:c>
      <x:c r="I171" s="242" t="n">
        <x:f>AK170</x:f>
        <x:v>-1.3282991317045505</x:v>
      </x:c>
      <x:c r="J171" s="242" t="n">
        <x:f>AL170</x:f>
        <x:v>1.566905016703825</x:v>
      </x:c>
      <x:c r="K171" s="242" t="n">
        <x:f>AM170</x:f>
        <x:v>-1.885688118072745</x:v>
      </x:c>
      <x:c r="L171" s="242" t="n">
        <x:f>AN170</x:f>
        <x:v>1.4286961759427428</x:v>
      </x:c>
      <x:c r="M171" s="242" t="n">
        <x:f>AO170</x:f>
        <x:v>1.8149504253592836</x:v>
      </x:c>
      <x:c r="N171" s="242" t="n">
        <x:f>AP170</x:f>
        <x:v>-1.9400814265899389</x:v>
      </x:c>
      <x:c r="O171" s="242" t="n">
        <x:f>AQ170</x:f>
        <x:v>0.933384979794304</x:v>
      </x:c>
      <x:c r="P171" s="243" t="n">
        <x:f>D171*G171+E171*H171+I171</x:f>
        <x:v>0.22085961449445635</x:v>
      </x:c>
      <x:c r="Q171" s="243" t="n">
        <x:f>1/(1+EXP(-P171))</x:f>
        <x:v>0.5549915492193469</x:v>
      </x:c>
      <x:c r="R171" s="243" t="n">
        <x:f>D171*J171+E171*K171+L171</x:f>
        <x:v>2.9956011926465678</x:v>
      </x:c>
      <x:c r="S171" s="243" t="n">
        <x:f>1/(1+EXP(-R171))</x:f>
        <x:v>0.9523750073160726</x:v>
      </x:c>
      <x:c r="T171" s="243" t="n">
        <x:f>Q171*M171+S171*N171+O171</x:f>
        <x:v>0.09298206527839603</x:v>
      </x:c>
      <x:c r="U171" s="243" t="n">
        <x:f>1/(1+EXP(-T171))</x:f>
        <x:v>0.523228783041949</x:v>
      </x:c>
      <x:c r="V171" s="243" t="n">
        <x:f>0.5*(F171-U171)^2</x:f>
        <x:v>0.11365539665983047</x:v>
      </x:c>
      <x:c r="W171" s="244" t="n">
        <x:f>(U171-F171)*U171*(1-U171)</x:f>
        <x:v>-0.1189355497609462</x:v>
      </x:c>
      <x:c r="X171" s="244" t="n">
        <x:f>W171*M171*Q171*(1-Q171)</x:f>
        <x:v>-0.053312749371156994</x:v>
      </x:c>
      <x:c r="Y171" s="244" t="n">
        <x:f>W171*N171*S171*(1-S171)</x:f>
        <x:v>0.010465851161971703</x:v>
      </x:c>
      <x:c r="Z171" s="245" t="n">
        <x:f>X171*D171</x:f>
        <x:v>-0.053312749371156994</x:v>
      </x:c>
      <x:c r="AA171" s="245" t="n">
        <x:f>X171*E171</x:f>
        <x:v>0</x:v>
      </x:c>
      <x:c r="AB171" s="245" t="n">
        <x:f>X171</x:f>
        <x:v>-0.053312749371156994</x:v>
      </x:c>
      <x:c r="AC171" s="245" t="n">
        <x:f>Y171*D171</x:f>
        <x:v>0.010465851161971703</x:v>
      </x:c>
      <x:c r="AD171" s="245" t="n">
        <x:f>Y171*E171</x:f>
        <x:v>0</x:v>
      </x:c>
      <x:c r="AE171" s="245" t="n">
        <x:f>Y171</x:f>
        <x:v>0.010465851161971703</x:v>
      </x:c>
      <x:c r="AF171" s="245" t="n">
        <x:f>W171*Q171</x:f>
        <x:v>-0.06600822501908225</x:v>
      </x:c>
      <x:c r="AG171" s="245" t="n">
        <x:f>W171*S171</x:f>
        <x:v>-0.11327124507372226</x:v>
      </x:c>
      <x:c r="AH171" s="245" t="n">
        <x:f>W171</x:f>
        <x:v>-0.1189355497609462</x:v>
      </x:c>
      <x:c r="AI171" s="246" t="n">
        <x:f>G171-$B$4*Z171</x:f>
        <x:v>1.6024714955701638</x:v>
      </x:c>
      <x:c r="AJ171" s="246" t="n">
        <x:f>H171-$B$4*AA171</x:f>
        <x:v>-1.9672614814703264</x:v>
      </x:c>
      <x:c r="AK171" s="246" t="n">
        <x:f>I171-$B$4*AB171</x:f>
        <x:v>-1.2749863823333936</x:v>
      </x:c>
      <x:c r="AL171" s="246" t="n">
        <x:f>J171-$B$4*AC171</x:f>
        <x:v>1.5564391655418532</x:v>
      </x:c>
      <x:c r="AM171" s="246" t="n">
        <x:f>K171-$B$4*AD171</x:f>
        <x:v>-1.885688118072745</x:v>
      </x:c>
      <x:c r="AN171" s="246" t="n">
        <x:f>L171-$B$4*AE171</x:f>
        <x:v>1.418230324780771</x:v>
      </x:c>
      <x:c r="AO171" s="246" t="n">
        <x:f>M171-$B$4*AF171</x:f>
        <x:v>1.880958650378366</x:v>
      </x:c>
      <x:c r="AP171" s="246" t="n">
        <x:f>N171-$B$4*AG171</x:f>
        <x:v>-1.8268101815162165</x:v>
      </x:c>
      <x:c r="AQ171" s="246" t="n">
        <x:f>O171-$B$4*AH171</x:f>
        <x:v>1.0523205295552502</x:v>
      </x:c>
      <x:c r="AR171" s="182" t="n">
        <x:f>IF(U171&gt;=$B$5,1,0)</x:f>
        <x:v>1</x:v>
      </x:c>
      <x:c r="AS171" s="182" t="n">
        <x:f>IF(AR171=F171,1,0)</x:f>
        <x:v>1</x:v>
      </x:c>
      <x:c r="AT171" s="252" t="n">
        <x:f>ABS(F171-U171)</x:f>
        <x:v>0.476771216958051</x:v>
      </x:c>
    </x:row>
    <x:row r="172">
      <x:c r="A172" s="114" t="n">
        <x:v>156</x:v>
      </x:c>
      <x:c r="B172" s="114" t="n">
        <x:v>39</x:v>
      </x:c>
      <x:c r="C172" s="114" t="n">
        <x:v>4</x:v>
      </x:c>
      <x:c r="D172" s="168" t="n">
        <x:f>$I$8</x:f>
        <x:v>1</x:v>
      </x:c>
      <x:c r="E172" s="168" t="n">
        <x:f>$J$8</x:f>
        <x:v>1</x:v>
      </x:c>
      <x:c r="F172" s="168" t="n">
        <x:f>$K$8</x:f>
        <x:v>0</x:v>
      </x:c>
      <x:c r="G172" s="242" t="n">
        <x:f>AI171</x:f>
        <x:v>1.6024714955701638</x:v>
      </x:c>
      <x:c r="H172" s="242" t="n">
        <x:f>AJ171</x:f>
        <x:v>-1.9672614814703264</x:v>
      </x:c>
      <x:c r="I172" s="242" t="n">
        <x:f>AK171</x:f>
        <x:v>-1.2749863823333936</x:v>
      </x:c>
      <x:c r="J172" s="242" t="n">
        <x:f>AL171</x:f>
        <x:v>1.5564391655418532</x:v>
      </x:c>
      <x:c r="K172" s="242" t="n">
        <x:f>AM171</x:f>
        <x:v>-1.885688118072745</x:v>
      </x:c>
      <x:c r="L172" s="242" t="n">
        <x:f>AN171</x:f>
        <x:v>1.418230324780771</x:v>
      </x:c>
      <x:c r="M172" s="242" t="n">
        <x:f>AO171</x:f>
        <x:v>1.880958650378366</x:v>
      </x:c>
      <x:c r="N172" s="242" t="n">
        <x:f>AP171</x:f>
        <x:v>-1.8268101815162165</x:v>
      </x:c>
      <x:c r="O172" s="242" t="n">
        <x:f>AQ171</x:f>
        <x:v>1.0523205295552502</x:v>
      </x:c>
      <x:c r="P172" s="243" t="n">
        <x:f>D172*G172+E172*H172+I172</x:f>
        <x:v>-1.6397763682335562</x:v>
      </x:c>
      <x:c r="Q172" s="243" t="n">
        <x:f>1/(1+EXP(-P172))</x:f>
        <x:v>0.16249549448926492</x:v>
      </x:c>
      <x:c r="R172" s="243" t="n">
        <x:f>D172*J172+E172*K172+L172</x:f>
        <x:v>1.0889813722498793</x:v>
      </x:c>
      <x:c r="S172" s="243" t="n">
        <x:f>1/(1+EXP(-R172))</x:f>
        <x:v>0.7481898588335596</x:v>
      </x:c>
      <x:c r="T172" s="243" t="n">
        <x:f>Q172*M172+S172*N172+O172</x:f>
        <x:v>-0.008833016261984294</x:v>
      </x:c>
      <x:c r="U172" s="243" t="n">
        <x:f>1/(1+EXP(-T172))</x:f>
        <x:v>0.4977917602921242</x:v>
      </x:c>
      <x:c r="V172" s="243" t="n">
        <x:f>0.5*(F172-U172)^2</x:f>
        <x:v>0.1238983183073658</x:v>
      </x:c>
      <x:c r="W172" s="244" t="n">
        <x:f>(U172-F172)*U172*(1-U172)</x:f>
        <x:v>0.12444551267981652</x:v>
      </x:c>
      <x:c r="X172" s="244" t="n">
        <x:f>W172*M172*Q172*(1-Q172)</x:f>
        <x:v>0.03185568626834746</x:v>
      </x:c>
      <x:c r="Y172" s="244" t="n">
        <x:f>W172*N172*S172*(1-S172)</x:f>
        <x:v>-0.042830949136690166</x:v>
      </x:c>
      <x:c r="Z172" s="245" t="n">
        <x:f>X172*D172</x:f>
        <x:v>0.03185568626834746</x:v>
      </x:c>
      <x:c r="AA172" s="245" t="n">
        <x:f>X172*E172</x:f>
        <x:v>0.03185568626834746</x:v>
      </x:c>
      <x:c r="AB172" s="245" t="n">
        <x:f>X172</x:f>
        <x:v>0.03185568626834746</x:v>
      </x:c>
      <x:c r="AC172" s="245" t="n">
        <x:f>Y172*D172</x:f>
        <x:v>-0.042830949136690166</x:v>
      </x:c>
      <x:c r="AD172" s="245" t="n">
        <x:f>Y172*E172</x:f>
        <x:v>-0.042830949136690166</x:v>
      </x:c>
      <x:c r="AE172" s="245" t="n">
        <x:f>Y172</x:f>
        <x:v>-0.042830949136690166</x:v>
      </x:c>
      <x:c r="AF172" s="245" t="n">
        <x:f>W172*Q172</x:f>
        <x:v>0.020221835119876873</x:v>
      </x:c>
      <x:c r="AG172" s="245" t="n">
        <x:f>W172*S172</x:f>
        <x:v>0.09310887056438187</x:v>
      </x:c>
      <x:c r="AH172" s="245" t="n">
        <x:f>W172</x:f>
        <x:v>0.12444551267981652</x:v>
      </x:c>
      <x:c r="AI172" s="246" t="n">
        <x:f>G172-$B$4*Z172</x:f>
        <x:v>1.5706158093018163</x:v>
      </x:c>
      <x:c r="AJ172" s="246" t="n">
        <x:f>H172-$B$4*AA172</x:f>
        <x:v>-1.9991171677386739</x:v>
      </x:c>
      <x:c r="AK172" s="246" t="n">
        <x:f>I172-$B$4*AB172</x:f>
        <x:v>-1.306842068601741</x:v>
      </x:c>
      <x:c r="AL172" s="246" t="n">
        <x:f>J172-$B$4*AC172</x:f>
        <x:v>1.5992701146785433</x:v>
      </x:c>
      <x:c r="AM172" s="246" t="n">
        <x:f>K172-$B$4*AD172</x:f>
        <x:v>-1.842857168936055</x:v>
      </x:c>
      <x:c r="AN172" s="246" t="n">
        <x:f>L172-$B$4*AE172</x:f>
        <x:v>1.461061273917461</x:v>
      </x:c>
      <x:c r="AO172" s="246" t="n">
        <x:f>M172-$B$4*AF172</x:f>
        <x:v>1.860736815258489</x:v>
      </x:c>
      <x:c r="AP172" s="246" t="n">
        <x:f>N172-$B$4*AG172</x:f>
        <x:v>-1.9199190520805984</x:v>
      </x:c>
      <x:c r="AQ172" s="246" t="n">
        <x:f>O172-$B$4*AH172</x:f>
        <x:v>0.9278750168754337</x:v>
      </x:c>
      <x:c r="AR172" s="182" t="n">
        <x:f>IF(U172&gt;=$B$5,1,0)</x:f>
        <x:v>0</x:v>
      </x:c>
      <x:c r="AS172" s="182" t="n">
        <x:f>IF(AR172=F172,1,0)</x:f>
        <x:v>1</x:v>
      </x:c>
      <x:c r="AT172" s="252" t="n">
        <x:f>ABS(F172-U172)</x:f>
        <x:v>0.4977917602921242</x:v>
      </x:c>
    </x:row>
    <x:row r="173">
      <x:c r="A173" s="114" t="n">
        <x:v>157</x:v>
      </x:c>
      <x:c r="B173" s="114" t="n">
        <x:v>40</x:v>
      </x:c>
      <x:c r="C173" s="114" t="n">
        <x:v>1</x:v>
      </x:c>
      <x:c r="D173" s="168" t="n">
        <x:f>$I$5</x:f>
        <x:v>0</x:v>
      </x:c>
      <x:c r="E173" s="168" t="n">
        <x:f>$J$5</x:f>
        <x:v>0</x:v>
      </x:c>
      <x:c r="F173" s="168" t="n">
        <x:f>$K$5</x:f>
        <x:v>0</x:v>
      </x:c>
      <x:c r="G173" s="242" t="n">
        <x:f>AI172</x:f>
        <x:v>1.5706158093018163</x:v>
      </x:c>
      <x:c r="H173" s="242" t="n">
        <x:f>AJ172</x:f>
        <x:v>-1.9991171677386739</x:v>
      </x:c>
      <x:c r="I173" s="242" t="n">
        <x:f>AK172</x:f>
        <x:v>-1.306842068601741</x:v>
      </x:c>
      <x:c r="J173" s="242" t="n">
        <x:f>AL172</x:f>
        <x:v>1.5992701146785433</x:v>
      </x:c>
      <x:c r="K173" s="242" t="n">
        <x:f>AM172</x:f>
        <x:v>-1.842857168936055</x:v>
      </x:c>
      <x:c r="L173" s="242" t="n">
        <x:f>AN172</x:f>
        <x:v>1.461061273917461</x:v>
      </x:c>
      <x:c r="M173" s="242" t="n">
        <x:f>AO172</x:f>
        <x:v>1.860736815258489</x:v>
      </x:c>
      <x:c r="N173" s="242" t="n">
        <x:f>AP172</x:f>
        <x:v>-1.9199190520805984</x:v>
      </x:c>
      <x:c r="O173" s="242" t="n">
        <x:f>AQ172</x:f>
        <x:v>0.9278750168754337</x:v>
      </x:c>
      <x:c r="P173" s="243" t="n">
        <x:f>D173*G173+E173*H173+I173</x:f>
        <x:v>-1.306842068601741</x:v>
      </x:c>
      <x:c r="Q173" s="243" t="n">
        <x:f>1/(1+EXP(-P173))</x:f>
        <x:v>0.2130157601038709</x:v>
      </x:c>
      <x:c r="R173" s="243" t="n">
        <x:f>D173*J173+E173*K173+L173</x:f>
        <x:v>1.461061273917461</x:v>
      </x:c>
      <x:c r="S173" s="243" t="n">
        <x:f>1/(1+EXP(-R173))</x:f>
        <x:v>0.8116949402009624</x:v>
      </x:c>
      <x:c r="T173" s="243" t="n">
        <x:f>Q173*M173+S173*N173+O173</x:f>
        <x:v>-0.23414729623827313</x:v>
      </x:c>
      <x:c r="U173" s="243" t="n">
        <x:f>1/(1+EXP(-T173))</x:f>
        <x:v>0.44172915769367405</x:v>
      </x:c>
      <x:c r="V173" s="243" t="n">
        <x:f>0.5*(F173-U173)^2</x:f>
        <x:v>0.09756232437838137</x:v>
      </x:c>
      <x:c r="W173" s="244" t="n">
        <x:f>(U173-F173)*U173*(1-U173)</x:f>
        <x:v>0.10893240201616394</x:v>
      </x:c>
      <x:c r="X173" s="244" t="n">
        <x:f>W173*M173*Q173*(1-Q173)</x:f>
        <x:v>0.03397972047865493</x:v>
      </x:c>
      <x:c r="Y173" s="244" t="n">
        <x:f>W173*N173*S173*(1-S173)</x:f>
        <x:v>-0.03196648077660615</x:v>
      </x:c>
      <x:c r="Z173" s="245" t="n">
        <x:f>X173*D173</x:f>
        <x:v>0</x:v>
      </x:c>
      <x:c r="AA173" s="245" t="n">
        <x:f>X173*E173</x:f>
        <x:v>0</x:v>
      </x:c>
      <x:c r="AB173" s="245" t="n">
        <x:f>X173</x:f>
        <x:v>0.03397972047865493</x:v>
      </x:c>
      <x:c r="AC173" s="245" t="n">
        <x:f>Y173*D173</x:f>
        <x:v>0</x:v>
      </x:c>
      <x:c r="AD173" s="245" t="n">
        <x:f>Y173*E173</x:f>
        <x:v>0</x:v>
      </x:c>
      <x:c r="AE173" s="245" t="n">
        <x:f>Y173</x:f>
        <x:v>-0.03196648077660615</x:v>
      </x:c>
      <x:c r="AF173" s="245" t="n">
        <x:f>W173*Q173</x:f>
        <x:v>0.0232043184154136</x:v>
      </x:c>
      <x:c r="AG173" s="245" t="n">
        <x:f>W173*S173</x:f>
        <x:v>0.0884198795404574</x:v>
      </x:c>
      <x:c r="AH173" s="245" t="n">
        <x:f>W173</x:f>
        <x:v>0.10893240201616394</x:v>
      </x:c>
      <x:c r="AI173" s="246" t="n">
        <x:f>G173-$B$4*Z173</x:f>
        <x:v>1.5706158093018163</x:v>
      </x:c>
      <x:c r="AJ173" s="246" t="n">
        <x:f>H173-$B$4*AA173</x:f>
        <x:v>-1.9991171677386739</x:v>
      </x:c>
      <x:c r="AK173" s="246" t="n">
        <x:f>I173-$B$4*AB173</x:f>
        <x:v>-1.340821789080396</x:v>
      </x:c>
      <x:c r="AL173" s="246" t="n">
        <x:f>J173-$B$4*AC173</x:f>
        <x:v>1.5992701146785433</x:v>
      </x:c>
      <x:c r="AM173" s="246" t="n">
        <x:f>K173-$B$4*AD173</x:f>
        <x:v>-1.842857168936055</x:v>
      </x:c>
      <x:c r="AN173" s="246" t="n">
        <x:f>L173-$B$4*AE173</x:f>
        <x:v>1.4930277546940673</x:v>
      </x:c>
      <x:c r="AO173" s="246" t="n">
        <x:f>M173-$B$4*AF173</x:f>
        <x:v>1.8375324968430755</x:v>
      </x:c>
      <x:c r="AP173" s="246" t="n">
        <x:f>N173-$B$4*AG173</x:f>
        <x:v>-2.008338931621056</x:v>
      </x:c>
      <x:c r="AQ173" s="246" t="n">
        <x:f>O173-$B$4*AH173</x:f>
        <x:v>0.8189426148592698</x:v>
      </x:c>
      <x:c r="AR173" s="182" t="n">
        <x:f>IF(U173&gt;=$B$5,1,0)</x:f>
        <x:v>0</x:v>
      </x:c>
      <x:c r="AS173" s="182" t="n">
        <x:f>IF(AR173=F173,1,0)</x:f>
        <x:v>1</x:v>
      </x:c>
      <x:c r="AT173" s="252" t="n">
        <x:f>ABS(F173-U173)</x:f>
        <x:v>0.44172915769367405</x:v>
      </x:c>
    </x:row>
    <x:row r="174">
      <x:c r="A174" s="114" t="n">
        <x:v>158</x:v>
      </x:c>
      <x:c r="B174" s="114" t="n">
        <x:v>40</x:v>
      </x:c>
      <x:c r="C174" s="114" t="n">
        <x:v>2</x:v>
      </x:c>
      <x:c r="D174" s="168" t="n">
        <x:f>$I$6</x:f>
        <x:v>0</x:v>
      </x:c>
      <x:c r="E174" s="168" t="n">
        <x:f>$J$6</x:f>
        <x:v>1</x:v>
      </x:c>
      <x:c r="F174" s="168" t="n">
        <x:f>$K$6</x:f>
        <x:v>1</x:v>
      </x:c>
      <x:c r="G174" s="242" t="n">
        <x:f>AI173</x:f>
        <x:v>1.5706158093018163</x:v>
      </x:c>
      <x:c r="H174" s="242" t="n">
        <x:f>AJ173</x:f>
        <x:v>-1.9991171677386739</x:v>
      </x:c>
      <x:c r="I174" s="242" t="n">
        <x:f>AK173</x:f>
        <x:v>-1.340821789080396</x:v>
      </x:c>
      <x:c r="J174" s="242" t="n">
        <x:f>AL173</x:f>
        <x:v>1.5992701146785433</x:v>
      </x:c>
      <x:c r="K174" s="242" t="n">
        <x:f>AM173</x:f>
        <x:v>-1.842857168936055</x:v>
      </x:c>
      <x:c r="L174" s="242" t="n">
        <x:f>AN173</x:f>
        <x:v>1.4930277546940673</x:v>
      </x:c>
      <x:c r="M174" s="242" t="n">
        <x:f>AO173</x:f>
        <x:v>1.8375324968430755</x:v>
      </x:c>
      <x:c r="N174" s="242" t="n">
        <x:f>AP173</x:f>
        <x:v>-2.008338931621056</x:v>
      </x:c>
      <x:c r="O174" s="242" t="n">
        <x:f>AQ173</x:f>
        <x:v>0.8189426148592698</x:v>
      </x:c>
      <x:c r="P174" s="243" t="n">
        <x:f>D174*G174+E174*H174+I174</x:f>
        <x:v>-3.33993895681907</x:v>
      </x:c>
      <x:c r="Q174" s="243" t="n">
        <x:f>1/(1+EXP(-P174))</x:f>
        <x:v>0.034226175401765174</x:v>
      </x:c>
      <x:c r="R174" s="243" t="n">
        <x:f>D174*J174+E174*K174+L174</x:f>
        <x:v>-0.34982941424198755</x:v>
      </x:c>
      <x:c r="S174" s="243" t="n">
        <x:f>1/(1+EXP(-R174))</x:f>
        <x:v>0.41342378829574616</x:v>
      </x:c>
      <x:c r="T174" s="243" t="n">
        <x:f>Q174*M174+S174*N174+O174</x:f>
        <x:v>0.05153923511005587</x:v>
      </x:c>
      <x:c r="U174" s="243" t="n">
        <x:f>1/(1+EXP(-T174))</x:f>
        <x:v>0.5128819573829075</x:v>
      </x:c>
      <x:c r="V174" s="243" t="n">
        <x:f>0.5*(F174-U174)^2</x:f>
        <x:v>0.11864199372155375</x:v>
      </x:c>
      <x:c r="W174" s="244" t="n">
        <x:f>(U174-F174)*U174*(1-U174)</x:f>
        <x:v>-0.12169867593544224</x:v>
      </x:c>
      <x:c r="X174" s="244" t="n">
        <x:f>W174*M174*Q174*(1-Q174)</x:f>
        <x:v>-0.007391876184435471</x:v>
      </x:c>
      <x:c r="Y174" s="244" t="n">
        <x:f>W174*N174*S174*(1-S174)</x:f>
        <x:v>0.05927107019964756</x:v>
      </x:c>
      <x:c r="Z174" s="245" t="n">
        <x:f>X174*D174</x:f>
        <x:v>0</x:v>
      </x:c>
      <x:c r="AA174" s="245" t="n">
        <x:f>X174*E174</x:f>
        <x:v>-0.007391876184435471</x:v>
      </x:c>
      <x:c r="AB174" s="245" t="n">
        <x:f>X174</x:f>
        <x:v>-0.007391876184435471</x:v>
      </x:c>
      <x:c r="AC174" s="245" t="n">
        <x:f>Y174*D174</x:f>
        <x:v>0</x:v>
      </x:c>
      <x:c r="AD174" s="245" t="n">
        <x:f>Y174*E174</x:f>
        <x:v>0.05927107019964756</x:v>
      </x:c>
      <x:c r="AE174" s="245" t="n">
        <x:f>Y174</x:f>
        <x:v>0.05927107019964756</x:v>
      </x:c>
      <x:c r="AF174" s="245" t="n">
        <x:f>W174*Q174</x:f>
        <x:v>-0.004165280228729025</x:v>
      </x:c>
      <x:c r="AG174" s="245" t="n">
        <x:f>W174*S174</x:f>
        <x:v>-0.05031312763580689</x:v>
      </x:c>
      <x:c r="AH174" s="245" t="n">
        <x:f>W174</x:f>
        <x:v>-0.12169867593544224</x:v>
      </x:c>
      <x:c r="AI174" s="246" t="n">
        <x:f>G174-$B$4*Z174</x:f>
        <x:v>1.5706158093018163</x:v>
      </x:c>
      <x:c r="AJ174" s="246" t="n">
        <x:f>H174-$B$4*AA174</x:f>
        <x:v>-1.9917252915542385</x:v>
      </x:c>
      <x:c r="AK174" s="246" t="n">
        <x:f>I174-$B$4*AB174</x:f>
        <x:v>-1.3334299128959606</x:v>
      </x:c>
      <x:c r="AL174" s="246" t="n">
        <x:f>J174-$B$4*AC174</x:f>
        <x:v>1.5992701146785433</x:v>
      </x:c>
      <x:c r="AM174" s="246" t="n">
        <x:f>K174-$B$4*AD174</x:f>
        <x:v>-1.9021282391357024</x:v>
      </x:c>
      <x:c r="AN174" s="246" t="n">
        <x:f>L174-$B$4*AE174</x:f>
        <x:v>1.4337566844944198</x:v>
      </x:c>
      <x:c r="AO174" s="246" t="n">
        <x:f>M174-$B$4*AF174</x:f>
        <x:v>1.8416977770718046</x:v>
      </x:c>
      <x:c r="AP174" s="246" t="n">
        <x:f>N174-$B$4*AG174</x:f>
        <x:v>-1.9580258039852492</x:v>
      </x:c>
      <x:c r="AQ174" s="246" t="n">
        <x:f>O174-$B$4*AH174</x:f>
        <x:v>0.940641290794712</x:v>
      </x:c>
      <x:c r="AR174" s="182" t="n">
        <x:f>IF(U174&gt;=$B$5,1,0)</x:f>
        <x:v>1</x:v>
      </x:c>
      <x:c r="AS174" s="182" t="n">
        <x:f>IF(AR174=F174,1,0)</x:f>
        <x:v>1</x:v>
      </x:c>
      <x:c r="AT174" s="252" t="n">
        <x:f>ABS(F174-U174)</x:f>
        <x:v>0.48711804261709246</x:v>
      </x:c>
    </x:row>
    <x:row r="175">
      <x:c r="A175" s="114" t="n">
        <x:v>159</x:v>
      </x:c>
      <x:c r="B175" s="114" t="n">
        <x:v>40</x:v>
      </x:c>
      <x:c r="C175" s="114" t="n">
        <x:v>3</x:v>
      </x:c>
      <x:c r="D175" s="168" t="n">
        <x:f>$I$7</x:f>
        <x:v>1</x:v>
      </x:c>
      <x:c r="E175" s="168" t="n">
        <x:f>$J$7</x:f>
        <x:v>0</x:v>
      </x:c>
      <x:c r="F175" s="168" t="n">
        <x:f>$K$7</x:f>
        <x:v>1</x:v>
      </x:c>
      <x:c r="G175" s="242" t="n">
        <x:f>AI174</x:f>
        <x:v>1.5706158093018163</x:v>
      </x:c>
      <x:c r="H175" s="242" t="n">
        <x:f>AJ174</x:f>
        <x:v>-1.9917252915542385</x:v>
      </x:c>
      <x:c r="I175" s="242" t="n">
        <x:f>AK174</x:f>
        <x:v>-1.3334299128959606</x:v>
      </x:c>
      <x:c r="J175" s="242" t="n">
        <x:f>AL174</x:f>
        <x:v>1.5992701146785433</x:v>
      </x:c>
      <x:c r="K175" s="242" t="n">
        <x:f>AM174</x:f>
        <x:v>-1.9021282391357024</x:v>
      </x:c>
      <x:c r="L175" s="242" t="n">
        <x:f>AN174</x:f>
        <x:v>1.4337566844944198</x:v>
      </x:c>
      <x:c r="M175" s="242" t="n">
        <x:f>AO174</x:f>
        <x:v>1.8416977770718046</x:v>
      </x:c>
      <x:c r="N175" s="242" t="n">
        <x:f>AP174</x:f>
        <x:v>-1.9580258039852492</x:v>
      </x:c>
      <x:c r="O175" s="242" t="n">
        <x:f>AQ174</x:f>
        <x:v>0.940641290794712</x:v>
      </x:c>
      <x:c r="P175" s="243" t="n">
        <x:f>D175*G175+E175*H175+I175</x:f>
        <x:v>0.23718589640585575</x:v>
      </x:c>
      <x:c r="Q175" s="243" t="n">
        <x:f>1/(1+EXP(-P175))</x:f>
        <x:v>0.5590200415774914</x:v>
      </x:c>
      <x:c r="R175" s="243" t="n">
        <x:f>D175*J175+E175*K175+L175</x:f>
        <x:v>3.033026799172963</x:v>
      </x:c>
      <x:c r="S175" s="243" t="n">
        <x:f>1/(1+EXP(-R175))</x:f>
        <x:v>0.9540440624420393</x:v>
      </x:c>
      <x:c r="T175" s="243" t="n">
        <x:f>Q175*M175+S175*N175+O175</x:f>
        <x:v>0.10214436630613843</x:v>
      </x:c>
      <x:c r="U175" s="243" t="n">
        <x:f>1/(1+EXP(-T175))</x:f>
        <x:v>0.5255139122099077</x:v>
      </x:c>
      <x:c r="V175" s="243" t="n">
        <x:f>0.5*(F175-U175)^2</x:f>
        <x:v>0.11256852375317357</x:v>
      </x:c>
      <x:c r="W175" s="244" t="n">
        <x:f>(U175-F175)*U175*(1-U175)</x:f>
        <x:v>-0.11831265061844835</x:v>
      </x:c>
      <x:c r="X175" s="244" t="n">
        <x:f>W175*M175*Q175*(1-Q175)</x:f>
        <x:v>-0.05371502453642764</x:v>
      </x:c>
      <x:c r="Y175" s="244" t="n">
        <x:f>W175*N175*S175*(1-S175)</x:f>
        <x:v>0.010156864501990893</x:v>
      </x:c>
      <x:c r="Z175" s="245" t="n">
        <x:f>X175*D175</x:f>
        <x:v>-0.05371502453642764</x:v>
      </x:c>
      <x:c r="AA175" s="245" t="n">
        <x:f>X175*E175</x:f>
        <x:v>0</x:v>
      </x:c>
      <x:c r="AB175" s="245" t="n">
        <x:f>X175</x:f>
        <x:v>-0.05371502453642764</x:v>
      </x:c>
      <x:c r="AC175" s="245" t="n">
        <x:f>Y175*D175</x:f>
        <x:v>0.010156864501990893</x:v>
      </x:c>
      <x:c r="AD175" s="245" t="n">
        <x:f>Y175*E175</x:f>
        <x:v>0</x:v>
      </x:c>
      <x:c r="AE175" s="245" t="n">
        <x:f>Y175</x:f>
        <x:v>0.010156864501990893</x:v>
      </x:c>
      <x:c r="AF175" s="245" t="n">
        <x:f>W175*Q175</x:f>
        <x:v>-0.06613914286786822</x:v>
      </x:c>
      <x:c r="AG175" s="245" t="n">
        <x:f>W175*S175</x:f>
        <x:v>-0.11287548183431012</x:v>
      </x:c>
      <x:c r="AH175" s="245" t="n">
        <x:f>W175</x:f>
        <x:v>-0.11831265061844835</x:v>
      </x:c>
      <x:c r="AI175" s="246" t="n">
        <x:f>G175-$B$4*Z175</x:f>
        <x:v>1.624330833838244</x:v>
      </x:c>
      <x:c r="AJ175" s="246" t="n">
        <x:f>H175-$B$4*AA175</x:f>
        <x:v>-1.9917252915542385</x:v>
      </x:c>
      <x:c r="AK175" s="246" t="n">
        <x:f>I175-$B$4*AB175</x:f>
        <x:v>-1.2797148883595328</x:v>
      </x:c>
      <x:c r="AL175" s="246" t="n">
        <x:f>J175-$B$4*AC175</x:f>
        <x:v>1.5891132501765524</x:v>
      </x:c>
      <x:c r="AM175" s="246" t="n">
        <x:f>K175-$B$4*AD175</x:f>
        <x:v>-1.9021282391357024</x:v>
      </x:c>
      <x:c r="AN175" s="246" t="n">
        <x:f>L175-$B$4*AE175</x:f>
        <x:v>1.423599819992429</x:v>
      </x:c>
      <x:c r="AO175" s="246" t="n">
        <x:f>M175-$B$4*AF175</x:f>
        <x:v>1.9078369199396727</x:v>
      </x:c>
      <x:c r="AP175" s="246" t="n">
        <x:f>N175-$B$4*AG175</x:f>
        <x:v>-1.845150322150939</x:v>
      </x:c>
      <x:c r="AQ175" s="246" t="n">
        <x:f>O175-$B$4*AH175</x:f>
        <x:v>1.0589539414131603</x:v>
      </x:c>
      <x:c r="AR175" s="182" t="n">
        <x:f>IF(U175&gt;=$B$5,1,0)</x:f>
        <x:v>1</x:v>
      </x:c>
      <x:c r="AS175" s="182" t="n">
        <x:f>IF(AR175=F175,1,0)</x:f>
        <x:v>1</x:v>
      </x:c>
      <x:c r="AT175" s="252" t="n">
        <x:f>ABS(F175-U175)</x:f>
        <x:v>0.47448608779009227</x:v>
      </x:c>
    </x:row>
    <x:row r="176">
      <x:c r="A176" s="114" t="n">
        <x:v>160</x:v>
      </x:c>
      <x:c r="B176" s="114" t="n">
        <x:v>40</x:v>
      </x:c>
      <x:c r="C176" s="114" t="n">
        <x:v>4</x:v>
      </x:c>
      <x:c r="D176" s="168" t="n">
        <x:f>$I$8</x:f>
        <x:v>1</x:v>
      </x:c>
      <x:c r="E176" s="168" t="n">
        <x:f>$J$8</x:f>
        <x:v>1</x:v>
      </x:c>
      <x:c r="F176" s="168" t="n">
        <x:f>$K$8</x:f>
        <x:v>0</x:v>
      </x:c>
      <x:c r="G176" s="242" t="n">
        <x:f>AI175</x:f>
        <x:v>1.624330833838244</x:v>
      </x:c>
      <x:c r="H176" s="242" t="n">
        <x:f>AJ175</x:f>
        <x:v>-1.9917252915542385</x:v>
      </x:c>
      <x:c r="I176" s="242" t="n">
        <x:f>AK175</x:f>
        <x:v>-1.2797148883595328</x:v>
      </x:c>
      <x:c r="J176" s="242" t="n">
        <x:f>AL175</x:f>
        <x:v>1.5891132501765524</x:v>
      </x:c>
      <x:c r="K176" s="242" t="n">
        <x:f>AM175</x:f>
        <x:v>-1.9021282391357024</x:v>
      </x:c>
      <x:c r="L176" s="242" t="n">
        <x:f>AN175</x:f>
        <x:v>1.423599819992429</x:v>
      </x:c>
      <x:c r="M176" s="242" t="n">
        <x:f>AO175</x:f>
        <x:v>1.9078369199396727</x:v>
      </x:c>
      <x:c r="N176" s="242" t="n">
        <x:f>AP175</x:f>
        <x:v>-1.845150322150939</x:v>
      </x:c>
      <x:c r="O176" s="242" t="n">
        <x:f>AQ175</x:f>
        <x:v>1.0589539414131603</x:v>
      </x:c>
      <x:c r="P176" s="243" t="n">
        <x:f>D176*G176+E176*H176+I176</x:f>
        <x:v>-1.6471093460755273</x:v>
      </x:c>
      <x:c r="Q176" s="243" t="n">
        <x:f>1/(1+EXP(-P176))</x:f>
        <x:v>0.1615000125295311</x:v>
      </x:c>
      <x:c r="R176" s="243" t="n">
        <x:f>D176*J176+E176*K176+L176</x:f>
        <x:v>1.1105848310332789</x:v>
      </x:c>
      <x:c r="S176" s="243" t="n">
        <x:f>1/(1+EXP(-R176))</x:f>
        <x:v>0.7522381259443666</x:v>
      </x:c>
      <x:c r="T176" s="243" t="n">
        <x:f>Q176*M176+S176*N176+O176</x:f>
        <x:v>-0.020922792532747314</x:v>
      </x:c>
      <x:c r="U176" s="243" t="n">
        <x:f>1/(1+EXP(-T176))</x:f>
        <x:v>0.4947694926757436</x:v>
      </x:c>
      <x:c r="V176" s="243" t="n">
        <x:f>0.5*(F176-U176)^2</x:f>
        <x:v>0.12239842544130636</x:v>
      </x:c>
      <x:c r="W176" s="244" t="n">
        <x:f>(U176-F176)*U176*(1-U176)</x:f>
        <x:v>0.12367883716280277</x:v>
      </x:c>
      <x:c r="X176" s="244" t="n">
        <x:f>W176*M176*Q176*(1-Q176)</x:f>
        <x:v>0.03195304588223553</x:v>
      </x:c>
      <x:c r="Y176" s="244" t="n">
        <x:f>W176*N176*S176*(1-S176)</x:f>
        <x:v>-0.042532113601049526</x:v>
      </x:c>
      <x:c r="Z176" s="245" t="n">
        <x:f>X176*D176</x:f>
        <x:v>0.03195304588223553</x:v>
      </x:c>
      <x:c r="AA176" s="245" t="n">
        <x:f>X176*E176</x:f>
        <x:v>0.03195304588223553</x:v>
      </x:c>
      <x:c r="AB176" s="245" t="n">
        <x:f>X176</x:f>
        <x:v>0.03195304588223553</x:v>
      </x:c>
      <x:c r="AC176" s="245" t="n">
        <x:f>Y176*D176</x:f>
        <x:v>-0.042532113601049526</x:v>
      </x:c>
      <x:c r="AD176" s="245" t="n">
        <x:f>Y176*E176</x:f>
        <x:v>-0.042532113601049526</x:v>
      </x:c>
      <x:c r="AE176" s="245" t="n">
        <x:f>Y176</x:f>
        <x:v>-0.042532113601049526</x:v>
      </x:c>
      <x:c r="AF176" s="245" t="n">
        <x:f>W176*Q176</x:f>
        <x:v>0.019974133751430485</x:v>
      </x:c>
      <x:c r="AG176" s="245" t="n">
        <x:f>W176*S176</x:f>
        <x:v>0.09303593668632523</x:v>
      </x:c>
      <x:c r="AH176" s="245" t="n">
        <x:f>W176</x:f>
        <x:v>0.12367883716280277</x:v>
      </x:c>
      <x:c r="AI176" s="246" t="n">
        <x:f>G176-$B$4*Z176</x:f>
        <x:v>1.5923777879560086</x:v>
      </x:c>
      <x:c r="AJ176" s="246" t="n">
        <x:f>H176-$B$4*AA176</x:f>
        <x:v>-2.023678337436474</x:v>
      </x:c>
      <x:c r="AK176" s="246" t="n">
        <x:f>I176-$B$4*AB176</x:f>
        <x:v>-1.3116679342417683</x:v>
      </x:c>
      <x:c r="AL176" s="246" t="n">
        <x:f>J176-$B$4*AC176</x:f>
        <x:v>1.6316453637776018</x:v>
      </x:c>
      <x:c r="AM176" s="246" t="n">
        <x:f>K176-$B$4*AD176</x:f>
        <x:v>-1.859596125534653</x:v>
      </x:c>
      <x:c r="AN176" s="246" t="n">
        <x:f>L176-$B$4*AE176</x:f>
        <x:v>1.4661319335934784</x:v>
      </x:c>
      <x:c r="AO176" s="246" t="n">
        <x:f>M176-$B$4*AF176</x:f>
        <x:v>1.8878627861882422</x:v>
      </x:c>
      <x:c r="AP176" s="246" t="n">
        <x:f>N176-$B$4*AG176</x:f>
        <x:v>-1.9381862588372643</x:v>
      </x:c>
      <x:c r="AQ176" s="246" t="n">
        <x:f>O176-$B$4*AH176</x:f>
        <x:v>0.9352751042503575</x:v>
      </x:c>
      <x:c r="AR176" s="182" t="n">
        <x:f>IF(U176&gt;=$B$5,1,0)</x:f>
        <x:v>0</x:v>
      </x:c>
      <x:c r="AS176" s="182" t="n">
        <x:f>IF(AR176=F176,1,0)</x:f>
        <x:v>1</x:v>
      </x:c>
      <x:c r="AT176" s="252" t="n">
        <x:f>ABS(F176-U176)</x:f>
        <x:v>0.4947694926757436</x:v>
      </x:c>
    </x:row>
    <x:row r="177">
      <x:c r="A177" s="114" t="n">
        <x:v>161</x:v>
      </x:c>
      <x:c r="B177" s="114" t="n">
        <x:v>41</x:v>
      </x:c>
      <x:c r="C177" s="114" t="n">
        <x:v>1</x:v>
      </x:c>
      <x:c r="D177" s="168" t="n">
        <x:f>$I$5</x:f>
        <x:v>0</x:v>
      </x:c>
      <x:c r="E177" s="168" t="n">
        <x:f>$J$5</x:f>
        <x:v>0</x:v>
      </x:c>
      <x:c r="F177" s="168" t="n">
        <x:f>$K$5</x:f>
        <x:v>0</x:v>
      </x:c>
      <x:c r="G177" s="242" t="n">
        <x:f>AI176</x:f>
        <x:v>1.5923777879560086</x:v>
      </x:c>
      <x:c r="H177" s="242" t="n">
        <x:f>AJ176</x:f>
        <x:v>-2.023678337436474</x:v>
      </x:c>
      <x:c r="I177" s="242" t="n">
        <x:f>AK176</x:f>
        <x:v>-1.3116679342417683</x:v>
      </x:c>
      <x:c r="J177" s="242" t="n">
        <x:f>AL176</x:f>
        <x:v>1.6316453637776018</x:v>
      </x:c>
      <x:c r="K177" s="242" t="n">
        <x:f>AM176</x:f>
        <x:v>-1.859596125534653</x:v>
      </x:c>
      <x:c r="L177" s="242" t="n">
        <x:f>AN176</x:f>
        <x:v>1.4661319335934784</x:v>
      </x:c>
      <x:c r="M177" s="242" t="n">
        <x:f>AO176</x:f>
        <x:v>1.8878627861882422</x:v>
      </x:c>
      <x:c r="N177" s="242" t="n">
        <x:f>AP176</x:f>
        <x:v>-1.9381862588372643</x:v>
      </x:c>
      <x:c r="O177" s="242" t="n">
        <x:f>AQ176</x:f>
        <x:v>0.9352751042503575</x:v>
      </x:c>
      <x:c r="P177" s="243" t="n">
        <x:f>D177*G177+E177*H177+I177</x:f>
        <x:v>-1.3116679342417683</x:v>
      </x:c>
      <x:c r="Q177" s="243" t="n">
        <x:f>1/(1+EXP(-P177))</x:f>
        <x:v>0.2122078722158619</x:v>
      </x:c>
      <x:c r="R177" s="243" t="n">
        <x:f>D177*J177+E177*K177+L177</x:f>
        <x:v>1.4661319335934784</x:v>
      </x:c>
      <x:c r="S177" s="243" t="n">
        <x:f>1/(1+EXP(-R177))</x:f>
        <x:v>0.8124687469310222</x:v>
      </x:c>
      <x:c r="T177" s="243" t="n">
        <x:f>Q177*M177+S177*N177+O177</x:f>
        <x:v>-0.23882131189356492</x:v>
      </x:c>
      <x:c r="U177" s="243" t="n">
        <x:f>1/(1+EXP(-T177))</x:f>
        <x:v>0.44057684029988714</x:v>
      </x:c>
      <x:c r="V177" s="243" t="n">
        <x:f>0.5*(F177-U177)^2</x:f>
        <x:v>0.09705397610431613</x:v>
      </x:c>
      <x:c r="W177" s="244" t="n">
        <x:f>(U177-F177)*U177*(1-U177)</x:f>
        <x:v>0.10858848394747156</x:v>
      </x:c>
      <x:c r="X177" s="244" t="n">
        <x:f>W177*M177*Q177*(1-Q177)</x:f>
        <x:v>0.0342710430822126</x:v>
      </x:c>
      <x:c r="Y177" s="244" t="n">
        <x:f>W177*N177*S177*(1-S177)</x:f>
        <x:v>-0.03206709361328146</x:v>
      </x:c>
      <x:c r="Z177" s="245" t="n">
        <x:f>X177*D177</x:f>
        <x:v>0</x:v>
      </x:c>
      <x:c r="AA177" s="245" t="n">
        <x:f>X177*E177</x:f>
        <x:v>0</x:v>
      </x:c>
      <x:c r="AB177" s="245" t="n">
        <x:f>X177</x:f>
        <x:v>0.0342710430822126</x:v>
      </x:c>
      <x:c r="AC177" s="245" t="n">
        <x:f>Y177*D177</x:f>
        <x:v>0</x:v>
      </x:c>
      <x:c r="AD177" s="245" t="n">
        <x:f>Y177*E177</x:f>
        <x:v>0</x:v>
      </x:c>
      <x:c r="AE177" s="245" t="n">
        <x:f>Y177</x:f>
        <x:v>-0.03206709361328146</x:v>
      </x:c>
      <x:c r="AF177" s="245" t="n">
        <x:f>W177*Q177</x:f>
        <x:v>0.023043331125639215</x:v>
      </x:c>
      <x:c r="AG177" s="245" t="n">
        <x:f>W177*S177</x:f>
        <x:v>0.08822474948394164</x:v>
      </x:c>
      <x:c r="AH177" s="245" t="n">
        <x:f>W177</x:f>
        <x:v>0.10858848394747156</x:v>
      </x:c>
      <x:c r="AI177" s="246" t="n">
        <x:f>G177-$B$4*Z177</x:f>
        <x:v>1.5923777879560086</x:v>
      </x:c>
      <x:c r="AJ177" s="246" t="n">
        <x:f>H177-$B$4*AA177</x:f>
        <x:v>-2.023678337436474</x:v>
      </x:c>
      <x:c r="AK177" s="246" t="n">
        <x:f>I177-$B$4*AB177</x:f>
        <x:v>-1.345938977323981</x:v>
      </x:c>
      <x:c r="AL177" s="246" t="n">
        <x:f>J177-$B$4*AC177</x:f>
        <x:v>1.6316453637776018</x:v>
      </x:c>
      <x:c r="AM177" s="246" t="n">
        <x:f>K177-$B$4*AD177</x:f>
        <x:v>-1.859596125534653</x:v>
      </x:c>
      <x:c r="AN177" s="246" t="n">
        <x:f>L177-$B$4*AE177</x:f>
        <x:v>1.4981990272067598</x:v>
      </x:c>
      <x:c r="AO177" s="246" t="n">
        <x:f>M177-$B$4*AF177</x:f>
        <x:v>1.864819455062603</x:v>
      </x:c>
      <x:c r="AP177" s="246" t="n">
        <x:f>N177-$B$4*AG177</x:f>
        <x:v>-2.026411008321206</x:v>
      </x:c>
      <x:c r="AQ177" s="246" t="n">
        <x:f>O177-$B$4*AH177</x:f>
        <x:v>0.826686620302886</x:v>
      </x:c>
      <x:c r="AR177" s="182" t="n">
        <x:f>IF(U177&gt;=$B$5,1,0)</x:f>
        <x:v>0</x:v>
      </x:c>
      <x:c r="AS177" s="182" t="n">
        <x:f>IF(AR177=F177,1,0)</x:f>
        <x:v>1</x:v>
      </x:c>
      <x:c r="AT177" s="252" t="n">
        <x:f>ABS(F177-U177)</x:f>
        <x:v>0.44057684029988714</x:v>
      </x:c>
    </x:row>
    <x:row r="178">
      <x:c r="A178" s="114" t="n">
        <x:v>162</x:v>
      </x:c>
      <x:c r="B178" s="114" t="n">
        <x:v>41</x:v>
      </x:c>
      <x:c r="C178" s="114" t="n">
        <x:v>2</x:v>
      </x:c>
      <x:c r="D178" s="168" t="n">
        <x:f>$I$6</x:f>
        <x:v>0</x:v>
      </x:c>
      <x:c r="E178" s="168" t="n">
        <x:f>$J$6</x:f>
        <x:v>1</x:v>
      </x:c>
      <x:c r="F178" s="168" t="n">
        <x:f>$K$6</x:f>
        <x:v>1</x:v>
      </x:c>
      <x:c r="G178" s="242" t="n">
        <x:f>AI177</x:f>
        <x:v>1.5923777879560086</x:v>
      </x:c>
      <x:c r="H178" s="242" t="n">
        <x:f>AJ177</x:f>
        <x:v>-2.023678337436474</x:v>
      </x:c>
      <x:c r="I178" s="242" t="n">
        <x:f>AK177</x:f>
        <x:v>-1.345938977323981</x:v>
      </x:c>
      <x:c r="J178" s="242" t="n">
        <x:f>AL177</x:f>
        <x:v>1.6316453637776018</x:v>
      </x:c>
      <x:c r="K178" s="242" t="n">
        <x:f>AM177</x:f>
        <x:v>-1.859596125534653</x:v>
      </x:c>
      <x:c r="L178" s="242" t="n">
        <x:f>AN177</x:f>
        <x:v>1.4981990272067598</x:v>
      </x:c>
      <x:c r="M178" s="242" t="n">
        <x:f>AO177</x:f>
        <x:v>1.864819455062603</x:v>
      </x:c>
      <x:c r="N178" s="242" t="n">
        <x:f>AP177</x:f>
        <x:v>-2.026411008321206</x:v>
      </x:c>
      <x:c r="O178" s="242" t="n">
        <x:f>AQ177</x:f>
        <x:v>0.826686620302886</x:v>
      </x:c>
      <x:c r="P178" s="243" t="n">
        <x:f>D178*G178+E178*H178+I178</x:f>
        <x:v>-3.369617314760455</x:v>
      </x:c>
      <x:c r="Q178" s="243" t="n">
        <x:f>1/(1+EXP(-P178))</x:f>
        <x:v>0.03325861091986009</x:v>
      </x:c>
      <x:c r="R178" s="243" t="n">
        <x:f>D178*J178+E178*K178+L178</x:f>
        <x:v>-0.36139709832789313</x:v>
      </x:c>
      <x:c r="S178" s="243" t="n">
        <x:f>1/(1+EXP(-R178))</x:f>
        <x:v>0.410621409953798</x:v>
      </x:c>
      <x:c r="T178" s="243" t="n">
        <x:f>Q178*M178+S178*N178+O178</x:f>
        <x:v>0.05662017961184762</x:v>
      </x:c>
      <x:c r="U178" s="243" t="n">
        <x:f>1/(1+EXP(-T178))</x:f>
        <x:v>0.5141512645418627</x:v>
      </x:c>
      <x:c r="V178" s="243" t="n">
        <x:f>0.5*(F178-U178)^2</x:f>
        <x:v>0.11802449687313556</x:v>
      </x:c>
      <x:c r="W178" s="244" t="n">
        <x:f>(U178-F178)*U178*(1-U178)</x:f>
        <x:v>-0.12136488862847952</x:v>
      </x:c>
      <x:c r="X178" s="244" t="n">
        <x:f>W178*M178*Q178*(1-Q178)</x:f>
        <x:v>-0.007276864229822783</x:v>
      </x:c>
      <x:c r="Y178" s="244" t="n">
        <x:f>W178*N178*S178*(1-S178)</x:f>
        <x:v>0.059519125710437916</x:v>
      </x:c>
      <x:c r="Z178" s="245" t="n">
        <x:f>X178*D178</x:f>
        <x:v>0</x:v>
      </x:c>
      <x:c r="AA178" s="245" t="n">
        <x:f>X178*E178</x:f>
        <x:v>-0.007276864229822783</x:v>
      </x:c>
      <x:c r="AB178" s="245" t="n">
        <x:f>X178</x:f>
        <x:v>-0.007276864229822783</x:v>
      </x:c>
      <x:c r="AC178" s="245" t="n">
        <x:f>Y178*D178</x:f>
        <x:v>0</x:v>
      </x:c>
      <x:c r="AD178" s="245" t="n">
        <x:f>Y178*E178</x:f>
        <x:v>0.059519125710437916</x:v>
      </x:c>
      <x:c r="AE178" s="245" t="n">
        <x:f>Y178</x:f>
        <x:v>0.059519125710437916</x:v>
      </x:c>
      <x:c r="AF178" s="245" t="n">
        <x:f>W178*Q178</x:f>
        <x:v>-0.004036427610226753</x:v>
      </x:c>
      <x:c r="AG178" s="245" t="n">
        <x:f>W178*S178</x:f>
        <x:v>-0.04983502168751192</x:v>
      </x:c>
      <x:c r="AH178" s="245" t="n">
        <x:f>W178</x:f>
        <x:v>-0.12136488862847952</x:v>
      </x:c>
      <x:c r="AI178" s="246" t="n">
        <x:f>G178-$B$4*Z178</x:f>
        <x:v>1.5923777879560086</x:v>
      </x:c>
      <x:c r="AJ178" s="246" t="n">
        <x:f>H178-$B$4*AA178</x:f>
        <x:v>-2.0164014732066513</x:v>
      </x:c>
      <x:c r="AK178" s="246" t="n">
        <x:f>I178-$B$4*AB178</x:f>
        <x:v>-1.338662113094158</x:v>
      </x:c>
      <x:c r="AL178" s="246" t="n">
        <x:f>J178-$B$4*AC178</x:f>
        <x:v>1.6316453637776018</x:v>
      </x:c>
      <x:c r="AM178" s="246" t="n">
        <x:f>K178-$B$4*AD178</x:f>
        <x:v>-1.9191152512450909</x:v>
      </x:c>
      <x:c r="AN178" s="246" t="n">
        <x:f>L178-$B$4*AE178</x:f>
        <x:v>1.4386799014963219</x:v>
      </x:c>
      <x:c r="AO178" s="246" t="n">
        <x:f>M178-$B$4*AF178</x:f>
        <x:v>1.8688558826728296</x:v>
      </x:c>
      <x:c r="AP178" s="246" t="n">
        <x:f>N178-$B$4*AG178</x:f>
        <x:v>-1.976575986633694</x:v>
      </x:c>
      <x:c r="AQ178" s="246" t="n">
        <x:f>O178-$B$4*AH178</x:f>
        <x:v>0.9480515089313655</x:v>
      </x:c>
      <x:c r="AR178" s="182" t="n">
        <x:f>IF(U178&gt;=$B$5,1,0)</x:f>
        <x:v>1</x:v>
      </x:c>
      <x:c r="AS178" s="182" t="n">
        <x:f>IF(AR178=F178,1,0)</x:f>
        <x:v>1</x:v>
      </x:c>
      <x:c r="AT178" s="252" t="n">
        <x:f>ABS(F178-U178)</x:f>
        <x:v>0.48584873545813734</x:v>
      </x:c>
    </x:row>
    <x:row r="179">
      <x:c r="A179" s="114" t="n">
        <x:v>163</x:v>
      </x:c>
      <x:c r="B179" s="114" t="n">
        <x:v>41</x:v>
      </x:c>
      <x:c r="C179" s="114" t="n">
        <x:v>3</x:v>
      </x:c>
      <x:c r="D179" s="168" t="n">
        <x:f>$I$7</x:f>
        <x:v>1</x:v>
      </x:c>
      <x:c r="E179" s="168" t="n">
        <x:f>$J$7</x:f>
        <x:v>0</x:v>
      </x:c>
      <x:c r="F179" s="168" t="n">
        <x:f>$K$7</x:f>
        <x:v>1</x:v>
      </x:c>
      <x:c r="G179" s="242" t="n">
        <x:f>AI178</x:f>
        <x:v>1.5923777879560086</x:v>
      </x:c>
      <x:c r="H179" s="242" t="n">
        <x:f>AJ178</x:f>
        <x:v>-2.0164014732066513</x:v>
      </x:c>
      <x:c r="I179" s="242" t="n">
        <x:f>AK178</x:f>
        <x:v>-1.338662113094158</x:v>
      </x:c>
      <x:c r="J179" s="242" t="n">
        <x:f>AL178</x:f>
        <x:v>1.6316453637776018</x:v>
      </x:c>
      <x:c r="K179" s="242" t="n">
        <x:f>AM178</x:f>
        <x:v>-1.9191152512450909</x:v>
      </x:c>
      <x:c r="L179" s="242" t="n">
        <x:f>AN178</x:f>
        <x:v>1.4386799014963219</x:v>
      </x:c>
      <x:c r="M179" s="242" t="n">
        <x:f>AO178</x:f>
        <x:v>1.8688558826728296</x:v>
      </x:c>
      <x:c r="N179" s="242" t="n">
        <x:f>AP178</x:f>
        <x:v>-1.976575986633694</x:v>
      </x:c>
      <x:c r="O179" s="242" t="n">
        <x:f>AQ178</x:f>
        <x:v>0.9480515089313655</x:v>
      </x:c>
      <x:c r="P179" s="243" t="n">
        <x:f>D179*G179+E179*H179+I179</x:f>
        <x:v>0.25371567486185054</x:v>
      </x:c>
      <x:c r="Q179" s="243" t="n">
        <x:f>1/(1+EXP(-P179))</x:f>
        <x:v>0.5630908428194238</x:v>
      </x:c>
      <x:c r="R179" s="243" t="n">
        <x:f>D179*J179+E179*K179+L179</x:f>
        <x:v>3.0703252652739237</x:v>
      </x:c>
      <x:c r="S179" s="243" t="n">
        <x:f>1/(1+EXP(-R179))</x:f>
        <x:v>0.9556519596165461</x:v>
      </x:c>
      <x:c r="T179" s="243" t="n">
        <x:f>Q179*M179+S179*N179+O179</x:f>
        <x:v>0.11146842805614954</x:v>
      </x:c>
      <x:c r="U179" s="243" t="n">
        <x:f>1/(1+EXP(-T179))</x:f>
        <x:v>0.5278382882656281</x:v>
      </x:c>
      <x:c r="V179" s="243" t="n">
        <x:f>0.5*(F179-U179)^2</x:f>
        <x:v>0.11146834101396608</x:v>
      </x:c>
      <x:c r="W179" s="244" t="n">
        <x:f>(U179-F179)*U179*(1-U179)</x:f>
        <x:v>-0.1176745166332423</x:v>
      </x:c>
      <x:c r="X179" s="244" t="n">
        <x:f>W179*M179*Q179*(1-Q179)</x:f>
        <x:v>-0.05410380970569269</x:v>
      </x:c>
      <x:c r="Y179" s="244" t="n">
        <x:f>W179*N179*S179*(1-S179)</x:f>
        <x:v>0.009857575836656111</x:v>
      </x:c>
      <x:c r="Z179" s="245" t="n">
        <x:f>X179*D179</x:f>
        <x:v>-0.05410380970569269</x:v>
      </x:c>
      <x:c r="AA179" s="245" t="n">
        <x:f>X179*E179</x:f>
        <x:v>0</x:v>
      </x:c>
      <x:c r="AB179" s="245" t="n">
        <x:f>X179</x:f>
        <x:v>-0.05410380970569269</x:v>
      </x:c>
      <x:c r="AC179" s="245" t="n">
        <x:f>Y179*D179</x:f>
        <x:v>0.009857575836656111</x:v>
      </x:c>
      <x:c r="AD179" s="245" t="n">
        <x:f>Y179*E179</x:f>
        <x:v>0</x:v>
      </x:c>
      <x:c r="AE179" s="245" t="n">
        <x:f>Y179</x:f>
        <x:v>0.009857575836656111</x:v>
      </x:c>
      <x:c r="AF179" s="245" t="n">
        <x:f>W179*Q179</x:f>
        <x:v>-0.06626144274938071</x:v>
      </x:c>
      <x:c r="AG179" s="245" t="n">
        <x:f>W179*S179</x:f>
        <x:v>-0.11245588241748786</x:v>
      </x:c>
      <x:c r="AH179" s="245" t="n">
        <x:f>W179</x:f>
        <x:v>-0.1176745166332423</x:v>
      </x:c>
      <x:c r="AI179" s="246" t="n">
        <x:f>G179-$B$4*Z179</x:f>
        <x:v>1.6464815976617013</x:v>
      </x:c>
      <x:c r="AJ179" s="246" t="n">
        <x:f>H179-$B$4*AA179</x:f>
        <x:v>-2.0164014732066513</x:v>
      </x:c>
      <x:c r="AK179" s="246" t="n">
        <x:f>I179-$B$4*AB179</x:f>
        <x:v>-1.2845583033884653</x:v>
      </x:c>
      <x:c r="AL179" s="246" t="n">
        <x:f>J179-$B$4*AC179</x:f>
        <x:v>1.6217877879409457</x:v>
      </x:c>
      <x:c r="AM179" s="246" t="n">
        <x:f>K179-$B$4*AD179</x:f>
        <x:v>-1.9191152512450909</x:v>
      </x:c>
      <x:c r="AN179" s="246" t="n">
        <x:f>L179-$B$4*AE179</x:f>
        <x:v>1.4288223256596657</x:v>
      </x:c>
      <x:c r="AO179" s="246" t="n">
        <x:f>M179-$B$4*AF179</x:f>
        <x:v>1.9351173254222103</x:v>
      </x:c>
      <x:c r="AP179" s="246" t="n">
        <x:f>N179-$B$4*AG179</x:f>
        <x:v>-1.864120104216206</x:v>
      </x:c>
      <x:c r="AQ179" s="246" t="n">
        <x:f>O179-$B$4*AH179</x:f>
        <x:v>1.0657260255646077</x:v>
      </x:c>
      <x:c r="AR179" s="182" t="n">
        <x:f>IF(U179&gt;=$B$5,1,0)</x:f>
        <x:v>1</x:v>
      </x:c>
      <x:c r="AS179" s="182" t="n">
        <x:f>IF(AR179=F179,1,0)</x:f>
        <x:v>1</x:v>
      </x:c>
      <x:c r="AT179" s="252" t="n">
        <x:f>ABS(F179-U179)</x:f>
        <x:v>0.47216171173437194</x:v>
      </x:c>
    </x:row>
    <x:row r="180">
      <x:c r="A180" s="114" t="n">
        <x:v>164</x:v>
      </x:c>
      <x:c r="B180" s="114" t="n">
        <x:v>41</x:v>
      </x:c>
      <x:c r="C180" s="114" t="n">
        <x:v>4</x:v>
      </x:c>
      <x:c r="D180" s="168" t="n">
        <x:f>$I$8</x:f>
        <x:v>1</x:v>
      </x:c>
      <x:c r="E180" s="168" t="n">
        <x:f>$J$8</x:f>
        <x:v>1</x:v>
      </x:c>
      <x:c r="F180" s="168" t="n">
        <x:f>$K$8</x:f>
        <x:v>0</x:v>
      </x:c>
      <x:c r="G180" s="242" t="n">
        <x:f>AI179</x:f>
        <x:v>1.6464815976617013</x:v>
      </x:c>
      <x:c r="H180" s="242" t="n">
        <x:f>AJ179</x:f>
        <x:v>-2.0164014732066513</x:v>
      </x:c>
      <x:c r="I180" s="242" t="n">
        <x:f>AK179</x:f>
        <x:v>-1.2845583033884653</x:v>
      </x:c>
      <x:c r="J180" s="242" t="n">
        <x:f>AL179</x:f>
        <x:v>1.6217877879409457</x:v>
      </x:c>
      <x:c r="K180" s="242" t="n">
        <x:f>AM179</x:f>
        <x:v>-1.9191152512450909</x:v>
      </x:c>
      <x:c r="L180" s="242" t="n">
        <x:f>AN179</x:f>
        <x:v>1.4288223256596657</x:v>
      </x:c>
      <x:c r="M180" s="242" t="n">
        <x:f>AO179</x:f>
        <x:v>1.9351173254222103</x:v>
      </x:c>
      <x:c r="N180" s="242" t="n">
        <x:f>AP179</x:f>
        <x:v>-1.864120104216206</x:v>
      </x:c>
      <x:c r="O180" s="242" t="n">
        <x:f>AQ179</x:f>
        <x:v>1.0657260255646077</x:v>
      </x:c>
      <x:c r="P180" s="243" t="n">
        <x:f>D180*G180+E180*H180+I180</x:f>
        <x:v>-1.6544781789334153</x:v>
      </x:c>
      <x:c r="Q180" s="243" t="n">
        <x:f>1/(1+EXP(-P180))</x:f>
        <x:v>0.16050462904000287</x:v>
      </x:c>
      <x:c r="R180" s="243" t="n">
        <x:f>D180*J180+E180*K180+L180</x:f>
        <x:v>1.1314948623555205</x:v>
      </x:c>
      <x:c r="S180" s="243" t="n">
        <x:f>1/(1+EXP(-R180))</x:f>
        <x:v>0.7561146651308706</x:v>
      </x:c>
      <x:c r="T180" s="243" t="n">
        <x:f>Q180*M180+S180*N180+O180</x:f>
        <x:v>-0.03316723433277824</x:v>
      </x:c>
      <x:c r="U180" s="243" t="n">
        <x:f>1/(1+EXP(-T180))</x:f>
        <x:v>0.4917089514608625</x:v>
      </x:c>
      <x:c r="V180" s="243" t="n">
        <x:f>0.5*(F180-U180)^2</x:f>
        <x:v>0.12088884647337042</x:v>
      </x:c>
      <x:c r="W180" s="244" t="n">
        <x:f>(U180-F180)*U180*(1-U180)</x:f>
        <x:v>0.12289343706127251</x:v>
      </x:c>
      <x:c r="X180" s="244" t="n">
        <x:f>W180*M180*Q180*(1-Q180)</x:f>
        <x:v>0.03204364117676957</x:v>
      </x:c>
      <x:c r="Y180" s="244" t="n">
        <x:f>W180*N180*S180*(1-S180)</x:f>
        <x:v>-0.04224505976085809</x:v>
      </x:c>
      <x:c r="Z180" s="245" t="n">
        <x:f>X180*D180</x:f>
        <x:v>0.03204364117676957</x:v>
      </x:c>
      <x:c r="AA180" s="245" t="n">
        <x:f>X180*E180</x:f>
        <x:v>0.03204364117676957</x:v>
      </x:c>
      <x:c r="AB180" s="245" t="n">
        <x:f>X180</x:f>
        <x:v>0.03204364117676957</x:v>
      </x:c>
      <x:c r="AC180" s="245" t="n">
        <x:f>Y180*D180</x:f>
        <x:v>-0.04224505976085809</x:v>
      </x:c>
      <x:c r="AD180" s="245" t="n">
        <x:f>Y180*E180</x:f>
        <x:v>-0.04224505976085809</x:v>
      </x:c>
      <x:c r="AE180" s="245" t="n">
        <x:f>Y180</x:f>
        <x:v>-0.04224505976085809</x:v>
      </x:c>
      <x:c r="AF180" s="245" t="n">
        <x:f>W180*Q180</x:f>
        <x:v>0.019724965526970485</x:v>
      </x:c>
      <x:c r="AG180" s="245" t="n">
        <x:f>W180*S180</x:f>
        <x:v>0.09292153001036578</x:v>
      </x:c>
      <x:c r="AH180" s="245" t="n">
        <x:f>W180</x:f>
        <x:v>0.12289343706127251</x:v>
      </x:c>
      <x:c r="AI180" s="246" t="n">
        <x:f>G180-$B$4*Z180</x:f>
        <x:v>1.6144379564849318</x:v>
      </x:c>
      <x:c r="AJ180" s="246" t="n">
        <x:f>H180-$B$4*AA180</x:f>
        <x:v>-2.048445114383421</x:v>
      </x:c>
      <x:c r="AK180" s="246" t="n">
        <x:f>I180-$B$4*AB180</x:f>
        <x:v>-1.3166019445652348</x:v>
      </x:c>
      <x:c r="AL180" s="246" t="n">
        <x:f>J180-$B$4*AC180</x:f>
        <x:v>1.6640328477018038</x:v>
      </x:c>
      <x:c r="AM180" s="246" t="n">
        <x:f>K180-$B$4*AD180</x:f>
        <x:v>-1.8768701914842327</x:v>
      </x:c>
      <x:c r="AN180" s="246" t="n">
        <x:f>L180-$B$4*AE180</x:f>
        <x:v>1.4710673854205238</x:v>
      </x:c>
      <x:c r="AO180" s="246" t="n">
        <x:f>M180-$B$4*AF180</x:f>
        <x:v>1.9153923598952398</x:v>
      </x:c>
      <x:c r="AP180" s="246" t="n">
        <x:f>N180-$B$4*AG180</x:f>
        <x:v>-1.957041634226572</x:v>
      </x:c>
      <x:c r="AQ180" s="246" t="n">
        <x:f>O180-$B$4*AH180</x:f>
        <x:v>0.9428325885033352</x:v>
      </x:c>
      <x:c r="AR180" s="182" t="n">
        <x:f>IF(U180&gt;=$B$5,1,0)</x:f>
        <x:v>0</x:v>
      </x:c>
      <x:c r="AS180" s="182" t="n">
        <x:f>IF(AR180=F180,1,0)</x:f>
        <x:v>1</x:v>
      </x:c>
      <x:c r="AT180" s="252" t="n">
        <x:f>ABS(F180-U180)</x:f>
        <x:v>0.4917089514608625</x:v>
      </x:c>
    </x:row>
    <x:row r="181">
      <x:c r="A181" s="114" t="n">
        <x:v>165</x:v>
      </x:c>
      <x:c r="B181" s="114" t="n">
        <x:v>42</x:v>
      </x:c>
      <x:c r="C181" s="114" t="n">
        <x:v>1</x:v>
      </x:c>
      <x:c r="D181" s="168" t="n">
        <x:f>$I$5</x:f>
        <x:v>0</x:v>
      </x:c>
      <x:c r="E181" s="168" t="n">
        <x:f>$J$5</x:f>
        <x:v>0</x:v>
      </x:c>
      <x:c r="F181" s="168" t="n">
        <x:f>$K$5</x:f>
        <x:v>0</x:v>
      </x:c>
      <x:c r="G181" s="242" t="n">
        <x:f>AI180</x:f>
        <x:v>1.6144379564849318</x:v>
      </x:c>
      <x:c r="H181" s="242" t="n">
        <x:f>AJ180</x:f>
        <x:v>-2.048445114383421</x:v>
      </x:c>
      <x:c r="I181" s="242" t="n">
        <x:f>AK180</x:f>
        <x:v>-1.3166019445652348</x:v>
      </x:c>
      <x:c r="J181" s="242" t="n">
        <x:f>AL180</x:f>
        <x:v>1.6640328477018038</x:v>
      </x:c>
      <x:c r="K181" s="242" t="n">
        <x:f>AM180</x:f>
        <x:v>-1.8768701914842327</x:v>
      </x:c>
      <x:c r="L181" s="242" t="n">
        <x:f>AN180</x:f>
        <x:v>1.4710673854205238</x:v>
      </x:c>
      <x:c r="M181" s="242" t="n">
        <x:f>AO180</x:f>
        <x:v>1.9153923598952398</x:v>
      </x:c>
      <x:c r="N181" s="242" t="n">
        <x:f>AP180</x:f>
        <x:v>-1.957041634226572</x:v>
      </x:c>
      <x:c r="O181" s="242" t="n">
        <x:f>AQ180</x:f>
        <x:v>0.9428325885033352</x:v>
      </x:c>
      <x:c r="P181" s="243" t="n">
        <x:f>D181*G181+E181*H181+I181</x:f>
        <x:v>-1.3166019445652348</x:v>
      </x:c>
      <x:c r="Q181" s="243" t="n">
        <x:f>1/(1+EXP(-P181))</x:f>
        <x:v>0.21138419689440746</x:v>
      </x:c>
      <x:c r="R181" s="243" t="n">
        <x:f>D181*J181+E181*K181+L181</x:f>
        <x:v>1.4710673854205238</x:v>
      </x:c>
      <x:c r="S181" s="243" t="n">
        <x:f>1/(1+EXP(-R181))</x:f>
        <x:v>0.8132195691475648</x:v>
      </x:c>
      <x:c r="T181" s="243" t="n">
        <x:f>Q181*M181+S181*N181+O181</x:f>
        <x:v>-0.2437882903521046</x:v>
      </x:c>
      <x:c r="U181" s="243" t="n">
        <x:f>1/(1+EXP(-T181))</x:f>
        <x:v>0.4393529983794335</x:v>
      </x:c>
      <x:c r="V181" s="243" t="n">
        <x:f>0.5*(F181-U181)^2</x:f>
        <x:v>0.09651552859249923</x:v>
      </x:c>
      <x:c r="W181" s="244" t="n">
        <x:f>(U181-F181)*U181*(1-U181)</x:f>
        <x:v>0.1082222834304175</x:v>
      </x:c>
      <x:c r="X181" s="244" t="n">
        <x:f>W181*M181*Q181*(1-Q181)</x:f>
        <x:v>0.03455512241149311</x:v>
      </x:c>
      <x:c r="Y181" s="244" t="n">
        <x:f>W181*N181*S181*(1-S181)</x:f>
        <x:v>-0.03217036228855352</x:v>
      </x:c>
      <x:c r="Z181" s="245" t="n">
        <x:f>X181*D181</x:f>
        <x:v>0</x:v>
      </x:c>
      <x:c r="AA181" s="245" t="n">
        <x:f>X181*E181</x:f>
        <x:v>0</x:v>
      </x:c>
      <x:c r="AB181" s="245" t="n">
        <x:f>X181</x:f>
        <x:v>0.03455512241149311</x:v>
      </x:c>
      <x:c r="AC181" s="245" t="n">
        <x:f>Y181*D181</x:f>
        <x:v>0</x:v>
      </x:c>
      <x:c r="AD181" s="245" t="n">
        <x:f>Y181*E181</x:f>
        <x:v>0</x:v>
      </x:c>
      <x:c r="AE181" s="245" t="n">
        <x:f>Y181</x:f>
        <x:v>-0.03217036228855352</x:v>
      </x:c>
      <x:c r="AF181" s="245" t="n">
        <x:f>W181*Q181</x:f>
        <x:v>0.022876480469017742</x:v>
      </x:c>
      <x:c r="AG181" s="245" t="n">
        <x:f>W181*S181</x:f>
        <x:v>0.08800847870344976</x:v>
      </x:c>
      <x:c r="AH181" s="245" t="n">
        <x:f>W181</x:f>
        <x:v>0.1082222834304175</x:v>
      </x:c>
      <x:c r="AI181" s="246" t="n">
        <x:f>G181-$B$4*Z181</x:f>
        <x:v>1.6144379564849318</x:v>
      </x:c>
      <x:c r="AJ181" s="246" t="n">
        <x:f>H181-$B$4*AA181</x:f>
        <x:v>-2.048445114383421</x:v>
      </x:c>
      <x:c r="AK181" s="246" t="n">
        <x:f>I181-$B$4*AB181</x:f>
        <x:v>-1.3511570669767279</x:v>
      </x:c>
      <x:c r="AL181" s="246" t="n">
        <x:f>J181-$B$4*AC181</x:f>
        <x:v>1.6640328477018038</x:v>
      </x:c>
      <x:c r="AM181" s="246" t="n">
        <x:f>K181-$B$4*AD181</x:f>
        <x:v>-1.8768701914842327</x:v>
      </x:c>
      <x:c r="AN181" s="246" t="n">
        <x:f>L181-$B$4*AE181</x:f>
        <x:v>1.5032377477090773</x:v>
      </x:c>
      <x:c r="AO181" s="246" t="n">
        <x:f>M181-$B$4*AF181</x:f>
        <x:v>1.892515879426222</x:v>
      </x:c>
      <x:c r="AP181" s="246" t="n">
        <x:f>N181-$B$4*AG181</x:f>
        <x:v>-2.0450501129300216</x:v>
      </x:c>
      <x:c r="AQ181" s="246" t="n">
        <x:f>O181-$B$4*AH181</x:f>
        <x:v>0.8346103050729177</x:v>
      </x:c>
      <x:c r="AR181" s="182" t="n">
        <x:f>IF(U181&gt;=$B$5,1,0)</x:f>
        <x:v>0</x:v>
      </x:c>
      <x:c r="AS181" s="182" t="n">
        <x:f>IF(AR181=F181,1,0)</x:f>
        <x:v>1</x:v>
      </x:c>
      <x:c r="AT181" s="252" t="n">
        <x:f>ABS(F181-U181)</x:f>
        <x:v>0.4393529983794335</x:v>
      </x:c>
    </x:row>
    <x:row r="182">
      <x:c r="A182" s="114" t="n">
        <x:v>166</x:v>
      </x:c>
      <x:c r="B182" s="114" t="n">
        <x:v>42</x:v>
      </x:c>
      <x:c r="C182" s="114" t="n">
        <x:v>2</x:v>
      </x:c>
      <x:c r="D182" s="168" t="n">
        <x:f>$I$6</x:f>
        <x:v>0</x:v>
      </x:c>
      <x:c r="E182" s="168" t="n">
        <x:f>$J$6</x:f>
        <x:v>1</x:v>
      </x:c>
      <x:c r="F182" s="168" t="n">
        <x:f>$K$6</x:f>
        <x:v>1</x:v>
      </x:c>
      <x:c r="G182" s="242" t="n">
        <x:f>AI181</x:f>
        <x:v>1.6144379564849318</x:v>
      </x:c>
      <x:c r="H182" s="242" t="n">
        <x:f>AJ181</x:f>
        <x:v>-2.048445114383421</x:v>
      </x:c>
      <x:c r="I182" s="242" t="n">
        <x:f>AK181</x:f>
        <x:v>-1.3511570669767279</x:v>
      </x:c>
      <x:c r="J182" s="242" t="n">
        <x:f>AL181</x:f>
        <x:v>1.6640328477018038</x:v>
      </x:c>
      <x:c r="K182" s="242" t="n">
        <x:f>AM181</x:f>
        <x:v>-1.8768701914842327</x:v>
      </x:c>
      <x:c r="L182" s="242" t="n">
        <x:f>AN181</x:f>
        <x:v>1.5032377477090773</x:v>
      </x:c>
      <x:c r="M182" s="242" t="n">
        <x:f>AO181</x:f>
        <x:v>1.892515879426222</x:v>
      </x:c>
      <x:c r="N182" s="242" t="n">
        <x:f>AP181</x:f>
        <x:v>-2.0450501129300216</x:v>
      </x:c>
      <x:c r="O182" s="242" t="n">
        <x:f>AQ181</x:f>
        <x:v>0.8346103050729177</x:v>
      </x:c>
      <x:c r="P182" s="243" t="n">
        <x:f>D182*G182+E182*H182+I182</x:f>
        <x:v>-3.399602181360149</x:v>
      </x:c>
      <x:c r="Q182" s="243" t="n">
        <x:f>1/(1+EXP(-P182))</x:f>
        <x:v>0.03230789982616188</x:v>
      </x:c>
      <x:c r="R182" s="243" t="n">
        <x:f>D182*J182+E182*K182+L182</x:f>
        <x:v>-0.3736324437751555</x:v>
      </x:c>
      <x:c r="S182" s="243" t="n">
        <x:f>1/(1+EXP(-R182))</x:f>
        <x:v>0.407663587553938</x:v>
      </x:c>
      <x:c r="T182" s="243" t="n">
        <x:f>Q182*M182+S182*N182+O182</x:f>
        <x:v>0.06206105276020213</x:v>
      </x:c>
      <x:c r="U182" s="243" t="n">
        <x:f>1/(1+EXP(-T182))</x:f>
        <x:v>0.5155102852582882</x:v>
      </x:c>
      <x:c r="V182" s="243" t="n">
        <x:f>0.5*(F182-U182)^2</x:f>
        <x:v>0.11736514184525262</x:v>
      </x:c>
      <x:c r="W182" s="244" t="n">
        <x:f>(U182-F182)*U182*(1-U182)</x:f>
        <x:v>-0.12100587550405127</x:v>
      </x:c>
      <x:c r="X182" s="244" t="n">
        <x:f>W182*M182*Q182*(1-Q182)</x:f>
        <x:v>-0.007159652001712757</x:v>
      </x:c>
      <x:c r="Y182" s="244" t="n">
        <x:f>W182*N182*S182*(1-S182)</x:f>
        <x:v>0.059755896393813644</x:v>
      </x:c>
      <x:c r="Z182" s="245" t="n">
        <x:f>X182*D182</x:f>
        <x:v>0</x:v>
      </x:c>
      <x:c r="AA182" s="245" t="n">
        <x:f>X182*E182</x:f>
        <x:v>-0.007159652001712757</x:v>
      </x:c>
      <x:c r="AB182" s="245" t="n">
        <x:f>X182</x:f>
        <x:v>-0.007159652001712757</x:v>
      </x:c>
      <x:c r="AC182" s="245" t="n">
        <x:f>Y182*D182</x:f>
        <x:v>0</x:v>
      </x:c>
      <x:c r="AD182" s="245" t="n">
        <x:f>Y182*E182</x:f>
        <x:v>0.059755896393813644</x:v>
      </x:c>
      <x:c r="AE182" s="245" t="n">
        <x:f>Y182</x:f>
        <x:v>0.059755896393813644</x:v>
      </x:c>
      <x:c r="AF182" s="245" t="n">
        <x:f>W182*Q182</x:f>
        <x:v>-0.003909445704161904</x:v>
      </x:c>
      <x:c r="AG182" s="245" t="n">
        <x:f>W182*S182</x:f>
        <x:v>-0.04932968932308673</x:v>
      </x:c>
      <x:c r="AH182" s="245" t="n">
        <x:f>W182</x:f>
        <x:v>-0.12100587550405127</x:v>
      </x:c>
      <x:c r="AI182" s="246" t="n">
        <x:f>G182-$B$4*Z182</x:f>
        <x:v>1.6144379564849318</x:v>
      </x:c>
      <x:c r="AJ182" s="246" t="n">
        <x:f>H182-$B$4*AA182</x:f>
        <x:v>-2.0412854623817083</x:v>
      </x:c>
      <x:c r="AK182" s="246" t="n">
        <x:f>I182-$B$4*AB182</x:f>
        <x:v>-1.3439974149750151</x:v>
      </x:c>
      <x:c r="AL182" s="246" t="n">
        <x:f>J182-$B$4*AC182</x:f>
        <x:v>1.6640328477018038</x:v>
      </x:c>
      <x:c r="AM182" s="246" t="n">
        <x:f>K182-$B$4*AD182</x:f>
        <x:v>-1.9366260878780464</x:v>
      </x:c>
      <x:c r="AN182" s="246" t="n">
        <x:f>L182-$B$4*AE182</x:f>
        <x:v>1.4434818513152636</x:v>
      </x:c>
      <x:c r="AO182" s="246" t="n">
        <x:f>M182-$B$4*AF182</x:f>
        <x:v>1.896425325130384</x:v>
      </x:c>
      <x:c r="AP182" s="246" t="n">
        <x:f>N182-$B$4*AG182</x:f>
        <x:v>-1.9957204236069348</x:v>
      </x:c>
      <x:c r="AQ182" s="246" t="n">
        <x:f>O182-$B$4*AH182</x:f>
        <x:v>0.955616180576969</x:v>
      </x:c>
      <x:c r="AR182" s="182" t="n">
        <x:f>IF(U182&gt;=$B$5,1,0)</x:f>
        <x:v>1</x:v>
      </x:c>
      <x:c r="AS182" s="182" t="n">
        <x:f>IF(AR182=F182,1,0)</x:f>
        <x:v>1</x:v>
      </x:c>
      <x:c r="AT182" s="252" t="n">
        <x:f>ABS(F182-U182)</x:f>
        <x:v>0.48448971474171176</x:v>
      </x:c>
    </x:row>
    <x:row r="183">
      <x:c r="A183" s="114" t="n">
        <x:v>167</x:v>
      </x:c>
      <x:c r="B183" s="114" t="n">
        <x:v>42</x:v>
      </x:c>
      <x:c r="C183" s="114" t="n">
        <x:v>3</x:v>
      </x:c>
      <x:c r="D183" s="168" t="n">
        <x:f>$I$7</x:f>
        <x:v>1</x:v>
      </x:c>
      <x:c r="E183" s="168" t="n">
        <x:f>$J$7</x:f>
        <x:v>0</x:v>
      </x:c>
      <x:c r="F183" s="168" t="n">
        <x:f>$K$7</x:f>
        <x:v>1</x:v>
      </x:c>
      <x:c r="G183" s="242" t="n">
        <x:f>AI182</x:f>
        <x:v>1.6144379564849318</x:v>
      </x:c>
      <x:c r="H183" s="242" t="n">
        <x:f>AJ182</x:f>
        <x:v>-2.0412854623817083</x:v>
      </x:c>
      <x:c r="I183" s="242" t="n">
        <x:f>AK182</x:f>
        <x:v>-1.3439974149750151</x:v>
      </x:c>
      <x:c r="J183" s="242" t="n">
        <x:f>AL182</x:f>
        <x:v>1.6640328477018038</x:v>
      </x:c>
      <x:c r="K183" s="242" t="n">
        <x:f>AM182</x:f>
        <x:v>-1.9366260878780464</x:v>
      </x:c>
      <x:c r="L183" s="242" t="n">
        <x:f>AN182</x:f>
        <x:v>1.4434818513152636</x:v>
      </x:c>
      <x:c r="M183" s="242" t="n">
        <x:f>AO182</x:f>
        <x:v>1.896425325130384</x:v>
      </x:c>
      <x:c r="N183" s="242" t="n">
        <x:f>AP182</x:f>
        <x:v>-1.9957204236069348</x:v>
      </x:c>
      <x:c r="O183" s="242" t="n">
        <x:f>AQ182</x:f>
        <x:v>0.955616180576969</x:v>
      </x:c>
      <x:c r="P183" s="243" t="n">
        <x:f>D183*G183+E183*H183+I183</x:f>
        <x:v>0.2704405415099167</x:v>
      </x:c>
      <x:c r="Q183" s="243" t="n">
        <x:f>1/(1+EXP(-P183))</x:f>
        <x:v>0.5672010540655401</x:v>
      </x:c>
      <x:c r="R183" s="243" t="n">
        <x:f>D183*J183+E183*K183+L183</x:f>
        <x:v>3.1075146990170674</x:v>
      </x:c>
      <x:c r="S183" s="243" t="n">
        <x:f>1/(1+EXP(-R183))</x:f>
        <x:v>0.9572016569499676</x:v>
      </x:c>
      <x:c r="T183" s="243" t="n">
        <x:f>Q183*M183+S183*N183+O183</x:f>
        <x:v>0.1209637276620581</x:v>
      </x:c>
      <x:c r="U183" s="243" t="n">
        <x:f>1/(1+EXP(-T183))</x:f>
        <x:v>0.5302041114517754</x:v>
      </x:c>
      <x:c r="V183" s="243" t="n">
        <x:f>0.5*(F183-U183)^2</x:f>
        <x:v>0.11035408844840795</x:v>
      </x:c>
      <x:c r="W183" s="244" t="n">
        <x:f>(U183-F183)*U183*(1-U183)</x:f>
        <x:v>-0.11702038282171752</x:v>
      </x:c>
      <x:c r="X183" s="244" t="n">
        <x:f>W183*M183*Q183*(1-Q183)</x:f>
        <x:v>-0.054477915847632466</x:v>
      </x:c>
      <x:c r="Y183" s="244" t="n">
        <x:f>W183*N183*S183*(1-S183)</x:f>
        <x:v>0.009567348933857883</x:v>
      </x:c>
      <x:c r="Z183" s="245" t="n">
        <x:f>X183*D183</x:f>
        <x:v>-0.054477915847632466</x:v>
      </x:c>
      <x:c r="AA183" s="245" t="n">
        <x:f>X183*E183</x:f>
        <x:v>0</x:v>
      </x:c>
      <x:c r="AB183" s="245" t="n">
        <x:f>X183</x:f>
        <x:v>-0.054477915847632466</x:v>
      </x:c>
      <x:c r="AC183" s="245" t="n">
        <x:f>Y183*D183</x:f>
        <x:v>0.009567348933857883</x:v>
      </x:c>
      <x:c r="AD183" s="245" t="n">
        <x:f>Y183*E183</x:f>
        <x:v>0</x:v>
      </x:c>
      <x:c r="AE183" s="245" t="n">
        <x:f>Y183</x:f>
        <x:v>0.009567348933857883</x:v>
      </x:c>
      <x:c r="AF183" s="245" t="n">
        <x:f>W183*Q183</x:f>
        <x:v>-0.0663740844836312</x:v>
      </x:c>
      <x:c r="AG183" s="245" t="n">
        <x:f>W183*S183</x:f>
        <x:v>-0.11201210433386753</x:v>
      </x:c>
      <x:c r="AH183" s="245" t="n">
        <x:f>W183</x:f>
        <x:v>-0.11702038282171752</x:v>
      </x:c>
      <x:c r="AI183" s="246" t="n">
        <x:f>G183-$B$4*Z183</x:f>
        <x:v>1.6689158723325643</x:v>
      </x:c>
      <x:c r="AJ183" s="246" t="n">
        <x:f>H183-$B$4*AA183</x:f>
        <x:v>-2.0412854623817083</x:v>
      </x:c>
      <x:c r="AK183" s="246" t="n">
        <x:f>I183-$B$4*AB183</x:f>
        <x:v>-1.2895194991273826</x:v>
      </x:c>
      <x:c r="AL183" s="246" t="n">
        <x:f>J183-$B$4*AC183</x:f>
        <x:v>1.654465498767946</x:v>
      </x:c>
      <x:c r="AM183" s="246" t="n">
        <x:f>K183-$B$4*AD183</x:f>
        <x:v>-1.9366260878780464</x:v>
      </x:c>
      <x:c r="AN183" s="246" t="n">
        <x:f>L183-$B$4*AE183</x:f>
        <x:v>1.4339145023814057</x:v>
      </x:c>
      <x:c r="AO183" s="246" t="n">
        <x:f>M183-$B$4*AF183</x:f>
        <x:v>1.9627994096140151</x:v>
      </x:c>
      <x:c r="AP183" s="246" t="n">
        <x:f>N183-$B$4*AG183</x:f>
        <x:v>-1.8837083192730673</x:v>
      </x:c>
      <x:c r="AQ183" s="246" t="n">
        <x:f>O183-$B$4*AH183</x:f>
        <x:v>1.0726365633986865</x:v>
      </x:c>
      <x:c r="AR183" s="182" t="n">
        <x:f>IF(U183&gt;=$B$5,1,0)</x:f>
        <x:v>1</x:v>
      </x:c>
      <x:c r="AS183" s="182" t="n">
        <x:f>IF(AR183=F183,1,0)</x:f>
        <x:v>1</x:v>
      </x:c>
      <x:c r="AT183" s="252" t="n">
        <x:f>ABS(F183-U183)</x:f>
        <x:v>0.4697958885482246</x:v>
      </x:c>
    </x:row>
    <x:row r="184">
      <x:c r="A184" s="114" t="n">
        <x:v>168</x:v>
      </x:c>
      <x:c r="B184" s="114" t="n">
        <x:v>42</x:v>
      </x:c>
      <x:c r="C184" s="114" t="n">
        <x:v>4</x:v>
      </x:c>
      <x:c r="D184" s="168" t="n">
        <x:f>$I$8</x:f>
        <x:v>1</x:v>
      </x:c>
      <x:c r="E184" s="168" t="n">
        <x:f>$J$8</x:f>
        <x:v>1</x:v>
      </x:c>
      <x:c r="F184" s="168" t="n">
        <x:f>$K$8</x:f>
        <x:v>0</x:v>
      </x:c>
      <x:c r="G184" s="242" t="n">
        <x:f>AI183</x:f>
        <x:v>1.6689158723325643</x:v>
      </x:c>
      <x:c r="H184" s="242" t="n">
        <x:f>AJ183</x:f>
        <x:v>-2.0412854623817083</x:v>
      </x:c>
      <x:c r="I184" s="242" t="n">
        <x:f>AK183</x:f>
        <x:v>-1.2895194991273826</x:v>
      </x:c>
      <x:c r="J184" s="242" t="n">
        <x:f>AL183</x:f>
        <x:v>1.654465498767946</x:v>
      </x:c>
      <x:c r="K184" s="242" t="n">
        <x:f>AM183</x:f>
        <x:v>-1.9366260878780464</x:v>
      </x:c>
      <x:c r="L184" s="242" t="n">
        <x:f>AN183</x:f>
        <x:v>1.4339145023814057</x:v>
      </x:c>
      <x:c r="M184" s="242" t="n">
        <x:f>AO183</x:f>
        <x:v>1.9627994096140151</x:v>
      </x:c>
      <x:c r="N184" s="242" t="n">
        <x:f>AP183</x:f>
        <x:v>-1.8837083192730673</x:v>
      </x:c>
      <x:c r="O184" s="242" t="n">
        <x:f>AQ183</x:f>
        <x:v>1.0726365633986865</x:v>
      </x:c>
      <x:c r="P184" s="243" t="n">
        <x:f>D184*G184+E184*H184+I184</x:f>
        <x:v>-1.6618890891765266</x:v>
      </x:c>
      <x:c r="Q184" s="243" t="n">
        <x:f>1/(1+EXP(-P184))</x:f>
        <x:v>0.15950857216106293</x:v>
      </x:c>
      <x:c r="R184" s="243" t="n">
        <x:f>D184*J184+E184*K184+L184</x:f>
        <x:v>1.1517539132713053</x:v>
      </x:c>
      <x:c r="S184" s="243" t="n">
        <x:f>1/(1+EXP(-R184))</x:f>
        <x:v>0.7598311305406785</x:v>
      </x:c>
      <x:c r="T184" s="243" t="n">
        <x:f>Q184*M184+S184*N184+O184</x:f>
        <x:v>-0.04558032717734073</x:v>
      </x:c>
      <x:c r="U184" s="243" t="n">
        <x:f>1/(1+EXP(-T184))</x:f>
        <x:v>0.4886068906323039</x:v>
      </x:c>
      <x:c r="V184" s="243" t="n">
        <x:f>0.5*(F184-U184)^2</x:f>
        <x:v>0.11936834678668409</x:v>
      </x:c>
      <x:c r="W184" s="244" t="n">
        <x:f>(U184-F184)*U184*(1-U184)</x:f>
        <x:v>0.12208830004664763</x:v>
      </x:c>
      <x:c r="X184" s="244" t="n">
        <x:f>W184*M184*Q184*(1-Q184)</x:f>
        <x:v>0.03212678606243875</x:v>
      </x:c>
      <x:c r="Y184" s="244" t="n">
        <x:f>W184*N184*S184*(1-S184)</x:f>
        <x:v>-0.04196831172137979</x:v>
      </x:c>
      <x:c r="Z184" s="245" t="n">
        <x:f>X184*D184</x:f>
        <x:v>0.03212678606243875</x:v>
      </x:c>
      <x:c r="AA184" s="245" t="n">
        <x:f>X184*E184</x:f>
        <x:v>0.03212678606243875</x:v>
      </x:c>
      <x:c r="AB184" s="245" t="n">
        <x:f>X184</x:f>
        <x:v>0.03212678606243875</x:v>
      </x:c>
      <x:c r="AC184" s="245" t="n">
        <x:f>Y184*D184</x:f>
        <x:v>-0.04196831172137979</x:v>
      </x:c>
      <x:c r="AD184" s="245" t="n">
        <x:f>Y184*E184</x:f>
        <x:v>-0.04196831172137979</x:v>
      </x:c>
      <x:c r="AE184" s="245" t="n">
        <x:f>Y184</x:f>
        <x:v>-0.04196831172137979</x:v>
      </x:c>
      <x:c r="AF184" s="245" t="n">
        <x:f>W184*Q184</x:f>
        <x:v>0.019474130418012197</x:v>
      </x:c>
      <x:c r="AG184" s="245" t="n">
        <x:f>W184*S184</x:f>
        <x:v>0.09276649105023384</x:v>
      </x:c>
      <x:c r="AH184" s="245" t="n">
        <x:f>W184</x:f>
        <x:v>0.12208830004664763</x:v>
      </x:c>
      <x:c r="AI184" s="246" t="n">
        <x:f>G184-$B$4*Z184</x:f>
        <x:v>1.6367890862701255</x:v>
      </x:c>
      <x:c r="AJ184" s="246" t="n">
        <x:f>H184-$B$4*AA184</x:f>
        <x:v>-2.073412248444147</x:v>
      </x:c>
      <x:c r="AK184" s="246" t="n">
        <x:f>I184-$B$4*AB184</x:f>
        <x:v>-1.3216462851898214</x:v>
      </x:c>
      <x:c r="AL184" s="246" t="n">
        <x:f>J184-$B$4*AC184</x:f>
        <x:v>1.6964338104893257</x:v>
      </x:c>
      <x:c r="AM184" s="246" t="n">
        <x:f>K184-$B$4*AD184</x:f>
        <x:v>-1.8946577761566665</x:v>
      </x:c>
      <x:c r="AN184" s="246" t="n">
        <x:f>L184-$B$4*AE184</x:f>
        <x:v>1.4758828141027855</x:v>
      </x:c>
      <x:c r="AO184" s="246" t="n">
        <x:f>M184-$B$4*AF184</x:f>
        <x:v>1.943325279196003</x:v>
      </x:c>
      <x:c r="AP184" s="246" t="n">
        <x:f>N184-$B$4*AG184</x:f>
        <x:v>-1.9764748103233012</x:v>
      </x:c>
      <x:c r="AQ184" s="246" t="n">
        <x:f>O184-$B$4*AH184</x:f>
        <x:v>0.9505482633520389</x:v>
      </x:c>
      <x:c r="AR184" s="182" t="n">
        <x:f>IF(U184&gt;=$B$5,1,0)</x:f>
        <x:v>0</x:v>
      </x:c>
      <x:c r="AS184" s="182" t="n">
        <x:f>IF(AR184=F184,1,0)</x:f>
        <x:v>1</x:v>
      </x:c>
      <x:c r="AT184" s="252" t="n">
        <x:f>ABS(F184-U184)</x:f>
        <x:v>0.4886068906323039</x:v>
      </x:c>
    </x:row>
    <x:row r="185">
      <x:c r="A185" s="114" t="n">
        <x:v>169</x:v>
      </x:c>
      <x:c r="B185" s="114" t="n">
        <x:v>43</x:v>
      </x:c>
      <x:c r="C185" s="114" t="n">
        <x:v>1</x:v>
      </x:c>
      <x:c r="D185" s="168" t="n">
        <x:f>$I$5</x:f>
        <x:v>0</x:v>
      </x:c>
      <x:c r="E185" s="168" t="n">
        <x:f>$J$5</x:f>
        <x:v>0</x:v>
      </x:c>
      <x:c r="F185" s="168" t="n">
        <x:f>$K$5</x:f>
        <x:v>0</x:v>
      </x:c>
      <x:c r="G185" s="242" t="n">
        <x:f>AI184</x:f>
        <x:v>1.6367890862701255</x:v>
      </x:c>
      <x:c r="H185" s="242" t="n">
        <x:f>AJ184</x:f>
        <x:v>-2.073412248444147</x:v>
      </x:c>
      <x:c r="I185" s="242" t="n">
        <x:f>AK184</x:f>
        <x:v>-1.3216462851898214</x:v>
      </x:c>
      <x:c r="J185" s="242" t="n">
        <x:f>AL184</x:f>
        <x:v>1.6964338104893257</x:v>
      </x:c>
      <x:c r="K185" s="242" t="n">
        <x:f>AM184</x:f>
        <x:v>-1.8946577761566665</x:v>
      </x:c>
      <x:c r="L185" s="242" t="n">
        <x:f>AN184</x:f>
        <x:v>1.4758828141027855</x:v>
      </x:c>
      <x:c r="M185" s="242" t="n">
        <x:f>AO184</x:f>
        <x:v>1.943325279196003</x:v>
      </x:c>
      <x:c r="N185" s="242" t="n">
        <x:f>AP184</x:f>
        <x:v>-1.9764748103233012</x:v>
      </x:c>
      <x:c r="O185" s="242" t="n">
        <x:f>AQ184</x:f>
        <x:v>0.9505482633520389</x:v>
      </x:c>
      <x:c r="P185" s="243" t="n">
        <x:f>D185*G185+E185*H185+I185</x:f>
        <x:v>-1.3216462851898214</x:v>
      </x:c>
      <x:c r="Q185" s="243" t="n">
        <x:f>1/(1+EXP(-P185))</x:f>
        <x:v>0.21054452491969555</x:v>
      </x:c>
      <x:c r="R185" s="243" t="n">
        <x:f>D185*J185+E185*K185+L185</x:f>
        <x:v>1.4758828141027855</x:v>
      </x:c>
      <x:c r="S185" s="243" t="n">
        <x:f>1/(1+EXP(-R185))</x:f>
        <x:v>0.8139498985141687</x:v>
      </x:c>
      <x:c r="T185" s="243" t="n">
        <x:f>Q185*M185+S185*N185+O185</x:f>
        <x:v>-0.24904671025366587</x:v>
      </x:c>
      <x:c r="U185" s="243" t="n">
        <x:f>1/(1+EXP(-T185))</x:f>
        <x:v>0.43805815010201404</x:v>
      </x:c>
      <x:c r="V185" s="243" t="n">
        <x:f>0.5*(F185-U185)^2</x:f>
        <x:v>0.09594747143539933</x:v>
      </x:c>
      <x:c r="W185" s="244" t="n">
        <x:f>(U185-F185)*U185*(1-U185)</x:f>
        <x:v>0.10783379918288495</x:v>
      </x:c>
      <x:c r="X185" s="244" t="n">
        <x:f>W185*M185*Q185*(1-Q185)</x:f>
        <x:v>0.03483148575817514</x:v>
      </x:c>
      <x:c r="Y185" s="244" t="n">
        <x:f>W185*N185*S185*(1-S185)</x:f>
        <x:v>-0.03227555914924778</x:v>
      </x:c>
      <x:c r="Z185" s="245" t="n">
        <x:f>X185*D185</x:f>
        <x:v>0</x:v>
      </x:c>
      <x:c r="AA185" s="245" t="n">
        <x:f>X185*E185</x:f>
        <x:v>0</x:v>
      </x:c>
      <x:c r="AB185" s="245" t="n">
        <x:f>X185</x:f>
        <x:v>0.03483148575817514</x:v>
      </x:c>
      <x:c r="AC185" s="245" t="n">
        <x:f>Y185*D185</x:f>
        <x:v>0</x:v>
      </x:c>
      <x:c r="AD185" s="245" t="n">
        <x:f>Y185*E185</x:f>
        <x:v>0</x:v>
      </x:c>
      <x:c r="AE185" s="245" t="n">
        <x:f>Y185</x:f>
        <x:v>-0.03227555914924778</x:v>
      </x:c>
      <x:c r="AF185" s="245" t="n">
        <x:f>W185*Q185</x:f>
        <x:v>0.022703816019246367</x:v>
      </x:c>
      <x:c r="AG185" s="245" t="n">
        <x:f>W185*S185</x:f>
        <x:v>0.08777130990130645</x:v>
      </x:c>
      <x:c r="AH185" s="245" t="n">
        <x:f>W185</x:f>
        <x:v>0.10783379918288495</x:v>
      </x:c>
      <x:c r="AI185" s="246" t="n">
        <x:f>G185-$B$4*Z185</x:f>
        <x:v>1.6367890862701255</x:v>
      </x:c>
      <x:c r="AJ185" s="246" t="n">
        <x:f>H185-$B$4*AA185</x:f>
        <x:v>-2.073412248444147</x:v>
      </x:c>
      <x:c r="AK185" s="246" t="n">
        <x:f>I185-$B$4*AB185</x:f>
        <x:v>-1.3564777709479965</x:v>
      </x:c>
      <x:c r="AL185" s="246" t="n">
        <x:f>J185-$B$4*AC185</x:f>
        <x:v>1.6964338104893257</x:v>
      </x:c>
      <x:c r="AM185" s="246" t="n">
        <x:f>K185-$B$4*AD185</x:f>
        <x:v>-1.8946577761566665</x:v>
      </x:c>
      <x:c r="AN185" s="246" t="n">
        <x:f>L185-$B$4*AE185</x:f>
        <x:v>1.5081583732520334</x:v>
      </x:c>
      <x:c r="AO185" s="246" t="n">
        <x:f>M185-$B$4*AF185</x:f>
        <x:v>1.9206214631767566</x:v>
      </x:c>
      <x:c r="AP185" s="246" t="n">
        <x:f>N185-$B$4*AG185</x:f>
        <x:v>-2.064246120224608</x:v>
      </x:c>
      <x:c r="AQ185" s="246" t="n">
        <x:f>O185-$B$4*AH185</x:f>
        <x:v>0.842714464169154</x:v>
      </x:c>
      <x:c r="AR185" s="182" t="n">
        <x:f>IF(U185&gt;=$B$5,1,0)</x:f>
        <x:v>0</x:v>
      </x:c>
      <x:c r="AS185" s="182" t="n">
        <x:f>IF(AR185=F185,1,0)</x:f>
        <x:v>1</x:v>
      </x:c>
      <x:c r="AT185" s="252" t="n">
        <x:f>ABS(F185-U185)</x:f>
        <x:v>0.43805815010201404</x:v>
      </x:c>
    </x:row>
    <x:row r="186">
      <x:c r="A186" s="114" t="n">
        <x:v>170</x:v>
      </x:c>
      <x:c r="B186" s="114" t="n">
        <x:v>43</x:v>
      </x:c>
      <x:c r="C186" s="114" t="n">
        <x:v>2</x:v>
      </x:c>
      <x:c r="D186" s="168" t="n">
        <x:f>$I$6</x:f>
        <x:v>0</x:v>
      </x:c>
      <x:c r="E186" s="168" t="n">
        <x:f>$J$6</x:f>
        <x:v>1</x:v>
      </x:c>
      <x:c r="F186" s="168" t="n">
        <x:f>$K$6</x:f>
        <x:v>1</x:v>
      </x:c>
      <x:c r="G186" s="242" t="n">
        <x:f>AI185</x:f>
        <x:v>1.6367890862701255</x:v>
      </x:c>
      <x:c r="H186" s="242" t="n">
        <x:f>AJ185</x:f>
        <x:v>-2.073412248444147</x:v>
      </x:c>
      <x:c r="I186" s="242" t="n">
        <x:f>AK185</x:f>
        <x:v>-1.3564777709479965</x:v>
      </x:c>
      <x:c r="J186" s="242" t="n">
        <x:f>AL185</x:f>
        <x:v>1.6964338104893257</x:v>
      </x:c>
      <x:c r="K186" s="242" t="n">
        <x:f>AM185</x:f>
        <x:v>-1.8946577761566665</x:v>
      </x:c>
      <x:c r="L186" s="242" t="n">
        <x:f>AN185</x:f>
        <x:v>1.5081583732520334</x:v>
      </x:c>
      <x:c r="M186" s="242" t="n">
        <x:f>AO185</x:f>
        <x:v>1.9206214631767566</x:v>
      </x:c>
      <x:c r="N186" s="242" t="n">
        <x:f>AP185</x:f>
        <x:v>-2.064246120224608</x:v>
      </x:c>
      <x:c r="O186" s="242" t="n">
        <x:f>AQ185</x:f>
        <x:v>0.842714464169154</x:v>
      </x:c>
      <x:c r="P186" s="243" t="n">
        <x:f>D186*G186+E186*H186+I186</x:f>
        <x:v>-3.4298900193921433</x:v>
      </x:c>
      <x:c r="Q186" s="243" t="n">
        <x:f>1/(1+EXP(-P186))</x:f>
        <x:v>0.03137427437883358</x:v>
      </x:c>
      <x:c r="R186" s="243" t="n">
        <x:f>D186*J186+E186*K186+L186</x:f>
        <x:v>-0.38649940290463314</x:v>
      </x:c>
      <x:c r="S186" s="243" t="n">
        <x:f>1/(1+EXP(-R186))</x:f>
        <x:v>0.40456028145136563</x:v>
      </x:c>
      <x:c r="T186" s="243" t="n">
        <x:f>Q186*M186+S186*N186+O186</x:f>
        <x:v>0.06786057754978148</x:v>
      </x:c>
      <x:c r="U186" s="243" t="n">
        <x:f>1/(1+EXP(-T186))</x:f>
        <x:v>0.5169586369280156</x:v>
      </x:c>
      <x:c r="V186" s="243" t="n">
        <x:f>0.5*(F186-U186)^2</x:f>
        <x:v>0.11666447921922034</x:v>
      </x:c>
      <x:c r="W186" s="244" t="n">
        <x:f>(U186-F186)*U186*(1-U186)</x:f>
        <x:v>-0.12062142031016988</x:v>
      </x:c>
      <x:c r="X186" s="244" t="n">
        <x:f>W186*M186*Q186*(1-Q186)</x:f>
        <x:v>-0.007040376835447213</x:v>
      </x:c>
      <x:c r="Y186" s="244" t="n">
        <x:f>W186*N186*S186*(1-S186)</x:f>
        <x:v>0.05998006864092485</x:v>
      </x:c>
      <x:c r="Z186" s="245" t="n">
        <x:f>X186*D186</x:f>
        <x:v>0</x:v>
      </x:c>
      <x:c r="AA186" s="245" t="n">
        <x:f>X186*E186</x:f>
        <x:v>-0.007040376835447213</x:v>
      </x:c>
      <x:c r="AB186" s="245" t="n">
        <x:f>X186</x:f>
        <x:v>-0.007040376835447213</x:v>
      </x:c>
      <x:c r="AC186" s="245" t="n">
        <x:f>Y186*D186</x:f>
        <x:v>0</x:v>
      </x:c>
      <x:c r="AD186" s="245" t="n">
        <x:f>Y186*E186</x:f>
        <x:v>0.05998006864092485</x:v>
      </x:c>
      <x:c r="AE186" s="245" t="n">
        <x:f>Y186</x:f>
        <x:v>0.05998006864092485</x:v>
      </x:c>
      <x:c r="AF186" s="245" t="n">
        <x:f>W186*Q186</x:f>
        <x:v>-0.0037844095367758797</x:v>
      </x:c>
      <x:c r="AG186" s="245" t="n">
        <x:f>W186*S186</x:f>
        <x:v>-0.0487986357497458</x:v>
      </x:c>
      <x:c r="AH186" s="245" t="n">
        <x:f>W186</x:f>
        <x:v>-0.12062142031016988</x:v>
      </x:c>
      <x:c r="AI186" s="246" t="n">
        <x:f>G186-$B$4*Z186</x:f>
        <x:v>1.6367890862701255</x:v>
      </x:c>
      <x:c r="AJ186" s="246" t="n">
        <x:f>H186-$B$4*AA186</x:f>
        <x:v>-2.0663718716086996</x:v>
      </x:c>
      <x:c r="AK186" s="246" t="n">
        <x:f>I186-$B$4*AB186</x:f>
        <x:v>-1.3494373941125493</x:v>
      </x:c>
      <x:c r="AL186" s="246" t="n">
        <x:f>J186-$B$4*AC186</x:f>
        <x:v>1.6964338104893257</x:v>
      </x:c>
      <x:c r="AM186" s="246" t="n">
        <x:f>K186-$B$4*AD186</x:f>
        <x:v>-1.9546378447975914</x:v>
      </x:c>
      <x:c r="AN186" s="246" t="n">
        <x:f>L186-$B$4*AE186</x:f>
        <x:v>1.4481783046111085</x:v>
      </x:c>
      <x:c r="AO186" s="246" t="n">
        <x:f>M186-$B$4*AF186</x:f>
        <x:v>1.9244058727135325</x:v>
      </x:c>
      <x:c r="AP186" s="246" t="n">
        <x:f>N186-$B$4*AG186</x:f>
        <x:v>-2.015447484474862</x:v>
      </x:c>
      <x:c r="AQ186" s="246" t="n">
        <x:f>O186-$B$4*AH186</x:f>
        <x:v>0.9633358844793238</x:v>
      </x:c>
      <x:c r="AR186" s="182" t="n">
        <x:f>IF(U186&gt;=$B$5,1,0)</x:f>
        <x:v>1</x:v>
      </x:c>
      <x:c r="AS186" s="182" t="n">
        <x:f>IF(AR186=F186,1,0)</x:f>
        <x:v>1</x:v>
      </x:c>
      <x:c r="AT186" s="252" t="n">
        <x:f>ABS(F186-U186)</x:f>
        <x:v>0.4830413630719844</x:v>
      </x:c>
    </x:row>
    <x:row r="187">
      <x:c r="A187" s="114" t="n">
        <x:v>171</x:v>
      </x:c>
      <x:c r="B187" s="114" t="n">
        <x:v>43</x:v>
      </x:c>
      <x:c r="C187" s="114" t="n">
        <x:v>3</x:v>
      </x:c>
      <x:c r="D187" s="168" t="n">
        <x:f>$I$7</x:f>
        <x:v>1</x:v>
      </x:c>
      <x:c r="E187" s="168" t="n">
        <x:f>$J$7</x:f>
        <x:v>0</x:v>
      </x:c>
      <x:c r="F187" s="168" t="n">
        <x:f>$K$7</x:f>
        <x:v>1</x:v>
      </x:c>
      <x:c r="G187" s="242" t="n">
        <x:f>AI186</x:f>
        <x:v>1.6367890862701255</x:v>
      </x:c>
      <x:c r="H187" s="242" t="n">
        <x:f>AJ186</x:f>
        <x:v>-2.0663718716086996</x:v>
      </x:c>
      <x:c r="I187" s="242" t="n">
        <x:f>AK186</x:f>
        <x:v>-1.3494373941125493</x:v>
      </x:c>
      <x:c r="J187" s="242" t="n">
        <x:f>AL186</x:f>
        <x:v>1.6964338104893257</x:v>
      </x:c>
      <x:c r="K187" s="242" t="n">
        <x:f>AM186</x:f>
        <x:v>-1.9546378447975914</x:v>
      </x:c>
      <x:c r="L187" s="242" t="n">
        <x:f>AN186</x:f>
        <x:v>1.4481783046111085</x:v>
      </x:c>
      <x:c r="M187" s="242" t="n">
        <x:f>AO186</x:f>
        <x:v>1.9244058727135325</x:v>
      </x:c>
      <x:c r="N187" s="242" t="n">
        <x:f>AP186</x:f>
        <x:v>-2.015447484474862</x:v>
      </x:c>
      <x:c r="O187" s="242" t="n">
        <x:f>AQ186</x:f>
        <x:v>0.9633358844793238</x:v>
      </x:c>
      <x:c r="P187" s="243" t="n">
        <x:f>D187*G187+E187*H187+I187</x:f>
        <x:v>0.2873516921575763</x:v>
      </x:c>
      <x:c r="Q187" s="243" t="n">
        <x:f>1/(1+EXP(-P187))</x:f>
        <x:v>0.5713476600601077</x:v>
      </x:c>
      <x:c r="R187" s="243" t="n">
        <x:f>D187*J187+E187*K187+L187</x:f>
        <x:v>3.1446121151004345</x:v>
      </x:c>
      <x:c r="S187" s="243" t="n">
        <x:f>1/(1+EXP(-R187))</x:f>
        <x:v>0.9586958984279035</x:v>
      </x:c>
      <x:c r="T187" s="243" t="n">
        <x:f>Q187*M187+S187*N187+O187</x:f>
        <x:v>0.13063943999724437</x:v>
      </x:c>
      <x:c r="U187" s="243" t="n">
        <x:f>1/(1+EXP(-T187))</x:f>
        <x:v>0.5326134895671029</x:v>
      </x:c>
      <x:c r="V187" s="243" t="n">
        <x:f>0.5*(F187-U187)^2</x:f>
        <x:v>0.10922507506732033</x:v>
      </x:c>
      <x:c r="W187" s="244" t="n">
        <x:f>(U187-F187)*U187*(1-U187)</x:f>
        <x:v>-0.11634949675966849</x:v>
      </x:c>
      <x:c r="X187" s="244" t="n">
        <x:f>W187*M187*Q187*(1-Q187)</x:f>
        <x:v>-0.0548361347112561</x:v>
      </x:c>
      <x:c r="Y187" s="244" t="n">
        <x:f>W187*N187*S187*(1-S187)</x:f>
        <x:v>0.00928560157296223</x:v>
      </x:c>
      <x:c r="Z187" s="245" t="n">
        <x:f>X187*D187</x:f>
        <x:v>-0.0548361347112561</x:v>
      </x:c>
      <x:c r="AA187" s="245" t="n">
        <x:f>X187*E187</x:f>
        <x:v>0</x:v>
      </x:c>
      <x:c r="AB187" s="245" t="n">
        <x:f>X187</x:f>
        <x:v>-0.0548361347112561</x:v>
      </x:c>
      <x:c r="AC187" s="245" t="n">
        <x:f>Y187*D187</x:f>
        <x:v>0.00928560157296223</x:v>
      </x:c>
      <x:c r="AD187" s="245" t="n">
        <x:f>Y187*E187</x:f>
        <x:v>0</x:v>
      </x:c>
      <x:c r="AE187" s="245" t="n">
        <x:f>Y187</x:f>
        <x:v>0.00928560157296223</x:v>
      </x:c>
      <x:c r="AF187" s="245" t="n">
        <x:f>W187*Q187</x:f>
        <x:v>-0.06647601272280768</x:v>
      </x:c>
      <x:c r="AG187" s="245" t="n">
        <x:f>W187*S187</x:f>
        <x:v>-0.11154378532764483</x:v>
      </x:c>
      <x:c r="AH187" s="245" t="n">
        <x:f>W187</x:f>
        <x:v>-0.11634949675966849</x:v>
      </x:c>
      <x:c r="AI187" s="246" t="n">
        <x:f>G187-$B$4*Z187</x:f>
        <x:v>1.6916252209813816</x:v>
      </x:c>
      <x:c r="AJ187" s="246" t="n">
        <x:f>H187-$B$4*AA187</x:f>
        <x:v>-2.0663718716086996</x:v>
      </x:c>
      <x:c r="AK187" s="246" t="n">
        <x:f>I187-$B$4*AB187</x:f>
        <x:v>-1.2946012594012932</x:v>
      </x:c>
      <x:c r="AL187" s="246" t="n">
        <x:f>J187-$B$4*AC187</x:f>
        <x:v>1.6871482089163634</x:v>
      </x:c>
      <x:c r="AM187" s="246" t="n">
        <x:f>K187-$B$4*AD187</x:f>
        <x:v>-1.9546378447975914</x:v>
      </x:c>
      <x:c r="AN187" s="246" t="n">
        <x:f>L187-$B$4*AE187</x:f>
        <x:v>1.4388927030381462</x:v>
      </x:c>
      <x:c r="AO187" s="246" t="n">
        <x:f>M187-$B$4*AF187</x:f>
        <x:v>1.9908818854363401</x:v>
      </x:c>
      <x:c r="AP187" s="246" t="n">
        <x:f>N187-$B$4*AG187</x:f>
        <x:v>-1.9039036991472171</x:v>
      </x:c>
      <x:c r="AQ187" s="246" t="n">
        <x:f>O187-$B$4*AH187</x:f>
        <x:v>1.0796853812389924</x:v>
      </x:c>
      <x:c r="AR187" s="182" t="n">
        <x:f>IF(U187&gt;=$B$5,1,0)</x:f>
        <x:v>1</x:v>
      </x:c>
      <x:c r="AS187" s="182" t="n">
        <x:f>IF(AR187=F187,1,0)</x:f>
        <x:v>1</x:v>
      </x:c>
      <x:c r="AT187" s="252" t="n">
        <x:f>ABS(F187-U187)</x:f>
        <x:v>0.46738651043289714</x:v>
      </x:c>
    </x:row>
    <x:row r="188">
      <x:c r="A188" s="114" t="n">
        <x:v>172</x:v>
      </x:c>
      <x:c r="B188" s="114" t="n">
        <x:v>43</x:v>
      </x:c>
      <x:c r="C188" s="114" t="n">
        <x:v>4</x:v>
      </x:c>
      <x:c r="D188" s="168" t="n">
        <x:f>$I$8</x:f>
        <x:v>1</x:v>
      </x:c>
      <x:c r="E188" s="168" t="n">
        <x:f>$J$8</x:f>
        <x:v>1</x:v>
      </x:c>
      <x:c r="F188" s="168" t="n">
        <x:f>$K$8</x:f>
        <x:v>0</x:v>
      </x:c>
      <x:c r="G188" s="242" t="n">
        <x:f>AI187</x:f>
        <x:v>1.6916252209813816</x:v>
      </x:c>
      <x:c r="H188" s="242" t="n">
        <x:f>AJ187</x:f>
        <x:v>-2.0663718716086996</x:v>
      </x:c>
      <x:c r="I188" s="242" t="n">
        <x:f>AK187</x:f>
        <x:v>-1.2946012594012932</x:v>
      </x:c>
      <x:c r="J188" s="242" t="n">
        <x:f>AL187</x:f>
        <x:v>1.6871482089163634</x:v>
      </x:c>
      <x:c r="K188" s="242" t="n">
        <x:f>AM187</x:f>
        <x:v>-1.9546378447975914</x:v>
      </x:c>
      <x:c r="L188" s="242" t="n">
        <x:f>AN187</x:f>
        <x:v>1.4388927030381462</x:v>
      </x:c>
      <x:c r="M188" s="242" t="n">
        <x:f>AO187</x:f>
        <x:v>1.9908818854363401</x:v>
      </x:c>
      <x:c r="N188" s="242" t="n">
        <x:f>AP187</x:f>
        <x:v>-1.9039036991472171</x:v>
      </x:c>
      <x:c r="O188" s="242" t="n">
        <x:f>AQ187</x:f>
        <x:v>1.0796853812389924</x:v>
      </x:c>
      <x:c r="P188" s="243" t="n">
        <x:f>D188*G188+E188*H188+I188</x:f>
        <x:v>-1.6693479100286113</x:v>
      </x:c>
      <x:c r="Q188" s="243" t="n">
        <x:f>1/(1+EXP(-P188))</x:f>
        <x:v>0.15851113873156006</x:v>
      </x:c>
      <x:c r="R188" s="243" t="n">
        <x:f>D188*J188+E188*K188+L188</x:f>
        <x:v>1.1714030671569182</x:v>
      </x:c>
      <x:c r="S188" s="243" t="n">
        <x:f>1/(1+EXP(-R188))</x:f>
        <x:v>0.7633985330681038</x:v>
      </x:c>
      <x:c r="T188" s="243" t="n">
        <x:f>Q188*M188+S188*N188+O188</x:f>
        <x:v>-0.05817495505238002</x:v>
      </x:c>
      <x:c r="U188" s="243" t="n">
        <x:f>1/(1+EXP(-T188))</x:f>
        <x:v>0.485460361577925</x:v>
      </x:c>
      <x:c r="V188" s="243" t="n">
        <x:f>0.5*(F188-U188)^2</x:f>
        <x:v>0.11783588133168484</x:v>
      </x:c>
      <x:c r="W188" s="244" t="n">
        <x:f>(U188-F188)*U188*(1-U188)</x:f>
        <x:v>0.12126246354710332</x:v>
      </x:c>
      <x:c r="X188" s="244" t="n">
        <x:f>W188*M188*Q188*(1-Q188)</x:f>
        <x:v>0.03220179194074455</x:v>
      </x:c>
      <x:c r="Y188" s="244" t="n">
        <x:f>W188*N188*S188*(1-S188)</x:f>
        <x:v>-0.04170039019396111</x:v>
      </x:c>
      <x:c r="Z188" s="245" t="n">
        <x:f>X188*D188</x:f>
        <x:v>0.03220179194074455</x:v>
      </x:c>
      <x:c r="AA188" s="245" t="n">
        <x:f>X188*E188</x:f>
        <x:v>0.03220179194074455</x:v>
      </x:c>
      <x:c r="AB188" s="245" t="n">
        <x:f>X188</x:f>
        <x:v>0.03220179194074455</x:v>
      </x:c>
      <x:c r="AC188" s="245" t="n">
        <x:f>Y188*D188</x:f>
        <x:v>-0.04170039019396111</x:v>
      </x:c>
      <x:c r="AD188" s="245" t="n">
        <x:f>Y188*E188</x:f>
        <x:v>-0.04170039019396111</x:v>
      </x:c>
      <x:c r="AE188" s="245" t="n">
        <x:f>Y188</x:f>
        <x:v>-0.04170039019396111</x:v>
      </x:c>
      <x:c r="AF188" s="245" t="n">
        <x:f>W188*Q188</x:f>
        <x:v>0.01922145118224564</x:v>
      </x:c>
      <x:c r="AG188" s="245" t="n">
        <x:f>W188*S188</x:f>
        <x:v>0.09257158678808308</x:v>
      </x:c>
      <x:c r="AH188" s="245" t="n">
        <x:f>W188</x:f>
        <x:v>0.12126246354710332</x:v>
      </x:c>
      <x:c r="AI188" s="246" t="n">
        <x:f>G188-$B$4*Z188</x:f>
        <x:v>1.659423429040637</x:v>
      </x:c>
      <x:c r="AJ188" s="246" t="n">
        <x:f>H188-$B$4*AA188</x:f>
        <x:v>-2.0985736635494443</x:v>
      </x:c>
      <x:c r="AK188" s="246" t="n">
        <x:f>I188-$B$4*AB188</x:f>
        <x:v>-1.3268030513420377</x:v>
      </x:c>
      <x:c r="AL188" s="246" t="n">
        <x:f>J188-$B$4*AC188</x:f>
        <x:v>1.7288485991103246</x:v>
      </x:c>
      <x:c r="AM188" s="246" t="n">
        <x:f>K188-$B$4*AD188</x:f>
        <x:v>-1.9129374546036302</x:v>
      </x:c>
      <x:c r="AN188" s="246" t="n">
        <x:f>L188-$B$4*AE188</x:f>
        <x:v>1.4805930932321074</x:v>
      </x:c>
      <x:c r="AO188" s="246" t="n">
        <x:f>M188-$B$4*AF188</x:f>
        <x:v>1.9716604342540944</x:v>
      </x:c>
      <x:c r="AP188" s="246" t="n">
        <x:f>N188-$B$4*AG188</x:f>
        <x:v>-1.9964752859353</x:v>
      </x:c>
      <x:c r="AQ188" s="246" t="n">
        <x:f>O188-$B$4*AH188</x:f>
        <x:v>0.958422917691889</x:v>
      </x:c>
      <x:c r="AR188" s="182" t="n">
        <x:f>IF(U188&gt;=$B$5,1,0)</x:f>
        <x:v>0</x:v>
      </x:c>
      <x:c r="AS188" s="182" t="n">
        <x:f>IF(AR188=F188,1,0)</x:f>
        <x:v>1</x:v>
      </x:c>
      <x:c r="AT188" s="252" t="n">
        <x:f>ABS(F188-U188)</x:f>
        <x:v>0.485460361577925</x:v>
      </x:c>
    </x:row>
    <x:row r="189">
      <x:c r="A189" s="114" t="n">
        <x:v>173</x:v>
      </x:c>
      <x:c r="B189" s="114" t="n">
        <x:v>44</x:v>
      </x:c>
      <x:c r="C189" s="114" t="n">
        <x:v>1</x:v>
      </x:c>
      <x:c r="D189" s="168" t="n">
        <x:f>$I$5</x:f>
        <x:v>0</x:v>
      </x:c>
      <x:c r="E189" s="168" t="n">
        <x:f>$J$5</x:f>
        <x:v>0</x:v>
      </x:c>
      <x:c r="F189" s="168" t="n">
        <x:f>$K$5</x:f>
        <x:v>0</x:v>
      </x:c>
      <x:c r="G189" s="242" t="n">
        <x:f>AI188</x:f>
        <x:v>1.659423429040637</x:v>
      </x:c>
      <x:c r="H189" s="242" t="n">
        <x:f>AJ188</x:f>
        <x:v>-2.0985736635494443</x:v>
      </x:c>
      <x:c r="I189" s="242" t="n">
        <x:f>AK188</x:f>
        <x:v>-1.3268030513420377</x:v>
      </x:c>
      <x:c r="J189" s="242" t="n">
        <x:f>AL188</x:f>
        <x:v>1.7288485991103246</x:v>
      </x:c>
      <x:c r="K189" s="242" t="n">
        <x:f>AM188</x:f>
        <x:v>-1.9129374546036302</x:v>
      </x:c>
      <x:c r="L189" s="242" t="n">
        <x:f>AN188</x:f>
        <x:v>1.4805930932321074</x:v>
      </x:c>
      <x:c r="M189" s="242" t="n">
        <x:f>AO188</x:f>
        <x:v>1.9716604342540944</x:v>
      </x:c>
      <x:c r="N189" s="242" t="n">
        <x:f>AP188</x:f>
        <x:v>-1.9964752859353</x:v>
      </x:c>
      <x:c r="O189" s="242" t="n">
        <x:f>AQ188</x:f>
        <x:v>0.958422917691889</x:v>
      </x:c>
      <x:c r="P189" s="243" t="n">
        <x:f>D189*G189+E189*H189+I189</x:f>
        <x:v>-1.3268030513420377</x:v>
      </x:c>
      <x:c r="Q189" s="243" t="n">
        <x:f>1/(1+EXP(-P189))</x:f>
        <x:v>0.20968866970368166</x:v>
      </x:c>
      <x:c r="R189" s="243" t="n">
        <x:f>D189*J189+E189*K189+L189</x:f>
        <x:v>1.4805930932321074</x:v>
      </x:c>
      <x:c r="S189" s="243" t="n">
        <x:f>1/(1+EXP(-R189))</x:f>
        <x:v>0.8146621472222888</x:v>
      </x:c>
      <x:c r="T189" s="243" t="n">
        <x:f>Q189*M189+S189*N189+O189</x:f>
        <x:v>-0.25459507205827125</x:v>
      </x:c>
      <x:c r="U189" s="243" t="n">
        <x:f>1/(1+EXP(-T189))</x:f>
        <x:v>0.436692820298678</x:v>
      </x:c>
      <x:c r="V189" s="243" t="n">
        <x:f>0.5*(F189-U189)^2</x:f>
        <x:v>0.09535030965020674</x:v>
      </x:c>
      <x:c r="W189" s="244" t="n">
        <x:f>(U189-F189)*U189*(1-U189)</x:f>
        <x:v>0.10742302802541143</x:v>
      </x:c>
      <x:c r="X189" s="244" t="n">
        <x:f>W189*M189*Q189*(1-Q189)</x:f>
        <x:v>0.03509964178352032</x:v>
      </x:c>
      <x:c r="Y189" s="244" t="n">
        <x:f>W189*N189*S189*(1-S189)</x:f>
        <x:v>-0.03238194966032246</x:v>
      </x:c>
      <x:c r="Z189" s="245" t="n">
        <x:f>X189*D189</x:f>
        <x:v>0</x:v>
      </x:c>
      <x:c r="AA189" s="245" t="n">
        <x:f>X189*E189</x:f>
        <x:v>0</x:v>
      </x:c>
      <x:c r="AB189" s="245" t="n">
        <x:f>X189</x:f>
        <x:v>0.03509964178352032</x:v>
      </x:c>
      <x:c r="AC189" s="245" t="n">
        <x:f>Y189*D189</x:f>
        <x:v>0</x:v>
      </x:c>
      <x:c r="AD189" s="245" t="n">
        <x:f>Y189*E189</x:f>
        <x:v>0</x:v>
      </x:c>
      <x:c r="AE189" s="245" t="n">
        <x:f>Y189</x:f>
        <x:v>-0.03238194966032246</x:v>
      </x:c>
      <x:c r="AF189" s="245" t="n">
        <x:f>W189*Q189</x:f>
        <x:v>0.022525391842189834</x:v>
      </x:c>
      <x:c r="AG189" s="245" t="n">
        <x:f>W189*S189</x:f>
        <x:v>0.08751347467230178</x:v>
      </x:c>
      <x:c r="AH189" s="245" t="n">
        <x:f>W189</x:f>
        <x:v>0.10742302802541143</x:v>
      </x:c>
      <x:c r="AI189" s="246" t="n">
        <x:f>G189-$B$4*Z189</x:f>
        <x:v>1.659423429040637</x:v>
      </x:c>
      <x:c r="AJ189" s="246" t="n">
        <x:f>H189-$B$4*AA189</x:f>
        <x:v>-2.0985736635494443</x:v>
      </x:c>
      <x:c r="AK189" s="246" t="n">
        <x:f>I189-$B$4*AB189</x:f>
        <x:v>-1.361902693125558</x:v>
      </x:c>
      <x:c r="AL189" s="246" t="n">
        <x:f>J189-$B$4*AC189</x:f>
        <x:v>1.7288485991103246</x:v>
      </x:c>
      <x:c r="AM189" s="246" t="n">
        <x:f>K189-$B$4*AD189</x:f>
        <x:v>-1.9129374546036302</x:v>
      </x:c>
      <x:c r="AN189" s="246" t="n">
        <x:f>L189-$B$4*AE189</x:f>
        <x:v>1.5129750428924298</x:v>
      </x:c>
      <x:c r="AO189" s="246" t="n">
        <x:f>M189-$B$4*AF189</x:f>
        <x:v>1.9491350424119045</x:v>
      </x:c>
      <x:c r="AP189" s="246" t="n">
        <x:f>N189-$B$4*AG189</x:f>
        <x:v>-2.083988760607602</x:v>
      </x:c>
      <x:c r="AQ189" s="246" t="n">
        <x:f>O189-$B$4*AH189</x:f>
        <x:v>0.8509998896664777</x:v>
      </x:c>
      <x:c r="AR189" s="182" t="n">
        <x:f>IF(U189&gt;=$B$5,1,0)</x:f>
        <x:v>0</x:v>
      </x:c>
      <x:c r="AS189" s="182" t="n">
        <x:f>IF(AR189=F189,1,0)</x:f>
        <x:v>1</x:v>
      </x:c>
      <x:c r="AT189" s="252" t="n">
        <x:f>ABS(F189-U189)</x:f>
        <x:v>0.436692820298678</x:v>
      </x:c>
    </x:row>
    <x:row r="190">
      <x:c r="A190" s="114" t="n">
        <x:v>174</x:v>
      </x:c>
      <x:c r="B190" s="114" t="n">
        <x:v>44</x:v>
      </x:c>
      <x:c r="C190" s="114" t="n">
        <x:v>2</x:v>
      </x:c>
      <x:c r="D190" s="168" t="n">
        <x:f>$I$6</x:f>
        <x:v>0</x:v>
      </x:c>
      <x:c r="E190" s="168" t="n">
        <x:f>$J$6</x:f>
        <x:v>1</x:v>
      </x:c>
      <x:c r="F190" s="168" t="n">
        <x:f>$K$6</x:f>
        <x:v>1</x:v>
      </x:c>
      <x:c r="G190" s="242" t="n">
        <x:f>AI189</x:f>
        <x:v>1.659423429040637</x:v>
      </x:c>
      <x:c r="H190" s="242" t="n">
        <x:f>AJ189</x:f>
        <x:v>-2.0985736635494443</x:v>
      </x:c>
      <x:c r="I190" s="242" t="n">
        <x:f>AK189</x:f>
        <x:v>-1.361902693125558</x:v>
      </x:c>
      <x:c r="J190" s="242" t="n">
        <x:f>AL189</x:f>
        <x:v>1.7288485991103246</x:v>
      </x:c>
      <x:c r="K190" s="242" t="n">
        <x:f>AM189</x:f>
        <x:v>-1.9129374546036302</x:v>
      </x:c>
      <x:c r="L190" s="242" t="n">
        <x:f>AN189</x:f>
        <x:v>1.5129750428924298</x:v>
      </x:c>
      <x:c r="M190" s="242" t="n">
        <x:f>AO189</x:f>
        <x:v>1.9491350424119045</x:v>
      </x:c>
      <x:c r="N190" s="242" t="n">
        <x:f>AP189</x:f>
        <x:v>-2.083988760607602</x:v>
      </x:c>
      <x:c r="O190" s="242" t="n">
        <x:f>AQ189</x:f>
        <x:v>0.8509998896664777</x:v>
      </x:c>
      <x:c r="P190" s="243" t="n">
        <x:f>D190*G190+E190*H190+I190</x:f>
        <x:v>-3.4604763566750023</x:v>
      </x:c>
      <x:c r="Q190" s="243" t="n">
        <x:f>1/(1+EXP(-P190))</x:f>
        <x:v>0.03045796317393822</x:v>
      </x:c>
      <x:c r="R190" s="243" t="n">
        <x:f>D190*J190+E190*K190+L190</x:f>
        <x:v>-0.3999624117112004</x:v>
      </x:c>
      <x:c r="S190" s="243" t="n">
        <x:f>1/(1+EXP(-R190))</x:f>
        <x:v>0.4013213709113457</x:v>
      </x:c>
      <x:c r="T190" s="243" t="n">
        <x:f>Q190*M190+S190*N190+O190</x:f>
        <x:v>0.07401734663841286</x:v>
      </x:c>
      <x:c r="U190" s="243" t="n">
        <x:f>1/(1+EXP(-T190))</x:f>
        <x:v>0.5184958931804448</x:v>
      </x:c>
      <x:c r="V190" s="243" t="n">
        <x:f>0.5*(F190-U190)^2</x:f>
        <x:v>0.11592310244204883</x:v>
      </x:c>
      <x:c r="W190" s="244" t="n">
        <x:f>(U190-F190)*U190*(1-U190)</x:f>
        <x:v>-0.12021130508187662</x:v>
      </x:c>
      <x:c r="X190" s="244" t="n">
        <x:f>W190*M190*Q190*(1-Q190)</x:f>
        <x:v>-0.006919181813053224</x:v>
      </x:c>
      <x:c r="Y190" s="244" t="n">
        <x:f>W190*N190*S190*(1-S190)</x:f>
        <x:v>0.06019033037995718</x:v>
      </x:c>
      <x:c r="Z190" s="245" t="n">
        <x:f>X190*D190</x:f>
        <x:v>0</x:v>
      </x:c>
      <x:c r="AA190" s="245" t="n">
        <x:f>X190*E190</x:f>
        <x:v>-0.006919181813053224</x:v>
      </x:c>
      <x:c r="AB190" s="245" t="n">
        <x:f>X190</x:f>
        <x:v>-0.006919181813053224</x:v>
      </x:c>
      <x:c r="AC190" s="245" t="n">
        <x:f>Y190*D190</x:f>
        <x:v>0</x:v>
      </x:c>
      <x:c r="AD190" s="245" t="n">
        <x:f>Y190*E190</x:f>
        <x:v>0.06019033037995718</x:v>
      </x:c>
      <x:c r="AE190" s="245" t="n">
        <x:f>Y190</x:f>
        <x:v>0.06019033037995718</x:v>
      </x:c>
      <x:c r="AF190" s="245" t="n">
        <x:f>W190*Q190</x:f>
        <x:v>-0.0036613915032748506</x:v>
      </x:c>
      <x:c r="AG190" s="245" t="n">
        <x:f>W190*S190</x:f>
        <x:v>-0.04824336575450074</x:v>
      </x:c>
      <x:c r="AH190" s="245" t="n">
        <x:f>W190</x:f>
        <x:v>-0.12021130508187662</x:v>
      </x:c>
      <x:c r="AI190" s="246" t="n">
        <x:f>G190-$B$4*Z190</x:f>
        <x:v>1.659423429040637</x:v>
      </x:c>
      <x:c r="AJ190" s="246" t="n">
        <x:f>H190-$B$4*AA190</x:f>
        <x:v>-2.091654481736391</x:v>
      </x:c>
      <x:c r="AK190" s="246" t="n">
        <x:f>I190-$B$4*AB190</x:f>
        <x:v>-1.3549835113125048</x:v>
      </x:c>
      <x:c r="AL190" s="246" t="n">
        <x:f>J190-$B$4*AC190</x:f>
        <x:v>1.7288485991103246</x:v>
      </x:c>
      <x:c r="AM190" s="246" t="n">
        <x:f>K190-$B$4*AD190</x:f>
        <x:v>-1.9731277849835873</x:v>
      </x:c>
      <x:c r="AN190" s="246" t="n">
        <x:f>L190-$B$4*AE190</x:f>
        <x:v>1.4527847125124727</x:v>
      </x:c>
      <x:c r="AO190" s="246" t="n">
        <x:f>M190-$B$4*AF190</x:f>
        <x:v>1.9527964339151793</x:v>
      </x:c>
      <x:c r="AP190" s="246" t="n">
        <x:f>N190-$B$4*AG190</x:f>
        <x:v>-2.0357453948531012</x:v>
      </x:c>
      <x:c r="AQ190" s="246" t="n">
        <x:f>O190-$B$4*AH190</x:f>
        <x:v>0.9712111947483543</x:v>
      </x:c>
      <x:c r="AR190" s="182" t="n">
        <x:f>IF(U190&gt;=$B$5,1,0)</x:f>
        <x:v>1</x:v>
      </x:c>
      <x:c r="AS190" s="182" t="n">
        <x:f>IF(AR190=F190,1,0)</x:f>
        <x:v>1</x:v>
      </x:c>
      <x:c r="AT190" s="252" t="n">
        <x:f>ABS(F190-U190)</x:f>
        <x:v>0.48150410681955524</x:v>
      </x:c>
    </x:row>
    <x:row r="191">
      <x:c r="A191" s="114" t="n">
        <x:v>175</x:v>
      </x:c>
      <x:c r="B191" s="114" t="n">
        <x:v>44</x:v>
      </x:c>
      <x:c r="C191" s="114" t="n">
        <x:v>3</x:v>
      </x:c>
      <x:c r="D191" s="168" t="n">
        <x:f>$I$7</x:f>
        <x:v>1</x:v>
      </x:c>
      <x:c r="E191" s="168" t="n">
        <x:f>$J$7</x:f>
        <x:v>0</x:v>
      </x:c>
      <x:c r="F191" s="168" t="n">
        <x:f>$K$7</x:f>
        <x:v>1</x:v>
      </x:c>
      <x:c r="G191" s="242" t="n">
        <x:f>AI190</x:f>
        <x:v>1.659423429040637</x:v>
      </x:c>
      <x:c r="H191" s="242" t="n">
        <x:f>AJ190</x:f>
        <x:v>-2.091654481736391</x:v>
      </x:c>
      <x:c r="I191" s="242" t="n">
        <x:f>AK190</x:f>
        <x:v>-1.3549835113125048</x:v>
      </x:c>
      <x:c r="J191" s="242" t="n">
        <x:f>AL190</x:f>
        <x:v>1.7288485991103246</x:v>
      </x:c>
      <x:c r="K191" s="242" t="n">
        <x:f>AM190</x:f>
        <x:v>-1.9731277849835873</x:v>
      </x:c>
      <x:c r="L191" s="242" t="n">
        <x:f>AN190</x:f>
        <x:v>1.4527847125124727</x:v>
      </x:c>
      <x:c r="M191" s="242" t="n">
        <x:f>AO190</x:f>
        <x:v>1.9527964339151793</x:v>
      </x:c>
      <x:c r="N191" s="242" t="n">
        <x:f>AP190</x:f>
        <x:v>-2.0357453948531012</x:v>
      </x:c>
      <x:c r="O191" s="242" t="n">
        <x:f>AQ190</x:f>
        <x:v>0.9712111947483543</x:v>
      </x:c>
      <x:c r="P191" s="243" t="n">
        <x:f>D191*G191+E191*H191+I191</x:f>
        <x:v>0.3044399177281323</x:v>
      </x:c>
      <x:c r="Q191" s="243" t="n">
        <x:f>1/(1+EXP(-P191))</x:f>
        <x:v>0.5755275312036368</x:v>
      </x:c>
      <x:c r="R191" s="243" t="n">
        <x:f>D191*J191+E191*K191+L191</x:f>
        <x:v>3.1816333116227975</x:v>
      </x:c>
      <x:c r="S191" s="243" t="n">
        <x:f>1/(1+EXP(-R191))</x:f>
        <x:v>0.9601372259834294</x:v>
      </x:c>
      <x:c r="T191" s="243" t="n">
        <x:f>Q191*M191+S191*N191+O191</x:f>
        <x:v>0.14050436908002528</x:v>
      </x:c>
      <x:c r="U191" s="243" t="n">
        <x:f>1/(1+EXP(-T191))</x:f>
        <x:v>0.5350684193747896</x:v>
      </x:c>
      <x:c r="V191" s="243" t="n">
        <x:f>0.5*(F191-U191)^2</x:f>
        <x:v>0.10808068733132828</x:v>
      </x:c>
      <x:c r="W191" s="244" t="n">
        <x:f>(U191-F191)*U191*(1-U191)</x:f>
        <x:v>-0.11566112507062934</x:v>
      </x:c>
      <x:c r="X191" s="244" t="n">
        <x:f>W191*M191*Q191*(1-Q191)</x:f>
        <x:v>-0.05517724554378207</x:v>
      </x:c>
      <x:c r="Y191" s="244" t="n">
        <x:f>W191*N191*S191*(1-S191)</x:f>
        <x:v>0.00901180320804953</x:v>
      </x:c>
      <x:c r="Z191" s="245" t="n">
        <x:f>X191*D191</x:f>
        <x:v>-0.05517724554378207</x:v>
      </x:c>
      <x:c r="AA191" s="245" t="n">
        <x:f>X191*E191</x:f>
        <x:v>0</x:v>
      </x:c>
      <x:c r="AB191" s="245" t="n">
        <x:f>X191</x:f>
        <x:v>-0.05517724554378207</x:v>
      </x:c>
      <x:c r="AC191" s="245" t="n">
        <x:f>Y191*D191</x:f>
        <x:v>0.00901180320804953</x:v>
      </x:c>
      <x:c r="AD191" s="245" t="n">
        <x:f>Y191*E191</x:f>
        <x:v>0</x:v>
      </x:c>
      <x:c r="AE191" s="245" t="n">
        <x:f>Y191</x:f>
        <x:v>0.00901180320804953</x:v>
      </x:c>
      <x:c r="AF191" s="245" t="n">
        <x:f>W191*Q191</x:f>
        <x:v>-0.06656616176813436</x:v>
      </x:c>
      <x:c r="AG191" s="245" t="n">
        <x:f>W191*S191</x:f>
        <x:v>-0.11105055177943654</x:v>
      </x:c>
      <x:c r="AH191" s="245" t="n">
        <x:f>W191</x:f>
        <x:v>-0.11566112507062934</x:v>
      </x:c>
      <x:c r="AI191" s="246" t="n">
        <x:f>G191-$B$4*Z191</x:f>
        <x:v>1.7146006745844191</x:v>
      </x:c>
      <x:c r="AJ191" s="246" t="n">
        <x:f>H191-$B$4*AA191</x:f>
        <x:v>-2.091654481736391</x:v>
      </x:c>
      <x:c r="AK191" s="246" t="n">
        <x:f>I191-$B$4*AB191</x:f>
        <x:v>-1.2998062657687228</x:v>
      </x:c>
      <x:c r="AL191" s="246" t="n">
        <x:f>J191-$B$4*AC191</x:f>
        <x:v>1.7198367959022751</x:v>
      </x:c>
      <x:c r="AM191" s="246" t="n">
        <x:f>K191-$B$4*AD191</x:f>
        <x:v>-1.9731277849835873</x:v>
      </x:c>
      <x:c r="AN191" s="246" t="n">
        <x:f>L191-$B$4*AE191</x:f>
        <x:v>1.4437729093044231</x:v>
      </x:c>
      <x:c r="AO191" s="246" t="n">
        <x:f>M191-$B$4*AF191</x:f>
        <x:v>2.019362595683314</x:v>
      </x:c>
      <x:c r="AP191" s="246" t="n">
        <x:f>N191-$B$4*AG191</x:f>
        <x:v>-1.9246948430736648</x:v>
      </x:c>
      <x:c r="AQ191" s="246" t="n">
        <x:f>O191-$B$4*AH191</x:f>
        <x:v>1.0868723198189836</x:v>
      </x:c>
      <x:c r="AR191" s="182" t="n">
        <x:f>IF(U191&gt;=$B$5,1,0)</x:f>
        <x:v>1</x:v>
      </x:c>
      <x:c r="AS191" s="182" t="n">
        <x:f>IF(AR191=F191,1,0)</x:f>
        <x:v>1</x:v>
      </x:c>
      <x:c r="AT191" s="252" t="n">
        <x:f>ABS(F191-U191)</x:f>
        <x:v>0.46493158062521045</x:v>
      </x:c>
    </x:row>
    <x:row r="192">
      <x:c r="A192" s="114" t="n">
        <x:v>176</x:v>
      </x:c>
      <x:c r="B192" s="114" t="n">
        <x:v>44</x:v>
      </x:c>
      <x:c r="C192" s="114" t="n">
        <x:v>4</x:v>
      </x:c>
      <x:c r="D192" s="168" t="n">
        <x:f>$I$8</x:f>
        <x:v>1</x:v>
      </x:c>
      <x:c r="E192" s="168" t="n">
        <x:f>$J$8</x:f>
        <x:v>1</x:v>
      </x:c>
      <x:c r="F192" s="168" t="n">
        <x:f>$K$8</x:f>
        <x:v>0</x:v>
      </x:c>
      <x:c r="G192" s="242" t="n">
        <x:f>AI191</x:f>
        <x:v>1.7146006745844191</x:v>
      </x:c>
      <x:c r="H192" s="242" t="n">
        <x:f>AJ191</x:f>
        <x:v>-2.091654481736391</x:v>
      </x:c>
      <x:c r="I192" s="242" t="n">
        <x:f>AK191</x:f>
        <x:v>-1.2998062657687228</x:v>
      </x:c>
      <x:c r="J192" s="242" t="n">
        <x:f>AL191</x:f>
        <x:v>1.7198367959022751</x:v>
      </x:c>
      <x:c r="K192" s="242" t="n">
        <x:f>AM191</x:f>
        <x:v>-1.9731277849835873</x:v>
      </x:c>
      <x:c r="L192" s="242" t="n">
        <x:f>AN191</x:f>
        <x:v>1.4437729093044231</x:v>
      </x:c>
      <x:c r="M192" s="242" t="n">
        <x:f>AO191</x:f>
        <x:v>2.019362595683314</x:v>
      </x:c>
      <x:c r="N192" s="242" t="n">
        <x:f>AP191</x:f>
        <x:v>-1.9246948430736648</x:v>
      </x:c>
      <x:c r="O192" s="242" t="n">
        <x:f>AQ191</x:f>
        <x:v>1.0868723198189836</x:v>
      </x:c>
      <x:c r="P192" s="243" t="n">
        <x:f>D192*G192+E192*H192+I192</x:f>
        <x:v>-1.6768600729206946</x:v>
      </x:c>
      <x:c r="Q192" s="243" t="n">
        <x:f>1/(1+EXP(-P192))</x:f>
        <x:v>0.15751169479120514</x:v>
      </x:c>
      <x:c r="R192" s="243" t="n">
        <x:f>D192*J192+E192*K192+L192</x:f>
        <x:v>1.190481920223111</x:v>
      </x:c>
      <x:c r="S192" s="243" t="n">
        <x:f>1/(1+EXP(-R192))</x:f>
        <x:v>0.7668272441972299</x:v>
      </x:c>
      <x:c r="T192" s="243" t="n">
        <x:f>Q192*M192+S192*N192+O192</x:f>
        <x:v>-0.0709628977717689</x:v>
      </x:c>
      <x:c r="U192" s="243" t="n">
        <x:f>1/(1+EXP(-T192))</x:f>
        <x:v>0.4822667166057203</x:v>
      </x:c>
      <x:c r="V192" s="243" t="n">
        <x:f>0.5*(F192-U192)^2</x:f>
        <x:v>0.11629059297283106</x:v>
      </x:c>
      <x:c r="W192" s="244" t="n">
        <x:f>(U192-F192)*U192*(1-U192)</x:f>
        <x:v>0.12041502105538315</x:v>
      </x:c>
      <x:c r="X192" s="244" t="n">
        <x:f>W192*M192*Q192*(1-Q192)</x:f>
        <x:v>0.03226797108144677</x:v>
      </x:c>
      <x:c r="Y192" s="244" t="n">
        <x:f>W192*N192*S192*(1-S192)</x:f>
        <x:v>-0.04143982268636214</x:v>
      </x:c>
      <x:c r="Z192" s="245" t="n">
        <x:f>X192*D192</x:f>
        <x:v>0.03226797108144677</x:v>
      </x:c>
      <x:c r="AA192" s="245" t="n">
        <x:f>X192*E192</x:f>
        <x:v>0.03226797108144677</x:v>
      </x:c>
      <x:c r="AB192" s="245" t="n">
        <x:f>X192</x:f>
        <x:v>0.03226797108144677</x:v>
      </x:c>
      <x:c r="AC192" s="245" t="n">
        <x:f>Y192*D192</x:f>
        <x:v>-0.04143982268636214</x:v>
      </x:c>
      <x:c r="AD192" s="245" t="n">
        <x:f>Y192*E192</x:f>
        <x:v>-0.04143982268636214</x:v>
      </x:c>
      <x:c r="AE192" s="245" t="n">
        <x:f>Y192</x:f>
        <x:v>-0.04143982268636214</x:v>
      </x:c>
      <x:c r="AF192" s="245" t="n">
        <x:f>W192*Q192</x:f>
        <x:v>0.01896677404475205</x:v>
      </x:c>
      <x:c r="AG192" s="245" t="n">
        <x:f>W192*S192</x:f>
        <x:v>0.09233751875585088</x:v>
      </x:c>
      <x:c r="AH192" s="245" t="n">
        <x:f>W192</x:f>
        <x:v>0.12041502105538315</x:v>
      </x:c>
      <x:c r="AI192" s="246" t="n">
        <x:f>G192-$B$4*Z192</x:f>
        <x:v>1.6823327035029723</x:v>
      </x:c>
      <x:c r="AJ192" s="246" t="n">
        <x:f>H192-$B$4*AA192</x:f>
        <x:v>-2.1239224528178378</x:v>
      </x:c>
      <x:c r="AK192" s="246" t="n">
        <x:f>I192-$B$4*AB192</x:f>
        <x:v>-1.3320742368501697</x:v>
      </x:c>
      <x:c r="AL192" s="246" t="n">
        <x:f>J192-$B$4*AC192</x:f>
        <x:v>1.7612766185886373</x:v>
      </x:c>
      <x:c r="AM192" s="246" t="n">
        <x:f>K192-$B$4*AD192</x:f>
        <x:v>-1.9316879622972252</x:v>
      </x:c>
      <x:c r="AN192" s="246" t="n">
        <x:f>L192-$B$4*AE192</x:f>
        <x:v>1.4852127319907853</x:v>
      </x:c>
      <x:c r="AO192" s="246" t="n">
        <x:f>M192-$B$4*AF192</x:f>
        <x:v>2.0003958216385618</x:v>
      </x:c>
      <x:c r="AP192" s="246" t="n">
        <x:f>N192-$B$4*AG192</x:f>
        <x:v>-2.0170323618295156</x:v>
      </x:c>
      <x:c r="AQ192" s="246" t="n">
        <x:f>O192-$B$4*AH192</x:f>
        <x:v>0.9664572987636004</x:v>
      </x:c>
      <x:c r="AR192" s="182" t="n">
        <x:f>IF(U192&gt;=$B$5,1,0)</x:f>
        <x:v>0</x:v>
      </x:c>
      <x:c r="AS192" s="182" t="n">
        <x:f>IF(AR192=F192,1,0)</x:f>
        <x:v>1</x:v>
      </x:c>
      <x:c r="AT192" s="252" t="n">
        <x:f>ABS(F192-U192)</x:f>
        <x:v>0.4822667166057203</x:v>
      </x:c>
    </x:row>
    <x:row r="193">
      <x:c r="A193" s="114" t="n">
        <x:v>177</x:v>
      </x:c>
      <x:c r="B193" s="114" t="n">
        <x:v>45</x:v>
      </x:c>
      <x:c r="C193" s="114" t="n">
        <x:v>1</x:v>
      </x:c>
      <x:c r="D193" s="168" t="n">
        <x:f>$I$5</x:f>
        <x:v>0</x:v>
      </x:c>
      <x:c r="E193" s="168" t="n">
        <x:f>$J$5</x:f>
        <x:v>0</x:v>
      </x:c>
      <x:c r="F193" s="168" t="n">
        <x:f>$K$5</x:f>
        <x:v>0</x:v>
      </x:c>
      <x:c r="G193" s="242" t="n">
        <x:f>AI192</x:f>
        <x:v>1.6823327035029723</x:v>
      </x:c>
      <x:c r="H193" s="242" t="n">
        <x:f>AJ192</x:f>
        <x:v>-2.1239224528178378</x:v>
      </x:c>
      <x:c r="I193" s="242" t="n">
        <x:f>AK192</x:f>
        <x:v>-1.3320742368501697</x:v>
      </x:c>
      <x:c r="J193" s="242" t="n">
        <x:f>AL192</x:f>
        <x:v>1.7612766185886373</x:v>
      </x:c>
      <x:c r="K193" s="242" t="n">
        <x:f>AM192</x:f>
        <x:v>-1.9316879622972252</x:v>
      </x:c>
      <x:c r="L193" s="242" t="n">
        <x:f>AN192</x:f>
        <x:v>1.4852127319907853</x:v>
      </x:c>
      <x:c r="M193" s="242" t="n">
        <x:f>AO192</x:f>
        <x:v>2.0003958216385618</x:v>
      </x:c>
      <x:c r="N193" s="242" t="n">
        <x:f>AP192</x:f>
        <x:v>-2.0170323618295156</x:v>
      </x:c>
      <x:c r="O193" s="242" t="n">
        <x:f>AQ192</x:f>
        <x:v>0.9664572987636004</x:v>
      </x:c>
      <x:c r="P193" s="243" t="n">
        <x:f>D193*G193+E193*H193+I193</x:f>
        <x:v>-1.3320742368501697</x:v>
      </x:c>
      <x:c r="Q193" s="243" t="n">
        <x:f>1/(1+EXP(-P193))</x:f>
        <x:v>0.20881646909998255</x:v>
      </x:c>
      <x:c r="R193" s="243" t="n">
        <x:f>D193*J193+E193*K193+L193</x:f>
        <x:v>1.4852127319907853</x:v>
      </x:c>
      <x:c r="S193" s="243" t="n">
        <x:f>1/(1+EXP(-R193))</x:f>
        <x:v>0.8153586423245588</x:v>
      </x:c>
      <x:c r="T193" s="243" t="n">
        <x:f>Q193*M193+S193*N193+O193</x:f>
        <x:v>-0.26043187702548876</x:v>
      </x:c>
      <x:c r="U193" s="243" t="n">
        <x:f>1/(1+EXP(-T193))</x:f>
        <x:v>0.43525754622327784</x:v>
      </x:c>
      <x:c r="V193" s="243" t="n">
        <x:f>0.5*(F193-U193)^2</x:f>
        <x:v>0.09472456577215442</x:v>
      </x:c>
      <x:c r="W193" s="244" t="n">
        <x:f>(U193-F193)*U193*(1-U193)</x:f>
        <x:v>0.106989967414202</x:v>
      </x:c>
      <x:c r="X193" s="244" t="n">
        <x:f>W193*M193*Q193*(1-Q193)</x:f>
        <x:v>0.035359081935189725</x:v>
      </x:c>
      <x:c r="Y193" s="244" t="n">
        <x:f>W193*N193*S193*(1-S193)</x:f>
        <x:v>-0.03248879360638513</x:v>
      </x:c>
      <x:c r="Z193" s="245" t="n">
        <x:f>X193*D193</x:f>
        <x:v>0</x:v>
      </x:c>
      <x:c r="AA193" s="245" t="n">
        <x:f>X193*E193</x:f>
        <x:v>0</x:v>
      </x:c>
      <x:c r="AB193" s="245" t="n">
        <x:f>X193</x:f>
        <x:v>0.035359081935189725</x:v>
      </x:c>
      <x:c r="AC193" s="245" t="n">
        <x:f>Y193*D193</x:f>
        <x:v>0</x:v>
      </x:c>
      <x:c r="AD193" s="245" t="n">
        <x:f>Y193*E193</x:f>
        <x:v>0</x:v>
      </x:c>
      <x:c r="AE193" s="245" t="n">
        <x:f>Y193</x:f>
        <x:v>-0.03248879360638513</x:v>
      </x:c>
      <x:c r="AF193" s="245" t="n">
        <x:f>W193*Q193</x:f>
        <x:v>0.02234126722455585</x:v>
      </x:c>
      <x:c r="AG193" s="245" t="n">
        <x:f>W193*S193</x:f>
        <x:v>0.08723519457319252</x:v>
      </x:c>
      <x:c r="AH193" s="245" t="n">
        <x:f>W193</x:f>
        <x:v>0.106989967414202</x:v>
      </x:c>
      <x:c r="AI193" s="246" t="n">
        <x:f>G193-$B$4*Z193</x:f>
        <x:v>1.6823327035029723</x:v>
      </x:c>
      <x:c r="AJ193" s="246" t="n">
        <x:f>H193-$B$4*AA193</x:f>
        <x:v>-2.1239224528178378</x:v>
      </x:c>
      <x:c r="AK193" s="246" t="n">
        <x:f>I193-$B$4*AB193</x:f>
        <x:v>-1.3674333187853593</x:v>
      </x:c>
      <x:c r="AL193" s="246" t="n">
        <x:f>J193-$B$4*AC193</x:f>
        <x:v>1.7612766185886373</x:v>
      </x:c>
      <x:c r="AM193" s="246" t="n">
        <x:f>K193-$B$4*AD193</x:f>
        <x:v>-1.9316879622972252</x:v>
      </x:c>
      <x:c r="AN193" s="246" t="n">
        <x:f>L193-$B$4*AE193</x:f>
        <x:v>1.5177015255971704</x:v>
      </x:c>
      <x:c r="AO193" s="246" t="n">
        <x:f>M193-$B$4*AF193</x:f>
        <x:v>1.978054554414006</x:v>
      </x:c>
      <x:c r="AP193" s="246" t="n">
        <x:f>N193-$B$4*AG193</x:f>
        <x:v>-2.104267556402708</x:v>
      </x:c>
      <x:c r="AQ193" s="246" t="n">
        <x:f>O193-$B$4*AH193</x:f>
        <x:v>0.8594673313493985</x:v>
      </x:c>
      <x:c r="AR193" s="182" t="n">
        <x:f>IF(U193&gt;=$B$5,1,0)</x:f>
        <x:v>0</x:v>
      </x:c>
      <x:c r="AS193" s="182" t="n">
        <x:f>IF(AR193=F193,1,0)</x:f>
        <x:v>1</x:v>
      </x:c>
      <x:c r="AT193" s="252" t="n">
        <x:f>ABS(F193-U193)</x:f>
        <x:v>0.43525754622327784</x:v>
      </x:c>
    </x:row>
    <x:row r="194">
      <x:c r="A194" s="114" t="n">
        <x:v>178</x:v>
      </x:c>
      <x:c r="B194" s="114" t="n">
        <x:v>45</x:v>
      </x:c>
      <x:c r="C194" s="114" t="n">
        <x:v>2</x:v>
      </x:c>
      <x:c r="D194" s="168" t="n">
        <x:f>$I$6</x:f>
        <x:v>0</x:v>
      </x:c>
      <x:c r="E194" s="168" t="n">
        <x:f>$J$6</x:f>
        <x:v>1</x:v>
      </x:c>
      <x:c r="F194" s="168" t="n">
        <x:f>$K$6</x:f>
        <x:v>1</x:v>
      </x:c>
      <x:c r="G194" s="242" t="n">
        <x:f>AI193</x:f>
        <x:v>1.6823327035029723</x:v>
      </x:c>
      <x:c r="H194" s="242" t="n">
        <x:f>AJ193</x:f>
        <x:v>-2.1239224528178378</x:v>
      </x:c>
      <x:c r="I194" s="242" t="n">
        <x:f>AK193</x:f>
        <x:v>-1.3674333187853593</x:v>
      </x:c>
      <x:c r="J194" s="242" t="n">
        <x:f>AL193</x:f>
        <x:v>1.7612766185886373</x:v>
      </x:c>
      <x:c r="K194" s="242" t="n">
        <x:f>AM193</x:f>
        <x:v>-1.9316879622972252</x:v>
      </x:c>
      <x:c r="L194" s="242" t="n">
        <x:f>AN193</x:f>
        <x:v>1.5177015255971704</x:v>
      </x:c>
      <x:c r="M194" s="242" t="n">
        <x:f>AO193</x:f>
        <x:v>1.978054554414006</x:v>
      </x:c>
      <x:c r="N194" s="242" t="n">
        <x:f>AP193</x:f>
        <x:v>-2.104267556402708</x:v>
      </x:c>
      <x:c r="O194" s="242" t="n">
        <x:f>AQ193</x:f>
        <x:v>0.8594673313493985</x:v>
      </x:c>
      <x:c r="P194" s="243" t="n">
        <x:f>D194*G194+E194*H194+I194</x:f>
        <x:v>-3.491355771603197</x:v>
      </x:c>
      <x:c r="Q194" s="243" t="n">
        <x:f>1/(1+EXP(-P194))</x:f>
        <x:v>0.029559188455432504</x:v>
      </x:c>
      <x:c r="R194" s="243" t="n">
        <x:f>D194*J194+E194*K194+L194</x:f>
        <x:v>-0.41398643670005475</x:v>
      </x:c>
      <x:c r="S194" s="243" t="n">
        <x:f>1/(1+EXP(-R194))</x:f>
        <x:v>0.3979566347212093</x:v>
      </x:c>
      <x:c r="T194" s="243" t="n">
        <x:f>Q194*M194+S194*N194+O194</x:f>
        <x:v>0.08052978339940442</x:v>
      </x:c>
      <x:c r="U194" s="243" t="n">
        <x:f>1/(1+EXP(-T194))</x:f>
        <x:v>0.5201215729144688</x:v>
      </x:c>
      <x:c r="V194" s="243" t="n">
        <x:f>0.5*(F194-U194)^2</x:f>
        <x:v>0.11514165239104174</x:v>
      </x:c>
      <x:c r="W194" s="244" t="n">
        <x:f>(U194-F194)*U194*(1-U194)</x:f>
        <x:v>-0.11977531469919928</x:v>
      </x:c>
      <x:c r="X194" s="244" t="n">
        <x:f>W194*M194*Q194*(1-Q194)</x:f>
        <x:v>-0.006796215549036897</x:v>
      </x:c>
      <x:c r="Y194" s="244" t="n">
        <x:f>W194*N194*S194*(1-S194)</x:f>
        <x:v>0.06038538008235123</x:v>
      </x:c>
      <x:c r="Z194" s="245" t="n">
        <x:f>X194*D194</x:f>
        <x:v>0</x:v>
      </x:c>
      <x:c r="AA194" s="245" t="n">
        <x:f>X194*E194</x:f>
        <x:v>-0.006796215549036897</x:v>
      </x:c>
      <x:c r="AB194" s="245" t="n">
        <x:f>X194</x:f>
        <x:v>-0.006796215549036897</x:v>
      </x:c>
      <x:c r="AC194" s="245" t="n">
        <x:f>Y194*D194</x:f>
        <x:v>0</x:v>
      </x:c>
      <x:c r="AD194" s="245" t="n">
        <x:f>Y194*E194</x:f>
        <x:v>0.06038538008235123</x:v>
      </x:c>
      <x:c r="AE194" s="245" t="n">
        <x:f>Y194</x:f>
        <x:v>0.06038538008235123</x:v>
      </x:c>
      <x:c r="AF194" s="245" t="n">
        <x:f>W194*Q194</x:f>
        <x:v>-0.0035404610995023664</x:v>
      </x:c>
      <x:c r="AG194" s="245" t="n">
        <x:f>W194*S194</x:f>
        <x:v>-0.047665381160367136</x:v>
      </x:c>
      <x:c r="AH194" s="245" t="n">
        <x:f>W194</x:f>
        <x:v>-0.11977531469919928</x:v>
      </x:c>
      <x:c r="AI194" s="246" t="n">
        <x:f>G194-$B$4*Z194</x:f>
        <x:v>1.6823327035029723</x:v>
      </x:c>
      <x:c r="AJ194" s="246" t="n">
        <x:f>H194-$B$4*AA194</x:f>
        <x:v>-2.117126237268801</x:v>
      </x:c>
      <x:c r="AK194" s="246" t="n">
        <x:f>I194-$B$4*AB194</x:f>
        <x:v>-1.3606371032363225</x:v>
      </x:c>
      <x:c r="AL194" s="246" t="n">
        <x:f>J194-$B$4*AC194</x:f>
        <x:v>1.7612766185886373</x:v>
      </x:c>
      <x:c r="AM194" s="246" t="n">
        <x:f>K194-$B$4*AD194</x:f>
        <x:v>-1.9920733423795765</x:v>
      </x:c>
      <x:c r="AN194" s="246" t="n">
        <x:f>L194-$B$4*AE194</x:f>
        <x:v>1.4573161455148191</x:v>
      </x:c>
      <x:c r="AO194" s="246" t="n">
        <x:f>M194-$B$4*AF194</x:f>
        <x:v>1.9815950155135085</x:v>
      </x:c>
      <x:c r="AP194" s="246" t="n">
        <x:f>N194-$B$4*AG194</x:f>
        <x:v>-2.056602175242341</x:v>
      </x:c>
      <x:c r="AQ194" s="246" t="n">
        <x:f>O194-$B$4*AH194</x:f>
        <x:v>0.9792426460485977</x:v>
      </x:c>
      <x:c r="AR194" s="182" t="n">
        <x:f>IF(U194&gt;=$B$5,1,0)</x:f>
        <x:v>1</x:v>
      </x:c>
      <x:c r="AS194" s="182" t="n">
        <x:f>IF(AR194=F194,1,0)</x:f>
        <x:v>1</x:v>
      </x:c>
      <x:c r="AT194" s="252" t="n">
        <x:f>ABS(F194-U194)</x:f>
        <x:v>0.4798784270855312</x:v>
      </x:c>
    </x:row>
    <x:row r="195">
      <x:c r="A195" s="114" t="n">
        <x:v>179</x:v>
      </x:c>
      <x:c r="B195" s="114" t="n">
        <x:v>45</x:v>
      </x:c>
      <x:c r="C195" s="114" t="n">
        <x:v>3</x:v>
      </x:c>
      <x:c r="D195" s="168" t="n">
        <x:f>$I$7</x:f>
        <x:v>1</x:v>
      </x:c>
      <x:c r="E195" s="168" t="n">
        <x:f>$J$7</x:f>
        <x:v>0</x:v>
      </x:c>
      <x:c r="F195" s="168" t="n">
        <x:f>$K$7</x:f>
        <x:v>1</x:v>
      </x:c>
      <x:c r="G195" s="242" t="n">
        <x:f>AI194</x:f>
        <x:v>1.6823327035029723</x:v>
      </x:c>
      <x:c r="H195" s="242" t="n">
        <x:f>AJ194</x:f>
        <x:v>-2.117126237268801</x:v>
      </x:c>
      <x:c r="I195" s="242" t="n">
        <x:f>AK194</x:f>
        <x:v>-1.3606371032363225</x:v>
      </x:c>
      <x:c r="J195" s="242" t="n">
        <x:f>AL194</x:f>
        <x:v>1.7612766185886373</x:v>
      </x:c>
      <x:c r="K195" s="242" t="n">
        <x:f>AM194</x:f>
        <x:v>-1.9920733423795765</x:v>
      </x:c>
      <x:c r="L195" s="242" t="n">
        <x:f>AN194</x:f>
        <x:v>1.4573161455148191</x:v>
      </x:c>
      <x:c r="M195" s="242" t="n">
        <x:f>AO194</x:f>
        <x:v>1.9815950155135085</x:v>
      </x:c>
      <x:c r="N195" s="242" t="n">
        <x:f>AP194</x:f>
        <x:v>-2.056602175242341</x:v>
      </x:c>
      <x:c r="O195" s="242" t="n">
        <x:f>AQ194</x:f>
        <x:v>0.9792426460485977</x:v>
      </x:c>
      <x:c r="P195" s="243" t="n">
        <x:f>D195*G195+E195*H195+I195</x:f>
        <x:v>0.3216956002666498</x:v>
      </x:c>
      <x:c r="Q195" s="243" t="n">
        <x:f>1/(1+EXP(-P195))</x:f>
        <x:v>0.5797374272551902</x:v>
      </x:c>
      <x:c r="R195" s="243" t="n">
        <x:f>D195*J195+E195*K195+L195</x:f>
        <x:v>3.218592764103456</x:v>
      </x:c>
      <x:c r="S195" s="243" t="n">
        <x:f>1/(1+EXP(-R195))</x:f>
        <x:v>0.9615279919471998</x:v>
      </x:c>
      <x:c r="T195" s="243" t="n">
        <x:f>Q195*M195+S195*N195+O195</x:f>
        <x:v>0.15056688240909666</x:v>
      </x:c>
      <x:c r="U195" s="243" t="n">
        <x:f>1/(1+EXP(-T195))</x:f>
        <x:v>0.537570768753622</x:v>
      </x:c>
      <x:c r="V195" s="243" t="n">
        <x:f>0.5*(F195-U195)^2</x:f>
        <x:v>0.10692039695555808</x:v>
      </x:c>
      <x:c r="W195" s="244" t="n">
        <x:f>(U195-F195)*U195*(1-U195)</x:f>
        <x:v>-0.11495455997368356</x:v>
      </x:c>
      <x:c r="X195" s="244" t="n">
        <x:f>W195*M195*Q195*(1-Q195)</x:f>
        <x:v>-0.05550002238037728</x:v>
      </x:c>
      <x:c r="Y195" s="244" t="n">
        <x:f>W195*N195*S195*(1-S195)</x:f>
        <x:v>0.008745472552051131</x:v>
      </x:c>
      <x:c r="Z195" s="245" t="n">
        <x:f>X195*D195</x:f>
        <x:v>-0.05550002238037728</x:v>
      </x:c>
      <x:c r="AA195" s="245" t="n">
        <x:f>X195*E195</x:f>
        <x:v>0</x:v>
      </x:c>
      <x:c r="AB195" s="245" t="n">
        <x:f>X195</x:f>
        <x:v>-0.05550002238037728</x:v>
      </x:c>
      <x:c r="AC195" s="245" t="n">
        <x:f>Y195*D195</x:f>
        <x:v>0.008745472552051131</x:v>
      </x:c>
      <x:c r="AD195" s="245" t="n">
        <x:f>Y195*E195</x:f>
        <x:v>0</x:v>
      </x:c>
      <x:c r="AE195" s="245" t="n">
        <x:f>Y195</x:f>
        <x:v>0.008745472552051131</x:v>
      </x:c>
      <x:c r="AF195" s="245" t="n">
        <x:f>W195*Q195</x:f>
        <x:v>-0.06664346085039577</x:v>
      </x:c>
      <x:c r="AG195" s="245" t="n">
        <x:f>W195*S195</x:f>
        <x:v>-0.11053202721666991</x:v>
      </x:c>
      <x:c r="AH195" s="245" t="n">
        <x:f>W195</x:f>
        <x:v>-0.11495455997368356</x:v>
      </x:c>
      <x:c r="AI195" s="246" t="n">
        <x:f>G195-$B$4*Z195</x:f>
        <x:v>1.7378327258833495</x:v>
      </x:c>
      <x:c r="AJ195" s="246" t="n">
        <x:f>H195-$B$4*AA195</x:f>
        <x:v>-2.117126237268801</x:v>
      </x:c>
      <x:c r="AK195" s="246" t="n">
        <x:f>I195-$B$4*AB195</x:f>
        <x:v>-1.3051370808559453</x:v>
      </x:c>
      <x:c r="AL195" s="246" t="n">
        <x:f>J195-$B$4*AC195</x:f>
        <x:v>1.7525311460365862</x:v>
      </x:c>
      <x:c r="AM195" s="246" t="n">
        <x:f>K195-$B$4*AD195</x:f>
        <x:v>-1.9920733423795765</x:v>
      </x:c>
      <x:c r="AN195" s="246" t="n">
        <x:f>L195-$B$4*AE195</x:f>
        <x:v>1.448570672962768</x:v>
      </x:c>
      <x:c r="AO195" s="246" t="n">
        <x:f>M195-$B$4*AF195</x:f>
        <x:v>2.0482384763639043</x:v>
      </x:c>
      <x:c r="AP195" s="246" t="n">
        <x:f>N195-$B$4*AG195</x:f>
        <x:v>-1.946070148025671</x:v>
      </x:c>
      <x:c r="AQ195" s="246" t="n">
        <x:f>O195-$B$4*AH195</x:f>
        <x:v>1.0941972060222813</x:v>
      </x:c>
      <x:c r="AR195" s="182" t="n">
        <x:f>IF(U195&gt;=$B$5,1,0)</x:f>
        <x:v>1</x:v>
      </x:c>
      <x:c r="AS195" s="182" t="n">
        <x:f>IF(AR195=F195,1,0)</x:f>
        <x:v>1</x:v>
      </x:c>
      <x:c r="AT195" s="252" t="n">
        <x:f>ABS(F195-U195)</x:f>
        <x:v>0.462429231246378</x:v>
      </x:c>
    </x:row>
    <x:row r="196">
      <x:c r="A196" s="114" t="n">
        <x:v>180</x:v>
      </x:c>
      <x:c r="B196" s="114" t="n">
        <x:v>45</x:v>
      </x:c>
      <x:c r="C196" s="114" t="n">
        <x:v>4</x:v>
      </x:c>
      <x:c r="D196" s="168" t="n">
        <x:f>$I$8</x:f>
        <x:v>1</x:v>
      </x:c>
      <x:c r="E196" s="168" t="n">
        <x:f>$J$8</x:f>
        <x:v>1</x:v>
      </x:c>
      <x:c r="F196" s="168" t="n">
        <x:f>$K$8</x:f>
        <x:v>0</x:v>
      </x:c>
      <x:c r="G196" s="242" t="n">
        <x:f>AI195</x:f>
        <x:v>1.7378327258833495</x:v>
      </x:c>
      <x:c r="H196" s="242" t="n">
        <x:f>AJ195</x:f>
        <x:v>-2.117126237268801</x:v>
      </x:c>
      <x:c r="I196" s="242" t="n">
        <x:f>AK195</x:f>
        <x:v>-1.3051370808559453</x:v>
      </x:c>
      <x:c r="J196" s="242" t="n">
        <x:f>AL195</x:f>
        <x:v>1.7525311460365862</x:v>
      </x:c>
      <x:c r="K196" s="242" t="n">
        <x:f>AM195</x:f>
        <x:v>-1.9920733423795765</x:v>
      </x:c>
      <x:c r="L196" s="242" t="n">
        <x:f>AN195</x:f>
        <x:v>1.448570672962768</x:v>
      </x:c>
      <x:c r="M196" s="242" t="n">
        <x:f>AO195</x:f>
        <x:v>2.0482384763639043</x:v>
      </x:c>
      <x:c r="N196" s="242" t="n">
        <x:f>AP195</x:f>
        <x:v>-1.946070148025671</x:v>
      </x:c>
      <x:c r="O196" s="242" t="n">
        <x:f>AQ195</x:f>
        <x:v>1.0941972060222813</x:v>
      </x:c>
      <x:c r="P196" s="243" t="n">
        <x:f>D196*G196+E196*H196+I196</x:f>
        <x:v>-1.6844305922413967</x:v>
      </x:c>
      <x:c r="Q196" s="243" t="n">
        <x:f>1/(1+EXP(-P196))</x:f>
        <x:v>0.1565096763806085</x:v>
      </x:c>
      <x:c r="R196" s="243" t="n">
        <x:f>D196*J196+E196*K196+L196</x:f>
        <x:v>1.2090284766197779</x:v>
      </x:c>
      <x:c r="S196" s="243" t="n">
        <x:f>1/(1+EXP(-R196))</x:f>
        <x:v>0.7701270040386884</x:v>
      </x:c>
      <x:c r="T196" s="243" t="n">
        <x:f>Q196*M196+S196*N196+O196</x:f>
        <x:v>-0.08395482563983014</x:v>
      </x:c>
      <x:c r="U196" s="243" t="n">
        <x:f>1/(1+EXP(-T196))</x:f>
        <x:v>0.4790236129957087</x:v>
      </x:c>
      <x:c r="V196" s="243" t="n">
        <x:f>0.5*(F196-U196)^2</x:f>
        <x:v>0.11473181090373126</x:v>
      </x:c>
      <x:c r="W196" s="244" t="n">
        <x:f>(U196-F196)*U196*(1-U196)</x:f>
        <x:v>0.11954512863817092</x:v>
      </x:c>
      <x:c r="X196" s="244" t="n">
        <x:f>W196*M196*Q196*(1-Q196)</x:f>
        <x:v>0.03232464038952303</x:v>
      </x:c>
      <x:c r="Y196" s="244" t="n">
        <x:f>W196*N196*S196*(1-S196)</x:f>
        <x:v>-0.04118515288430782</x:v>
      </x:c>
      <x:c r="Z196" s="245" t="n">
        <x:f>X196*D196</x:f>
        <x:v>0.03232464038952303</x:v>
      </x:c>
      <x:c r="AA196" s="245" t="n">
        <x:f>X196*E196</x:f>
        <x:v>0.03232464038952303</x:v>
      </x:c>
      <x:c r="AB196" s="245" t="n">
        <x:f>X196</x:f>
        <x:v>0.03232464038952303</x:v>
      </x:c>
      <x:c r="AC196" s="245" t="n">
        <x:f>Y196*D196</x:f>
        <x:v>-0.04118515288430782</x:v>
      </x:c>
      <x:c r="AD196" s="245" t="n">
        <x:f>Y196*E196</x:f>
        <x:v>-0.04118515288430782</x:v>
      </x:c>
      <x:c r="AE196" s="245" t="n">
        <x:f>Y196</x:f>
        <x:v>-0.04118515288430782</x:v>
      </x:c>
      <x:c r="AF196" s="245" t="n">
        <x:f>W196*Q196</x:f>
        <x:v>0.018709969396038344</x:v>
      </x:c>
      <x:c r="AG196" s="245" t="n">
        <x:f>W196*S196</x:f>
        <x:v>0.09206493176553418</x:v>
      </x:c>
      <x:c r="AH196" s="245" t="n">
        <x:f>W196</x:f>
        <x:v>0.11954512863817092</x:v>
      </x:c>
      <x:c r="AI196" s="246" t="n">
        <x:f>G196-$B$4*Z196</x:f>
        <x:v>1.7055080854938265</x:v>
      </x:c>
      <x:c r="AJ196" s="246" t="n">
        <x:f>H196-$B$4*AA196</x:f>
        <x:v>-2.149450877658324</x:v>
      </x:c>
      <x:c r="AK196" s="246" t="n">
        <x:f>I196-$B$4*AB196</x:f>
        <x:v>-1.3374617212454682</x:v>
      </x:c>
      <x:c r="AL196" s="246" t="n">
        <x:f>J196-$B$4*AC196</x:f>
        <x:v>1.7937162989208941</x:v>
      </x:c>
      <x:c r="AM196" s="246" t="n">
        <x:f>K196-$B$4*AD196</x:f>
        <x:v>-1.9508881894952685</x:v>
      </x:c>
      <x:c r="AN196" s="246" t="n">
        <x:f>L196-$B$4*AE196</x:f>
        <x:v>1.489755825847076</x:v>
      </x:c>
      <x:c r="AO196" s="246" t="n">
        <x:f>M196-$B$4*AF196</x:f>
        <x:v>2.029528506967866</x:v>
      </x:c>
      <x:c r="AP196" s="246" t="n">
        <x:f>N196-$B$4*AG196</x:f>
        <x:v>-2.0381350797912052</x:v>
      </x:c>
      <x:c r="AQ196" s="246" t="n">
        <x:f>O196-$B$4*AH196</x:f>
        <x:v>0.9746520773841104</x:v>
      </x:c>
      <x:c r="AR196" s="182" t="n">
        <x:f>IF(U196&gt;=$B$5,1,0)</x:f>
        <x:v>0</x:v>
      </x:c>
      <x:c r="AS196" s="182" t="n">
        <x:f>IF(AR196=F196,1,0)</x:f>
        <x:v>1</x:v>
      </x:c>
      <x:c r="AT196" s="252" t="n">
        <x:f>ABS(F196-U196)</x:f>
        <x:v>0.4790236129957087</x:v>
      </x:c>
    </x:row>
    <x:row r="197">
      <x:c r="A197" s="114" t="n">
        <x:v>181</x:v>
      </x:c>
      <x:c r="B197" s="114" t="n">
        <x:v>46</x:v>
      </x:c>
      <x:c r="C197" s="114" t="n">
        <x:v>1</x:v>
      </x:c>
      <x:c r="D197" s="168" t="n">
        <x:f>$I$5</x:f>
        <x:v>0</x:v>
      </x:c>
      <x:c r="E197" s="168" t="n">
        <x:f>$J$5</x:f>
        <x:v>0</x:v>
      </x:c>
      <x:c r="F197" s="168" t="n">
        <x:f>$K$5</x:f>
        <x:v>0</x:v>
      </x:c>
      <x:c r="G197" s="242" t="n">
        <x:f>AI196</x:f>
        <x:v>1.7055080854938265</x:v>
      </x:c>
      <x:c r="H197" s="242" t="n">
        <x:f>AJ196</x:f>
        <x:v>-2.149450877658324</x:v>
      </x:c>
      <x:c r="I197" s="242" t="n">
        <x:f>AK196</x:f>
        <x:v>-1.3374617212454682</x:v>
      </x:c>
      <x:c r="J197" s="242" t="n">
        <x:f>AL196</x:f>
        <x:v>1.7937162989208941</x:v>
      </x:c>
      <x:c r="K197" s="242" t="n">
        <x:f>AM196</x:f>
        <x:v>-1.9508881894952685</x:v>
      </x:c>
      <x:c r="L197" s="242" t="n">
        <x:f>AN196</x:f>
        <x:v>1.489755825847076</x:v>
      </x:c>
      <x:c r="M197" s="242" t="n">
        <x:f>AO196</x:f>
        <x:v>2.029528506967866</x:v>
      </x:c>
      <x:c r="N197" s="242" t="n">
        <x:f>AP196</x:f>
        <x:v>-2.0381350797912052</x:v>
      </x:c>
      <x:c r="O197" s="242" t="n">
        <x:f>AQ196</x:f>
        <x:v>0.9746520773841104</x:v>
      </x:c>
      <x:c r="P197" s="243" t="n">
        <x:f>D197*G197+E197*H197+I197</x:f>
        <x:v>-1.3374617212454682</x:v>
      </x:c>
      <x:c r="Q197" s="243" t="n">
        <x:f>1/(1+EXP(-P197))</x:f>
        <x:v>0.2079277874786477</x:v>
      </x:c>
      <x:c r="R197" s="243" t="n">
        <x:f>D197*J197+E197*K197+L197</x:f>
        <x:v>1.489755825847076</x:v>
      </x:c>
      <x:c r="S197" s="243" t="n">
        <x:f>1/(1+EXP(-R197))</x:f>
        <x:v>0.8160416205482944</x:v>
      </x:c>
      <x:c r="T197" s="243" t="n">
        <x:f>Q197*M197+S197*N197+O197</x:f>
        <x:v>-0.26655560394636046</x:v>
      </x:c>
      <x:c r="U197" s="243" t="n">
        <x:f>1/(1+EXP(-T197))</x:f>
        <x:v>0.43375288386512534</x:v>
      </x:c>
      <x:c r="V197" s="243" t="n">
        <x:f>0.5*(F197-U197)^2</x:f>
        <x:v>0.09407078213065645</x:v>
      </x:c>
      <x:c r="W197" s="244" t="n">
        <x:f>(U197-F197)*U197*(1-U197)</x:f>
        <x:v>0.10653461818807262</x:v>
      </x:c>
      <x:c r="X197" s="244" t="n">
        <x:f>W197*M197*Q197*(1-Q197)</x:f>
        <x:v>0.0356092822131833</x:v>
      </x:c>
      <x:c r="Y197" s="244" t="n">
        <x:f>W197*N197*S197*(1-S197)</x:f>
        <x:v>-0.03259534652566923</x:v>
      </x:c>
      <x:c r="Z197" s="245" t="n">
        <x:f>X197*D197</x:f>
        <x:v>0</x:v>
      </x:c>
      <x:c r="AA197" s="245" t="n">
        <x:f>X197*E197</x:f>
        <x:v>0</x:v>
      </x:c>
      <x:c r="AB197" s="245" t="n">
        <x:f>X197</x:f>
        <x:v>0.0356092822131833</x:v>
      </x:c>
      <x:c r="AC197" s="245" t="n">
        <x:f>Y197*D197</x:f>
        <x:v>0</x:v>
      </x:c>
      <x:c r="AD197" s="245" t="n">
        <x:f>Y197*E197</x:f>
        <x:v>0</x:v>
      </x:c>
      <x:c r="AE197" s="245" t="n">
        <x:f>Y197</x:f>
        <x:v>-0.03259534652566923</x:v>
      </x:c>
      <x:c r="AF197" s="245" t="n">
        <x:f>W197*Q197</x:f>
        <x:v>0.022151507449728443</x:v>
      </x:c>
      <x:c r="AG197" s="245" t="n">
        <x:f>W197*S197</x:f>
        <x:v>0.08693668247068859</x:v>
      </x:c>
      <x:c r="AH197" s="245" t="n">
        <x:f>W197</x:f>
        <x:v>0.10653461818807262</x:v>
      </x:c>
      <x:c r="AI197" s="246" t="n">
        <x:f>G197-$B$4*Z197</x:f>
        <x:v>1.7055080854938265</x:v>
      </x:c>
      <x:c r="AJ197" s="246" t="n">
        <x:f>H197-$B$4*AA197</x:f>
        <x:v>-2.149450877658324</x:v>
      </x:c>
      <x:c r="AK197" s="246" t="n">
        <x:f>I197-$B$4*AB197</x:f>
        <x:v>-1.3730710034586515</x:v>
      </x:c>
      <x:c r="AL197" s="246" t="n">
        <x:f>J197-$B$4*AC197</x:f>
        <x:v>1.7937162989208941</x:v>
      </x:c>
      <x:c r="AM197" s="246" t="n">
        <x:f>K197-$B$4*AD197</x:f>
        <x:v>-1.9508881894952685</x:v>
      </x:c>
      <x:c r="AN197" s="246" t="n">
        <x:f>L197-$B$4*AE197</x:f>
        <x:v>1.5223511723727452</x:v>
      </x:c>
      <x:c r="AO197" s="246" t="n">
        <x:f>M197-$B$4*AF197</x:f>
        <x:v>2.0073769995181374</x:v>
      </x:c>
      <x:c r="AP197" s="246" t="n">
        <x:f>N197-$B$4*AG197</x:f>
        <x:v>-2.1250717622618938</x:v>
      </x:c>
      <x:c r="AQ197" s="246" t="n">
        <x:f>O197-$B$4*AH197</x:f>
        <x:v>0.8681174591960378</x:v>
      </x:c>
      <x:c r="AR197" s="182" t="n">
        <x:f>IF(U197&gt;=$B$5,1,0)</x:f>
        <x:v>0</x:v>
      </x:c>
      <x:c r="AS197" s="182" t="n">
        <x:f>IF(AR197=F197,1,0)</x:f>
        <x:v>1</x:v>
      </x:c>
      <x:c r="AT197" s="252" t="n">
        <x:f>ABS(F197-U197)</x:f>
        <x:v>0.43375288386512534</x:v>
      </x:c>
    </x:row>
    <x:row r="198">
      <x:c r="A198" s="114" t="n">
        <x:v>182</x:v>
      </x:c>
      <x:c r="B198" s="114" t="n">
        <x:v>46</x:v>
      </x:c>
      <x:c r="C198" s="114" t="n">
        <x:v>2</x:v>
      </x:c>
      <x:c r="D198" s="168" t="n">
        <x:f>$I$6</x:f>
        <x:v>0</x:v>
      </x:c>
      <x:c r="E198" s="168" t="n">
        <x:f>$J$6</x:f>
        <x:v>1</x:v>
      </x:c>
      <x:c r="F198" s="168" t="n">
        <x:f>$K$6</x:f>
        <x:v>1</x:v>
      </x:c>
      <x:c r="G198" s="242" t="n">
        <x:f>AI197</x:f>
        <x:v>1.7055080854938265</x:v>
      </x:c>
      <x:c r="H198" s="242" t="n">
        <x:f>AJ197</x:f>
        <x:v>-2.149450877658324</x:v>
      </x:c>
      <x:c r="I198" s="242" t="n">
        <x:f>AK197</x:f>
        <x:v>-1.3730710034586515</x:v>
      </x:c>
      <x:c r="J198" s="242" t="n">
        <x:f>AL197</x:f>
        <x:v>1.7937162989208941</x:v>
      </x:c>
      <x:c r="K198" s="242" t="n">
        <x:f>AM197</x:f>
        <x:v>-1.9508881894952685</x:v>
      </x:c>
      <x:c r="L198" s="242" t="n">
        <x:f>AN197</x:f>
        <x:v>1.5223511723727452</x:v>
      </x:c>
      <x:c r="M198" s="242" t="n">
        <x:f>AO197</x:f>
        <x:v>2.0073769995181374</x:v>
      </x:c>
      <x:c r="N198" s="242" t="n">
        <x:f>AP197</x:f>
        <x:v>-2.1250717622618938</x:v>
      </x:c>
      <x:c r="O198" s="242" t="n">
        <x:f>AQ197</x:f>
        <x:v>0.8681174591960378</x:v>
      </x:c>
      <x:c r="P198" s="243" t="n">
        <x:f>D198*G198+E198*H198+I198</x:f>
        <x:v>-3.5225218811169756</x:v>
      </x:c>
      <x:c r="Q198" s="243" t="n">
        <x:f>1/(1+EXP(-P198))</x:f>
        <x:v>0.028678163534906858</x:v>
      </x:c>
      <x:c r="R198" s="243" t="n">
        <x:f>D198*J198+E198*K198+L198</x:f>
        <x:v>-0.42853701712252334</x:v>
      </x:c>
      <x:c r="S198" s="243" t="n">
        <x:f>1/(1+EXP(-R198))</x:f>
        <x:v>0.39447573242754047</x:v>
      </x:c>
      <x:c r="T198" s="243" t="n">
        <x:f>Q198*M198+S198*N198+O198</x:f>
        <x:v>0.0873961051850849</x:v>
      </x:c>
      <x:c r="U198" s="243" t="n">
        <x:f>1/(1+EXP(-T198))</x:f>
        <x:v>0.5218351298609382</x:v>
      </x:c>
      <x:c r="V198" s="243" t="n">
        <x:f>0.5*(F198-U198)^2</x:f>
        <x:v>0.11432082151755293</x:v>
      </x:c>
      <x:c r="W198" s="244" t="n">
        <x:f>(U198-F198)*U198*(1-U198)</x:f>
        <x:v>-0.11931324148484274</x:v>
      </x:c>
      <x:c r="X198" s="244" t="n">
        <x:f>W198*M198*Q198*(1-Q198)</x:f>
        <x:v>-0.006671631916910413</x:v>
      </x:c>
      <x:c r="Y198" s="244" t="n">
        <x:f>W198*N198*S198*(1-S198)</x:f>
        <x:v>0.06056393566142484</x:v>
      </x:c>
      <x:c r="Z198" s="245" t="n">
        <x:f>X198*D198</x:f>
        <x:v>0</x:v>
      </x:c>
      <x:c r="AA198" s="245" t="n">
        <x:f>X198*E198</x:f>
        <x:v>-0.006671631916910413</x:v>
      </x:c>
      <x:c r="AB198" s="245" t="n">
        <x:f>X198</x:f>
        <x:v>-0.006671631916910413</x:v>
      </x:c>
      <x:c r="AC198" s="245" t="n">
        <x:f>Y198*D198</x:f>
        <x:v>0</x:v>
      </x:c>
      <x:c r="AD198" s="245" t="n">
        <x:f>Y198*E198</x:f>
        <x:v>0.06056393566142484</x:v>
      </x:c>
      <x:c r="AE198" s="245" t="n">
        <x:f>Y198</x:f>
        <x:v>0.06056393566142484</x:v>
      </x:c>
      <x:c r="AF198" s="245" t="n">
        <x:f>W198*Q198</x:f>
        <x:v>-0.0034216846511821533</x:v>
      </x:c>
      <x:c r="AG198" s="245" t="n">
        <x:f>W198*S198</x:f>
        <x:v>-0.04706617832303735</x:v>
      </x:c>
      <x:c r="AH198" s="245" t="n">
        <x:f>W198</x:f>
        <x:v>-0.11931324148484274</x:v>
      </x:c>
      <x:c r="AI198" s="246" t="n">
        <x:f>G198-$B$4*Z198</x:f>
        <x:v>1.7055080854938265</x:v>
      </x:c>
      <x:c r="AJ198" s="246" t="n">
        <x:f>H198-$B$4*AA198</x:f>
        <x:v>-2.142779245741414</x:v>
      </x:c>
      <x:c r="AK198" s="246" t="n">
        <x:f>I198-$B$4*AB198</x:f>
        <x:v>-1.366399371541741</x:v>
      </x:c>
      <x:c r="AL198" s="246" t="n">
        <x:f>J198-$B$4*AC198</x:f>
        <x:v>1.7937162989208941</x:v>
      </x:c>
      <x:c r="AM198" s="246" t="n">
        <x:f>K198-$B$4*AD198</x:f>
        <x:v>-2.0114521251566932</x:v>
      </x:c>
      <x:c r="AN198" s="246" t="n">
        <x:f>L198-$B$4*AE198</x:f>
        <x:v>1.4617872367113203</x:v>
      </x:c>
      <x:c r="AO198" s="246" t="n">
        <x:f>M198-$B$4*AF198</x:f>
        <x:v>2.0107986841693197</x:v>
      </x:c>
      <x:c r="AP198" s="246" t="n">
        <x:f>N198-$B$4*AG198</x:f>
        <x:v>-2.0780055839388565</x:v>
      </x:c>
      <x:c r="AQ198" s="246" t="n">
        <x:f>O198-$B$4*AH198</x:f>
        <x:v>0.9874307006808805</x:v>
      </x:c>
      <x:c r="AR198" s="182" t="n">
        <x:f>IF(U198&gt;=$B$5,1,0)</x:f>
        <x:v>1</x:v>
      </x:c>
      <x:c r="AS198" s="182" t="n">
        <x:f>IF(AR198=F198,1,0)</x:f>
        <x:v>1</x:v>
      </x:c>
      <x:c r="AT198" s="252" t="n">
        <x:f>ABS(F198-U198)</x:f>
        <x:v>0.47816487013906184</x:v>
      </x:c>
    </x:row>
    <x:row r="199">
      <x:c r="A199" s="114" t="n">
        <x:v>183</x:v>
      </x:c>
      <x:c r="B199" s="114" t="n">
        <x:v>46</x:v>
      </x:c>
      <x:c r="C199" s="114" t="n">
        <x:v>3</x:v>
      </x:c>
      <x:c r="D199" s="168" t="n">
        <x:f>$I$7</x:f>
        <x:v>1</x:v>
      </x:c>
      <x:c r="E199" s="168" t="n">
        <x:f>$J$7</x:f>
        <x:v>0</x:v>
      </x:c>
      <x:c r="F199" s="168" t="n">
        <x:f>$K$7</x:f>
        <x:v>1</x:v>
      </x:c>
      <x:c r="G199" s="242" t="n">
        <x:f>AI198</x:f>
        <x:v>1.7055080854938265</x:v>
      </x:c>
      <x:c r="H199" s="242" t="n">
        <x:f>AJ198</x:f>
        <x:v>-2.142779245741414</x:v>
      </x:c>
      <x:c r="I199" s="242" t="n">
        <x:f>AK198</x:f>
        <x:v>-1.366399371541741</x:v>
      </x:c>
      <x:c r="J199" s="242" t="n">
        <x:f>AL198</x:f>
        <x:v>1.7937162989208941</x:v>
      </x:c>
      <x:c r="K199" s="242" t="n">
        <x:f>AM198</x:f>
        <x:v>-2.0114521251566932</x:v>
      </x:c>
      <x:c r="L199" s="242" t="n">
        <x:f>AN198</x:f>
        <x:v>1.4617872367113203</x:v>
      </x:c>
      <x:c r="M199" s="242" t="n">
        <x:f>AO198</x:f>
        <x:v>2.0107986841693197</x:v>
      </x:c>
      <x:c r="N199" s="242" t="n">
        <x:f>AP198</x:f>
        <x:v>-2.0780055839388565</x:v>
      </x:c>
      <x:c r="O199" s="242" t="n">
        <x:f>AQ198</x:f>
        <x:v>0.9874307006808805</x:v>
      </x:c>
      <x:c r="P199" s="243" t="n">
        <x:f>D199*G199+E199*H199+I199</x:f>
        <x:v>0.3391087139520854</x:v>
      </x:c>
      <x:c r="Q199" s="243" t="n">
        <x:f>1/(1+EXP(-P199))</x:f>
        <x:v>0.5839740026654089</x:v>
      </x:c>
      <x:c r="R199" s="243" t="n">
        <x:f>D199*J199+E199*K199+L199</x:f>
        <x:v>3.255503535632214</x:v>
      </x:c>
      <x:c r="S199" s="243" t="n">
        <x:f>1/(1+EXP(-R199))</x:f>
        <x:v>0.9628703716673657</x:v>
      </x:c>
      <x:c r="T199" s="243" t="n">
        <x:f>Q199*M199+S199*N199+O199</x:f>
        <x:v>0.1608348478955075</x:v>
      </x:c>
      <x:c r="U199" s="243" t="n">
        <x:f>1/(1+EXP(-T199))</x:f>
        <x:v>0.5401222595290663</x:v>
      </x:c>
      <x:c r="V199" s="243" t="n">
        <x:f>0.5*(F199-U199)^2</x:f>
        <x:v>0.10574376809032571</x:v>
      </x:c>
      <x:c r="W199" s="244" t="n">
        <x:f>(U199-F199)*U199*(1-U199)</x:f>
        <x:v>-0.1142291259041286</x:v>
      </x:c>
      <x:c r="X199" s="244" t="n">
        <x:f>W199*M199*Q199*(1-Q199)</x:f>
        <x:v>-0.0558032418791507</x:v>
      </x:c>
      <x:c r="Y199" s="244" t="n">
        <x:f>W199*N199*S199*(1-S199)</x:f>
        <x:v>0.00848617510929705</x:v>
      </x:c>
      <x:c r="Z199" s="245" t="n">
        <x:f>X199*D199</x:f>
        <x:v>-0.0558032418791507</x:v>
      </x:c>
      <x:c r="AA199" s="245" t="n">
        <x:f>X199*E199</x:f>
        <x:v>0</x:v>
      </x:c>
      <x:c r="AB199" s="245" t="n">
        <x:f>X199</x:f>
        <x:v>-0.0558032418791507</x:v>
      </x:c>
      <x:c r="AC199" s="245" t="n">
        <x:f>Y199*D199</x:f>
        <x:v>0.00848617510929705</x:v>
      </x:c>
      <x:c r="AD199" s="245" t="n">
        <x:f>Y199*E199</x:f>
        <x:v>0</x:v>
      </x:c>
      <x:c r="AE199" s="245" t="n">
        <x:f>Y199</x:f>
        <x:v>0.00848617510929705</x:v>
      </x:c>
      <x:c r="AF199" s="245" t="n">
        <x:f>W199*Q199</x:f>
        <x:v>-0.06670683987520493</x:v>
      </x:c>
      <x:c r="AG199" s="245" t="n">
        <x:f>W199*S199</x:f>
        <x:v>-0.10998784091454662</x:v>
      </x:c>
      <x:c r="AH199" s="245" t="n">
        <x:f>W199</x:f>
        <x:v>-0.1142291259041286</x:v>
      </x:c>
      <x:c r="AI199" s="246" t="n">
        <x:f>G199-$B$4*Z199</x:f>
        <x:v>1.7613113273729772</x:v>
      </x:c>
      <x:c r="AJ199" s="246" t="n">
        <x:f>H199-$B$4*AA199</x:f>
        <x:v>-2.142779245741414</x:v>
      </x:c>
      <x:c r="AK199" s="246" t="n">
        <x:f>I199-$B$4*AB199</x:f>
        <x:v>-1.3105961296625903</x:v>
      </x:c>
      <x:c r="AL199" s="246" t="n">
        <x:f>J199-$B$4*AC199</x:f>
        <x:v>1.785230123811597</x:v>
      </x:c>
      <x:c r="AM199" s="246" t="n">
        <x:f>K199-$B$4*AD199</x:f>
        <x:v>-2.0114521251566932</x:v>
      </x:c>
      <x:c r="AN199" s="246" t="n">
        <x:f>L199-$B$4*AE199</x:f>
        <x:v>1.4533010616020232</x:v>
      </x:c>
      <x:c r="AO199" s="246" t="n">
        <x:f>M199-$B$4*AF199</x:f>
        <x:v>2.0775055240445246</x:v>
      </x:c>
      <x:c r="AP199" s="246" t="n">
        <x:f>N199-$B$4*AG199</x:f>
        <x:v>-1.9680177430243098</x:v>
      </x:c>
      <x:c r="AQ199" s="246" t="n">
        <x:f>O199-$B$4*AH199</x:f>
        <x:v>1.101659826585009</x:v>
      </x:c>
      <x:c r="AR199" s="182" t="n">
        <x:f>IF(U199&gt;=$B$5,1,0)</x:f>
        <x:v>1</x:v>
      </x:c>
      <x:c r="AS199" s="182" t="n">
        <x:f>IF(AR199=F199,1,0)</x:f>
        <x:v>1</x:v>
      </x:c>
      <x:c r="AT199" s="252" t="n">
        <x:f>ABS(F199-U199)</x:f>
        <x:v>0.45987774047093366</x:v>
      </x:c>
    </x:row>
    <x:row r="200">
      <x:c r="A200" s="114" t="n">
        <x:v>184</x:v>
      </x:c>
      <x:c r="B200" s="114" t="n">
        <x:v>46</x:v>
      </x:c>
      <x:c r="C200" s="114" t="n">
        <x:v>4</x:v>
      </x:c>
      <x:c r="D200" s="168" t="n">
        <x:f>$I$8</x:f>
        <x:v>1</x:v>
      </x:c>
      <x:c r="E200" s="168" t="n">
        <x:f>$J$8</x:f>
        <x:v>1</x:v>
      </x:c>
      <x:c r="F200" s="168" t="n">
        <x:f>$K$8</x:f>
        <x:v>0</x:v>
      </x:c>
      <x:c r="G200" s="242" t="n">
        <x:f>AI199</x:f>
        <x:v>1.7613113273729772</x:v>
      </x:c>
      <x:c r="H200" s="242" t="n">
        <x:f>AJ199</x:f>
        <x:v>-2.142779245741414</x:v>
      </x:c>
      <x:c r="I200" s="242" t="n">
        <x:f>AK199</x:f>
        <x:v>-1.3105961296625903</x:v>
      </x:c>
      <x:c r="J200" s="242" t="n">
        <x:f>AL199</x:f>
        <x:v>1.785230123811597</x:v>
      </x:c>
      <x:c r="K200" s="242" t="n">
        <x:f>AM199</x:f>
        <x:v>-2.0114521251566932</x:v>
      </x:c>
      <x:c r="L200" s="242" t="n">
        <x:f>AN199</x:f>
        <x:v>1.4533010616020232</x:v>
      </x:c>
      <x:c r="M200" s="242" t="n">
        <x:f>AO199</x:f>
        <x:v>2.0775055240445246</x:v>
      </x:c>
      <x:c r="N200" s="242" t="n">
        <x:f>AP199</x:f>
        <x:v>-1.9680177430243098</x:v>
      </x:c>
      <x:c r="O200" s="242" t="n">
        <x:f>AQ199</x:f>
        <x:v>1.101659826585009</x:v>
      </x:c>
      <x:c r="P200" s="243" t="n">
        <x:f>D200*G200+E200*H200+I200</x:f>
        <x:v>-1.692064048031027</x:v>
      </x:c>
      <x:c r="Q200" s="243" t="n">
        <x:f>1/(1+EXP(-P200))</x:f>
        <x:v>0.15550459054693108</x:v>
      </x:c>
      <x:c r="R200" s="243" t="n">
        <x:f>D200*J200+E200*K200+L200</x:f>
        <x:v>1.227079060256927</x:v>
      </x:c>
      <x:c r="S200" s="243" t="n">
        <x:f>1/(1+EXP(-R200))</x:f>
        <x:v>0.7733069326472897</x:v>
      </x:c>
      <x:c r="T200" s="243" t="n">
        <x:f>Q200*M200+S200*N200+O200</x:f>
        <x:v>-0.09716029179303054</x:v>
      </x:c>
      <x:c r="U200" s="243" t="n">
        <x:f>1/(1+EXP(-T200))</x:f>
        <x:v>0.47572901746863616</x:v>
      </x:c>
      <x:c r="V200" s="243" t="n">
        <x:f>0.5*(F200-U200)^2</x:f>
        <x:v>0.11315904903083697</x:v>
      </x:c>
      <x:c r="W200" s="244" t="n">
        <x:f>(U200-F200)*U200*(1-U200)</x:f>
        <x:v>0.11865201163542334</x:v>
      </x:c>
      <x:c r="X200" s="244" t="n">
        <x:f>W200*M200*Q200*(1-Q200)</x:f>
        <x:v>0.03237112554821463</x:v>
      </x:c>
      <x:c r="Y200" s="244" t="n">
        <x:f>W200*N200*S200*(1-S200)</x:f>
        <x:v>-0.04093494938759054</x:v>
      </x:c>
      <x:c r="Z200" s="245" t="n">
        <x:f>X200*D200</x:f>
        <x:v>0.03237112554821463</x:v>
      </x:c>
      <x:c r="AA200" s="245" t="n">
        <x:f>X200*E200</x:f>
        <x:v>0.03237112554821463</x:v>
      </x:c>
      <x:c r="AB200" s="245" t="n">
        <x:f>X200</x:f>
        <x:v>0.03237112554821463</x:v>
      </x:c>
      <x:c r="AC200" s="245" t="n">
        <x:f>Y200*D200</x:f>
        <x:v>-0.04093494938759054</x:v>
      </x:c>
      <x:c r="AD200" s="245" t="n">
        <x:f>Y200*E200</x:f>
        <x:v>-0.04093494938759054</x:v>
      </x:c>
      <x:c r="AE200" s="245" t="n">
        <x:f>Y200</x:f>
        <x:v>-0.04093494938759054</x:v>
      </x:c>
      <x:c r="AF200" s="245" t="n">
        <x:f>W200*Q200</x:f>
        <x:v>0.01845093248693621</x:v>
      </x:c>
      <x:c r="AG200" s="245" t="n">
        <x:f>W200*S200</x:f>
        <x:v>0.09175442317021974</x:v>
      </x:c>
      <x:c r="AH200" s="245" t="n">
        <x:f>W200</x:f>
        <x:v>0.11865201163542334</x:v>
      </x:c>
      <x:c r="AI200" s="246" t="n">
        <x:f>G200-$B$4*Z200</x:f>
        <x:v>1.7289402018247626</x:v>
      </x:c>
      <x:c r="AJ200" s="246" t="n">
        <x:f>H200-$B$4*AA200</x:f>
        <x:v>-2.1751503712896283</x:v>
      </x:c>
      <x:c r="AK200" s="246" t="n">
        <x:f>I200-$B$4*AB200</x:f>
        <x:v>-1.342967255210805</x:v>
      </x:c>
      <x:c r="AL200" s="246" t="n">
        <x:f>J200-$B$4*AC200</x:f>
        <x:v>1.8261650731991876</x:v>
      </x:c>
      <x:c r="AM200" s="246" t="n">
        <x:f>K200-$B$4*AD200</x:f>
        <x:v>-1.9705171757691027</x:v>
      </x:c>
      <x:c r="AN200" s="246" t="n">
        <x:f>L200-$B$4*AE200</x:f>
        <x:v>1.4942360109896138</x:v>
      </x:c>
      <x:c r="AO200" s="246" t="n">
        <x:f>M200-$B$4*AF200</x:f>
        <x:v>2.0590545915575884</x:v>
      </x:c>
      <x:c r="AP200" s="246" t="n">
        <x:f>N200-$B$4*AG200</x:f>
        <x:v>-2.0597721661945294</x:v>
      </x:c>
      <x:c r="AQ200" s="246" t="n">
        <x:f>O200-$B$4*AH200</x:f>
        <x:v>0.9830078149495857</x:v>
      </x:c>
      <x:c r="AR200" s="182" t="n">
        <x:f>IF(U200&gt;=$B$5,1,0)</x:f>
        <x:v>0</x:v>
      </x:c>
      <x:c r="AS200" s="182" t="n">
        <x:f>IF(AR200=F200,1,0)</x:f>
        <x:v>1</x:v>
      </x:c>
      <x:c r="AT200" s="252" t="n">
        <x:f>ABS(F200-U200)</x:f>
        <x:v>0.47572901746863616</x:v>
      </x:c>
    </x:row>
    <x:row r="201">
      <x:c r="A201" s="114" t="n">
        <x:v>185</x:v>
      </x:c>
      <x:c r="B201" s="114" t="n">
        <x:v>47</x:v>
      </x:c>
      <x:c r="C201" s="114" t="n">
        <x:v>1</x:v>
      </x:c>
      <x:c r="D201" s="168" t="n">
        <x:f>$I$5</x:f>
        <x:v>0</x:v>
      </x:c>
      <x:c r="E201" s="168" t="n">
        <x:f>$J$5</x:f>
        <x:v>0</x:v>
      </x:c>
      <x:c r="F201" s="168" t="n">
        <x:f>$K$5</x:f>
        <x:v>0</x:v>
      </x:c>
      <x:c r="G201" s="242" t="n">
        <x:f>AI200</x:f>
        <x:v>1.7289402018247626</x:v>
      </x:c>
      <x:c r="H201" s="242" t="n">
        <x:f>AJ200</x:f>
        <x:v>-2.1751503712896283</x:v>
      </x:c>
      <x:c r="I201" s="242" t="n">
        <x:f>AK200</x:f>
        <x:v>-1.342967255210805</x:v>
      </x:c>
      <x:c r="J201" s="242" t="n">
        <x:f>AL200</x:f>
        <x:v>1.8261650731991876</x:v>
      </x:c>
      <x:c r="K201" s="242" t="n">
        <x:f>AM200</x:f>
        <x:v>-1.9705171757691027</x:v>
      </x:c>
      <x:c r="L201" s="242" t="n">
        <x:f>AN200</x:f>
        <x:v>1.4942360109896138</x:v>
      </x:c>
      <x:c r="M201" s="242" t="n">
        <x:f>AO200</x:f>
        <x:v>2.0590545915575884</x:v>
      </x:c>
      <x:c r="N201" s="242" t="n">
        <x:f>AP200</x:f>
        <x:v>-2.0597721661945294</x:v>
      </x:c>
      <x:c r="O201" s="242" t="n">
        <x:f>AQ200</x:f>
        <x:v>0.9830078149495857</x:v>
      </x:c>
      <x:c r="P201" s="243" t="n">
        <x:f>D201*G201+E201*H201+I201</x:f>
        <x:v>-1.342967255210805</x:v>
      </x:c>
      <x:c r="Q201" s="243" t="n">
        <x:f>1/(1+EXP(-P201))</x:f>
        <x:v>0.20702251801617236</x:v>
      </x:c>
      <x:c r="R201" s="243" t="n">
        <x:f>D201*J201+E201*K201+L201</x:f>
        <x:v>1.4942360109896138</x:v>
      </x:c>
      <x:c r="S201" s="243" t="n">
        <x:f>1/(1+EXP(-R201))</x:f>
        <x:v>0.8167132235481189</x:v>
      </x:c>
      <x:c r="T201" s="243" t="n">
        <x:f>Q201*M201+S201*N201+O201</x:f>
        <x:v>-0.272964684400827</x:v>
      </x:c>
      <x:c r="U201" s="243" t="n">
        <x:f>1/(1+EXP(-T201))</x:f>
        <x:v>0.4321794146117282</x:v>
      </x:c>
      <x:c r="V201" s="243" t="n">
        <x:f>0.5*(F201-U201)^2</x:f>
        <x:v>0.09338952320706803</x:v>
      </x:c>
      <x:c r="W201" s="244" t="n">
        <x:f>(U201-F201)*U201*(1-U201)</x:f>
        <x:v>0.10605698747313794</x:v>
      </x:c>
      <x:c r="X201" s="244" t="n">
        <x:f>W201*M201*Q201*(1-Q201)</x:f>
        <x:v>0.03584970527520746</x:v>
      </x:c>
      <x:c r="Y201" s="244" t="n">
        <x:f>W201*N201*S201*(1-S201)</x:f>
        <x:v>-0.032700861380219236</x:v>
      </x:c>
      <x:c r="Z201" s="245" t="n">
        <x:f>X201*D201</x:f>
        <x:v>0</x:v>
      </x:c>
      <x:c r="AA201" s="245" t="n">
        <x:f>X201*E201</x:f>
        <x:v>0</x:v>
      </x:c>
      <x:c r="AB201" s="245" t="n">
        <x:f>X201</x:f>
        <x:v>0.03584970527520746</x:v>
      </x:c>
      <x:c r="AC201" s="245" t="n">
        <x:f>Y201*D201</x:f>
        <x:v>0</x:v>
      </x:c>
      <x:c r="AD201" s="245" t="n">
        <x:f>Y201*E201</x:f>
        <x:v>0</x:v>
      </x:c>
      <x:c r="AE201" s="245" t="n">
        <x:f>Y201</x:f>
        <x:v>-0.032700861380219236</x:v>
      </x:c>
      <x:c r="AF201" s="245" t="n">
        <x:f>W201*Q201</x:f>
        <x:v>0.021956184599898666</x:v>
      </x:c>
      <x:c r="AG201" s="245" t="n">
        <x:f>W201*S201</x:f>
        <x:v>0.08661814411898895</x:v>
      </x:c>
      <x:c r="AH201" s="245" t="n">
        <x:f>W201</x:f>
        <x:v>0.10605698747313794</x:v>
      </x:c>
      <x:c r="AI201" s="246" t="n">
        <x:f>G201-$B$4*Z201</x:f>
        <x:v>1.7289402018247626</x:v>
      </x:c>
      <x:c r="AJ201" s="246" t="n">
        <x:f>H201-$B$4*AA201</x:f>
        <x:v>-2.1751503712896283</x:v>
      </x:c>
      <x:c r="AK201" s="246" t="n">
        <x:f>I201-$B$4*AB201</x:f>
        <x:v>-1.3788169604860123</x:v>
      </x:c>
      <x:c r="AL201" s="246" t="n">
        <x:f>J201-$B$4*AC201</x:f>
        <x:v>1.8261650731991876</x:v>
      </x:c>
      <x:c r="AM201" s="246" t="n">
        <x:f>K201-$B$4*AD201</x:f>
        <x:v>-1.9705171757691027</x:v>
      </x:c>
      <x:c r="AN201" s="246" t="n">
        <x:f>L201-$B$4*AE201</x:f>
        <x:v>1.526936872369833</x:v>
      </x:c>
      <x:c r="AO201" s="246" t="n">
        <x:f>M201-$B$4*AF201</x:f>
        <x:v>2.0370984069576896</x:v>
      </x:c>
      <x:c r="AP201" s="246" t="n">
        <x:f>N201-$B$4*AG201</x:f>
        <x:v>-2.1463903103135182</x:v>
      </x:c>
      <x:c r="AQ201" s="246" t="n">
        <x:f>O201-$B$4*AH201</x:f>
        <x:v>0.8769508274764477</x:v>
      </x:c>
      <x:c r="AR201" s="182" t="n">
        <x:f>IF(U201&gt;=$B$5,1,0)</x:f>
        <x:v>0</x:v>
      </x:c>
      <x:c r="AS201" s="182" t="n">
        <x:f>IF(AR201=F201,1,0)</x:f>
        <x:v>1</x:v>
      </x:c>
      <x:c r="AT201" s="252" t="n">
        <x:f>ABS(F201-U201)</x:f>
        <x:v>0.4321794146117282</x:v>
      </x:c>
    </x:row>
    <x:row r="202">
      <x:c r="A202" s="114" t="n">
        <x:v>186</x:v>
      </x:c>
      <x:c r="B202" s="114" t="n">
        <x:v>47</x:v>
      </x:c>
      <x:c r="C202" s="114" t="n">
        <x:v>2</x:v>
      </x:c>
      <x:c r="D202" s="168" t="n">
        <x:f>$I$6</x:f>
        <x:v>0</x:v>
      </x:c>
      <x:c r="E202" s="168" t="n">
        <x:f>$J$6</x:f>
        <x:v>1</x:v>
      </x:c>
      <x:c r="F202" s="168" t="n">
        <x:f>$K$6</x:f>
        <x:v>1</x:v>
      </x:c>
      <x:c r="G202" s="242" t="n">
        <x:f>AI201</x:f>
        <x:v>1.7289402018247626</x:v>
      </x:c>
      <x:c r="H202" s="242" t="n">
        <x:f>AJ201</x:f>
        <x:v>-2.1751503712896283</x:v>
      </x:c>
      <x:c r="I202" s="242" t="n">
        <x:f>AK201</x:f>
        <x:v>-1.3788169604860123</x:v>
      </x:c>
      <x:c r="J202" s="242" t="n">
        <x:f>AL201</x:f>
        <x:v>1.8261650731991876</x:v>
      </x:c>
      <x:c r="K202" s="242" t="n">
        <x:f>AM201</x:f>
        <x:v>-1.9705171757691027</x:v>
      </x:c>
      <x:c r="L202" s="242" t="n">
        <x:f>AN201</x:f>
        <x:v>1.526936872369833</x:v>
      </x:c>
      <x:c r="M202" s="242" t="n">
        <x:f>AO201</x:f>
        <x:v>2.0370984069576896</x:v>
      </x:c>
      <x:c r="N202" s="242" t="n">
        <x:f>AP201</x:f>
        <x:v>-2.1463903103135182</x:v>
      </x:c>
      <x:c r="O202" s="242" t="n">
        <x:f>AQ201</x:f>
        <x:v>0.8769508274764477</x:v>
      </x:c>
      <x:c r="P202" s="243" t="n">
        <x:f>D202*G202+E202*H202+I202</x:f>
        <x:v>-3.553967331775641</x:v>
      </x:c>
      <x:c r="Q202" s="243" t="n">
        <x:f>1/(1+EXP(-P202))</x:f>
        <x:v>0.027815090325345723</x:v>
      </x:c>
      <x:c r="R202" s="243" t="n">
        <x:f>D202*J202+E202*K202+L202</x:f>
        <x:v>-0.44358030339926957</x:v>
      </x:c>
      <x:c r="S202" s="243" t="n">
        <x:f>1/(1+EXP(-R202))</x:f>
        <x:v>0.3908881860728814</x:v>
      </x:c>
      <x:c r="T202" s="243" t="n">
        <x:f>Q202*M202+S202*N202+O202</x:f>
        <x:v>0.09461428866473365</x:v>
      </x:c>
      <x:c r="U202" s="243" t="n">
        <x:f>1/(1+EXP(-T202))</x:f>
        <x:v>0.523635942651704</x:v>
      </x:c>
      <x:c r="V202" s="243" t="n">
        <x:f>0.5*(F202-U202)^2</x:f>
        <x:v>0.11346135756666532</x:v>
      </x:c>
      <x:c r="W202" s="244" t="n">
        <x:f>(U202-F202)*U202*(1-U202)</x:f>
        <x:v>-0.11882488984792569</x:v>
      </x:c>
      <x:c r="X202" s="244" t="n">
        <x:f>W202*M202*Q202*(1-Q202)</x:f>
        <x:v>-0.006545589714902212</x:v>
      </x:c>
      <x:c r="Y202" s="244" t="n">
        <x:f>W202*N202*S202*(1-S202)</x:f>
        <x:v>0.0607247432367413</x:v>
      </x:c>
      <x:c r="Z202" s="245" t="n">
        <x:f>X202*D202</x:f>
        <x:v>0</x:v>
      </x:c>
      <x:c r="AA202" s="245" t="n">
        <x:f>X202*E202</x:f>
        <x:v>-0.006545589714902212</x:v>
      </x:c>
      <x:c r="AB202" s="245" t="n">
        <x:f>X202</x:f>
        <x:v>-0.006545589714902212</x:v>
      </x:c>
      <x:c r="AC202" s="245" t="n">
        <x:f>Y202*D202</x:f>
        <x:v>0</x:v>
      </x:c>
      <x:c r="AD202" s="245" t="n">
        <x:f>Y202*E202</x:f>
        <x:v>0.0607247432367413</x:v>
      </x:c>
      <x:c r="AE202" s="245" t="n">
        <x:f>Y202</x:f>
        <x:v>0.0607247432367413</x:v>
      </x:c>
      <x:c r="AF202" s="245" t="n">
        <x:f>W202*Q202</x:f>
        <x:v>-0.003305125044019309</x:v>
      </x:c>
      <x:c r="AG202" s="245" t="n">
        <x:f>W202*S202</x:f>
        <x:v>-0.04644724565296561</x:v>
      </x:c>
      <x:c r="AH202" s="245" t="n">
        <x:f>W202</x:f>
        <x:v>-0.11882488984792569</x:v>
      </x:c>
      <x:c r="AI202" s="246" t="n">
        <x:f>G202-$B$4*Z202</x:f>
        <x:v>1.7289402018247626</x:v>
      </x:c>
      <x:c r="AJ202" s="246" t="n">
        <x:f>H202-$B$4*AA202</x:f>
        <x:v>-2.168604781574726</x:v>
      </x:c>
      <x:c r="AK202" s="246" t="n">
        <x:f>I202-$B$4*AB202</x:f>
        <x:v>-1.37227137077111</x:v>
      </x:c>
      <x:c r="AL202" s="246" t="n">
        <x:f>J202-$B$4*AC202</x:f>
        <x:v>1.8261650731991876</x:v>
      </x:c>
      <x:c r="AM202" s="246" t="n">
        <x:f>K202-$B$4*AD202</x:f>
        <x:v>-2.031241919005844</x:v>
      </x:c>
      <x:c r="AN202" s="246" t="n">
        <x:f>L202-$B$4*AE202</x:f>
        <x:v>1.4662121291330918</x:v>
      </x:c>
      <x:c r="AO202" s="246" t="n">
        <x:f>M202-$B$4*AF202</x:f>
        <x:v>2.040403532001709</x:v>
      </x:c>
      <x:c r="AP202" s="246" t="n">
        <x:f>N202-$B$4*AG202</x:f>
        <x:v>-2.0999430646605526</x:v>
      </x:c>
      <x:c r="AQ202" s="246" t="n">
        <x:f>O202-$B$4*AH202</x:f>
        <x:v>0.9957757173243734</x:v>
      </x:c>
      <x:c r="AR202" s="182" t="n">
        <x:f>IF(U202&gt;=$B$5,1,0)</x:f>
        <x:v>1</x:v>
      </x:c>
      <x:c r="AS202" s="182" t="n">
        <x:f>IF(AR202=F202,1,0)</x:f>
        <x:v>1</x:v>
      </x:c>
      <x:c r="AT202" s="252" t="n">
        <x:f>ABS(F202-U202)</x:f>
        <x:v>0.476364057348296</x:v>
      </x:c>
    </x:row>
    <x:row r="203">
      <x:c r="A203" s="114" t="n">
        <x:v>187</x:v>
      </x:c>
      <x:c r="B203" s="114" t="n">
        <x:v>47</x:v>
      </x:c>
      <x:c r="C203" s="114" t="n">
        <x:v>3</x:v>
      </x:c>
      <x:c r="D203" s="168" t="n">
        <x:f>$I$7</x:f>
        <x:v>1</x:v>
      </x:c>
      <x:c r="E203" s="168" t="n">
        <x:f>$J$7</x:f>
        <x:v>0</x:v>
      </x:c>
      <x:c r="F203" s="168" t="n">
        <x:f>$K$7</x:f>
        <x:v>1</x:v>
      </x:c>
      <x:c r="G203" s="242" t="n">
        <x:f>AI202</x:f>
        <x:v>1.7289402018247626</x:v>
      </x:c>
      <x:c r="H203" s="242" t="n">
        <x:f>AJ202</x:f>
        <x:v>-2.168604781574726</x:v>
      </x:c>
      <x:c r="I203" s="242" t="n">
        <x:f>AK202</x:f>
        <x:v>-1.37227137077111</x:v>
      </x:c>
      <x:c r="J203" s="242" t="n">
        <x:f>AL202</x:f>
        <x:v>1.8261650731991876</x:v>
      </x:c>
      <x:c r="K203" s="242" t="n">
        <x:f>AM202</x:f>
        <x:v>-2.031241919005844</x:v>
      </x:c>
      <x:c r="L203" s="242" t="n">
        <x:f>AN202</x:f>
        <x:v>1.4662121291330918</x:v>
      </x:c>
      <x:c r="M203" s="242" t="n">
        <x:f>AO202</x:f>
        <x:v>2.040403532001709</x:v>
      </x:c>
      <x:c r="N203" s="242" t="n">
        <x:f>AP202</x:f>
        <x:v>-2.0999430646605526</x:v>
      </x:c>
      <x:c r="O203" s="242" t="n">
        <x:f>AQ202</x:f>
        <x:v>0.9957757173243734</x:v>
      </x:c>
      <x:c r="P203" s="243" t="n">
        <x:f>D203*G203+E203*H203+I203</x:f>
        <x:v>0.35666883105365255</x:v>
      </x:c>
      <x:c r="Q203" s="243" t="n">
        <x:f>1/(1+EXP(-P203))</x:f>
        <x:v>0.5882338134872442</x:v>
      </x:c>
      <x:c r="R203" s="243" t="n">
        <x:f>D203*J203+E203*K203+L203</x:f>
        <x:v>3.2923772023322795</x:v>
      </x:c>
      <x:c r="S203" s="243" t="n">
        <x:f>1/(1+EXP(-R203))</x:f>
        <x:v>0.9641663761346237</x:v>
      </x:c>
      <x:c r="T203" s="243" t="n">
        <x:f>Q203*M203+S203*N203+O203</x:f>
        <x:v>0.17131557326378022</x:v>
      </x:c>
      <x:c r="U203" s="243" t="n">
        <x:f>1/(1+EXP(-T203))</x:f>
        <x:v>0.5427244509759819</x:v>
      </x:c>
      <x:c r="V203" s="243" t="n">
        <x:f>0.5*(F203-U203)^2</x:f>
        <x:v>0.1045504638676086</x:v>
      </x:c>
      <x:c r="W203" s="244" t="n">
        <x:f>(U203-F203)*U203*(1-U203)</x:f>
        <x:v>-0.11348418620366421</x:v>
      </x:c>
      <x:c r="X203" s="244" t="n">
        <x:f>W203*M203*Q203*(1-Q203)</x:f>
        <x:v>-0.05608569166055143</x:v>
      </x:c>
      <x:c r="Y203" s="244" t="n">
        <x:f>W203*N203*S203*(1-S203)</x:f>
        <x:v>0.008233520674963484</x:v>
      </x:c>
      <x:c r="Z203" s="245" t="n">
        <x:f>X203*D203</x:f>
        <x:v>-0.05608569166055143</x:v>
      </x:c>
      <x:c r="AA203" s="245" t="n">
        <x:f>X203*E203</x:f>
        <x:v>0</x:v>
      </x:c>
      <x:c r="AB203" s="245" t="n">
        <x:f>X203</x:f>
        <x:v>-0.05608569166055143</x:v>
      </x:c>
      <x:c r="AC203" s="245" t="n">
        <x:f>Y203*D203</x:f>
        <x:v>0.008233520674963484</x:v>
      </x:c>
      <x:c r="AD203" s="245" t="n">
        <x:f>Y203*E203</x:f>
        <x:v>0</x:v>
      </x:c>
      <x:c r="AE203" s="245" t="n">
        <x:f>Y203</x:f>
        <x:v>0.008233520674963484</x:v>
      </x:c>
      <x:c r="AF203" s="245" t="n">
        <x:f>W203*Q203</x:f>
        <x:v>-0.06675523562107791</x:v>
      </x:c>
      <x:c r="AG203" s="245" t="n">
        <x:f>W203*S203</x:f>
        <x:v>-0.10941763656057378</x:v>
      </x:c>
      <x:c r="AH203" s="245" t="n">
        <x:f>W203</x:f>
        <x:v>-0.11348418620366421</x:v>
      </x:c>
      <x:c r="AI203" s="246" t="n">
        <x:f>G203-$B$4*Z203</x:f>
        <x:v>1.785025893485314</x:v>
      </x:c>
      <x:c r="AJ203" s="246" t="n">
        <x:f>H203-$B$4*AA203</x:f>
        <x:v>-2.168604781574726</x:v>
      </x:c>
      <x:c r="AK203" s="246" t="n">
        <x:f>I203-$B$4*AB203</x:f>
        <x:v>-1.3161856791105586</x:v>
      </x:c>
      <x:c r="AL203" s="246" t="n">
        <x:f>J203-$B$4*AC203</x:f>
        <x:v>1.8179315525242241</x:v>
      </x:c>
      <x:c r="AM203" s="246" t="n">
        <x:f>K203-$B$4*AD203</x:f>
        <x:v>-2.031241919005844</x:v>
      </x:c>
      <x:c r="AN203" s="246" t="n">
        <x:f>L203-$B$4*AE203</x:f>
        <x:v>1.4579786084581283</x:v>
      </x:c>
      <x:c r="AO203" s="246" t="n">
        <x:f>M203-$B$4*AF203</x:f>
        <x:v>2.1071587676227868</x:v>
      </x:c>
      <x:c r="AP203" s="246" t="n">
        <x:f>N203-$B$4*AG203</x:f>
        <x:v>-1.990525428099979</x:v>
      </x:c>
      <x:c r="AQ203" s="246" t="n">
        <x:f>O203-$B$4*AH203</x:f>
        <x:v>1.1092599035280377</x:v>
      </x:c>
      <x:c r="AR203" s="182" t="n">
        <x:f>IF(U203&gt;=$B$5,1,0)</x:f>
        <x:v>1</x:v>
      </x:c>
      <x:c r="AS203" s="182" t="n">
        <x:f>IF(AR203=F203,1,0)</x:f>
        <x:v>1</x:v>
      </x:c>
      <x:c r="AT203" s="252" t="n">
        <x:f>ABS(F203-U203)</x:f>
        <x:v>0.4572755490240181</x:v>
      </x:c>
    </x:row>
    <x:row r="204">
      <x:c r="A204" s="114" t="n">
        <x:v>188</x:v>
      </x:c>
      <x:c r="B204" s="114" t="n">
        <x:v>47</x:v>
      </x:c>
      <x:c r="C204" s="114" t="n">
        <x:v>4</x:v>
      </x:c>
      <x:c r="D204" s="168" t="n">
        <x:f>$I$8</x:f>
        <x:v>1</x:v>
      </x:c>
      <x:c r="E204" s="168" t="n">
        <x:f>$J$8</x:f>
        <x:v>1</x:v>
      </x:c>
      <x:c r="F204" s="168" t="n">
        <x:f>$K$8</x:f>
        <x:v>0</x:v>
      </x:c>
      <x:c r="G204" s="242" t="n">
        <x:f>AI203</x:f>
        <x:v>1.785025893485314</x:v>
      </x:c>
      <x:c r="H204" s="242" t="n">
        <x:f>AJ203</x:f>
        <x:v>-2.168604781574726</x:v>
      </x:c>
      <x:c r="I204" s="242" t="n">
        <x:f>AK203</x:f>
        <x:v>-1.3161856791105586</x:v>
      </x:c>
      <x:c r="J204" s="242" t="n">
        <x:f>AL203</x:f>
        <x:v>1.8179315525242241</x:v>
      </x:c>
      <x:c r="K204" s="242" t="n">
        <x:f>AM203</x:f>
        <x:v>-2.031241919005844</x:v>
      </x:c>
      <x:c r="L204" s="242" t="n">
        <x:f>AN203</x:f>
        <x:v>1.4579786084581283</x:v>
      </x:c>
      <x:c r="M204" s="242" t="n">
        <x:f>AO203</x:f>
        <x:v>2.1071587676227868</x:v>
      </x:c>
      <x:c r="N204" s="242" t="n">
        <x:f>AP203</x:f>
        <x:v>-1.990525428099979</x:v>
      </x:c>
      <x:c r="O204" s="242" t="n">
        <x:f>AQ203</x:f>
        <x:v>1.1092599035280377</x:v>
      </x:c>
      <x:c r="P204" s="243" t="n">
        <x:f>D204*G204+E204*H204+I204</x:f>
        <x:v>-1.6997645671999706</x:v>
      </x:c>
      <x:c r="Q204" s="243" t="n">
        <x:f>1/(1+EXP(-P204))</x:f>
        <x:v>0.15449601646173192</x:v>
      </x:c>
      <x:c r="R204" s="243" t="n">
        <x:f>D204*J204+E204*K204+L204</x:f>
        <x:v>1.2446682419765085</x:v>
      </x:c>
      <x:c r="S204" s="243" t="n">
        <x:f>1/(1+EXP(-R204))</x:f>
        <x:v>0.7763755439282888</x:v>
      </x:c>
      <x:c r="T204" s="243" t="n">
        <x:f>Q204*M204+S204*N204+O204</x:f>
        <x:v>-0.11058772276604056</x:v>
      </x:c>
      <x:c r="U204" s="243" t="n">
        <x:f>1/(1+EXP(-T204))</x:f>
        <x:v>0.4723812109038074</x:v>
      </x:c>
      <x:c r="V204" s="243" t="n">
        <x:f>0.5*(F204-U204)^2</x:f>
        <x:v>0.1115720042074737</x:v>
      </x:c>
      <x:c r="W204" s="244" t="n">
        <x:f>(U204-F204)*U204*(1-U204)</x:f>
        <x:v>0.11773497151396514</x:v>
      </x:c>
      <x:c r="X204" s="244" t="n">
        <x:f>W204*M204*Q204*(1-Q204)</x:f>
        <x:v>0.03240676551342289</x:v>
      </x:c>
      <x:c r="Y204" s="244" t="n">
        <x:f>W204*N204*S204*(1-S204)</x:f>
        <x:v>-0.040687813923655884</x:v>
      </x:c>
      <x:c r="Z204" s="245" t="n">
        <x:f>X204*D204</x:f>
        <x:v>0.03240676551342289</x:v>
      </x:c>
      <x:c r="AA204" s="245" t="n">
        <x:f>X204*E204</x:f>
        <x:v>0.03240676551342289</x:v>
      </x:c>
      <x:c r="AB204" s="245" t="n">
        <x:f>X204</x:f>
        <x:v>0.03240676551342289</x:v>
      </x:c>
      <x:c r="AC204" s="245" t="n">
        <x:f>Y204*D204</x:f>
        <x:v>-0.040687813923655884</x:v>
      </x:c>
      <x:c r="AD204" s="245" t="n">
        <x:f>Y204*E204</x:f>
        <x:v>-0.040687813923655884</x:v>
      </x:c>
      <x:c r="AE204" s="245" t="n">
        <x:f>Y204</x:f>
        <x:v>-0.040687813923655884</x:v>
      </x:c>
      <x:c r="AF204" s="245" t="n">
        <x:f>W204*Q204</x:f>
        <x:v>0.018189584097143097</x:v>
      </x:c>
      <x:c r="AG204" s="245" t="n">
        <x:f>W204*S204</x:f>
        <x:v>0.09140655254853627</x:v>
      </x:c>
      <x:c r="AH204" s="245" t="n">
        <x:f>W204</x:f>
        <x:v>0.11773497151396514</x:v>
      </x:c>
      <x:c r="AI204" s="246" t="n">
        <x:f>G204-$B$4*Z204</x:f>
        <x:v>1.7526191279718912</x:v>
      </x:c>
      <x:c r="AJ204" s="246" t="n">
        <x:f>H204-$B$4*AA204</x:f>
        <x:v>-2.201011547088149</x:v>
      </x:c>
      <x:c r="AK204" s="246" t="n">
        <x:f>I204-$B$4*AB204</x:f>
        <x:v>-1.3485924446239814</x:v>
      </x:c>
      <x:c r="AL204" s="246" t="n">
        <x:f>J204-$B$4*AC204</x:f>
        <x:v>1.85861936644788</x:v>
      </x:c>
      <x:c r="AM204" s="246" t="n">
        <x:f>K204-$B$4*AD204</x:f>
        <x:v>-1.990554105082188</x:v>
      </x:c>
      <x:c r="AN204" s="246" t="n">
        <x:f>L204-$B$4*AE204</x:f>
        <x:v>1.4986664223817843</x:v>
      </x:c>
      <x:c r="AO204" s="246" t="n">
        <x:f>M204-$B$4*AF204</x:f>
        <x:v>2.0889691835256436</x:v>
      </x:c>
      <x:c r="AP204" s="246" t="n">
        <x:f>N204-$B$4*AG204</x:f>
        <x:v>-2.0819319806485153</x:v>
      </x:c>
      <x:c r="AQ204" s="246" t="n">
        <x:f>O204-$B$4*AH204</x:f>
        <x:v>0.9915249320140725</x:v>
      </x:c>
      <x:c r="AR204" s="182" t="n">
        <x:f>IF(U204&gt;=$B$5,1,0)</x:f>
        <x:v>0</x:v>
      </x:c>
      <x:c r="AS204" s="182" t="n">
        <x:f>IF(AR204=F204,1,0)</x:f>
        <x:v>1</x:v>
      </x:c>
      <x:c r="AT204" s="252" t="n">
        <x:f>ABS(F204-U204)</x:f>
        <x:v>0.4723812109038074</x:v>
      </x:c>
    </x:row>
    <x:row r="205">
      <x:c r="A205" s="114" t="n">
        <x:v>189</x:v>
      </x:c>
      <x:c r="B205" s="114" t="n">
        <x:v>48</x:v>
      </x:c>
      <x:c r="C205" s="114" t="n">
        <x:v>1</x:v>
      </x:c>
      <x:c r="D205" s="168" t="n">
        <x:f>$I$5</x:f>
        <x:v>0</x:v>
      </x:c>
      <x:c r="E205" s="168" t="n">
        <x:f>$J$5</x:f>
        <x:v>0</x:v>
      </x:c>
      <x:c r="F205" s="168" t="n">
        <x:f>$K$5</x:f>
        <x:v>0</x:v>
      </x:c>
      <x:c r="G205" s="242" t="n">
        <x:f>AI204</x:f>
        <x:v>1.7526191279718912</x:v>
      </x:c>
      <x:c r="H205" s="242" t="n">
        <x:f>AJ204</x:f>
        <x:v>-2.201011547088149</x:v>
      </x:c>
      <x:c r="I205" s="242" t="n">
        <x:f>AK204</x:f>
        <x:v>-1.3485924446239814</x:v>
      </x:c>
      <x:c r="J205" s="242" t="n">
        <x:f>AL204</x:f>
        <x:v>1.85861936644788</x:v>
      </x:c>
      <x:c r="K205" s="242" t="n">
        <x:f>AM204</x:f>
        <x:v>-1.990554105082188</x:v>
      </x:c>
      <x:c r="L205" s="242" t="n">
        <x:f>AN204</x:f>
        <x:v>1.4986664223817843</x:v>
      </x:c>
      <x:c r="M205" s="242" t="n">
        <x:f>AO204</x:f>
        <x:v>2.0889691835256436</x:v>
      </x:c>
      <x:c r="N205" s="242" t="n">
        <x:f>AP204</x:f>
        <x:v>-2.0819319806485153</x:v>
      </x:c>
      <x:c r="O205" s="242" t="n">
        <x:f>AQ204</x:f>
        <x:v>0.9915249320140725</x:v>
      </x:c>
      <x:c r="P205" s="243" t="n">
        <x:f>D205*G205+E205*H205+I205</x:f>
        <x:v>-1.3485924446239814</x:v>
      </x:c>
      <x:c r="Q205" s="243" t="n">
        <x:f>1/(1+EXP(-P205))</x:f>
        <x:v>0.20610058515018292</x:v>
      </x:c>
      <x:c r="R205" s="243" t="n">
        <x:f>D205*J205+E205*K205+L205</x:f>
        <x:v>1.4986664223817843</x:v>
      </x:c>
      <x:c r="S205" s="243" t="n">
        <x:f>1/(1+EXP(-R205))</x:f>
        <x:v>0.8173754935816476</x:v>
      </x:c>
      <x:c r="T205" s="243" t="n">
        <x:f>Q205*M205+S205*N205+O205</x:f>
        <x:v>-0.27965747718658973</x:v>
      </x:c>
      <x:c r="U205" s="243" t="n">
        <x:f>1/(1+EXP(-T205))</x:f>
        <x:v>0.4305377520914056</x:v>
      </x:c>
      <x:c r="V205" s="243" t="n">
        <x:f>0.5*(F205-U205)^2</x:f>
        <x:v>0.09268137798796032</x:v>
      </x:c>
      <x:c r="W205" s="244" t="n">
        <x:f>(U205-F205)*U205*(1-U205)</x:f>
        <x:v>0.10555709169658002</x:v>
      </x:c>
      <x:c r="X205" s="244" t="n">
        <x:f>W205*M205*Q205*(1-Q205)</x:f>
        <x:v>0.03607980287073128</x:v>
      </x:c>
      <x:c r="Y205" s="244" t="n">
        <x:f>W205*N205*S205*(1-S205)</x:f>
        <x:v>-0.03280459046074982</x:v>
      </x:c>
      <x:c r="Z205" s="245" t="n">
        <x:f>X205*D205</x:f>
        <x:v>0</x:v>
      </x:c>
      <x:c r="AA205" s="245" t="n">
        <x:f>X205*E205</x:f>
        <x:v>0</x:v>
      </x:c>
      <x:c r="AB205" s="245" t="n">
        <x:f>X205</x:f>
        <x:v>0.03607980287073128</x:v>
      </x:c>
      <x:c r="AC205" s="245" t="n">
        <x:f>Y205*D205</x:f>
        <x:v>0</x:v>
      </x:c>
      <x:c r="AD205" s="245" t="n">
        <x:f>Y205*E205</x:f>
        <x:v>0</x:v>
      </x:c>
      <x:c r="AE205" s="245" t="n">
        <x:f>Y205</x:f>
        <x:v>-0.03280459046074982</x:v>
      </x:c>
      <x:c r="AF205" s="245" t="n">
        <x:f>W205*Q205</x:f>
        <x:v>0.021755378365416658</x:v>
      </x:c>
      <x:c r="AG205" s="245" t="n">
        <x:f>W205*S205</x:f>
        <x:v>0.08627977992653534</x:v>
      </x:c>
      <x:c r="AH205" s="245" t="n">
        <x:f>W205</x:f>
        <x:v>0.10555709169658002</x:v>
      </x:c>
      <x:c r="AI205" s="246" t="n">
        <x:f>G205-$B$4*Z205</x:f>
        <x:v>1.7526191279718912</x:v>
      </x:c>
      <x:c r="AJ205" s="246" t="n">
        <x:f>H205-$B$4*AA205</x:f>
        <x:v>-2.201011547088149</x:v>
      </x:c>
      <x:c r="AK205" s="246" t="n">
        <x:f>I205-$B$4*AB205</x:f>
        <x:v>-1.3846722474947126</x:v>
      </x:c>
      <x:c r="AL205" s="246" t="n">
        <x:f>J205-$B$4*AC205</x:f>
        <x:v>1.85861936644788</x:v>
      </x:c>
      <x:c r="AM205" s="246" t="n">
        <x:f>K205-$B$4*AD205</x:f>
        <x:v>-1.990554105082188</x:v>
      </x:c>
      <x:c r="AN205" s="246" t="n">
        <x:f>L205-$B$4*AE205</x:f>
        <x:v>1.5314710128425342</x:v>
      </x:c>
      <x:c r="AO205" s="246" t="n">
        <x:f>M205-$B$4*AF205</x:f>
        <x:v>2.067213805160227</x:v>
      </x:c>
      <x:c r="AP205" s="246" t="n">
        <x:f>N205-$B$4*AG205</x:f>
        <x:v>-2.1682117605750504</x:v>
      </x:c>
      <x:c r="AQ205" s="246" t="n">
        <x:f>O205-$B$4*AH205</x:f>
        <x:v>0.8859678403174925</x:v>
      </x:c>
      <x:c r="AR205" s="182" t="n">
        <x:f>IF(U205&gt;=$B$5,1,0)</x:f>
        <x:v>0</x:v>
      </x:c>
      <x:c r="AS205" s="182" t="n">
        <x:f>IF(AR205=F205,1,0)</x:f>
        <x:v>1</x:v>
      </x:c>
      <x:c r="AT205" s="252" t="n">
        <x:f>ABS(F205-U205)</x:f>
        <x:v>0.4305377520914056</x:v>
      </x:c>
    </x:row>
    <x:row r="206">
      <x:c r="A206" s="114" t="n">
        <x:v>190</x:v>
      </x:c>
      <x:c r="B206" s="114" t="n">
        <x:v>48</x:v>
      </x:c>
      <x:c r="C206" s="114" t="n">
        <x:v>2</x:v>
      </x:c>
      <x:c r="D206" s="168" t="n">
        <x:f>$I$6</x:f>
        <x:v>0</x:v>
      </x:c>
      <x:c r="E206" s="168" t="n">
        <x:f>$J$6</x:f>
        <x:v>1</x:v>
      </x:c>
      <x:c r="F206" s="168" t="n">
        <x:f>$K$6</x:f>
        <x:v>1</x:v>
      </x:c>
      <x:c r="G206" s="242" t="n">
        <x:f>AI205</x:f>
        <x:v>1.7526191279718912</x:v>
      </x:c>
      <x:c r="H206" s="242" t="n">
        <x:f>AJ205</x:f>
        <x:v>-2.201011547088149</x:v>
      </x:c>
      <x:c r="I206" s="242" t="n">
        <x:f>AK205</x:f>
        <x:v>-1.3846722474947126</x:v>
      </x:c>
      <x:c r="J206" s="242" t="n">
        <x:f>AL205</x:f>
        <x:v>1.85861936644788</x:v>
      </x:c>
      <x:c r="K206" s="242" t="n">
        <x:f>AM205</x:f>
        <x:v>-1.990554105082188</x:v>
      </x:c>
      <x:c r="L206" s="242" t="n">
        <x:f>AN205</x:f>
        <x:v>1.5314710128425342</x:v>
      </x:c>
      <x:c r="M206" s="242" t="n">
        <x:f>AO205</x:f>
        <x:v>2.067213805160227</x:v>
      </x:c>
      <x:c r="N206" s="242" t="n">
        <x:f>AP205</x:f>
        <x:v>-2.1682117605750504</x:v>
      </x:c>
      <x:c r="O206" s="242" t="n">
        <x:f>AQ205</x:f>
        <x:v>0.8859678403174925</x:v>
      </x:c>
      <x:c r="P206" s="243" t="n">
        <x:f>D206*G206+E206*H206+I206</x:f>
        <x:v>-3.5856837945828612</x:v>
      </x:c>
      <x:c r="Q206" s="243" t="n">
        <x:f>1/(1+EXP(-P206))</x:f>
        <x:v>0.026970156995681473</x:v>
      </x:c>
      <x:c r="R206" s="243" t="n">
        <x:f>D206*J206+E206*K206+L206</x:f>
        <x:v>-0.4590830922396538</x:v>
      </x:c>
      <x:c r="S206" s="243" t="n">
        <x:f>1/(1+EXP(-R206))</x:f>
        <x:v>0.3872033623946589</x:v>
      </x:c>
      <x:c r="T206" s="243" t="n">
        <x:f>Q206*M206+S206*N206+O206</x:f>
        <x:v>0.10218203710800122</x:v>
      </x:c>
      <x:c r="U206" s="243" t="n">
        <x:f>1/(1+EXP(-T206))</x:f>
        <x:v>0.5255233053791697</x:v>
      </x:c>
      <x:c r="V206" s="243" t="n">
        <x:f>0.5*(F206-U206)^2</x:f>
        <x:v>0.11256406686915434</x:v>
      </x:c>
      <x:c r="W206" s="244" t="n">
        <x:f>(U206-F206)*U206*(1-U206)</x:f>
        <x:v>-0.11831008097599974</x:v>
      </x:c>
      <x:c r="X206" s="244" t="n">
        <x:f>W206*M206*Q206*(1-Q206)</x:f>
        <x:v>-0.006418252270397841</x:v>
      </x:c>
      <x:c r="Y206" s="244" t="n">
        <x:f>W206*N206*S206*(1-S206)</x:f>
        <x:v>0.06086658573274201</x:v>
      </x:c>
      <x:c r="Z206" s="245" t="n">
        <x:f>X206*D206</x:f>
        <x:v>0</x:v>
      </x:c>
      <x:c r="AA206" s="245" t="n">
        <x:f>X206*E206</x:f>
        <x:v>-0.006418252270397841</x:v>
      </x:c>
      <x:c r="AB206" s="245" t="n">
        <x:f>X206</x:f>
        <x:v>-0.006418252270397841</x:v>
      </x:c>
      <x:c r="AC206" s="245" t="n">
        <x:f>Y206*D206</x:f>
        <x:v>0</x:v>
      </x:c>
      <x:c r="AD206" s="245" t="n">
        <x:f>Y206*E206</x:f>
        <x:v>0.06086658573274201</x:v>
      </x:c>
      <x:c r="AE206" s="245" t="n">
        <x:f>Y206</x:f>
        <x:v>0.06086658573274201</x:v>
      </x:c>
      <x:c r="AF206" s="245" t="n">
        <x:f>W206*Q206</x:f>
        <x:v>-0.003190841458094501</x:v>
      </x:c>
      <x:c r="AG206" s="245" t="n">
        <x:f>W206*S206</x:f>
        <x:v>-0.04581006115909147</x:v>
      </x:c>
      <x:c r="AH206" s="245" t="n">
        <x:f>W206</x:f>
        <x:v>-0.11831008097599974</x:v>
      </x:c>
      <x:c r="AI206" s="246" t="n">
        <x:f>G206-$B$4*Z206</x:f>
        <x:v>1.7526191279718912</x:v>
      </x:c>
      <x:c r="AJ206" s="246" t="n">
        <x:f>H206-$B$4*AA206</x:f>
        <x:v>-2.194593294817751</x:v>
      </x:c>
      <x:c r="AK206" s="246" t="n">
        <x:f>I206-$B$4*AB206</x:f>
        <x:v>-1.3782539952243147</x:v>
      </x:c>
      <x:c r="AL206" s="246" t="n">
        <x:f>J206-$B$4*AC206</x:f>
        <x:v>1.85861936644788</x:v>
      </x:c>
      <x:c r="AM206" s="246" t="n">
        <x:f>K206-$B$4*AD206</x:f>
        <x:v>-2.05142069081493</x:v>
      </x:c>
      <x:c r="AN206" s="246" t="n">
        <x:f>L206-$B$4*AE206</x:f>
        <x:v>1.4706044271097922</x:v>
      </x:c>
      <x:c r="AO206" s="246" t="n">
        <x:f>M206-$B$4*AF206</x:f>
        <x:v>2.0704046466183215</x:v>
      </x:c>
      <x:c r="AP206" s="246" t="n">
        <x:f>N206-$B$4*AG206</x:f>
        <x:v>-2.122401699415959</x:v>
      </x:c>
      <x:c r="AQ206" s="246" t="n">
        <x:f>O206-$B$4*AH206</x:f>
        <x:v>1.0042779212934922</x:v>
      </x:c>
      <x:c r="AR206" s="182" t="n">
        <x:f>IF(U206&gt;=$B$5,1,0)</x:f>
        <x:v>1</x:v>
      </x:c>
      <x:c r="AS206" s="182" t="n">
        <x:f>IF(AR206=F206,1,0)</x:f>
        <x:v>1</x:v>
      </x:c>
      <x:c r="AT206" s="252" t="n">
        <x:f>ABS(F206-U206)</x:f>
        <x:v>0.4744766946208303</x:v>
      </x:c>
    </x:row>
    <x:row r="207">
      <x:c r="A207" s="114" t="n">
        <x:v>191</x:v>
      </x:c>
      <x:c r="B207" s="114" t="n">
        <x:v>48</x:v>
      </x:c>
      <x:c r="C207" s="114" t="n">
        <x:v>3</x:v>
      </x:c>
      <x:c r="D207" s="168" t="n">
        <x:f>$I$7</x:f>
        <x:v>1</x:v>
      </x:c>
      <x:c r="E207" s="168" t="n">
        <x:f>$J$7</x:f>
        <x:v>0</x:v>
      </x:c>
      <x:c r="F207" s="168" t="n">
        <x:f>$K$7</x:f>
        <x:v>1</x:v>
      </x:c>
      <x:c r="G207" s="242" t="n">
        <x:f>AI206</x:f>
        <x:v>1.7526191279718912</x:v>
      </x:c>
      <x:c r="H207" s="242" t="n">
        <x:f>AJ206</x:f>
        <x:v>-2.194593294817751</x:v>
      </x:c>
      <x:c r="I207" s="242" t="n">
        <x:f>AK206</x:f>
        <x:v>-1.3782539952243147</x:v>
      </x:c>
      <x:c r="J207" s="242" t="n">
        <x:f>AL206</x:f>
        <x:v>1.85861936644788</x:v>
      </x:c>
      <x:c r="K207" s="242" t="n">
        <x:f>AM206</x:f>
        <x:v>-2.05142069081493</x:v>
      </x:c>
      <x:c r="L207" s="242" t="n">
        <x:f>AN206</x:f>
        <x:v>1.4706044271097922</x:v>
      </x:c>
      <x:c r="M207" s="242" t="n">
        <x:f>AO206</x:f>
        <x:v>2.0704046466183215</x:v>
      </x:c>
      <x:c r="N207" s="242" t="n">
        <x:f>AP206</x:f>
        <x:v>-2.122401699415959</x:v>
      </x:c>
      <x:c r="O207" s="242" t="n">
        <x:f>AQ206</x:f>
        <x:v>1.0042779212934922</x:v>
      </x:c>
      <x:c r="P207" s="243" t="n">
        <x:f>D207*G207+E207*H207+I207</x:f>
        <x:v>0.37436513274757655</x:v>
      </x:c>
      <x:c r="Q207" s="243" t="n">
        <x:f>1/(1+EXP(-P207))</x:f>
        <x:v>0.5925133257966295</x:v>
      </x:c>
      <x:c r="R207" s="243" t="n">
        <x:f>D207*J207+E207*K207+L207</x:f>
        <x:v>3.3292237935576723</x:v>
      </x:c>
      <x:c r="S207" s="243" t="n">
        <x:f>1/(1+EXP(-R207))</x:f>
        <x:v>0.9654178644811668</x:v>
      </x:c>
      <x:c r="T207" s="243" t="n">
        <x:f>Q207*M207+S207*N207+O207</x:f>
        <x:v>0.18201574798475484</x:v>
      </x:c>
      <x:c r="U207" s="243" t="n">
        <x:f>1/(1+EXP(-T207))</x:f>
        <x:v>0.545378724035271</x:v>
      </x:c>
      <x:c r="V207" s="243" t="n">
        <x:f>0.5*(F207-U207)^2</x:f>
        <x:v>0.10334025227989914</x:v>
      </x:c>
      <x:c r="W207" s="244" t="n">
        <x:f>(U207-F207)*U207*(1-U207)</x:f>
        <x:v>-0.1127191498597888</x:v>
      </x:c>
      <x:c r="X207" s="244" t="n">
        <x:f>W207*M207*Q207*(1-Q207)</x:f>
        <x:v>-0.05634617909507441</x:v>
      </x:c>
      <x:c r="Y207" s="244" t="n">
        <x:f>W207*N207*S207*(1-S207)</x:f>
        <x:v>0.007987160813464764</x:v>
      </x:c>
      <x:c r="Z207" s="245" t="n">
        <x:f>X207*D207</x:f>
        <x:v>-0.05634617909507441</x:v>
      </x:c>
      <x:c r="AA207" s="245" t="n">
        <x:f>X207*E207</x:f>
        <x:v>0</x:v>
      </x:c>
      <x:c r="AB207" s="245" t="n">
        <x:f>X207</x:f>
        <x:v>-0.05634617909507441</x:v>
      </x:c>
      <x:c r="AC207" s="245" t="n">
        <x:f>Y207*D207</x:f>
        <x:v>0.007987160813464764</x:v>
      </x:c>
      <x:c r="AD207" s="245" t="n">
        <x:f>Y207*E207</x:f>
        <x:v>0</x:v>
      </x:c>
      <x:c r="AE207" s="245" t="n">
        <x:f>Y207</x:f>
        <x:v>0.007987160813464764</x:v>
      </x:c>
      <x:c r="AF207" s="245" t="n">
        <x:f>W207*Q207</x:f>
        <x:v>-0.06678759836439215</x:v>
      </x:c>
      <x:c r="AG207" s="245" t="n">
        <x:f>W207*S207</x:f>
        <x:v>-0.10882108094376992</x:v>
      </x:c>
      <x:c r="AH207" s="245" t="n">
        <x:f>W207</x:f>
        <x:v>-0.1127191498597888</x:v>
      </x:c>
      <x:c r="AI207" s="246" t="n">
        <x:f>G207-$B$4*Z207</x:f>
        <x:v>1.8089653070669656</x:v>
      </x:c>
      <x:c r="AJ207" s="246" t="n">
        <x:f>H207-$B$4*AA207</x:f>
        <x:v>-2.194593294817751</x:v>
      </x:c>
      <x:c r="AK207" s="246" t="n">
        <x:f>I207-$B$4*AB207</x:f>
        <x:v>-1.3219078161292404</x:v>
      </x:c>
      <x:c r="AL207" s="246" t="n">
        <x:f>J207-$B$4*AC207</x:f>
        <x:v>1.8506322056344153</x:v>
      </x:c>
      <x:c r="AM207" s="246" t="n">
        <x:f>K207-$B$4*AD207</x:f>
        <x:v>-2.05142069081493</x:v>
      </x:c>
      <x:c r="AN207" s="246" t="n">
        <x:f>L207-$B$4*AE207</x:f>
        <x:v>1.4626172662963275</x:v>
      </x:c>
      <x:c r="AO207" s="246" t="n">
        <x:f>M207-$B$4*AF207</x:f>
        <x:v>2.1371922449827134</x:v>
      </x:c>
      <x:c r="AP207" s="246" t="n">
        <x:f>N207-$B$4*AG207</x:f>
        <x:v>-2.013580618472189</x:v>
      </x:c>
      <x:c r="AQ207" s="246" t="n">
        <x:f>O207-$B$4*AH207</x:f>
        <x:v>1.116997071153281</x:v>
      </x:c>
      <x:c r="AR207" s="182" t="n">
        <x:f>IF(U207&gt;=$B$5,1,0)</x:f>
        <x:v>1</x:v>
      </x:c>
      <x:c r="AS207" s="182" t="n">
        <x:f>IF(AR207=F207,1,0)</x:f>
        <x:v>1</x:v>
      </x:c>
      <x:c r="AT207" s="252" t="n">
        <x:f>ABS(F207-U207)</x:f>
        <x:v>0.454621275964729</x:v>
      </x:c>
    </x:row>
    <x:row r="208">
      <x:c r="A208" s="114" t="n">
        <x:v>192</x:v>
      </x:c>
      <x:c r="B208" s="114" t="n">
        <x:v>48</x:v>
      </x:c>
      <x:c r="C208" s="114" t="n">
        <x:v>4</x:v>
      </x:c>
      <x:c r="D208" s="168" t="n">
        <x:f>$I$8</x:f>
        <x:v>1</x:v>
      </x:c>
      <x:c r="E208" s="168" t="n">
        <x:f>$J$8</x:f>
        <x:v>1</x:v>
      </x:c>
      <x:c r="F208" s="168" t="n">
        <x:f>$K$8</x:f>
        <x:v>0</x:v>
      </x:c>
      <x:c r="G208" s="242" t="n">
        <x:f>AI207</x:f>
        <x:v>1.8089653070669656</x:v>
      </x:c>
      <x:c r="H208" s="242" t="n">
        <x:f>AJ207</x:f>
        <x:v>-2.194593294817751</x:v>
      </x:c>
      <x:c r="I208" s="242" t="n">
        <x:f>AK207</x:f>
        <x:v>-1.3219078161292404</x:v>
      </x:c>
      <x:c r="J208" s="242" t="n">
        <x:f>AL207</x:f>
        <x:v>1.8506322056344153</x:v>
      </x:c>
      <x:c r="K208" s="242" t="n">
        <x:f>AM207</x:f>
        <x:v>-2.05142069081493</x:v>
      </x:c>
      <x:c r="L208" s="242" t="n">
        <x:f>AN207</x:f>
        <x:v>1.4626172662963275</x:v>
      </x:c>
      <x:c r="M208" s="242" t="n">
        <x:f>AO207</x:f>
        <x:v>2.1371922449827134</x:v>
      </x:c>
      <x:c r="N208" s="242" t="n">
        <x:f>AP207</x:f>
        <x:v>-2.013580618472189</x:v>
      </x:c>
      <x:c r="O208" s="242" t="n">
        <x:f>AQ207</x:f>
        <x:v>1.116997071153281</x:v>
      </x:c>
      <x:c r="P208" s="243" t="n">
        <x:f>D208*G208+E208*H208+I208</x:f>
        <x:v>-1.7075358038800257</x:v>
      </x:c>
      <x:c r="Q208" s="243" t="n">
        <x:f>1/(1+EXP(-P208))</x:f>
        <x:v>0.1534836065573146</x:v>
      </x:c>
      <x:c r="R208" s="243" t="n">
        <x:f>D208*J208+E208*K208+L208</x:f>
        <x:v>1.2618287811158129</x:v>
      </x:c>
      <x:c r="S208" s="243" t="n">
        <x:f>1/(1+EXP(-R208))</x:f>
        <x:v>0.7793407616162178</x:v>
      </x:c>
      <x:c r="T208" s="243" t="n">
        <x:f>Q208*M208+S208*N208+O208</x:f>
        <x:v>-0.12424440795621905</x:v>
      </x:c>
      <x:c r="U208" s="243" t="n">
        <x:f>1/(1+EXP(-T208))</x:f>
        <x:v>0.46897879309996443</x:v>
      </x:c>
      <x:c r="V208" s="243" t="n">
        <x:f>0.5*(F208-U208)^2</x:f>
        <x:v>0.10997055418874963</x:v>
      </x:c>
      <x:c r="W208" s="244" t="n">
        <x:f>(U208-F208)*U208*(1-U208)</x:f>
        <x:v>0.11679339281755116</x:v>
      </x:c>
      <x:c r="X208" s="244" t="n">
        <x:f>W208*M208*Q208*(1-Q208)</x:f>
        <x:v>0.032430917323367656</x:v>
      </x:c>
      <x:c r="Y208" s="244" t="n">
        <x:f>W208*N208*S208*(1-S208)</x:f>
        <x:v>-0.04044238912460009</x:v>
      </x:c>
      <x:c r="Z208" s="245" t="n">
        <x:f>X208*D208</x:f>
        <x:v>0.032430917323367656</x:v>
      </x:c>
      <x:c r="AA208" s="245" t="n">
        <x:f>X208*E208</x:f>
        <x:v>0.032430917323367656</x:v>
      </x:c>
      <x:c r="AB208" s="245" t="n">
        <x:f>X208</x:f>
        <x:v>0.032430917323367656</x:v>
      </x:c>
      <x:c r="AC208" s="245" t="n">
        <x:f>Y208*D208</x:f>
        <x:v>-0.04044238912460009</x:v>
      </x:c>
      <x:c r="AD208" s="245" t="n">
        <x:f>Y208*E208</x:f>
        <x:v>-0.04044238912460009</x:v>
      </x:c>
      <x:c r="AE208" s="245" t="n">
        <x:f>Y208</x:f>
        <x:v>-0.04044238912460009</x:v>
      </x:c>
      <x:c r="AF208" s="245" t="n">
        <x:f>W208*Q208</x:f>
        <x:v>0.017925871151702917</x:v>
      </x:c>
      <x:c r="AG208" s="245" t="n">
        <x:f>W208*S208</x:f>
        <x:v>0.09102185171017242</x:v>
      </x:c>
      <x:c r="AH208" s="245" t="n">
        <x:f>W208</x:f>
        <x:v>0.11679339281755116</x:v>
      </x:c>
      <x:c r="AI208" s="246" t="n">
        <x:f>G208-$B$4*Z208</x:f>
        <x:v>1.776534389743598</x:v>
      </x:c>
      <x:c r="AJ208" s="246" t="n">
        <x:f>H208-$B$4*AA208</x:f>
        <x:v>-2.2270242121411186</x:v>
      </x:c>
      <x:c r="AK208" s="246" t="n">
        <x:f>I208-$B$4*AB208</x:f>
        <x:v>-1.354338733452608</x:v>
      </x:c>
      <x:c r="AL208" s="246" t="n">
        <x:f>J208-$B$4*AC208</x:f>
        <x:v>1.8910745947590155</x:v>
      </x:c>
      <x:c r="AM208" s="246" t="n">
        <x:f>K208-$B$4*AD208</x:f>
        <x:v>-2.0109783016903298</x:v>
      </x:c>
      <x:c r="AN208" s="246" t="n">
        <x:f>L208-$B$4*AE208</x:f>
        <x:v>1.5030596554209277</x:v>
      </x:c>
      <x:c r="AO208" s="246" t="n">
        <x:f>M208-$B$4*AF208</x:f>
        <x:v>2.1192663738310107</x:v>
      </x:c>
      <x:c r="AP208" s="246" t="n">
        <x:f>N208-$B$4*AG208</x:f>
        <x:v>-2.104602470182362</x:v>
      </x:c>
      <x:c r="AQ208" s="246" t="n">
        <x:f>O208-$B$4*AH208</x:f>
        <x:v>1.00020367833573</x:v>
      </x:c>
      <x:c r="AR208" s="182" t="n">
        <x:f>IF(U208&gt;=$B$5,1,0)</x:f>
        <x:v>0</x:v>
      </x:c>
      <x:c r="AS208" s="182" t="n">
        <x:f>IF(AR208=F208,1,0)</x:f>
        <x:v>1</x:v>
      </x:c>
      <x:c r="AT208" s="252" t="n">
        <x:f>ABS(F208-U208)</x:f>
        <x:v>0.46897879309996443</x:v>
      </x:c>
    </x:row>
    <x:row r="209">
      <x:c r="A209" s="114" t="n">
        <x:v>193</x:v>
      </x:c>
      <x:c r="B209" s="114" t="n">
        <x:v>49</x:v>
      </x:c>
      <x:c r="C209" s="114" t="n">
        <x:v>1</x:v>
      </x:c>
      <x:c r="D209" s="168" t="n">
        <x:f>$I$5</x:f>
        <x:v>0</x:v>
      </x:c>
      <x:c r="E209" s="168" t="n">
        <x:f>$J$5</x:f>
        <x:v>0</x:v>
      </x:c>
      <x:c r="F209" s="168" t="n">
        <x:f>$K$5</x:f>
        <x:v>0</x:v>
      </x:c>
      <x:c r="G209" s="242" t="n">
        <x:f>AI208</x:f>
        <x:v>1.776534389743598</x:v>
      </x:c>
      <x:c r="H209" s="242" t="n">
        <x:f>AJ208</x:f>
        <x:v>-2.2270242121411186</x:v>
      </x:c>
      <x:c r="I209" s="242" t="n">
        <x:f>AK208</x:f>
        <x:v>-1.354338733452608</x:v>
      </x:c>
      <x:c r="J209" s="242" t="n">
        <x:f>AL208</x:f>
        <x:v>1.8910745947590155</x:v>
      </x:c>
      <x:c r="K209" s="242" t="n">
        <x:f>AM208</x:f>
        <x:v>-2.0109783016903298</x:v>
      </x:c>
      <x:c r="L209" s="242" t="n">
        <x:f>AN208</x:f>
        <x:v>1.5030596554209277</x:v>
      </x:c>
      <x:c r="M209" s="242" t="n">
        <x:f>AO208</x:f>
        <x:v>2.1192663738310107</x:v>
      </x:c>
      <x:c r="N209" s="242" t="n">
        <x:f>AP208</x:f>
        <x:v>-2.104602470182362</x:v>
      </x:c>
      <x:c r="O209" s="242" t="n">
        <x:f>AQ208</x:f>
        <x:v>1.00020367833573</x:v>
      </x:c>
      <x:c r="P209" s="243" t="n">
        <x:f>D209*G209+E209*H209+I209</x:f>
        <x:v>-1.354338733452608</x:v>
      </x:c>
      <x:c r="Q209" s="243" t="n">
        <x:f>1/(1+EXP(-P209))</x:f>
        <x:v>0.20516194714714667</x:v>
      </x:c>
      <x:c r="R209" s="243" t="n">
        <x:f>D209*J209+E209*K209+L209</x:f>
        <x:v>1.5030596554209277</x:v>
      </x:c>
      <x:c r="S209" s="243" t="n">
        <x:f>1/(1+EXP(-R209))</x:f>
        <x:v>0.8180303696113207</x:v>
      </x:c>
      <x:c r="T209" s="243" t="n">
        <x:f>Q209*M209+S209*N209+O209</x:f>
        <x:v>-0.28663224245380303</x:v>
      </x:c>
      <x:c r="U209" s="243" t="n">
        <x:f>1/(1+EXP(-T209))</x:f>
        <x:v>0.4288285490527217</x:v>
      </x:c>
      <x:c r="V209" s="243" t="n">
        <x:f>0.5*(F209-U209)^2</x:f>
        <x:v>0.09194696224133128</x:v>
      </x:c>
      <x:c r="W209" s="244" t="n">
        <x:f>(U209-F209)*U209*(1-U209)</x:f>
        <x:v>0.1050349596671516</x:v>
      </x:c>
      <x:c r="X209" s="244" t="n">
        <x:f>W209*M209*Q209*(1-Q209)</x:f>
        <x:v>0.036299018591234154</x:v>
      </x:c>
      <x:c r="Y209" s="244" t="n">
        <x:f>W209*N209*S209*(1-S209)</x:f>
        <x:v>-0.03290578751971136</x:v>
      </x:c>
      <x:c r="Z209" s="245" t="n">
        <x:f>X209*D209</x:f>
        <x:v>0</x:v>
      </x:c>
      <x:c r="AA209" s="245" t="n">
        <x:f>X209*E209</x:f>
        <x:v>0</x:v>
      </x:c>
      <x:c r="AB209" s="245" t="n">
        <x:f>X209</x:f>
        <x:v>0.036299018591234154</x:v>
      </x:c>
      <x:c r="AC209" s="245" t="n">
        <x:f>Y209*D209</x:f>
        <x:v>0</x:v>
      </x:c>
      <x:c r="AD209" s="245" t="n">
        <x:f>Y209*E209</x:f>
        <x:v>0</x:v>
      </x:c>
      <x:c r="AE209" s="245" t="n">
        <x:f>Y209</x:f>
        <x:v>-0.03290578751971136</x:v>
      </x:c>
      <x:c r="AF209" s="245" t="n">
        <x:f>W209*Q209</x:f>
        <x:v>0.02154917684383484</x:v>
      </x:c>
      <x:c r="AG209" s="245" t="n">
        <x:f>W209*S209</x:f>
        <x:v>0.08592178687863018</x:v>
      </x:c>
      <x:c r="AH209" s="245" t="n">
        <x:f>W209</x:f>
        <x:v>0.1050349596671516</x:v>
      </x:c>
      <x:c r="AI209" s="246" t="n">
        <x:f>G209-$B$4*Z209</x:f>
        <x:v>1.776534389743598</x:v>
      </x:c>
      <x:c r="AJ209" s="246" t="n">
        <x:f>H209-$B$4*AA209</x:f>
        <x:v>-2.2270242121411186</x:v>
      </x:c>
      <x:c r="AK209" s="246" t="n">
        <x:f>I209-$B$4*AB209</x:f>
        <x:v>-1.3906377520438422</x:v>
      </x:c>
      <x:c r="AL209" s="246" t="n">
        <x:f>J209-$B$4*AC209</x:f>
        <x:v>1.8910745947590155</x:v>
      </x:c>
      <x:c r="AM209" s="246" t="n">
        <x:f>K209-$B$4*AD209</x:f>
        <x:v>-2.0109783016903298</x:v>
      </x:c>
      <x:c r="AN209" s="246" t="n">
        <x:f>L209-$B$4*AE209</x:f>
        <x:v>1.535965442940639</x:v>
      </x:c>
      <x:c r="AO209" s="246" t="n">
        <x:f>M209-$B$4*AF209</x:f>
        <x:v>2.0977171969871757</x:v>
      </x:c>
      <x:c r="AP209" s="246" t="n">
        <x:f>N209-$B$4*AG209</x:f>
        <x:v>-2.190524257060992</x:v>
      </x:c>
      <x:c r="AQ209" s="246" t="n">
        <x:f>O209-$B$4*AH209</x:f>
        <x:v>0.8951687186685784</x:v>
      </x:c>
      <x:c r="AR209" s="182" t="n">
        <x:f>IF(U209&gt;=$B$5,1,0)</x:f>
        <x:v>0</x:v>
      </x:c>
      <x:c r="AS209" s="182" t="n">
        <x:f>IF(AR209=F209,1,0)</x:f>
        <x:v>1</x:v>
      </x:c>
      <x:c r="AT209" s="252" t="n">
        <x:f>ABS(F209-U209)</x:f>
        <x:v>0.4288285490527217</x:v>
      </x:c>
    </x:row>
    <x:row r="210">
      <x:c r="A210" s="114" t="n">
        <x:v>194</x:v>
      </x:c>
      <x:c r="B210" s="114" t="n">
        <x:v>49</x:v>
      </x:c>
      <x:c r="C210" s="114" t="n">
        <x:v>2</x:v>
      </x:c>
      <x:c r="D210" s="168" t="n">
        <x:f>$I$6</x:f>
        <x:v>0</x:v>
      </x:c>
      <x:c r="E210" s="168" t="n">
        <x:f>$J$6</x:f>
        <x:v>1</x:v>
      </x:c>
      <x:c r="F210" s="168" t="n">
        <x:f>$K$6</x:f>
        <x:v>1</x:v>
      </x:c>
      <x:c r="G210" s="242" t="n">
        <x:f>AI209</x:f>
        <x:v>1.776534389743598</x:v>
      </x:c>
      <x:c r="H210" s="242" t="n">
        <x:f>AJ209</x:f>
        <x:v>-2.2270242121411186</x:v>
      </x:c>
      <x:c r="I210" s="242" t="n">
        <x:f>AK209</x:f>
        <x:v>-1.3906377520438422</x:v>
      </x:c>
      <x:c r="J210" s="242" t="n">
        <x:f>AL209</x:f>
        <x:v>1.8910745947590155</x:v>
      </x:c>
      <x:c r="K210" s="242" t="n">
        <x:f>AM209</x:f>
        <x:v>-2.0109783016903298</x:v>
      </x:c>
      <x:c r="L210" s="242" t="n">
        <x:f>AN209</x:f>
        <x:v>1.535965442940639</x:v>
      </x:c>
      <x:c r="M210" s="242" t="n">
        <x:f>AO209</x:f>
        <x:v>2.0977171969871757</x:v>
      </x:c>
      <x:c r="N210" s="242" t="n">
        <x:f>AP209</x:f>
        <x:v>-2.190524257060992</x:v>
      </x:c>
      <x:c r="O210" s="242" t="n">
        <x:f>AQ209</x:f>
        <x:v>0.8951687186685784</x:v>
      </x:c>
      <x:c r="P210" s="243" t="n">
        <x:f>D210*G210+E210*H210+I210</x:f>
        <x:v>-3.6176619641849608</x:v>
      </x:c>
      <x:c r="Q210" s="243" t="n">
        <x:f>1/(1+EXP(-P210))</x:f>
        <x:v>0.02614353575505803</x:v>
      </x:c>
      <x:c r="R210" s="243" t="n">
        <x:f>D210*J210+E210*K210+L210</x:f>
        <x:v>-0.4750128587496907</x:v>
      </x:c>
      <x:c r="S210" s="243" t="n">
        <x:f>1/(1+EXP(-R210))</x:f>
        <x:v>0.3834304555172905</x:v>
      </x:c>
      <x:c r="T210" s="243" t="n">
        <x:f>Q210*M210+S210*N210+O210</x:f>
        <x:v>0.11009674950544224</x:v>
      </x:c>
      <x:c r="U210" s="243" t="n">
        <x:f>1/(1+EXP(-T210))</x:f>
        <x:v>0.5274964186373283</x:v>
      </x:c>
      <x:c r="V210" s="243" t="n">
        <x:f>0.5*(F210-U210)^2</x:f>
        <x:v>0.11162981720027544</x:v>
      </x:c>
      <x:c r="W210" s="244" t="n">
        <x:f>(U210-F210)*U210*(1-U210)</x:f>
        <x:v>-0.11776865757256987</x:v>
      </x:c>
      <x:c r="X210" s="244" t="n">
        <x:f>W210*M210*Q210*(1-Q210)</x:f>
        <x:v>-0.006289786983765849</x:v>
      </x:c>
      <x:c r="Y210" s="244" t="n">
        <x:f>W210*N210*S210*(1-S210)</x:f>
        <x:v>0.06098829127593144</x:v>
      </x:c>
      <x:c r="Z210" s="245" t="n">
        <x:f>X210*D210</x:f>
        <x:v>0</x:v>
      </x:c>
      <x:c r="AA210" s="245" t="n">
        <x:f>X210*E210</x:f>
        <x:v>-0.006289786983765849</x:v>
      </x:c>
      <x:c r="AB210" s="245" t="n">
        <x:f>X210</x:f>
        <x:v>-0.006289786983765849</x:v>
      </x:c>
      <x:c r="AC210" s="245" t="n">
        <x:f>Y210*D210</x:f>
        <x:v>0</x:v>
      </x:c>
      <x:c r="AD210" s="245" t="n">
        <x:f>Y210*E210</x:f>
        <x:v>0.06098829127593144</x:v>
      </x:c>
      <x:c r="AE210" s="245" t="n">
        <x:f>Y210</x:f>
        <x:v>0.06098829127593144</x:v>
      </x:c>
      <x:c r="AF210" s="245" t="n">
        <x:f>W210*Q210</x:f>
        <x:v>-0.003078889110073666</x:v>
      </x:c>
      <x:c r="AG210" s="245" t="n">
        <x:f>W210*S210</x:f>
        <x:v>-0.045156090018710265</x:v>
      </x:c>
      <x:c r="AH210" s="245" t="n">
        <x:f>W210</x:f>
        <x:v>-0.11776865757256987</x:v>
      </x:c>
      <x:c r="AI210" s="246" t="n">
        <x:f>G210-$B$4*Z210</x:f>
        <x:v>1.776534389743598</x:v>
      </x:c>
      <x:c r="AJ210" s="246" t="n">
        <x:f>H210-$B$4*AA210</x:f>
        <x:v>-2.2207344251573526</x:v>
      </x:c>
      <x:c r="AK210" s="246" t="n">
        <x:f>I210-$B$4*AB210</x:f>
        <x:v>-1.3843479650600763</x:v>
      </x:c>
      <x:c r="AL210" s="246" t="n">
        <x:f>J210-$B$4*AC210</x:f>
        <x:v>1.8910745947590155</x:v>
      </x:c>
      <x:c r="AM210" s="246" t="n">
        <x:f>K210-$B$4*AD210</x:f>
        <x:v>-2.071966592966261</x:v>
      </x:c>
      <x:c r="AN210" s="246" t="n">
        <x:f>L210-$B$4*AE210</x:f>
        <x:v>1.4749771516647077</x:v>
      </x:c>
      <x:c r="AO210" s="246" t="n">
        <x:f>M210-$B$4*AF210</x:f>
        <x:v>2.100796086097249</x:v>
      </x:c>
      <x:c r="AP210" s="246" t="n">
        <x:f>N210-$B$4*AG210</x:f>
        <x:v>-2.1453681670422817</x:v>
      </x:c>
      <x:c r="AQ210" s="246" t="n">
        <x:f>O210-$B$4*AH210</x:f>
        <x:v>1.0129373762411482</x:v>
      </x:c>
      <x:c r="AR210" s="182" t="n">
        <x:f>IF(U210&gt;=$B$5,1,0)</x:f>
        <x:v>1</x:v>
      </x:c>
      <x:c r="AS210" s="182" t="n">
        <x:f>IF(AR210=F210,1,0)</x:f>
        <x:v>1</x:v>
      </x:c>
      <x:c r="AT210" s="252" t="n">
        <x:f>ABS(F210-U210)</x:f>
        <x:v>0.4725035813626717</x:v>
      </x:c>
    </x:row>
    <x:row r="211">
      <x:c r="A211" s="114" t="n">
        <x:v>195</x:v>
      </x:c>
      <x:c r="B211" s="114" t="n">
        <x:v>49</x:v>
      </x:c>
      <x:c r="C211" s="114" t="n">
        <x:v>3</x:v>
      </x:c>
      <x:c r="D211" s="168" t="n">
        <x:f>$I$7</x:f>
        <x:v>1</x:v>
      </x:c>
      <x:c r="E211" s="168" t="n">
        <x:f>$J$7</x:f>
        <x:v>0</x:v>
      </x:c>
      <x:c r="F211" s="168" t="n">
        <x:f>$K$7</x:f>
        <x:v>1</x:v>
      </x:c>
      <x:c r="G211" s="242" t="n">
        <x:f>AI210</x:f>
        <x:v>1.776534389743598</x:v>
      </x:c>
      <x:c r="H211" s="242" t="n">
        <x:f>AJ210</x:f>
        <x:v>-2.2207344251573526</x:v>
      </x:c>
      <x:c r="I211" s="242" t="n">
        <x:f>AK210</x:f>
        <x:v>-1.3843479650600763</x:v>
      </x:c>
      <x:c r="J211" s="242" t="n">
        <x:f>AL210</x:f>
        <x:v>1.8910745947590155</x:v>
      </x:c>
      <x:c r="K211" s="242" t="n">
        <x:f>AM210</x:f>
        <x:v>-2.071966592966261</x:v>
      </x:c>
      <x:c r="L211" s="242" t="n">
        <x:f>AN210</x:f>
        <x:v>1.4749771516647077</x:v>
      </x:c>
      <x:c r="M211" s="242" t="n">
        <x:f>AO210</x:f>
        <x:v>2.100796086097249</x:v>
      </x:c>
      <x:c r="N211" s="242" t="n">
        <x:f>AP210</x:f>
        <x:v>-2.1453681670422817</x:v>
      </x:c>
      <x:c r="O211" s="242" t="n">
        <x:f>AQ210</x:f>
        <x:v>1.0129373762411482</x:v>
      </x:c>
      <x:c r="P211" s="243" t="n">
        <x:f>D211*G211+E211*H211+I211</x:f>
        <x:v>0.3921864246835216</x:v>
      </x:c>
      <x:c r="Q211" s="243" t="n">
        <x:f>1/(1+EXP(-P211))</x:f>
        <x:v>0.5968089255396274</x:v>
      </x:c>
      <x:c r="R211" s="243" t="n">
        <x:f>D211*J211+E211*K211+L211</x:f>
        <x:v>3.3660517464237234</x:v>
      </x:c>
      <x:c r="S211" s="243" t="n">
        <x:f>1/(1+EXP(-R211))</x:f>
        <x:v>0.9666265562478187</x:v>
      </x:c>
      <x:c r="T211" s="243" t="n">
        <x:f>Q211*M211+S211*N211+O211</x:f>
        <x:v>0.19294138797092608</x:v>
      </x:c>
      <x:c r="U211" s="243" t="n">
        <x:f>1/(1+EXP(-T211))</x:f>
        <x:v>0.5480862663316675</x:v>
      </x:c>
      <x:c r="V211" s="243" t="n">
        <x:f>0.5*(F211-U211)^2</x:f>
        <x:v>0.1021130113390263</x:v>
      </x:c>
      <x:c r="W211" s="244" t="n">
        <x:f>(U211-F211)*U211*(1-U211)</x:f>
        <x:v>-0.1119334782573803</x:v>
      </x:c>
      <x:c r="X211" s="244" t="n">
        <x:f>W211*M211*Q211*(1-Q211)</x:f>
        <x:v>-0.05658354046740542</x:v>
      </x:c>
      <x:c r="Y211" s="244" t="n">
        <x:f>W211*N211*S211*(1-S211)</x:f>
        <x:v>0.007746786323551401</x:v>
      </x:c>
      <x:c r="Z211" s="245" t="n">
        <x:f>X211*D211</x:f>
        <x:v>-0.05658354046740542</x:v>
      </x:c>
      <x:c r="AA211" s="245" t="n">
        <x:f>X211*E211</x:f>
        <x:v>0</x:v>
      </x:c>
      <x:c r="AB211" s="245" t="n">
        <x:f>X211</x:f>
        <x:v>-0.05658354046740542</x:v>
      </x:c>
      <x:c r="AC211" s="245" t="n">
        <x:f>Y211*D211</x:f>
        <x:v>0.007746786323551401</x:v>
      </x:c>
      <x:c r="AD211" s="245" t="n">
        <x:f>Y211*E211</x:f>
        <x:v>0</x:v>
      </x:c>
      <x:c r="AE211" s="245" t="n">
        <x:f>Y211</x:f>
        <x:v>0.007746786323551401</x:v>
      </x:c>
      <x:c r="AF211" s="245" t="n">
        <x:f>W211*Q211</x:f>
        <x:v>-0.06680289889070039</x:v>
      </x:c>
      <x:c r="AG211" s="245" t="n">
        <x:f>W211*S211</x:f>
        <x:v>-0.1081978726167716</x:v>
      </x:c>
      <x:c r="AH211" s="245" t="n">
        <x:f>W211</x:f>
        <x:v>-0.1119334782573803</x:v>
      </x:c>
      <x:c r="AI211" s="246" t="n">
        <x:f>G211-$B$4*Z211</x:f>
        <x:v>1.8331179302110032</x:v>
      </x:c>
      <x:c r="AJ211" s="246" t="n">
        <x:f>H211-$B$4*AA211</x:f>
        <x:v>-2.2207344251573526</x:v>
      </x:c>
      <x:c r="AK211" s="246" t="n">
        <x:f>I211-$B$4*AB211</x:f>
        <x:v>-1.327764424592671</x:v>
      </x:c>
      <x:c r="AL211" s="246" t="n">
        <x:f>J211-$B$4*AC211</x:f>
        <x:v>1.883327808435464</x:v>
      </x:c>
      <x:c r="AM211" s="246" t="n">
        <x:f>K211-$B$4*AD211</x:f>
        <x:v>-2.071966592966261</x:v>
      </x:c>
      <x:c r="AN211" s="246" t="n">
        <x:f>L211-$B$4*AE211</x:f>
        <x:v>1.4672303653411563</x:v>
      </x:c>
      <x:c r="AO211" s="246" t="n">
        <x:f>M211-$B$4*AF211</x:f>
        <x:v>2.16759898498795</x:v>
      </x:c>
      <x:c r="AP211" s="246" t="n">
        <x:f>N211-$B$4*AG211</x:f>
        <x:v>-2.0371702944255103</x:v>
      </x:c>
      <x:c r="AQ211" s="246" t="n">
        <x:f>O211-$B$4*AH211</x:f>
        <x:v>1.1248708544985284</x:v>
      </x:c>
      <x:c r="AR211" s="182" t="n">
        <x:f>IF(U211&gt;=$B$5,1,0)</x:f>
        <x:v>1</x:v>
      </x:c>
      <x:c r="AS211" s="182" t="n">
        <x:f>IF(AR211=F211,1,0)</x:f>
        <x:v>1</x:v>
      </x:c>
      <x:c r="AT211" s="252" t="n">
        <x:f>ABS(F211-U211)</x:f>
        <x:v>0.45191373366833254</x:v>
      </x:c>
    </x:row>
    <x:row r="212">
      <x:c r="A212" s="114" t="n">
        <x:v>196</x:v>
      </x:c>
      <x:c r="B212" s="114" t="n">
        <x:v>49</x:v>
      </x:c>
      <x:c r="C212" s="114" t="n">
        <x:v>4</x:v>
      </x:c>
      <x:c r="D212" s="168" t="n">
        <x:f>$I$8</x:f>
        <x:v>1</x:v>
      </x:c>
      <x:c r="E212" s="168" t="n">
        <x:f>$J$8</x:f>
        <x:v>1</x:v>
      </x:c>
      <x:c r="F212" s="168" t="n">
        <x:f>$K$8</x:f>
        <x:v>0</x:v>
      </x:c>
      <x:c r="G212" s="242" t="n">
        <x:f>AI211</x:f>
        <x:v>1.8331179302110032</x:v>
      </x:c>
      <x:c r="H212" s="242" t="n">
        <x:f>AJ211</x:f>
        <x:v>-2.2207344251573526</x:v>
      </x:c>
      <x:c r="I212" s="242" t="n">
        <x:f>AK211</x:f>
        <x:v>-1.327764424592671</x:v>
      </x:c>
      <x:c r="J212" s="242" t="n">
        <x:f>AL211</x:f>
        <x:v>1.883327808435464</x:v>
      </x:c>
      <x:c r="K212" s="242" t="n">
        <x:f>AM211</x:f>
        <x:v>-2.071966592966261</x:v>
      </x:c>
      <x:c r="L212" s="242" t="n">
        <x:f>AN211</x:f>
        <x:v>1.4672303653411563</x:v>
      </x:c>
      <x:c r="M212" s="242" t="n">
        <x:f>AO211</x:f>
        <x:v>2.16759898498795</x:v>
      </x:c>
      <x:c r="N212" s="242" t="n">
        <x:f>AP211</x:f>
        <x:v>-2.0371702944255103</x:v>
      </x:c>
      <x:c r="O212" s="242" t="n">
        <x:f>AQ211</x:f>
        <x:v>1.1248708544985284</x:v>
      </x:c>
      <x:c r="P212" s="243" t="n">
        <x:f>D212*G212+E212*H212+I212</x:f>
        <x:v>-1.7153809195390204</x:v>
      </x:c>
      <x:c r="Q212" s="243" t="n">
        <x:f>1/(1+EXP(-P212))</x:f>
        <x:v>0.15246708758875854</x:v>
      </x:c>
      <x:c r="R212" s="243" t="n">
        <x:f>D212*J212+E212*K212+L212</x:f>
        <x:v>1.2785915808103592</x:v>
      </x:c>
      <x:c r="S212" s="243" t="n">
        <x:f>1/(1+EXP(-R212))</x:f>
        <x:v>0.7822099369471128</x:v>
      </x:c>
      <x:c r="T212" s="243" t="n">
        <x:f>Q212*M212+S212*N212+O212</x:f>
        <x:v>-0.13813648875311935</x:v>
      </x:c>
      <x:c r="U212" s="243" t="n">
        <x:f>1/(1+EXP(-T212))</x:f>
        <x:v>0.4655206873447143</x:v>
      </x:c>
      <x:c r="V212" s="243" t="n">
        <x:f>0.5*(F212-U212)^2</x:f>
        <x:v>0.10835475517294763</x:v>
      </x:c>
      <x:c r="W212" s="244" t="n">
        <x:f>(U212-F212)*U212*(1-U212)</x:f>
        <x:v>0.11582675013553762</x:v>
      </x:c>
      <x:c r="X212" s="244" t="n">
        <x:f>W212*M212*Q212*(1-Q212)</x:f>
        <x:v>0.03244296117598976</x:v>
      </x:c>
      <x:c r="Y212" s="244" t="n">
        <x:f>W212*N212*S212*(1-S212)</x:f>
        <x:v>-0.0401973659202802</x:v>
      </x:c>
      <x:c r="Z212" s="245" t="n">
        <x:f>X212*D212</x:f>
        <x:v>0.03244296117598976</x:v>
      </x:c>
      <x:c r="AA212" s="245" t="n">
        <x:f>X212*E212</x:f>
        <x:v>0.03244296117598976</x:v>
      </x:c>
      <x:c r="AB212" s="245" t="n">
        <x:f>X212</x:f>
        <x:v>0.03244296117598976</x:v>
      </x:c>
      <x:c r="AC212" s="245" t="n">
        <x:f>Y212*D212</x:f>
        <x:v>-0.0401973659202802</x:v>
      </x:c>
      <x:c r="AD212" s="245" t="n">
        <x:f>Y212*E212</x:f>
        <x:v>-0.0401973659202802</x:v>
      </x:c>
      <x:c r="AE212" s="245" t="n">
        <x:f>Y212</x:f>
        <x:v>-0.0401973659202802</x:v>
      </x:c>
      <x:c r="AF212" s="245" t="n">
        <x:f>W212*Q212</x:f>
        <x:v>0.017659767258036262</x:v>
      </x:c>
      <x:c r="AG212" s="245" t="n">
        <x:f>W212*S212</x:f>
        <x:v>0.09060083492030788</x:v>
      </x:c>
      <x:c r="AH212" s="245" t="n">
        <x:f>W212</x:f>
        <x:v>0.11582675013553762</x:v>
      </x:c>
      <x:c r="AI212" s="246" t="n">
        <x:f>G212-$B$4*Z212</x:f>
        <x:v>1.8006749690350135</x:v>
      </x:c>
      <x:c r="AJ212" s="246" t="n">
        <x:f>H212-$B$4*AA212</x:f>
        <x:v>-2.253177386333342</x:v>
      </x:c>
      <x:c r="AK212" s="246" t="n">
        <x:f>I212-$B$4*AB212</x:f>
        <x:v>-1.3602073857686607</x:v>
      </x:c>
      <x:c r="AL212" s="246" t="n">
        <x:f>J212-$B$4*AC212</x:f>
        <x:v>1.9235251743557442</x:v>
      </x:c>
      <x:c r="AM212" s="246" t="n">
        <x:f>K212-$B$4*AD212</x:f>
        <x:v>-2.031769227045981</x:v>
      </x:c>
      <x:c r="AN212" s="246" t="n">
        <x:f>L212-$B$4*AE212</x:f>
        <x:v>1.5074277312614364</x:v>
      </x:c>
      <x:c r="AO212" s="246" t="n">
        <x:f>M212-$B$4*AF212</x:f>
        <x:v>2.1499392177299135</x:v>
      </x:c>
      <x:c r="AP212" s="246" t="n">
        <x:f>N212-$B$4*AG212</x:f>
        <x:v>-2.127771129345818</x:v>
      </x:c>
      <x:c r="AQ212" s="246" t="n">
        <x:f>O212-$B$4*AH212</x:f>
        <x:v>1.0090441043629907</x:v>
      </x:c>
      <x:c r="AR212" s="182" t="n">
        <x:f>IF(U212&gt;=$B$5,1,0)</x:f>
        <x:v>0</x:v>
      </x:c>
      <x:c r="AS212" s="182" t="n">
        <x:f>IF(AR212=F212,1,0)</x:f>
        <x:v>1</x:v>
      </x:c>
      <x:c r="AT212" s="252" t="n">
        <x:f>ABS(F212-U212)</x:f>
        <x:v>0.4655206873447143</x:v>
      </x:c>
    </x:row>
    <x:row r="213">
      <x:c r="A213" s="114" t="n">
        <x:v>197</x:v>
      </x:c>
      <x:c r="B213" s="114" t="n">
        <x:v>50</x:v>
      </x:c>
      <x:c r="C213" s="114" t="n">
        <x:v>1</x:v>
      </x:c>
      <x:c r="D213" s="168" t="n">
        <x:f>$I$5</x:f>
        <x:v>0</x:v>
      </x:c>
      <x:c r="E213" s="168" t="n">
        <x:f>$J$5</x:f>
        <x:v>0</x:v>
      </x:c>
      <x:c r="F213" s="168" t="n">
        <x:f>$K$5</x:f>
        <x:v>0</x:v>
      </x:c>
      <x:c r="G213" s="242" t="n">
        <x:f>AI212</x:f>
        <x:v>1.8006749690350135</x:v>
      </x:c>
      <x:c r="H213" s="242" t="n">
        <x:f>AJ212</x:f>
        <x:v>-2.253177386333342</x:v>
      </x:c>
      <x:c r="I213" s="242" t="n">
        <x:f>AK212</x:f>
        <x:v>-1.3602073857686607</x:v>
      </x:c>
      <x:c r="J213" s="242" t="n">
        <x:f>AL212</x:f>
        <x:v>1.9235251743557442</x:v>
      </x:c>
      <x:c r="K213" s="242" t="n">
        <x:f>AM212</x:f>
        <x:v>-2.031769227045981</x:v>
      </x:c>
      <x:c r="L213" s="242" t="n">
        <x:f>AN212</x:f>
        <x:v>1.5074277312614364</x:v>
      </x:c>
      <x:c r="M213" s="242" t="n">
        <x:f>AO212</x:f>
        <x:v>2.1499392177299135</x:v>
      </x:c>
      <x:c r="N213" s="242" t="n">
        <x:f>AP212</x:f>
        <x:v>-2.127771129345818</x:v>
      </x:c>
      <x:c r="O213" s="242" t="n">
        <x:f>AQ212</x:f>
        <x:v>1.0090441043629907</x:v>
      </x:c>
      <x:c r="P213" s="243" t="n">
        <x:f>D213*G213+E213*H213+I213</x:f>
        <x:v>-1.3602073857686607</x:v>
      </x:c>
      <x:c r="Q213" s="243" t="n">
        <x:f>1/(1+EXP(-P213))</x:f>
        <x:v>0.20420659873030078</x:v>
      </x:c>
      <x:c r="R213" s="243" t="n">
        <x:f>D213*J213+E213*K213+L213</x:f>
        <x:v>1.5074277312614364</x:v>
      </x:c>
      <x:c r="S213" s="243" t="n">
        <x:f>1/(1+EXP(-R213))</x:f>
        <x:v>0.8186796838491511</x:v>
      </x:c>
      <x:c r="T213" s="243" t="n">
        <x:f>Q213*M213+S213*N213+O213</x:f>
        <x:v>-0.2938871159836858</x:v>
      </x:c>
      <x:c r="U213" s="243" t="n">
        <x:f>1/(1+EXP(-T213))</x:f>
        <x:v>0.42705250416107715</x:v>
      </x:c>
      <x:c r="V213" s="243" t="n">
        <x:f>0.5*(F213-U213)^2</x:f>
        <x:v>0.0911869206551234</x:v>
      </x:c>
      <x:c r="W213" s="244" t="n">
        <x:f>(U213-F213)*U213*(1-U213)</x:f>
        <x:v>0.10449063568523102</x:v>
      </x:c>
      <x:c r="X213" s="244" t="n">
        <x:f>W213*M213*Q213*(1-Q213)</x:f>
        <x:v>0.0365067909216731</x:v>
      </x:c>
      <x:c r="Y213" s="244" t="n">
        <x:f>W213*N213*S213*(1-S213)</x:f>
        <x:v>-0.03300371012152018</x:v>
      </x:c>
      <x:c r="Z213" s="245" t="n">
        <x:f>X213*D213</x:f>
        <x:v>0</x:v>
      </x:c>
      <x:c r="AA213" s="245" t="n">
        <x:f>X213*E213</x:f>
        <x:v>0</x:v>
      </x:c>
      <x:c r="AB213" s="245" t="n">
        <x:f>X213</x:f>
        <x:v>0.0365067909216731</x:v>
      </x:c>
      <x:c r="AC213" s="245" t="n">
        <x:f>Y213*D213</x:f>
        <x:v>0</x:v>
      </x:c>
      <x:c r="AD213" s="245" t="n">
        <x:f>Y213*E213</x:f>
        <x:v>0</x:v>
      </x:c>
      <x:c r="AE213" s="245" t="n">
        <x:f>Y213</x:f>
        <x:v>-0.03300371012152018</x:v>
      </x:c>
      <x:c r="AF213" s="245" t="n">
        <x:f>W213*Q213</x:f>
        <x:v>0.021337677312448018</x:v>
      </x:c>
      <x:c r="AG213" s="245" t="n">
        <x:f>W213*S213</x:f>
        <x:v>0.08554436058798176</x:v>
      </x:c>
      <x:c r="AH213" s="245" t="n">
        <x:f>W213</x:f>
        <x:v>0.10449063568523102</x:v>
      </x:c>
      <x:c r="AI213" s="246" t="n">
        <x:f>G213-$B$4*Z213</x:f>
        <x:v>1.8006749690350135</x:v>
      </x:c>
      <x:c r="AJ213" s="246" t="n">
        <x:f>H213-$B$4*AA213</x:f>
        <x:v>-2.253177386333342</x:v>
      </x:c>
      <x:c r="AK213" s="246" t="n">
        <x:f>I213-$B$4*AB213</x:f>
        <x:v>-1.396714176690334</x:v>
      </x:c>
      <x:c r="AL213" s="246" t="n">
        <x:f>J213-$B$4*AC213</x:f>
        <x:v>1.9235251743557442</x:v>
      </x:c>
      <x:c r="AM213" s="246" t="n">
        <x:f>K213-$B$4*AD213</x:f>
        <x:v>-2.031769227045981</x:v>
      </x:c>
      <x:c r="AN213" s="246" t="n">
        <x:f>L213-$B$4*AE213</x:f>
        <x:v>1.5404314413829565</x:v>
      </x:c>
      <x:c r="AO213" s="246" t="n">
        <x:f>M213-$B$4*AF213</x:f>
        <x:v>2.1286015404174656</x:v>
      </x:c>
      <x:c r="AP213" s="246" t="n">
        <x:f>N213-$B$4*AG213</x:f>
        <x:v>-2.2133154899338</x:v>
      </x:c>
      <x:c r="AQ213" s="246" t="n">
        <x:f>O213-$B$4*AH213</x:f>
        <x:v>0.9045534686777598</x:v>
      </x:c>
      <x:c r="AR213" s="182" t="n">
        <x:f>IF(U213&gt;=$B$5,1,0)</x:f>
        <x:v>0</x:v>
      </x:c>
      <x:c r="AS213" s="182" t="n">
        <x:f>IF(AR213=F213,1,0)</x:f>
        <x:v>1</x:v>
      </x:c>
      <x:c r="AT213" s="252" t="n">
        <x:f>ABS(F213-U213)</x:f>
        <x:v>0.42705250416107715</x:v>
      </x:c>
    </x:row>
    <x:row r="214">
      <x:c r="A214" s="114" t="n">
        <x:v>198</x:v>
      </x:c>
      <x:c r="B214" s="114" t="n">
        <x:v>50</x:v>
      </x:c>
      <x:c r="C214" s="114" t="n">
        <x:v>2</x:v>
      </x:c>
      <x:c r="D214" s="168" t="n">
        <x:f>$I$6</x:f>
        <x:v>0</x:v>
      </x:c>
      <x:c r="E214" s="168" t="n">
        <x:f>$J$6</x:f>
        <x:v>1</x:v>
      </x:c>
      <x:c r="F214" s="168" t="n">
        <x:f>$K$6</x:f>
        <x:v>1</x:v>
      </x:c>
      <x:c r="G214" s="242" t="n">
        <x:f>AI213</x:f>
        <x:v>1.8006749690350135</x:v>
      </x:c>
      <x:c r="H214" s="242" t="n">
        <x:f>AJ213</x:f>
        <x:v>-2.253177386333342</x:v>
      </x:c>
      <x:c r="I214" s="242" t="n">
        <x:f>AK213</x:f>
        <x:v>-1.396714176690334</x:v>
      </x:c>
      <x:c r="J214" s="242" t="n">
        <x:f>AL213</x:f>
        <x:v>1.9235251743557442</x:v>
      </x:c>
      <x:c r="K214" s="242" t="n">
        <x:f>AM213</x:f>
        <x:v>-2.031769227045981</x:v>
      </x:c>
      <x:c r="L214" s="242" t="n">
        <x:f>AN213</x:f>
        <x:v>1.5404314413829565</x:v>
      </x:c>
      <x:c r="M214" s="242" t="n">
        <x:f>AO213</x:f>
        <x:v>2.1286015404174656</x:v>
      </x:c>
      <x:c r="N214" s="242" t="n">
        <x:f>AP213</x:f>
        <x:v>-2.2133154899338</x:v>
      </x:c>
      <x:c r="O214" s="242" t="n">
        <x:f>AQ213</x:f>
        <x:v>0.9045534686777598</x:v>
      </x:c>
      <x:c r="P214" s="243" t="n">
        <x:f>D214*G214+E214*H214+I214</x:f>
        <x:v>-3.649891563023676</x:v>
      </x:c>
      <x:c r="Q214" s="243" t="n">
        <x:f>1/(1+EXP(-P214))</x:f>
        <x:v>0.02533538077744681</x:v>
      </x:c>
      <x:c r="R214" s="243" t="n">
        <x:f>D214*J214+E214*K214+L214</x:f>
        <x:v>-0.49133778566302433</x:v>
      </x:c>
      <x:c r="S214" s="243" t="n">
        <x:f>1/(1+EXP(-R214))</x:f>
        <x:v>0.3795784702177331</x:v>
      </x:c>
      <x:c r="T214" s="243" t="n">
        <x:f>Q214*M214+S214*N214+O214</x:f>
        <x:v>0.11835549144941182</x:v>
      </x:c>
      <x:c r="U214" s="243" t="n">
        <x:f>1/(1+EXP(-T214))</x:f>
        <x:v>0.5295543810450495</x:v>
      </x:c>
      <x:c r="V214" s="243" t="n">
        <x:f>0.5*(F214-U214)^2</x:f>
        <x:v>0.11065954019695325</x:v>
      </x:c>
      <x:c r="W214" s="244" t="n">
        <x:f>(U214-F214)*U214*(1-U214)</x:f>
        <x:v>-0.1172004886314547</x:v>
      </x:c>
      <x:c r="X214" s="244" t="n">
        <x:f>W214*M214*Q214*(1-Q214)</x:f>
        <x:v>-0.006160364813327038</x:v>
      </x:c>
      <x:c r="Y214" s="244" t="n">
        <x:f>W214*N214*S214*(1-S214)</x:f>
        <x:v>0.06108874135121941</x:v>
      </x:c>
      <x:c r="Z214" s="245" t="n">
        <x:f>X214*D214</x:f>
        <x:v>0</x:v>
      </x:c>
      <x:c r="AA214" s="245" t="n">
        <x:f>X214*E214</x:f>
        <x:v>-0.006160364813327038</x:v>
      </x:c>
      <x:c r="AB214" s="245" t="n">
        <x:f>X214</x:f>
        <x:v>-0.006160364813327038</x:v>
      </x:c>
      <x:c r="AC214" s="245" t="n">
        <x:f>Y214*D214</x:f>
        <x:v>0</x:v>
      </x:c>
      <x:c r="AD214" s="245" t="n">
        <x:f>Y214*E214</x:f>
        <x:v>0.06108874135121941</x:v>
      </x:c>
      <x:c r="AE214" s="245" t="n">
        <x:f>Y214</x:f>
        <x:v>0.06108874135121941</x:v>
      </x:c>
      <x:c r="AF214" s="245" t="n">
        <x:f>W214*Q214</x:f>
        <x:v>-0.0029693190067807307</x:v>
      </x:c>
      <x:c r="AG214" s="245" t="n">
        <x:f>W214*S214</x:f>
        <x:v>-0.04448678218349839</x:v>
      </x:c>
      <x:c r="AH214" s="245" t="n">
        <x:f>W214</x:f>
        <x:v>-0.1172004886314547</x:v>
      </x:c>
      <x:c r="AI214" s="246" t="n">
        <x:f>G214-$B$4*Z214</x:f>
        <x:v>1.8006749690350135</x:v>
      </x:c>
      <x:c r="AJ214" s="246" t="n">
        <x:f>H214-$B$4*AA214</x:f>
        <x:v>-2.247017021520015</x:v>
      </x:c>
      <x:c r="AK214" s="246" t="n">
        <x:f>I214-$B$4*AB214</x:f>
        <x:v>-1.3905538118770069</x:v>
      </x:c>
      <x:c r="AL214" s="246" t="n">
        <x:f>J214-$B$4*AC214</x:f>
        <x:v>1.9235251743557442</x:v>
      </x:c>
      <x:c r="AM214" s="246" t="n">
        <x:f>K214-$B$4*AD214</x:f>
        <x:v>-2.0928579683972</x:v>
      </x:c>
      <x:c r="AN214" s="246" t="n">
        <x:f>L214-$B$4*AE214</x:f>
        <x:v>1.4793427000317372</x:v>
      </x:c>
      <x:c r="AO214" s="246" t="n">
        <x:f>M214-$B$4*AF214</x:f>
        <x:v>2.1315708594242464</x:v>
      </x:c>
      <x:c r="AP214" s="246" t="n">
        <x:f>N214-$B$4*AG214</x:f>
        <x:v>-2.1688287077503015</x:v>
      </x:c>
      <x:c r="AQ214" s="246" t="n">
        <x:f>O214-$B$4*AH214</x:f>
        <x:v>1.0217539573092145</x:v>
      </x:c>
      <x:c r="AR214" s="182" t="n">
        <x:f>IF(U214&gt;=$B$5,1,0)</x:f>
        <x:v>1</x:v>
      </x:c>
      <x:c r="AS214" s="182" t="n">
        <x:f>IF(AR214=F214,1,0)</x:f>
        <x:v>1</x:v>
      </x:c>
      <x:c r="AT214" s="252" t="n">
        <x:f>ABS(F214-U214)</x:f>
        <x:v>0.4704456189549505</x:v>
      </x:c>
    </x:row>
    <x:row r="215">
      <x:c r="A215" s="114" t="n">
        <x:v>199</x:v>
      </x:c>
      <x:c r="B215" s="114" t="n">
        <x:v>50</x:v>
      </x:c>
      <x:c r="C215" s="114" t="n">
        <x:v>3</x:v>
      </x:c>
      <x:c r="D215" s="168" t="n">
        <x:f>$I$7</x:f>
        <x:v>1</x:v>
      </x:c>
      <x:c r="E215" s="168" t="n">
        <x:f>$J$7</x:f>
        <x:v>0</x:v>
      </x:c>
      <x:c r="F215" s="168" t="n">
        <x:f>$K$7</x:f>
        <x:v>1</x:v>
      </x:c>
      <x:c r="G215" s="242" t="n">
        <x:f>AI214</x:f>
        <x:v>1.8006749690350135</x:v>
      </x:c>
      <x:c r="H215" s="242" t="n">
        <x:f>AJ214</x:f>
        <x:v>-2.247017021520015</x:v>
      </x:c>
      <x:c r="I215" s="242" t="n">
        <x:f>AK214</x:f>
        <x:v>-1.3905538118770069</x:v>
      </x:c>
      <x:c r="J215" s="242" t="n">
        <x:f>AL214</x:f>
        <x:v>1.9235251743557442</x:v>
      </x:c>
      <x:c r="K215" s="242" t="n">
        <x:f>AM214</x:f>
        <x:v>-2.0928579683972</x:v>
      </x:c>
      <x:c r="L215" s="242" t="n">
        <x:f>AN214</x:f>
        <x:v>1.4793427000317372</x:v>
      </x:c>
      <x:c r="M215" s="242" t="n">
        <x:f>AO214</x:f>
        <x:v>2.1315708594242464</x:v>
      </x:c>
      <x:c r="N215" s="242" t="n">
        <x:f>AP214</x:f>
        <x:v>-2.1688287077503015</x:v>
      </x:c>
      <x:c r="O215" s="242" t="n">
        <x:f>AQ214</x:f>
        <x:v>1.0217539573092145</x:v>
      </x:c>
      <x:c r="P215" s="243" t="n">
        <x:f>D215*G215+E215*H215+I215</x:f>
        <x:v>0.41012115715800657</x:v>
      </x:c>
      <x:c r="Q215" s="243" t="n">
        <x:f>1/(1+EXP(-P215))</x:f>
        <x:v>0.6011169297062058</x:v>
      </x:c>
      <x:c r="R215" s="243" t="n">
        <x:f>D215*J215+E215*K215+L215</x:f>
        <x:v>3.402867874387481</x:v>
      </x:c>
      <x:c r="S215" s="243" t="n">
        <x:f>1/(1+EXP(-R215))</x:f>
        <x:v>0.9677940433330233</x:v>
      </x:c>
      <x:c r="T215" s="243" t="n">
        <x:f>Q215*M215+S215*N215+O215</x:f>
        <x:v>0.2040977834071358</x:v>
      </x:c>
      <x:c r="U215" s="243" t="n">
        <x:f>1/(1+EXP(-T215))</x:f>
        <x:v>0.5508480581178642</x:v>
      </x:c>
      <x:c r="V215" s="243" t="n">
        <x:f>0.5*(F215-U215)^2</x:f>
        <x:v>0.10086873344824675</x:v>
      </x:c>
      <x:c r="W215" s="244" t="n">
        <x:f>(U215-F215)*U215*(1-U215)</x:f>
        <x:v>-0.11112669188955036</x:v>
      </x:c>
      <x:c r="X215" s="244" t="n">
        <x:f>W215*M215*Q215*(1-Q215)</x:f>
        <x:v>-0.056796650429375324</x:v>
      </x:c>
      <x:c r="Y215" s="244" t="n">
        <x:f>W215*N215*S215*(1-S215)</x:f>
        <x:v>0.007512124695351272</x:v>
      </x:c>
      <x:c r="Z215" s="245" t="n">
        <x:f>X215*D215</x:f>
        <x:v>-0.056796650429375324</x:v>
      </x:c>
      <x:c r="AA215" s="245" t="n">
        <x:f>X215*E215</x:f>
        <x:v>0</x:v>
      </x:c>
      <x:c r="AB215" s="245" t="n">
        <x:f>X215</x:f>
        <x:v>-0.056796650429375324</x:v>
      </x:c>
      <x:c r="AC215" s="245" t="n">
        <x:f>Y215*D215</x:f>
        <x:v>0.007512124695351272</x:v>
      </x:c>
      <x:c r="AD215" s="245" t="n">
        <x:f>Y215*E215</x:f>
        <x:v>0</x:v>
      </x:c>
      <x:c r="AE215" s="245" t="n">
        <x:f>Y215</x:f>
        <x:v>0.007512124695351272</x:v>
      </x:c>
      <x:c r="AF215" s="245" t="n">
        <x:f>W215*Q215</x:f>
        <x:v>-0.06680013583705403</x:v>
      </x:c>
      <x:c r="AG215" s="245" t="n">
        <x:f>W215*S215</x:f>
        <x:v>-0.10754775046601103</x:v>
      </x:c>
      <x:c r="AH215" s="245" t="n">
        <x:f>W215</x:f>
        <x:v>-0.11112669188955036</x:v>
      </x:c>
      <x:c r="AI215" s="246" t="n">
        <x:f>G215-$B$4*Z215</x:f>
        <x:v>1.8574716194643888</x:v>
      </x:c>
      <x:c r="AJ215" s="246" t="n">
        <x:f>H215-$B$4*AA215</x:f>
        <x:v>-2.247017021520015</x:v>
      </x:c>
      <x:c r="AK215" s="246" t="n">
        <x:f>I215-$B$4*AB215</x:f>
        <x:v>-1.3337571614476316</x:v>
      </x:c>
      <x:c r="AL215" s="246" t="n">
        <x:f>J215-$B$4*AC215</x:f>
        <x:v>1.9160130496603929</x:v>
      </x:c>
      <x:c r="AM215" s="246" t="n">
        <x:f>K215-$B$4*AD215</x:f>
        <x:v>-2.0928579683972</x:v>
      </x:c>
      <x:c r="AN215" s="246" t="n">
        <x:f>L215-$B$4*AE215</x:f>
        <x:v>1.4718305753363858</x:v>
      </x:c>
      <x:c r="AO215" s="246" t="n">
        <x:f>M215-$B$4*AF215</x:f>
        <x:v>2.1983709952613006</x:v>
      </x:c>
      <x:c r="AP215" s="246" t="n">
        <x:f>N215-$B$4*AG215</x:f>
        <x:v>-2.0612809572842905</x:v>
      </x:c>
      <x:c r="AQ215" s="246" t="n">
        <x:f>O215-$B$4*AH215</x:f>
        <x:v>1.1328806491987649</x:v>
      </x:c>
      <x:c r="AR215" s="182" t="n">
        <x:f>IF(U215&gt;=$B$5,1,0)</x:f>
        <x:v>1</x:v>
      </x:c>
      <x:c r="AS215" s="182" t="n">
        <x:f>IF(AR215=F215,1,0)</x:f>
        <x:v>1</x:v>
      </x:c>
      <x:c r="AT215" s="252" t="n">
        <x:f>ABS(F215-U215)</x:f>
        <x:v>0.4491519418821358</x:v>
      </x:c>
    </x:row>
    <x:row r="216">
      <x:c r="A216" s="114" t="n">
        <x:v>200</x:v>
      </x:c>
      <x:c r="B216" s="114" t="n">
        <x:v>50</x:v>
      </x:c>
      <x:c r="C216" s="114" t="n">
        <x:v>4</x:v>
      </x:c>
      <x:c r="D216" s="168" t="n">
        <x:f>$I$8</x:f>
        <x:v>1</x:v>
      </x:c>
      <x:c r="E216" s="168" t="n">
        <x:f>$J$8</x:f>
        <x:v>1</x:v>
      </x:c>
      <x:c r="F216" s="168" t="n">
        <x:f>$K$8</x:f>
        <x:v>0</x:v>
      </x:c>
      <x:c r="G216" s="242" t="n">
        <x:f>AI215</x:f>
        <x:v>1.8574716194643888</x:v>
      </x:c>
      <x:c r="H216" s="242" t="n">
        <x:f>AJ215</x:f>
        <x:v>-2.247017021520015</x:v>
      </x:c>
      <x:c r="I216" s="242" t="n">
        <x:f>AK215</x:f>
        <x:v>-1.3337571614476316</x:v>
      </x:c>
      <x:c r="J216" s="242" t="n">
        <x:f>AL215</x:f>
        <x:v>1.9160130496603929</x:v>
      </x:c>
      <x:c r="K216" s="242" t="n">
        <x:f>AM215</x:f>
        <x:v>-2.0928579683972</x:v>
      </x:c>
      <x:c r="L216" s="242" t="n">
        <x:f>AN215</x:f>
        <x:v>1.4718305753363858</x:v>
      </x:c>
      <x:c r="M216" s="242" t="n">
        <x:f>AO215</x:f>
        <x:v>2.1983709952613006</x:v>
      </x:c>
      <x:c r="N216" s="242" t="n">
        <x:f>AP215</x:f>
        <x:v>-2.0612809572842905</x:v>
      </x:c>
      <x:c r="O216" s="242" t="n">
        <x:f>AQ215</x:f>
        <x:v>1.1328806491987649</x:v>
      </x:c>
      <x:c r="P216" s="243" t="n">
        <x:f>D216*G216+E216*H216+I216</x:f>
        <x:v>-1.723302563503258</x:v>
      </x:c>
      <x:c r="Q216" s="243" t="n">
        <x:f>1/(1+EXP(-P216))</x:f>
        <x:v>0.15144626153099047</x:v>
      </x:c>
      <x:c r="R216" s="243" t="n">
        <x:f>D216*J216+E216*K216+L216</x:f>
        <x:v>1.2949856565995785</x:v>
      </x:c>
      <x:c r="S216" s="243" t="n">
        <x:f>1/(1+EXP(-R216))</x:f>
        <x:v>0.7849898677477604</x:v>
      </x:c>
      <x:c r="T216" s="243" t="n">
        <x:f>Q216*M216+S216*N216+O216</x:f>
        <x:v>-0.15226894816032033</x:v>
      </x:c>
      <x:c r="U216" s="243" t="n">
        <x:f>1/(1+EXP(-T216))</x:f>
        <x:v>0.46200614453869504</x:v>
      </x:c>
      <x:c r="V216" s="243" t="n">
        <x:f>0.5*(F216-U216)^2</x:f>
        <x:v>0.10672483879575478</x:v>
      </x:c>
      <x:c r="W216" s="244" t="n">
        <x:f>(U216-F216)*U216*(1-U216)</x:f>
        <x:v>0.11483461499442875</x:v>
      </x:c>
      <x:c r="X216" s="244" t="n">
        <x:f>W216*M216*Q216*(1-Q216)</x:f>
        <x:v>0.03244230571531398</x:v>
      </x:c>
      <x:c r="Y216" s="244" t="n">
        <x:f>W216*N216*S216*(1-S216)</x:f>
        <x:v>-0.039951490571017996</x:v>
      </x:c>
      <x:c r="Z216" s="245" t="n">
        <x:f>X216*D216</x:f>
        <x:v>0.03244230571531398</x:v>
      </x:c>
      <x:c r="AA216" s="245" t="n">
        <x:f>X216*E216</x:f>
        <x:v>0.03244230571531398</x:v>
      </x:c>
      <x:c r="AB216" s="245" t="n">
        <x:f>X216</x:f>
        <x:v>0.03244230571531398</x:v>
      </x:c>
      <x:c r="AC216" s="245" t="n">
        <x:f>Y216*D216</x:f>
        <x:v>-0.039951490571017996</x:v>
      </x:c>
      <x:c r="AD216" s="245" t="n">
        <x:f>Y216*E216</x:f>
        <x:v>-0.039951490571017996</x:v>
      </x:c>
      <x:c r="AE216" s="245" t="n">
        <x:f>Y216</x:f>
        <x:v>-0.039951490571017996</x:v>
      </x:c>
      <x:c r="AF216" s="245" t="n">
        <x:f>W216*Q216</x:f>
        <x:v>0.017391273135256857</x:v>
      </x:c>
      <x:c r="AG216" s="245" t="n">
        <x:f>W216*S216</x:f>
        <x:v>0.0901440092373416</x:v>
      </x:c>
      <x:c r="AH216" s="245" t="n">
        <x:f>W216</x:f>
        <x:v>0.11483461499442875</x:v>
      </x:c>
      <x:c r="AI216" s="246" t="n">
        <x:f>G216-$B$4*Z216</x:f>
        <x:v>1.8250293137490747</x:v>
      </x:c>
      <x:c r="AJ216" s="246" t="n">
        <x:f>H216-$B$4*AA216</x:f>
        <x:v>-2.279459327235329</x:v>
      </x:c>
      <x:c r="AK216" s="246" t="n">
        <x:f>I216-$B$4*AB216</x:f>
        <x:v>-1.3661994671629456</x:v>
      </x:c>
      <x:c r="AL216" s="246" t="n">
        <x:f>J216-$B$4*AC216</x:f>
        <x:v>1.955964540231411</x:v>
      </x:c>
      <x:c r="AM216" s="246" t="n">
        <x:f>K216-$B$4*AD216</x:f>
        <x:v>-2.0529064778261823</x:v>
      </x:c>
      <x:c r="AN216" s="246" t="n">
        <x:f>L216-$B$4*AE216</x:f>
        <x:v>1.511782065907404</x:v>
      </x:c>
      <x:c r="AO216" s="246" t="n">
        <x:f>M216-$B$4*AF216</x:f>
        <x:v>2.1809797221260436</x:v>
      </x:c>
      <x:c r="AP216" s="246" t="n">
        <x:f>N216-$B$4*AG216</x:f>
        <x:v>-2.151424966521632</x:v>
      </x:c>
      <x:c r="AQ216" s="246" t="n">
        <x:f>O216-$B$4*AH216</x:f>
        <x:v>1.018046034204336</x:v>
      </x:c>
      <x:c r="AR216" s="182" t="n">
        <x:f>IF(U216&gt;=$B$5,1,0)</x:f>
        <x:v>0</x:v>
      </x:c>
      <x:c r="AS216" s="182" t="n">
        <x:f>IF(AR216=F216,1,0)</x:f>
        <x:v>1</x:v>
      </x:c>
      <x:c r="AT216" s="252" t="n">
        <x:f>ABS(F216-U216)</x:f>
        <x:v>0.46200614453869504</x:v>
      </x:c>
    </x:row>
    <x:row r="217">
      <x:c r="A217" s="114" t="n">
        <x:v>201</x:v>
      </x:c>
      <x:c r="B217" s="114" t="n">
        <x:v>51</x:v>
      </x:c>
      <x:c r="C217" s="114" t="n">
        <x:v>1</x:v>
      </x:c>
      <x:c r="D217" s="168" t="n">
        <x:f>$I$5</x:f>
        <x:v>0</x:v>
      </x:c>
      <x:c r="E217" s="168" t="n">
        <x:f>$J$5</x:f>
        <x:v>0</x:v>
      </x:c>
      <x:c r="F217" s="168" t="n">
        <x:f>$K$5</x:f>
        <x:v>0</x:v>
      </x:c>
      <x:c r="G217" s="242" t="n">
        <x:f>AI216</x:f>
        <x:v>1.8250293137490747</x:v>
      </x:c>
      <x:c r="H217" s="242" t="n">
        <x:f>AJ216</x:f>
        <x:v>-2.279459327235329</x:v>
      </x:c>
      <x:c r="I217" s="242" t="n">
        <x:f>AK216</x:f>
        <x:v>-1.3661994671629456</x:v>
      </x:c>
      <x:c r="J217" s="242" t="n">
        <x:f>AL216</x:f>
        <x:v>1.955964540231411</x:v>
      </x:c>
      <x:c r="K217" s="242" t="n">
        <x:f>AM216</x:f>
        <x:v>-2.0529064778261823</x:v>
      </x:c>
      <x:c r="L217" s="242" t="n">
        <x:f>AN216</x:f>
        <x:v>1.511782065907404</x:v>
      </x:c>
      <x:c r="M217" s="242" t="n">
        <x:f>AO216</x:f>
        <x:v>2.1809797221260436</x:v>
      </x:c>
      <x:c r="N217" s="242" t="n">
        <x:f>AP216</x:f>
        <x:v>-2.151424966521632</x:v>
      </x:c>
      <x:c r="O217" s="242" t="n">
        <x:f>AQ216</x:f>
        <x:v>1.018046034204336</x:v>
      </x:c>
      <x:c r="P217" s="243" t="n">
        <x:f>D217*G217+E217*H217+I217</x:f>
        <x:v>-1.3661994671629456</x:v>
      </x:c>
      <x:c r="Q217" s="243" t="n">
        <x:f>1/(1+EXP(-P217))</x:f>
        <x:v>0.20323457371388734</x:v>
      </x:c>
      <x:c r="R217" s="243" t="n">
        <x:f>D217*J217+E217*K217+L217</x:f>
        <x:v>1.511782065907404</x:v>
      </x:c>
      <x:c r="S217" s="243" t="n">
        <x:f>1/(1+EXP(-R217))</x:f>
        <x:v>0.8193251587698356</x:v>
      </x:c>
      <x:c r="T217" s="243" t="n">
        <x:f>Q217*M217+S217*N217+O217</x:f>
        <x:v>-0.30142008396746944</x:v>
      </x:c>
      <x:c r="U217" s="243" t="n">
        <x:f>1/(1+EXP(-T217))</x:f>
        <x:v>0.4252103686126151</x:v>
      </x:c>
      <x:c r="V217" s="243" t="n">
        <x:f>0.5*(F217-U217)^2</x:f>
        <x:v>0.090401928787838</x:v>
      </x:c>
      <x:c r="W217" s="244" t="n">
        <x:f>(U217-F217)*U217*(1-U217)</x:f>
        <x:v>0.10392418264934004</x:v>
      </x:c>
      <x:c r="X217" s="244" t="n">
        <x:f>W217*M217*Q217*(1-Q217)</x:f>
        <x:v>0.03670255657504335</x:v>
      </x:c>
      <x:c r="Y217" s="244" t="n">
        <x:f>W217*N217*S217*(1-S217)</x:f>
        <x:v>-0.033097622194697245</x:v>
      </x:c>
      <x:c r="Z217" s="245" t="n">
        <x:f>X217*D217</x:f>
        <x:v>0</x:v>
      </x:c>
      <x:c r="AA217" s="245" t="n">
        <x:f>X217*E217</x:f>
        <x:v>0</x:v>
      </x:c>
      <x:c r="AB217" s="245" t="n">
        <x:f>X217</x:f>
        <x:v>0.03670255657504335</x:v>
      </x:c>
      <x:c r="AC217" s="245" t="n">
        <x:f>Y217*D217</x:f>
        <x:v>0</x:v>
      </x:c>
      <x:c r="AD217" s="245" t="n">
        <x:f>Y217*E217</x:f>
        <x:v>0</x:v>
      </x:c>
      <x:c r="AE217" s="245" t="n">
        <x:f>Y217</x:f>
        <x:v>-0.033097622194697245</x:v>
      </x:c>
      <x:c r="AF217" s="245" t="n">
        <x:f>W217*Q217</x:f>
        <x:v>0.02112098695930279</x:v>
      </x:c>
      <x:c r="AG217" s="245" t="n">
        <x:f>W217*S217</x:f>
        <x:v>0.08514769744919592</x:v>
      </x:c>
      <x:c r="AH217" s="245" t="n">
        <x:f>W217</x:f>
        <x:v>0.10392418264934004</x:v>
      </x:c>
      <x:c r="AI217" s="246" t="n">
        <x:f>G217-$B$4*Z217</x:f>
        <x:v>1.8250293137490747</x:v>
      </x:c>
      <x:c r="AJ217" s="246" t="n">
        <x:f>H217-$B$4*AA217</x:f>
        <x:v>-2.279459327235329</x:v>
      </x:c>
      <x:c r="AK217" s="246" t="n">
        <x:f>I217-$B$4*AB217</x:f>
        <x:v>-1.402902023737989</x:v>
      </x:c>
      <x:c r="AL217" s="246" t="n">
        <x:f>J217-$B$4*AC217</x:f>
        <x:v>1.955964540231411</x:v>
      </x:c>
      <x:c r="AM217" s="246" t="n">
        <x:f>K217-$B$4*AD217</x:f>
        <x:v>-2.0529064778261823</x:v>
      </x:c>
      <x:c r="AN217" s="246" t="n">
        <x:f>L217-$B$4*AE217</x:f>
        <x:v>1.5448796881021012</x:v>
      </x:c>
      <x:c r="AO217" s="246" t="n">
        <x:f>M217-$B$4*AF217</x:f>
        <x:v>2.1598587351667407</x:v>
      </x:c>
      <x:c r="AP217" s="246" t="n">
        <x:f>N217-$B$4*AG217</x:f>
        <x:v>-2.236572663970828</x:v>
      </x:c>
      <x:c r="AQ217" s="246" t="n">
        <x:f>O217-$B$4*AH217</x:f>
        <x:v>0.914121851554996</x:v>
      </x:c>
      <x:c r="AR217" s="182" t="n">
        <x:f>IF(U217&gt;=$B$5,1,0)</x:f>
        <x:v>0</x:v>
      </x:c>
      <x:c r="AS217" s="182" t="n">
        <x:f>IF(AR217=F217,1,0)</x:f>
        <x:v>1</x:v>
      </x:c>
      <x:c r="AT217" s="252" t="n">
        <x:f>ABS(F217-U217)</x:f>
        <x:v>0.4252103686126151</x:v>
      </x:c>
    </x:row>
    <x:row r="218">
      <x:c r="A218" s="114" t="n">
        <x:v>202</x:v>
      </x:c>
      <x:c r="B218" s="114" t="n">
        <x:v>51</x:v>
      </x:c>
      <x:c r="C218" s="114" t="n">
        <x:v>2</x:v>
      </x:c>
      <x:c r="D218" s="168" t="n">
        <x:f>$I$6</x:f>
        <x:v>0</x:v>
      </x:c>
      <x:c r="E218" s="168" t="n">
        <x:f>$J$6</x:f>
        <x:v>1</x:v>
      </x:c>
      <x:c r="F218" s="168" t="n">
        <x:f>$K$6</x:f>
        <x:v>1</x:v>
      </x:c>
      <x:c r="G218" s="242" t="n">
        <x:f>AI217</x:f>
        <x:v>1.8250293137490747</x:v>
      </x:c>
      <x:c r="H218" s="242" t="n">
        <x:f>AJ217</x:f>
        <x:v>-2.279459327235329</x:v>
      </x:c>
      <x:c r="I218" s="242" t="n">
        <x:f>AK217</x:f>
        <x:v>-1.402902023737989</x:v>
      </x:c>
      <x:c r="J218" s="242" t="n">
        <x:f>AL217</x:f>
        <x:v>1.955964540231411</x:v>
      </x:c>
      <x:c r="K218" s="242" t="n">
        <x:f>AM217</x:f>
        <x:v>-2.0529064778261823</x:v>
      </x:c>
      <x:c r="L218" s="242" t="n">
        <x:f>AN217</x:f>
        <x:v>1.5448796881021012</x:v>
      </x:c>
      <x:c r="M218" s="242" t="n">
        <x:f>AO217</x:f>
        <x:v>2.1598587351667407</x:v>
      </x:c>
      <x:c r="N218" s="242" t="n">
        <x:f>AP217</x:f>
        <x:v>-2.236572663970828</x:v>
      </x:c>
      <x:c r="O218" s="242" t="n">
        <x:f>AQ217</x:f>
        <x:v>0.914121851554996</x:v>
      </x:c>
      <x:c r="P218" s="243" t="n">
        <x:f>D218*G218+E218*H218+I218</x:f>
        <x:v>-3.682361350973318</x:v>
      </x:c>
      <x:c r="Q218" s="243" t="n">
        <x:f>1/(1+EXP(-P218))</x:f>
        <x:v>0.024545826278524644</x:v>
      </x:c>
      <x:c r="R218" s="243" t="n">
        <x:f>D218*J218+E218*K218+L218</x:f>
        <x:v>-0.5080267897240811</x:v>
      </x:c>
      <x:c r="S218" s="243" t="n">
        <x:f>1/(1+EXP(-R218))</x:f>
        <x:v>0.3756562058766267</x:v>
      </x:c>
      <x:c r="T218" s="243" t="n">
        <x:f>Q218*M218+S218*N218+O218</x:f>
        <x:v>0.12695496773989212</x:v>
      </x:c>
      <x:c r="U218" s="243" t="n">
        <x:f>1/(1+EXP(-T218))</x:f>
        <x:v>0.5316961812644942</x:v>
      </x:c>
      <x:c r="V218" s="243" t="n">
        <x:f>0.5*(F218-U218)^2</x:f>
        <x:v>0.10965423332112871</x:v>
      </x:c>
      <x:c r="W218" s="244" t="n">
        <x:f>(U218-F218)*U218*(1-U218)</x:f>
        <x:v>-0.11660547423266</x:v>
      </x:c>
      <x:c r="X218" s="244" t="n">
        <x:f>W218*M218*Q218*(1-Q218)</x:f>
        <x:v>-0.00603015970431273</x:v>
      </x:c>
      <x:c r="Y218" s="244" t="n">
        <x:f>W218*N218*S218*(1-S218)</x:f>
        <x:v>0.06116687867477346</x:v>
      </x:c>
      <x:c r="Z218" s="245" t="n">
        <x:f>X218*D218</x:f>
        <x:v>0</x:v>
      </x:c>
      <x:c r="AA218" s="245" t="n">
        <x:f>X218*E218</x:f>
        <x:v>-0.00603015970431273</x:v>
      </x:c>
      <x:c r="AB218" s="245" t="n">
        <x:f>X218</x:f>
        <x:v>-0.00603015970431273</x:v>
      </x:c>
      <x:c r="AC218" s="245" t="n">
        <x:f>Y218*D218</x:f>
        <x:v>0</x:v>
      </x:c>
      <x:c r="AD218" s="245" t="n">
        <x:f>Y218*E218</x:f>
        <x:v>0.06116687867477346</x:v>
      </x:c>
      <x:c r="AE218" s="245" t="n">
        <x:f>Y218</x:f>
        <x:v>0.06116687867477346</x:v>
      </x:c>
      <x:c r="AF218" s="245" t="n">
        <x:f>W218*Q218</x:f>
        <x:v>-0.0028621777136398543</x:v>
      </x:c>
      <x:c r="AG218" s="245" t="n">
        <x:f>W218*S218</x:f>
        <x:v>-0.04380357003468582</x:v>
      </x:c>
      <x:c r="AH218" s="245" t="n">
        <x:f>W218</x:f>
        <x:v>-0.11660547423266</x:v>
      </x:c>
      <x:c r="AI218" s="246" t="n">
        <x:f>G218-$B$4*Z218</x:f>
        <x:v>1.8250293137490747</x:v>
      </x:c>
      <x:c r="AJ218" s="246" t="n">
        <x:f>H218-$B$4*AA218</x:f>
        <x:v>-2.2734291675310163</x:v>
      </x:c>
      <x:c r="AK218" s="246" t="n">
        <x:f>I218-$B$4*AB218</x:f>
        <x:v>-1.3968718640336764</x:v>
      </x:c>
      <x:c r="AL218" s="246" t="n">
        <x:f>J218-$B$4*AC218</x:f>
        <x:v>1.955964540231411</x:v>
      </x:c>
      <x:c r="AM218" s="246" t="n">
        <x:f>K218-$B$4*AD218</x:f>
        <x:v>-2.1140733565009557</x:v>
      </x:c>
      <x:c r="AN218" s="246" t="n">
        <x:f>L218-$B$4*AE218</x:f>
        <x:v>1.4837128094273278</x:v>
      </x:c>
      <x:c r="AO218" s="246" t="n">
        <x:f>M218-$B$4*AF218</x:f>
        <x:v>2.1627209128803804</x:v>
      </x:c>
      <x:c r="AP218" s="246" t="n">
        <x:f>N218-$B$4*AG218</x:f>
        <x:v>-2.192769093936142</x:v>
      </x:c>
      <x:c r="AQ218" s="246" t="n">
        <x:f>O218-$B$4*AH218</x:f>
        <x:v>1.0307273257876561</x:v>
      </x:c>
      <x:c r="AR218" s="182" t="n">
        <x:f>IF(U218&gt;=$B$5,1,0)</x:f>
        <x:v>1</x:v>
      </x:c>
      <x:c r="AS218" s="182" t="n">
        <x:f>IF(AR218=F218,1,0)</x:f>
        <x:v>1</x:v>
      </x:c>
      <x:c r="AT218" s="252" t="n">
        <x:f>ABS(F218-U218)</x:f>
        <x:v>0.46830381873550575</x:v>
      </x:c>
    </x:row>
    <x:row r="219">
      <x:c r="A219" s="114" t="n">
        <x:v>203</x:v>
      </x:c>
      <x:c r="B219" s="114" t="n">
        <x:v>51</x:v>
      </x:c>
      <x:c r="C219" s="114" t="n">
        <x:v>3</x:v>
      </x:c>
      <x:c r="D219" s="168" t="n">
        <x:f>$I$7</x:f>
        <x:v>1</x:v>
      </x:c>
      <x:c r="E219" s="168" t="n">
        <x:f>$J$7</x:f>
        <x:v>0</x:v>
      </x:c>
      <x:c r="F219" s="168" t="n">
        <x:f>$K$7</x:f>
        <x:v>1</x:v>
      </x:c>
      <x:c r="G219" s="242" t="n">
        <x:f>AI218</x:f>
        <x:v>1.8250293137490747</x:v>
      </x:c>
      <x:c r="H219" s="242" t="n">
        <x:f>AJ218</x:f>
        <x:v>-2.2734291675310163</x:v>
      </x:c>
      <x:c r="I219" s="242" t="n">
        <x:f>AK218</x:f>
        <x:v>-1.3968718640336764</x:v>
      </x:c>
      <x:c r="J219" s="242" t="n">
        <x:f>AL218</x:f>
        <x:v>1.955964540231411</x:v>
      </x:c>
      <x:c r="K219" s="242" t="n">
        <x:f>AM218</x:f>
        <x:v>-2.1140733565009557</x:v>
      </x:c>
      <x:c r="L219" s="242" t="n">
        <x:f>AN218</x:f>
        <x:v>1.4837128094273278</x:v>
      </x:c>
      <x:c r="M219" s="242" t="n">
        <x:f>AO218</x:f>
        <x:v>2.1627209128803804</x:v>
      </x:c>
      <x:c r="N219" s="242" t="n">
        <x:f>AP218</x:f>
        <x:v>-2.192769093936142</x:v>
      </x:c>
      <x:c r="O219" s="242" t="n">
        <x:f>AQ218</x:f>
        <x:v>1.0307273257876561</x:v>
      </x:c>
      <x:c r="P219" s="243" t="n">
        <x:f>D219*G219+E219*H219+I219</x:f>
        <x:v>0.4281574497153984</x:v>
      </x:c>
      <x:c r="Q219" s="243" t="n">
        <x:f>1/(1+EXP(-P219))</x:f>
        <x:v>0.6054335987140708</x:v>
      </x:c>
      <x:c r="R219" s="243" t="n">
        <x:f>D219*J219+E219*K219+L219</x:f>
        <x:v>3.439677349658739</x:v>
      </x:c>
      <x:c r="S219" s="243" t="n">
        <x:f>1/(1+EXP(-R219))</x:f>
        <x:v>0.9689218015520898</x:v>
      </x:c>
      <x:c r="T219" s="243" t="n">
        <x:f>Q219*M219+S219*N219+O219</x:f>
        <x:v>0.21548945020265475</x:v>
      </x:c>
      <x:c r="U219" s="243" t="n">
        <x:f>1/(1+EXP(-T219))</x:f>
        <x:v>0.5536648593004151</x:v>
      </x:c>
      <x:c r="V219" s="243" t="n">
        <x:f>0.5*(F219-U219)^2</x:f>
        <x:v>0.09960752891165912</x:v>
      </x:c>
      <x:c r="W219" s="244" t="n">
        <x:f>(U219-F219)*U219*(1-U219)</x:f>
        <x:v>-0.11029837696027156</x:v>
      </x:c>
      <x:c r="X219" s="244" t="n">
        <x:f>W219*M219*Q219*(1-Q219)</x:f>
        <x:v>-0.056984431638897</x:v>
      </x:c>
      <x:c r="Y219" s="244" t="n">
        <x:f>W219*N219*S219*(1-S219)</x:f>
        <x:v>0.00728293756347072</x:v>
      </x:c>
      <x:c r="Z219" s="245" t="n">
        <x:f>X219*D219</x:f>
        <x:v>-0.056984431638897</x:v>
      </x:c>
      <x:c r="AA219" s="245" t="n">
        <x:f>X219*E219</x:f>
        <x:v>0</x:v>
      </x:c>
      <x:c r="AB219" s="245" t="n">
        <x:f>X219</x:f>
        <x:v>-0.056984431638897</x:v>
      </x:c>
      <x:c r="AC219" s="245" t="n">
        <x:f>Y219*D219</x:f>
        <x:v>0.00728293756347072</x:v>
      </x:c>
      <x:c r="AD219" s="245" t="n">
        <x:f>Y219*E219</x:f>
        <x:v>0</x:v>
      </x:c>
      <x:c r="AE219" s="245" t="n">
        <x:f>Y219</x:f>
        <x:v>0.00728293756347072</x:v>
      </x:c>
      <x:c r="AF219" s="245" t="n">
        <x:f>W219*Q219</x:f>
        <x:v>-0.06677834329537836</x:v>
      </x:c>
      <x:c r="AG219" s="245" t="n">
        <x:f>W219*S219</x:f>
        <x:v>-0.10687050211261784</x:v>
      </x:c>
      <x:c r="AH219" s="245" t="n">
        <x:f>W219</x:f>
        <x:v>-0.11029837696027156</x:v>
      </x:c>
      <x:c r="AI219" s="246" t="n">
        <x:f>G219-$B$4*Z219</x:f>
        <x:v>1.8820137453879717</x:v>
      </x:c>
      <x:c r="AJ219" s="246" t="n">
        <x:f>H219-$B$4*AA219</x:f>
        <x:v>-2.2734291675310163</x:v>
      </x:c>
      <x:c r="AK219" s="246" t="n">
        <x:f>I219-$B$4*AB219</x:f>
        <x:v>-1.3398874323947794</x:v>
      </x:c>
      <x:c r="AL219" s="246" t="n">
        <x:f>J219-$B$4*AC219</x:f>
        <x:v>1.9486816026679403</x:v>
      </x:c>
      <x:c r="AM219" s="246" t="n">
        <x:f>K219-$B$4*AD219</x:f>
        <x:v>-2.1140733565009557</x:v>
      </x:c>
      <x:c r="AN219" s="246" t="n">
        <x:f>L219-$B$4*AE219</x:f>
        <x:v>1.476429871863857</x:v>
      </x:c>
      <x:c r="AO219" s="246" t="n">
        <x:f>M219-$B$4*AF219</x:f>
        <x:v>2.229499256175759</x:v>
      </x:c>
      <x:c r="AP219" s="246" t="n">
        <x:f>N219-$B$4*AG219</x:f>
        <x:v>-2.085898591823524</x:v>
      </x:c>
      <x:c r="AQ219" s="246" t="n">
        <x:f>O219-$B$4*AH219</x:f>
        <x:v>1.1410257027479278</x:v>
      </x:c>
      <x:c r="AR219" s="182" t="n">
        <x:f>IF(U219&gt;=$B$5,1,0)</x:f>
        <x:v>1</x:v>
      </x:c>
      <x:c r="AS219" s="182" t="n">
        <x:f>IF(AR219=F219,1,0)</x:f>
        <x:v>1</x:v>
      </x:c>
      <x:c r="AT219" s="252" t="n">
        <x:f>ABS(F219-U219)</x:f>
        <x:v>0.4463351406995849</x:v>
      </x:c>
    </x:row>
    <x:row r="220">
      <x:c r="A220" s="114" t="n">
        <x:v>204</x:v>
      </x:c>
      <x:c r="B220" s="114" t="n">
        <x:v>51</x:v>
      </x:c>
      <x:c r="C220" s="114" t="n">
        <x:v>4</x:v>
      </x:c>
      <x:c r="D220" s="168" t="n">
        <x:f>$I$8</x:f>
        <x:v>1</x:v>
      </x:c>
      <x:c r="E220" s="168" t="n">
        <x:f>$J$8</x:f>
        <x:v>1</x:v>
      </x:c>
      <x:c r="F220" s="168" t="n">
        <x:f>$K$8</x:f>
        <x:v>0</x:v>
      </x:c>
      <x:c r="G220" s="242" t="n">
        <x:f>AI219</x:f>
        <x:v>1.8820137453879717</x:v>
      </x:c>
      <x:c r="H220" s="242" t="n">
        <x:f>AJ219</x:f>
        <x:v>-2.2734291675310163</x:v>
      </x:c>
      <x:c r="I220" s="242" t="n">
        <x:f>AK219</x:f>
        <x:v>-1.3398874323947794</x:v>
      </x:c>
      <x:c r="J220" s="242" t="n">
        <x:f>AL219</x:f>
        <x:v>1.9486816026679403</x:v>
      </x:c>
      <x:c r="K220" s="242" t="n">
        <x:f>AM219</x:f>
        <x:v>-2.1140733565009557</x:v>
      </x:c>
      <x:c r="L220" s="242" t="n">
        <x:f>AN219</x:f>
        <x:v>1.476429871863857</x:v>
      </x:c>
      <x:c r="M220" s="242" t="n">
        <x:f>AO219</x:f>
        <x:v>2.229499256175759</x:v>
      </x:c>
      <x:c r="N220" s="242" t="n">
        <x:f>AP219</x:f>
        <x:v>-2.085898591823524</x:v>
      </x:c>
      <x:c r="O220" s="242" t="n">
        <x:f>AQ219</x:f>
        <x:v>1.1410257027479278</x:v>
      </x:c>
      <x:c r="P220" s="243" t="n">
        <x:f>D220*G220+E220*H220+I220</x:f>
        <x:v>-1.731302854537824</x:v>
      </x:c>
      <x:c r="Q220" s="243" t="n">
        <x:f>1/(1+EXP(-P220))</x:f>
        <x:v>0.15042100622384433</x:v>
      </x:c>
      <x:c r="R220" s="243" t="n">
        <x:f>D220*J220+E220*K220+L220</x:f>
        <x:v>1.3110381180308417</x:v>
      </x:c>
      <x:c r="S220" s="243" t="n">
        <x:f>1/(1+EXP(-R220))</x:f>
        <x:v>0.787686818739326</x:v>
      </x:c>
      <x:c r="T220" s="243" t="n">
        <x:f>Q220*M220+S220*N220+O220</x:f>
        <x:v>-0.1666456017691138</x:v>
      </x:c>
      <x:c r="U220" s="243" t="n">
        <x:f>1/(1+EXP(-T220))</x:f>
        <x:v>0.45843474660981137</x:v>
      </x:c>
      <x:c r="V220" s="243" t="n">
        <x:f>0.5*(F220-U220)^2</x:f>
        <x:v>0.10508120844960098</x:v>
      </x:c>
      <x:c r="W220" s="244" t="n">
        <x:f>(U220-F220)*U220*(1-U220)</x:f>
        <x:v>0.11381666256111078</x:v>
      </x:c>
      <x:c r="X220" s="244" t="n">
        <x:f>W220*M220*Q220*(1-Q220)</x:f>
        <x:v>0.032428393457192464</x:v>
      </x:c>
      <x:c r="Y220" s="244" t="n">
        <x:f>W220*N220*S220*(1-S220)</x:f>
        <x:v>-0.03970357133829568</x:v>
      </x:c>
      <x:c r="Z220" s="245" t="n">
        <x:f>X220*D220</x:f>
        <x:v>0.032428393457192464</x:v>
      </x:c>
      <x:c r="AA220" s="245" t="n">
        <x:f>X220*E220</x:f>
        <x:v>0.032428393457192464</x:v>
      </x:c>
      <x:c r="AB220" s="245" t="n">
        <x:f>X220</x:f>
        <x:v>0.032428393457192464</x:v>
      </x:c>
      <x:c r="AC220" s="245" t="n">
        <x:f>Y220*D220</x:f>
        <x:v>-0.03970357133829568</x:v>
      </x:c>
      <x:c r="AD220" s="245" t="n">
        <x:f>Y220*E220</x:f>
        <x:v>-0.03970357133829568</x:v>
      </x:c>
      <x:c r="AE220" s="245" t="n">
        <x:f>Y220</x:f>
        <x:v>-0.03970357133829568</x:v>
      </x:c>
      <x:c r="AF220" s="245" t="n">
        <x:f>W220*Q220</x:f>
        <x:v>0.017120416907482033</x:v>
      </x:c>
      <x:c r="AG220" s="245" t="n">
        <x:f>W220*S220</x:f>
        <x:v>0.0896518848522887</x:v>
      </x:c>
      <x:c r="AH220" s="245" t="n">
        <x:f>W220</x:f>
        <x:v>0.11381666256111078</x:v>
      </x:c>
      <x:c r="AI220" s="246" t="n">
        <x:f>G220-$B$4*Z220</x:f>
        <x:v>1.8495853519307792</x:v>
      </x:c>
      <x:c r="AJ220" s="246" t="n">
        <x:f>H220-$B$4*AA220</x:f>
        <x:v>-2.305857560988209</x:v>
      </x:c>
      <x:c r="AK220" s="246" t="n">
        <x:f>I220-$B$4*AB220</x:f>
        <x:v>-1.3723158258519719</x:v>
      </x:c>
      <x:c r="AL220" s="246" t="n">
        <x:f>J220-$B$4*AC220</x:f>
        <x:v>1.988385174006236</x:v>
      </x:c>
      <x:c r="AM220" s="246" t="n">
        <x:f>K220-$B$4*AD220</x:f>
        <x:v>-2.07436978516266</x:v>
      </x:c>
      <x:c r="AN220" s="246" t="n">
        <x:f>L220-$B$4*AE220</x:f>
        <x:v>1.5161334432021527</x:v>
      </x:c>
      <x:c r="AO220" s="246" t="n">
        <x:f>M220-$B$4*AF220</x:f>
        <x:v>2.212378839268277</x:v>
      </x:c>
      <x:c r="AP220" s="246" t="n">
        <x:f>N220-$B$4*AG220</x:f>
        <x:v>-2.175550476675813</x:v>
      </x:c>
      <x:c r="AQ220" s="246" t="n">
        <x:f>O220-$B$4*AH220</x:f>
        <x:v>1.027209040186817</x:v>
      </x:c>
      <x:c r="AR220" s="182" t="n">
        <x:f>IF(U220&gt;=$B$5,1,0)</x:f>
        <x:v>0</x:v>
      </x:c>
      <x:c r="AS220" s="182" t="n">
        <x:f>IF(AR220=F220,1,0)</x:f>
        <x:v>1</x:v>
      </x:c>
      <x:c r="AT220" s="252" t="n">
        <x:f>ABS(F220-U220)</x:f>
        <x:v>0.45843474660981137</x:v>
      </x:c>
    </x:row>
    <x:row r="221">
      <x:c r="A221" s="114" t="n">
        <x:v>205</x:v>
      </x:c>
      <x:c r="B221" s="114" t="n">
        <x:v>52</x:v>
      </x:c>
      <x:c r="C221" s="114" t="n">
        <x:v>1</x:v>
      </x:c>
      <x:c r="D221" s="168" t="n">
        <x:f>$I$5</x:f>
        <x:v>0</x:v>
      </x:c>
      <x:c r="E221" s="168" t="n">
        <x:f>$J$5</x:f>
        <x:v>0</x:v>
      </x:c>
      <x:c r="F221" s="168" t="n">
        <x:f>$K$5</x:f>
        <x:v>0</x:v>
      </x:c>
      <x:c r="G221" s="242" t="n">
        <x:f>AI220</x:f>
        <x:v>1.8495853519307792</x:v>
      </x:c>
      <x:c r="H221" s="242" t="n">
        <x:f>AJ220</x:f>
        <x:v>-2.305857560988209</x:v>
      </x:c>
      <x:c r="I221" s="242" t="n">
        <x:f>AK220</x:f>
        <x:v>-1.3723158258519719</x:v>
      </x:c>
      <x:c r="J221" s="242" t="n">
        <x:f>AL220</x:f>
        <x:v>1.988385174006236</x:v>
      </x:c>
      <x:c r="K221" s="242" t="n">
        <x:f>AM220</x:f>
        <x:v>-2.07436978516266</x:v>
      </x:c>
      <x:c r="L221" s="242" t="n">
        <x:f>AN220</x:f>
        <x:v>1.5161334432021527</x:v>
      </x:c>
      <x:c r="M221" s="242" t="n">
        <x:f>AO220</x:f>
        <x:v>2.212378839268277</x:v>
      </x:c>
      <x:c r="N221" s="242" t="n">
        <x:f>AP220</x:f>
        <x:v>-2.175550476675813</x:v>
      </x:c>
      <x:c r="O221" s="242" t="n">
        <x:f>AQ220</x:f>
        <x:v>1.027209040186817</x:v>
      </x:c>
      <x:c r="P221" s="243" t="n">
        <x:f>D221*G221+E221*H221+I221</x:f>
        <x:v>-1.3723158258519719</x:v>
      </x:c>
      <x:c r="Q221" s="243" t="n">
        <x:f>1/(1+EXP(-P221))</x:f>
        <x:v>0.20224594758885034</x:v>
      </x:c>
      <x:c r="R221" s="243" t="n">
        <x:f>D221*J221+E221*K221+L221</x:f>
        <x:v>1.5161334432021527</x:v>
      </x:c>
      <x:c r="S221" s="243" t="n">
        <x:f>1/(1+EXP(-R221))</x:f>
        <x:v>0.8199684046219103</x:v>
      </x:c>
      <x:c r="T221" s="243" t="n">
        <x:f>Q221*M221+S221*N221+O221</x:f>
        <x:v>-0.30922895857415234</x:v>
      </x:c>
      <x:c r="U221" s="243" t="n">
        <x:f>1/(1+EXP(-T221))</x:f>
        <x:v>0.4233029524820902</x:v>
      </x:c>
      <x:c r="V221" s="243" t="n">
        <x:f>0.5*(F221-U221)^2</x:f>
        <x:v>0.08959269479002736</x:v>
      </x:c>
      <x:c r="W221" s="244" t="n">
        <x:f>(U221-F221)*U221*(1-U221)</x:f>
        <x:v>0.10333568512916401</x:v>
      </x:c>
      <x:c r="X221" s="244" t="n">
        <x:f>W221*M221*Q221*(1-Q221)</x:f>
        <x:v>0.03688575408813554</x:v>
      </x:c>
      <x:c r="Y221" s="244" t="n">
        <x:f>W221*N221*S221*(1-S221)</x:f>
        <x:v>-0.03318679676680628</x:v>
      </x:c>
      <x:c r="Z221" s="245" t="n">
        <x:f>X221*D221</x:f>
        <x:v>0</x:v>
      </x:c>
      <x:c r="AA221" s="245" t="n">
        <x:f>X221*E221</x:f>
        <x:v>0</x:v>
      </x:c>
      <x:c r="AB221" s="245" t="n">
        <x:f>X221</x:f>
        <x:v>0.03688575408813554</x:v>
      </x:c>
      <x:c r="AC221" s="245" t="n">
        <x:f>Y221*D221</x:f>
        <x:v>0</x:v>
      </x:c>
      <x:c r="AD221" s="245" t="n">
        <x:f>Y221*E221</x:f>
        <x:v>0</x:v>
      </x:c>
      <x:c r="AE221" s="245" t="n">
        <x:f>Y221</x:f>
        <x:v>-0.03318679676680628</x:v>
      </x:c>
      <x:c r="AF221" s="245" t="n">
        <x:f>W221*Q221</x:f>
        <x:v>0.020899223558690845</x:v>
      </x:c>
      <x:c r="AG221" s="245" t="n">
        <x:f>W221*S221</x:f>
        <x:v>0.08473199687587268</x:v>
      </x:c>
      <x:c r="AH221" s="245" t="n">
        <x:f>W221</x:f>
        <x:v>0.10333568512916401</x:v>
      </x:c>
      <x:c r="AI221" s="246" t="n">
        <x:f>G221-$B$4*Z221</x:f>
        <x:v>1.8495853519307792</x:v>
      </x:c>
      <x:c r="AJ221" s="246" t="n">
        <x:f>H221-$B$4*AA221</x:f>
        <x:v>-2.305857560988209</x:v>
      </x:c>
      <x:c r="AK221" s="246" t="n">
        <x:f>I221-$B$4*AB221</x:f>
        <x:v>-1.4092015799401074</x:v>
      </x:c>
      <x:c r="AL221" s="246" t="n">
        <x:f>J221-$B$4*AC221</x:f>
        <x:v>1.988385174006236</x:v>
      </x:c>
      <x:c r="AM221" s="246" t="n">
        <x:f>K221-$B$4*AD221</x:f>
        <x:v>-2.07436978516266</x:v>
      </x:c>
      <x:c r="AN221" s="246" t="n">
        <x:f>L221-$B$4*AE221</x:f>
        <x:v>1.549320239968959</x:v>
      </x:c>
      <x:c r="AO221" s="246" t="n">
        <x:f>M221-$B$4*AF221</x:f>
        <x:v>2.191479615709586</x:v>
      </x:c>
      <x:c r="AP221" s="246" t="n">
        <x:f>N221-$B$4*AG221</x:f>
        <x:v>-2.2602824735516855</x:v>
      </x:c>
      <x:c r="AQ221" s="246" t="n">
        <x:f>O221-$B$4*AH221</x:f>
        <x:v>0.923873355057653</x:v>
      </x:c>
      <x:c r="AR221" s="182" t="n">
        <x:f>IF(U221&gt;=$B$5,1,0)</x:f>
        <x:v>0</x:v>
      </x:c>
      <x:c r="AS221" s="182" t="n">
        <x:f>IF(AR221=F221,1,0)</x:f>
        <x:v>1</x:v>
      </x:c>
      <x:c r="AT221" s="252" t="n">
        <x:f>ABS(F221-U221)</x:f>
        <x:v>0.4233029524820902</x:v>
      </x:c>
    </x:row>
    <x:row r="222">
      <x:c r="A222" s="114" t="n">
        <x:v>206</x:v>
      </x:c>
      <x:c r="B222" s="114" t="n">
        <x:v>52</x:v>
      </x:c>
      <x:c r="C222" s="114" t="n">
        <x:v>2</x:v>
      </x:c>
      <x:c r="D222" s="168" t="n">
        <x:f>$I$6</x:f>
        <x:v>0</x:v>
      </x:c>
      <x:c r="E222" s="168" t="n">
        <x:f>$J$6</x:f>
        <x:v>1</x:v>
      </x:c>
      <x:c r="F222" s="168" t="n">
        <x:f>$K$6</x:f>
        <x:v>1</x:v>
      </x:c>
      <x:c r="G222" s="242" t="n">
        <x:f>AI221</x:f>
        <x:v>1.8495853519307792</x:v>
      </x:c>
      <x:c r="H222" s="242" t="n">
        <x:f>AJ221</x:f>
        <x:v>-2.305857560988209</x:v>
      </x:c>
      <x:c r="I222" s="242" t="n">
        <x:f>AK221</x:f>
        <x:v>-1.4092015799401074</x:v>
      </x:c>
      <x:c r="J222" s="242" t="n">
        <x:f>AL221</x:f>
        <x:v>1.988385174006236</x:v>
      </x:c>
      <x:c r="K222" s="242" t="n">
        <x:f>AM221</x:f>
        <x:v>-2.07436978516266</x:v>
      </x:c>
      <x:c r="L222" s="242" t="n">
        <x:f>AN221</x:f>
        <x:v>1.549320239968959</x:v>
      </x:c>
      <x:c r="M222" s="242" t="n">
        <x:f>AO221</x:f>
        <x:v>2.191479615709586</x:v>
      </x:c>
      <x:c r="N222" s="242" t="n">
        <x:f>AP221</x:f>
        <x:v>-2.2602824735516855</x:v>
      </x:c>
      <x:c r="O222" s="242" t="n">
        <x:f>AQ221</x:f>
        <x:v>0.923873355057653</x:v>
      </x:c>
      <x:c r="P222" s="243" t="n">
        <x:f>D222*G222+E222*H222+I222</x:f>
        <x:v>-3.7150591409283162</x:v>
      </x:c>
      <x:c r="Q222" s="243" t="n">
        <x:f>1/(1+EXP(-P222))</x:f>
        <x:v>0.023774984757503375</x:v>
      </x:c>
      <x:c r="R222" s="243" t="n">
        <x:f>D222*J222+E222*K222+L222</x:f>
        <x:v>-0.5250495451937012</x:v>
      </x:c>
      <x:c r="S222" s="243" t="n">
        <x:f>1/(1+EXP(-R222))</x:f>
        <x:v>0.3716722412435726</x:v>
      </x:c>
      <x:c r="T222" s="243" t="n">
        <x:f>Q222*M222+S222*N222+O222</x:f>
        <x:v>0.13589149672900658</x:v>
      </x:c>
      <x:c r="U222" s="243" t="n">
        <x:f>1/(1+EXP(-T222))</x:f>
        <x:v>0.5339206905414525</x:v>
      </x:c>
      <x:c r="V222" s="243" t="n">
        <x:f>0.5*(F222-U222)^2</x:f>
        <x:v>0.10861496135267823</x:v>
      </x:c>
      <x:c r="W222" s="244" t="n">
        <x:f>(U222-F222)*U222*(1-U222)</x:f>
        <x:v>-0.11598355033711027</x:v>
      </x:c>
      <x:c r="X222" s="244" t="n">
        <x:f>W222*M222*Q222*(1-Q222)</x:f>
        <x:v>-0.005899347965714449</x:v>
      </x:c>
      <x:c r="Y222" s="244" t="n">
        <x:f>W222*N222*S222*(1-S222)</x:f>
        <x:v>0.06122171473779327</x:v>
      </x:c>
      <x:c r="Z222" s="245" t="n">
        <x:f>X222*D222</x:f>
        <x:v>0</x:v>
      </x:c>
      <x:c r="AA222" s="245" t="n">
        <x:f>X222*E222</x:f>
        <x:v>-0.005899347965714449</x:v>
      </x:c>
      <x:c r="AB222" s="245" t="n">
        <x:f>X222</x:f>
        <x:v>-0.005899347965714449</x:v>
      </x:c>
      <x:c r="AC222" s="245" t="n">
        <x:f>Y222*D222</x:f>
        <x:v>0</x:v>
      </x:c>
      <x:c r="AD222" s="245" t="n">
        <x:f>Y222*E222</x:f>
        <x:v>0.06122171473779327</x:v>
      </x:c>
      <x:c r="AE222" s="245" t="n">
        <x:f>Y222</x:f>
        <x:v>0.06122171473779327</x:v>
      </x:c>
      <x:c r="AF222" s="245" t="n">
        <x:f>W222*Q222</x:f>
        <x:v>-0.0027575071413859223</x:v>
      </x:c>
      <x:c r="AG222" s="245" t="n">
        <x:f>W222*S222</x:f>
        <x:v>-0.043107866101180496</x:v>
      </x:c>
      <x:c r="AH222" s="245" t="n">
        <x:f>W222</x:f>
        <x:v>-0.11598355033711027</x:v>
      </x:c>
      <x:c r="AI222" s="246" t="n">
        <x:f>G222-$B$4*Z222</x:f>
        <x:v>1.8495853519307792</x:v>
      </x:c>
      <x:c r="AJ222" s="246" t="n">
        <x:f>H222-$B$4*AA222</x:f>
        <x:v>-2.2999582130224945</x:v>
      </x:c>
      <x:c r="AK222" s="246" t="n">
        <x:f>I222-$B$4*AB222</x:f>
        <x:v>-1.403302231974393</x:v>
      </x:c>
      <x:c r="AL222" s="246" t="n">
        <x:f>J222-$B$4*AC222</x:f>
        <x:v>1.988385174006236</x:v>
      </x:c>
      <x:c r="AM222" s="246" t="n">
        <x:f>K222-$B$4*AD222</x:f>
        <x:v>-2.1355914999004533</x:v>
      </x:c>
      <x:c r="AN222" s="246" t="n">
        <x:f>L222-$B$4*AE222</x:f>
        <x:v>1.4880985252311656</x:v>
      </x:c>
      <x:c r="AO222" s="246" t="n">
        <x:f>M222-$B$4*AF222</x:f>
        <x:v>2.1942371228509723</x:v>
      </x:c>
      <x:c r="AP222" s="246" t="n">
        <x:f>N222-$B$4*AG222</x:f>
        <x:v>-2.217174607450505</x:v>
      </x:c>
      <x:c r="AQ222" s="246" t="n">
        <x:f>O222-$B$4*AH222</x:f>
        <x:v>1.0398569053947633</x:v>
      </x:c>
      <x:c r="AR222" s="182" t="n">
        <x:f>IF(U222&gt;=$B$5,1,0)</x:f>
        <x:v>1</x:v>
      </x:c>
      <x:c r="AS222" s="182" t="n">
        <x:f>IF(AR222=F222,1,0)</x:f>
        <x:v>1</x:v>
      </x:c>
      <x:c r="AT222" s="252" t="n">
        <x:f>ABS(F222-U222)</x:f>
        <x:v>0.4660793094585475</x:v>
      </x:c>
    </x:row>
    <x:row r="223">
      <x:c r="A223" s="114" t="n">
        <x:v>207</x:v>
      </x:c>
      <x:c r="B223" s="114" t="n">
        <x:v>52</x:v>
      </x:c>
      <x:c r="C223" s="114" t="n">
        <x:v>3</x:v>
      </x:c>
      <x:c r="D223" s="168" t="n">
        <x:f>$I$7</x:f>
        <x:v>1</x:v>
      </x:c>
      <x:c r="E223" s="168" t="n">
        <x:f>$J$7</x:f>
        <x:v>0</x:v>
      </x:c>
      <x:c r="F223" s="168" t="n">
        <x:f>$K$7</x:f>
        <x:v>1</x:v>
      </x:c>
      <x:c r="G223" s="242" t="n">
        <x:f>AI222</x:f>
        <x:v>1.8495853519307792</x:v>
      </x:c>
      <x:c r="H223" s="242" t="n">
        <x:f>AJ222</x:f>
        <x:v>-2.2999582130224945</x:v>
      </x:c>
      <x:c r="I223" s="242" t="n">
        <x:f>AK222</x:f>
        <x:v>-1.403302231974393</x:v>
      </x:c>
      <x:c r="J223" s="242" t="n">
        <x:f>AL222</x:f>
        <x:v>1.988385174006236</x:v>
      </x:c>
      <x:c r="K223" s="242" t="n">
        <x:f>AM222</x:f>
        <x:v>-2.1355914999004533</x:v>
      </x:c>
      <x:c r="L223" s="242" t="n">
        <x:f>AN222</x:f>
        <x:v>1.4880985252311656</x:v>
      </x:c>
      <x:c r="M223" s="242" t="n">
        <x:f>AO222</x:f>
        <x:v>2.1942371228509723</x:v>
      </x:c>
      <x:c r="N223" s="242" t="n">
        <x:f>AP222</x:f>
        <x:v>-2.217174607450505</x:v>
      </x:c>
      <x:c r="O223" s="242" t="n">
        <x:f>AQ222</x:f>
        <x:v>1.0398569053947633</x:v>
      </x:c>
      <x:c r="P223" s="243" t="n">
        <x:f>D223*G223+E223*H223+I223</x:f>
        <x:v>0.44628311995638614</x:v>
      </x:c>
      <x:c r="Q223" s="243" t="n">
        <x:f>1/(1+EXP(-P223))</x:f>
        <x:v>0.6097551498694173</x:v>
      </x:c>
      <x:c r="R223" s="243" t="n">
        <x:f>D223*J223+E223*K223+L223</x:f>
        <x:v>3.4764836992374013</x:v>
      </x:c>
      <x:c r="S223" s="243" t="n">
        <x:f>1/(1+EXP(-R223))</x:f>
        <x:v>0.9700112017464579</x:v>
      </x:c>
      <x:c r="T223" s="243" t="n">
        <x:f>Q223*M223+S223*N223+O223</x:f>
        <x:v>0.22712008563300135</x:v>
      </x:c>
      <x:c r="U223" s="243" t="n">
        <x:f>1/(1+EXP(-T223))</x:f>
        <x:v>0.5565371977246514</x:v>
      </x:c>
      <x:c r="V223" s="243" t="n">
        <x:f>0.5*(F223-U223)^2</x:f>
        <x:v>0.09832962850095248</x:v>
      </x:c>
      <x:c r="W223" s="244" t="n">
        <x:f>(U223-F223)*U223*(1-U223)</x:f>
        <x:v>-0.10944819179845221</x:v>
      </x:c>
      <x:c r="X223" s="244" t="n">
        <x:f>W223*M223*Q223*(1-Q223)</x:f>
        <x:v>-0.05714586446801651</x:v>
      </x:c>
      <x:c r="Y223" s="244" t="n">
        <x:f>W223*N223*S223*(1-S223)</x:f>
        <x:v>0.007059018160228372</x:v>
      </x:c>
      <x:c r="Z223" s="245" t="n">
        <x:f>X223*D223</x:f>
        <x:v>-0.05714586446801651</x:v>
      </x:c>
      <x:c r="AA223" s="245" t="n">
        <x:f>X223*E223</x:f>
        <x:v>0</x:v>
      </x:c>
      <x:c r="AB223" s="245" t="n">
        <x:f>X223</x:f>
        <x:v>-0.05714586446801651</x:v>
      </x:c>
      <x:c r="AC223" s="245" t="n">
        <x:f>Y223*D223</x:f>
        <x:v>0.007059018160228372</x:v>
      </x:c>
      <x:c r="AD223" s="245" t="n">
        <x:f>Y223*E223</x:f>
        <x:v>0</x:v>
      </x:c>
      <x:c r="AE223" s="245" t="n">
        <x:f>Y223</x:f>
        <x:v>0.007059018160228372</x:v>
      </x:c>
      <x:c r="AF223" s="245" t="n">
        <x:f>W223*Q223</x:f>
        <x:v>-0.06673659859300195</x:v>
      </x:c>
      <x:c r="AG223" s="245" t="n">
        <x:f>W223*S223</x:f>
        <x:v>-0.10616597205539345</x:v>
      </x:c>
      <x:c r="AH223" s="245" t="n">
        <x:f>W223</x:f>
        <x:v>-0.10944819179845221</x:v>
      </x:c>
      <x:c r="AI223" s="246" t="n">
        <x:f>G223-$B$4*Z223</x:f>
        <x:v>1.9067312163987957</x:v>
      </x:c>
      <x:c r="AJ223" s="246" t="n">
        <x:f>H223-$B$4*AA223</x:f>
        <x:v>-2.2999582130224945</x:v>
      </x:c>
      <x:c r="AK223" s="246" t="n">
        <x:f>I223-$B$4*AB223</x:f>
        <x:v>-1.3461563675063766</x:v>
      </x:c>
      <x:c r="AL223" s="246" t="n">
        <x:f>J223-$B$4*AC223</x:f>
        <x:v>1.9813261558460076</x:v>
      </x:c>
      <x:c r="AM223" s="246" t="n">
        <x:f>K223-$B$4*AD223</x:f>
        <x:v>-2.1355914999004533</x:v>
      </x:c>
      <x:c r="AN223" s="246" t="n">
        <x:f>L223-$B$4*AE223</x:f>
        <x:v>1.4810395070709372</x:v>
      </x:c>
      <x:c r="AO223" s="246" t="n">
        <x:f>M223-$B$4*AF223</x:f>
        <x:v>2.2609737214439742</x:v>
      </x:c>
      <x:c r="AP223" s="246" t="n">
        <x:f>N223-$B$4*AG223</x:f>
        <x:v>-2.1110086353951116</x:v>
      </x:c>
      <x:c r="AQ223" s="246" t="n">
        <x:f>O223-$B$4*AH223</x:f>
        <x:v>1.1493050971932155</x:v>
      </x:c>
      <x:c r="AR223" s="182" t="n">
        <x:f>IF(U223&gt;=$B$5,1,0)</x:f>
        <x:v>1</x:v>
      </x:c>
      <x:c r="AS223" s="182" t="n">
        <x:f>IF(AR223=F223,1,0)</x:f>
        <x:v>1</x:v>
      </x:c>
      <x:c r="AT223" s="252" t="n">
        <x:f>ABS(F223-U223)</x:f>
        <x:v>0.4434628022753486</x:v>
      </x:c>
    </x:row>
    <x:row r="224">
      <x:c r="A224" s="114" t="n">
        <x:v>208</x:v>
      </x:c>
      <x:c r="B224" s="114" t="n">
        <x:v>52</x:v>
      </x:c>
      <x:c r="C224" s="114" t="n">
        <x:v>4</x:v>
      </x:c>
      <x:c r="D224" s="168" t="n">
        <x:f>$I$8</x:f>
        <x:v>1</x:v>
      </x:c>
      <x:c r="E224" s="168" t="n">
        <x:f>$J$8</x:f>
        <x:v>1</x:v>
      </x:c>
      <x:c r="F224" s="168" t="n">
        <x:f>$K$8</x:f>
        <x:v>0</x:v>
      </x:c>
      <x:c r="G224" s="242" t="n">
        <x:f>AI223</x:f>
        <x:v>1.9067312163987957</x:v>
      </x:c>
      <x:c r="H224" s="242" t="n">
        <x:f>AJ223</x:f>
        <x:v>-2.2999582130224945</x:v>
      </x:c>
      <x:c r="I224" s="242" t="n">
        <x:f>AK223</x:f>
        <x:v>-1.3461563675063766</x:v>
      </x:c>
      <x:c r="J224" s="242" t="n">
        <x:f>AL223</x:f>
        <x:v>1.9813261558460076</x:v>
      </x:c>
      <x:c r="K224" s="242" t="n">
        <x:f>AM223</x:f>
        <x:v>-2.1355914999004533</x:v>
      </x:c>
      <x:c r="L224" s="242" t="n">
        <x:f>AN223</x:f>
        <x:v>1.4810395070709372</x:v>
      </x:c>
      <x:c r="M224" s="242" t="n">
        <x:f>AO223</x:f>
        <x:v>2.2609737214439742</x:v>
      </x:c>
      <x:c r="N224" s="242" t="n">
        <x:f>AP223</x:f>
        <x:v>-2.1110086353951116</x:v>
      </x:c>
      <x:c r="O224" s="242" t="n">
        <x:f>AQ223</x:f>
        <x:v>1.1493050971932155</x:v>
      </x:c>
      <x:c r="P224" s="243" t="n">
        <x:f>D224*G224+E224*H224+I224</x:f>
        <x:v>-1.7393833641300753</x:v>
      </x:c>
      <x:c r="Q224" s="243" t="n">
        <x:f>1/(1+EXP(-P224))</x:f>
        <x:v>0.14939127568321736</x:v>
      </x:c>
      <x:c r="R224" s="243" t="n">
        <x:f>D224*J224+E224*K224+L224</x:f>
        <x:v>1.3267741630164915</x:v>
      </x:c>
      <x:c r="S224" s="243" t="n">
        <x:f>1/(1+EXP(-R224))</x:f>
        <x:v>0.790306542902171</x:v>
      </x:c>
      <x:c r="T224" s="243" t="n">
        <x:f>Q224*M224+S224*N224+O224</x:f>
        <x:v>-0.18126909094977806</x:v>
      </x:c>
      <x:c r="U224" s="243" t="n">
        <x:f>1/(1+EXP(-T224))</x:f>
        <x:v>0.45480640895009455</x:v>
      </x:c>
      <x:c r="V224" s="243" t="n">
        <x:f>0.5*(F224-U224)^2</x:f>
        <x:v>0.10342443481104033</x:v>
      </x:c>
      <x:c r="W224" s="244" t="n">
        <x:f>(U224-F224)*U224*(1-U224)</x:f>
        <x:v>0.11277267803387586</x:v>
      </x:c>
      <x:c r="X224" s="244" t="n">
        <x:f>W224*M224*Q224*(1-Q224)</x:f>
        <x:v>0.032400706274884755</x:v>
      </x:c>
      <x:c r="Y224" s="244" t="n">
        <x:f>W224*N224*S224*(1-S224)</x:f>
        <x:v>-0.039452484770961305</x:v>
      </x:c>
      <x:c r="Z224" s="245" t="n">
        <x:f>X224*D224</x:f>
        <x:v>0.032400706274884755</x:v>
      </x:c>
      <x:c r="AA224" s="245" t="n">
        <x:f>X224*E224</x:f>
        <x:v>0.032400706274884755</x:v>
      </x:c>
      <x:c r="AB224" s="245" t="n">
        <x:f>X224</x:f>
        <x:v>0.032400706274884755</x:v>
      </x:c>
      <x:c r="AC224" s="245" t="n">
        <x:f>Y224*D224</x:f>
        <x:v>-0.039452484770961305</x:v>
      </x:c>
      <x:c r="AD224" s="245" t="n">
        <x:f>Y224*E224</x:f>
        <x:v>-0.039452484770961305</x:v>
      </x:c>
      <x:c r="AE224" s="245" t="n">
        <x:f>Y224</x:f>
        <x:v>-0.039452484770961305</x:v>
      </x:c>
      <x:c r="AF224" s="245" t="n">
        <x:f>W224*Q224</x:f>
        <x:v>0.01684725423369346</x:v>
      </x:c>
      <x:c r="AG224" s="245" t="n">
        <x:f>W224*S224</x:f>
        <x:v>0.08912498531077202</x:v>
      </x:c>
      <x:c r="AH224" s="245" t="n">
        <x:f>W224</x:f>
        <x:v>0.11277267803387586</x:v>
      </x:c>
      <x:c r="AI224" s="246" t="n">
        <x:f>G224-$B$4*Z224</x:f>
        <x:v>1.874330510123911</x:v>
      </x:c>
      <x:c r="AJ224" s="246" t="n">
        <x:f>H224-$B$4*AA224</x:f>
        <x:v>-2.3323589192973793</x:v>
      </x:c>
      <x:c r="AK224" s="246" t="n">
        <x:f>I224-$B$4*AB224</x:f>
        <x:v>-1.3785570737812614</x:v>
      </x:c>
      <x:c r="AL224" s="246" t="n">
        <x:f>J224-$B$4*AC224</x:f>
        <x:v>2.0207786406169688</x:v>
      </x:c>
      <x:c r="AM224" s="246" t="n">
        <x:f>K224-$B$4*AD224</x:f>
        <x:v>-2.096139015129492</x:v>
      </x:c>
      <x:c r="AN224" s="246" t="n">
        <x:f>L224-$B$4*AE224</x:f>
        <x:v>1.5204919918418986</x:v>
      </x:c>
      <x:c r="AO224" s="246" t="n">
        <x:f>M224-$B$4*AF224</x:f>
        <x:v>2.2441264672102808</x:v>
      </x:c>
      <x:c r="AP224" s="246" t="n">
        <x:f>N224-$B$4*AG224</x:f>
        <x:v>-2.2001336207058837</x:v>
      </x:c>
      <x:c r="AQ224" s="246" t="n">
        <x:f>O224-$B$4*AH224</x:f>
        <x:v>1.0365324191593397</x:v>
      </x:c>
      <x:c r="AR224" s="182" t="n">
        <x:f>IF(U224&gt;=$B$5,1,0)</x:f>
        <x:v>0</x:v>
      </x:c>
      <x:c r="AS224" s="182" t="n">
        <x:f>IF(AR224=F224,1,0)</x:f>
        <x:v>1</x:v>
      </x:c>
      <x:c r="AT224" s="252" t="n">
        <x:f>ABS(F224-U224)</x:f>
        <x:v>0.45480640895009455</x:v>
      </x:c>
    </x:row>
    <x:row r="225">
      <x:c r="A225" s="114" t="n">
        <x:v>209</x:v>
      </x:c>
      <x:c r="B225" s="114" t="n">
        <x:v>53</x:v>
      </x:c>
      <x:c r="C225" s="114" t="n">
        <x:v>1</x:v>
      </x:c>
      <x:c r="D225" s="168" t="n">
        <x:f>$I$5</x:f>
        <x:v>0</x:v>
      </x:c>
      <x:c r="E225" s="168" t="n">
        <x:f>$J$5</x:f>
        <x:v>0</x:v>
      </x:c>
      <x:c r="F225" s="168" t="n">
        <x:f>$K$5</x:f>
        <x:v>0</x:v>
      </x:c>
      <x:c r="G225" s="242" t="n">
        <x:f>AI224</x:f>
        <x:v>1.874330510123911</x:v>
      </x:c>
      <x:c r="H225" s="242" t="n">
        <x:f>AJ224</x:f>
        <x:v>-2.3323589192973793</x:v>
      </x:c>
      <x:c r="I225" s="242" t="n">
        <x:f>AK224</x:f>
        <x:v>-1.3785570737812614</x:v>
      </x:c>
      <x:c r="J225" s="242" t="n">
        <x:f>AL224</x:f>
        <x:v>2.0207786406169688</x:v>
      </x:c>
      <x:c r="K225" s="242" t="n">
        <x:f>AM224</x:f>
        <x:v>-2.096139015129492</x:v>
      </x:c>
      <x:c r="L225" s="242" t="n">
        <x:f>AN224</x:f>
        <x:v>1.5204919918418986</x:v>
      </x:c>
      <x:c r="M225" s="242" t="n">
        <x:f>AO224</x:f>
        <x:v>2.2441264672102808</x:v>
      </x:c>
      <x:c r="N225" s="242" t="n">
        <x:f>AP224</x:f>
        <x:v>-2.2001336207058837</x:v>
      </x:c>
      <x:c r="O225" s="242" t="n">
        <x:f>AQ224</x:f>
        <x:v>1.0365324191593397</x:v>
      </x:c>
      <x:c r="P225" s="243" t="n">
        <x:f>D225*G225+E225*H225+I225</x:f>
        <x:v>-1.3785570737812614</x:v>
      </x:c>
      <x:c r="Q225" s="243" t="n">
        <x:f>1/(1+EXP(-P225))</x:f>
        <x:v>0.20124084000457967</x:v>
      </x:c>
      <x:c r="R225" s="243" t="n">
        <x:f>D225*J225+E225*K225+L225</x:f>
        <x:v>1.5204919918418986</x:v>
      </x:c>
      <x:c r="S225" s="243" t="n">
        <x:f>1/(1+EXP(-R225))</x:f>
        <x:v>0.8206109174669971</x:v>
      </x:c>
      <x:c r="T225" s="243" t="n">
        <x:f>Q225*M225+S225*N225+O225</x:f>
        <x:v>-0.3173113545401949</x:v>
      </x:c>
      <x:c r="U225" s="243" t="n">
        <x:f>1/(1+EXP(-T225))</x:f>
        <x:v>0.42133113073479544</x:v>
      </x:c>
      <x:c r="V225" s="243" t="n">
        <x:f>0.5*(F225-U225)^2</x:f>
        <x:v>0.08875996086313065</x:v>
      </x:c>
      <x:c r="W225" s="244" t="n">
        <x:f>(U225-F225)*U225*(1-U225)</x:f>
        <x:v>0.10272525237738324</x:v>
      </x:c>
      <x:c r="X225" s="244" t="n">
        <x:f>W225*M225*Q225*(1-Q225)</x:f>
        <x:v>0.03705582765230498</x:v>
      </x:c>
      <x:c r="Y225" s="244" t="n">
        <x:f>W225*N225*S225*(1-S225)</x:f>
        <x:v>-0.03327051885959128</x:v>
      </x:c>
      <x:c r="Z225" s="245" t="n">
        <x:f>X225*D225</x:f>
        <x:v>0</x:v>
      </x:c>
      <x:c r="AA225" s="245" t="n">
        <x:f>X225*E225</x:f>
        <x:v>0</x:v>
      </x:c>
      <x:c r="AB225" s="245" t="n">
        <x:f>X225</x:f>
        <x:v>0.03705582765230498</x:v>
      </x:c>
      <x:c r="AC225" s="245" t="n">
        <x:f>Y225*D225</x:f>
        <x:v>0</x:v>
      </x:c>
      <x:c r="AD225" s="245" t="n">
        <x:f>Y225*E225</x:f>
        <x:v>0</x:v>
      </x:c>
      <x:c r="AE225" s="245" t="n">
        <x:f>Y225</x:f>
        <x:v>-0.03327051885959128</x:v>
      </x:c>
      <x:c r="AF225" s="245" t="n">
        <x:f>W225*Q225</x:f>
        <x:v>0.020672516078107047</x:v>
      </x:c>
      <x:c r="AG225" s="245" t="n">
        <x:f>W225*S225</x:f>
        <x:v>0.08429746360043329</x:v>
      </x:c>
      <x:c r="AH225" s="245" t="n">
        <x:f>W225</x:f>
        <x:v>0.10272525237738324</x:v>
      </x:c>
      <x:c r="AI225" s="246" t="n">
        <x:f>G225-$B$4*Z225</x:f>
        <x:v>1.874330510123911</x:v>
      </x:c>
      <x:c r="AJ225" s="246" t="n">
        <x:f>H225-$B$4*AA225</x:f>
        <x:v>-2.3323589192973793</x:v>
      </x:c>
      <x:c r="AK225" s="246" t="n">
        <x:f>I225-$B$4*AB225</x:f>
        <x:v>-1.4156129014335663</x:v>
      </x:c>
      <x:c r="AL225" s="246" t="n">
        <x:f>J225-$B$4*AC225</x:f>
        <x:v>2.0207786406169688</x:v>
      </x:c>
      <x:c r="AM225" s="246" t="n">
        <x:f>K225-$B$4*AD225</x:f>
        <x:v>-2.096139015129492</x:v>
      </x:c>
      <x:c r="AN225" s="246" t="n">
        <x:f>L225-$B$4*AE225</x:f>
        <x:v>1.5537625107014899</x:v>
      </x:c>
      <x:c r="AO225" s="246" t="n">
        <x:f>M225-$B$4*AF225</x:f>
        <x:v>2.2234539511321736</x:v>
      </x:c>
      <x:c r="AP225" s="246" t="n">
        <x:f>N225-$B$4*AG225</x:f>
        <x:v>-2.284431084306317</x:v>
      </x:c>
      <x:c r="AQ225" s="246" t="n">
        <x:f>O225-$B$4*AH225</x:f>
        <x:v>0.9338071667819564</x:v>
      </x:c>
      <x:c r="AR225" s="182" t="n">
        <x:f>IF(U225&gt;=$B$5,1,0)</x:f>
        <x:v>0</x:v>
      </x:c>
      <x:c r="AS225" s="182" t="n">
        <x:f>IF(AR225=F225,1,0)</x:f>
        <x:v>1</x:v>
      </x:c>
      <x:c r="AT225" s="252" t="n">
        <x:f>ABS(F225-U225)</x:f>
        <x:v>0.42133113073479544</x:v>
      </x:c>
    </x:row>
    <x:row r="226">
      <x:c r="A226" s="114" t="n">
        <x:v>210</x:v>
      </x:c>
      <x:c r="B226" s="114" t="n">
        <x:v>53</x:v>
      </x:c>
      <x:c r="C226" s="114" t="n">
        <x:v>2</x:v>
      </x:c>
      <x:c r="D226" s="168" t="n">
        <x:f>$I$6</x:f>
        <x:v>0</x:v>
      </x:c>
      <x:c r="E226" s="168" t="n">
        <x:f>$J$6</x:f>
        <x:v>1</x:v>
      </x:c>
      <x:c r="F226" s="168" t="n">
        <x:f>$K$6</x:f>
        <x:v>1</x:v>
      </x:c>
      <x:c r="G226" s="242" t="n">
        <x:f>AI225</x:f>
        <x:v>1.874330510123911</x:v>
      </x:c>
      <x:c r="H226" s="242" t="n">
        <x:f>AJ225</x:f>
        <x:v>-2.3323589192973793</x:v>
      </x:c>
      <x:c r="I226" s="242" t="n">
        <x:f>AK225</x:f>
        <x:v>-1.4156129014335663</x:v>
      </x:c>
      <x:c r="J226" s="242" t="n">
        <x:f>AL225</x:f>
        <x:v>2.0207786406169688</x:v>
      </x:c>
      <x:c r="K226" s="242" t="n">
        <x:f>AM225</x:f>
        <x:v>-2.096139015129492</x:v>
      </x:c>
      <x:c r="L226" s="242" t="n">
        <x:f>AN225</x:f>
        <x:v>1.5537625107014899</x:v>
      </x:c>
      <x:c r="M226" s="242" t="n">
        <x:f>AO225</x:f>
        <x:v>2.2234539511321736</x:v>
      </x:c>
      <x:c r="N226" s="242" t="n">
        <x:f>AP225</x:f>
        <x:v>-2.284431084306317</x:v>
      </x:c>
      <x:c r="O226" s="242" t="n">
        <x:f>AQ225</x:f>
        <x:v>0.9338071667819564</x:v>
      </x:c>
      <x:c r="P226" s="243" t="n">
        <x:f>D226*G226+E226*H226+I226</x:f>
        <x:v>-3.7479718207309456</x:v>
      </x:c>
      <x:c r="Q226" s="243" t="n">
        <x:f>1/(1+EXP(-P226))</x:f>
        <x:v>0.02302294541687107</x:v>
      </x:c>
      <x:c r="R226" s="243" t="n">
        <x:f>D226*J226+E226*K226+L226</x:f>
        <x:v>-0.542376504428002</x:v>
      </x:c>
      <x:c r="S226" s="243" t="n">
        <x:f>1/(1+EXP(-R226))</x:f>
        <x:v>0.3676349201481536</x:v>
      </x:c>
      <x:c r="T226" s="243" t="n">
        <x:f>Q226*M226+S226*N226+O226</x:f>
        <x:v>0.145160986472886</x:v>
      </x:c>
      <x:c r="U226" s="243" t="n">
        <x:f>1/(1+EXP(-T226))</x:f>
        <x:v>0.5362266558095047</x:v>
      </x:c>
      <x:c r="V226" s="243" t="n">
        <x:f>0.5*(F226-U226)^2</x:f>
        <x:v>0.10754285739081781</x:v>
      </x:c>
      <x:c r="W226" s="244" t="n">
        <x:f>(U226-F226)*U226*(1-U226)</x:f>
        <x:v>-0.11533469354975343</x:v>
      </x:c>
      <x:c r="X226" s="244" t="n">
        <x:f>W226*M226*Q226*(1-Q226)</x:f>
        <x:v>-0.005768107599937189</x:v>
      </x:c>
      <x:c r="Y226" s="244" t="n">
        <x:f>W226*N226*S226*(1-S226)</x:f>
        <x:v>0.06125233697287786</x:v>
      </x:c>
      <x:c r="Z226" s="245" t="n">
        <x:f>X226*D226</x:f>
        <x:v>0</x:v>
      </x:c>
      <x:c r="AA226" s="245" t="n">
        <x:f>X226*E226</x:f>
        <x:v>-0.005768107599937189</x:v>
      </x:c>
      <x:c r="AB226" s="245" t="n">
        <x:f>X226</x:f>
        <x:v>-0.005768107599937189</x:v>
      </x:c>
      <x:c r="AC226" s="245" t="n">
        <x:f>Y226*D226</x:f>
        <x:v>0</x:v>
      </x:c>
      <x:c r="AD226" s="245" t="n">
        <x:f>Y226*E226</x:f>
        <x:v>0.06125233697287786</x:v>
      </x:c>
      <x:c r="AE226" s="245" t="n">
        <x:f>Y226</x:f>
        <x:v>0.06125233697287786</x:v>
      </x:c>
      <x:c r="AF226" s="245" t="n">
        <x:f>W226*Q226</x:f>
        <x:v>-0.0026553443542675246</x:v>
      </x:c>
      <x:c r="AG226" s="245" t="n">
        <x:f>W226*S226</x:f>
        <x:v>-0.042401060853475364</x:v>
      </x:c>
      <x:c r="AH226" s="245" t="n">
        <x:f>W226</x:f>
        <x:v>-0.11533469354975343</x:v>
      </x:c>
      <x:c r="AI226" s="246" t="n">
        <x:f>G226-$B$4*Z226</x:f>
        <x:v>1.874330510123911</x:v>
      </x:c>
      <x:c r="AJ226" s="246" t="n">
        <x:f>H226-$B$4*AA226</x:f>
        <x:v>-2.326590811697442</x:v>
      </x:c>
      <x:c r="AK226" s="246" t="n">
        <x:f>I226-$B$4*AB226</x:f>
        <x:v>-1.4098447938336292</x:v>
      </x:c>
      <x:c r="AL226" s="246" t="n">
        <x:f>J226-$B$4*AC226</x:f>
        <x:v>2.0207786406169688</x:v>
      </x:c>
      <x:c r="AM226" s="246" t="n">
        <x:f>K226-$B$4*AD226</x:f>
        <x:v>-2.1573913521023695</x:v>
      </x:c>
      <x:c r="AN226" s="246" t="n">
        <x:f>L226-$B$4*AE226</x:f>
        <x:v>1.492510173728612</x:v>
      </x:c>
      <x:c r="AO226" s="246" t="n">
        <x:f>M226-$B$4*AF226</x:f>
        <x:v>2.226109295486441</x:v>
      </x:c>
      <x:c r="AP226" s="246" t="n">
        <x:f>N226-$B$4*AG226</x:f>
        <x:v>-2.2420300234528416</x:v>
      </x:c>
      <x:c r="AQ226" s="246" t="n">
        <x:f>O226-$B$4*AH226</x:f>
        <x:v>1.0491418603317098</x:v>
      </x:c>
      <x:c r="AR226" s="182" t="n">
        <x:f>IF(U226&gt;=$B$5,1,0)</x:f>
        <x:v>1</x:v>
      </x:c>
      <x:c r="AS226" s="182" t="n">
        <x:f>IF(AR226=F226,1,0)</x:f>
        <x:v>1</x:v>
      </x:c>
      <x:c r="AT226" s="252" t="n">
        <x:f>ABS(F226-U226)</x:f>
        <x:v>0.4637733441904953</x:v>
      </x:c>
    </x:row>
    <x:row r="227">
      <x:c r="A227" s="114" t="n">
        <x:v>211</x:v>
      </x:c>
      <x:c r="B227" s="114" t="n">
        <x:v>53</x:v>
      </x:c>
      <x:c r="C227" s="114" t="n">
        <x:v>3</x:v>
      </x:c>
      <x:c r="D227" s="168" t="n">
        <x:f>$I$7</x:f>
        <x:v>1</x:v>
      </x:c>
      <x:c r="E227" s="168" t="n">
        <x:f>$J$7</x:f>
        <x:v>0</x:v>
      </x:c>
      <x:c r="F227" s="168" t="n">
        <x:f>$K$7</x:f>
        <x:v>1</x:v>
      </x:c>
      <x:c r="G227" s="242" t="n">
        <x:f>AI226</x:f>
        <x:v>1.874330510123911</x:v>
      </x:c>
      <x:c r="H227" s="242" t="n">
        <x:f>AJ226</x:f>
        <x:v>-2.326590811697442</x:v>
      </x:c>
      <x:c r="I227" s="242" t="n">
        <x:f>AK226</x:f>
        <x:v>-1.4098447938336292</x:v>
      </x:c>
      <x:c r="J227" s="242" t="n">
        <x:f>AL226</x:f>
        <x:v>2.0207786406169688</x:v>
      </x:c>
      <x:c r="K227" s="242" t="n">
        <x:f>AM226</x:f>
        <x:v>-2.1573913521023695</x:v>
      </x:c>
      <x:c r="L227" s="242" t="n">
        <x:f>AN226</x:f>
        <x:v>1.492510173728612</x:v>
      </x:c>
      <x:c r="M227" s="242" t="n">
        <x:f>AO226</x:f>
        <x:v>2.226109295486441</x:v>
      </x:c>
      <x:c r="N227" s="242" t="n">
        <x:f>AP226</x:f>
        <x:v>-2.2420300234528416</x:v>
      </x:c>
      <x:c r="O227" s="242" t="n">
        <x:f>AQ226</x:f>
        <x:v>1.0491418603317098</x:v>
      </x:c>
      <x:c r="P227" s="243" t="n">
        <x:f>D227*G227+E227*H227+I227</x:f>
        <x:v>0.4644857162902818</x:v>
      </x:c>
      <x:c r="Q227" s="243" t="n">
        <x:f>1/(1+EXP(-P227))</x:f>
        <x:v>0.6140777717555826</x:v>
      </x:c>
      <x:c r="R227" s="243" t="n">
        <x:f>D227*J227+E227*K227+L227</x:f>
        <x:v>3.5132888143455805</x:v>
      </x:c>
      <x:c r="S227" s="243" t="n">
        <x:f>1/(1+EXP(-R227))</x:f>
        <x:v>0.9710635203917913</x:v>
      </x:c>
      <x:c r="T227" s="243" t="n">
        <x:f>Q227*M227+S227*N227+O227</x:f>
        <x:v>0.23899252879020683</x:v>
      </x:c>
      <x:c r="U227" s="243" t="n">
        <x:f>1/(1+EXP(-T227))</x:f>
        <x:v>0.5594653589088021</x:v>
      </x:c>
      <x:c r="V227" s="243" t="n">
        <x:f>0.5*(F227-U227)^2</x:f>
        <x:v>0.09703538500067527</x:v>
      </x:c>
      <x:c r="W227" s="244" t="n">
        <x:f>(U227-F227)*U227*(1-U227)</x:f>
        <x:v>-0.10857587299251317</x:v>
      </x:c>
      <x:c r="X227" s="244" t="n">
        <x:f>W227*M227*Q227*(1-Q227)</x:f>
        <x:v>-0.05727999665091467</x:v>
      </x:c>
      <x:c r="Y227" s="244" t="n">
        <x:f>W227*N227*S227*(1-S227)</x:f>
        <x:v>0.0068401887738352</x:v>
      </x:c>
      <x:c r="Z227" s="245" t="n">
        <x:f>X227*D227</x:f>
        <x:v>-0.05727999665091467</x:v>
      </x:c>
      <x:c r="AA227" s="245" t="n">
        <x:f>X227*E227</x:f>
        <x:v>0</x:v>
      </x:c>
      <x:c r="AB227" s="245" t="n">
        <x:f>X227</x:f>
        <x:v>-0.05727999665091467</x:v>
      </x:c>
      <x:c r="AC227" s="245" t="n">
        <x:f>Y227*D227</x:f>
        <x:v>0.0068401887738352</x:v>
      </x:c>
      <x:c r="AD227" s="245" t="n">
        <x:f>Y227*E227</x:f>
        <x:v>0</x:v>
      </x:c>
      <x:c r="AE227" s="245" t="n">
        <x:f>Y227</x:f>
        <x:v>0.0068401887738352</x:v>
      </x:c>
      <x:c r="AF227" s="245" t="n">
        <x:f>W227*Q227</x:f>
        <x:v>-0.06667403015365964</x:v>
      </x:c>
      <x:c r="AG227" s="245" t="n">
        <x:f>W227*S227</x:f>
        <x:v>-0.10543406945772187</x:v>
      </x:c>
      <x:c r="AH227" s="245" t="n">
        <x:f>W227</x:f>
        <x:v>-0.10857587299251317</x:v>
      </x:c>
      <x:c r="AI227" s="246" t="n">
        <x:f>G227-$B$4*Z227</x:f>
        <x:v>1.9316105067748257</x:v>
      </x:c>
      <x:c r="AJ227" s="246" t="n">
        <x:f>H227-$B$4*AA227</x:f>
        <x:v>-2.326590811697442</x:v>
      </x:c>
      <x:c r="AK227" s="246" t="n">
        <x:f>I227-$B$4*AB227</x:f>
        <x:v>-1.3525647971827144</x:v>
      </x:c>
      <x:c r="AL227" s="246" t="n">
        <x:f>J227-$B$4*AC227</x:f>
        <x:v>2.0139384518431336</x:v>
      </x:c>
      <x:c r="AM227" s="246" t="n">
        <x:f>K227-$B$4*AD227</x:f>
        <x:v>-2.1573913521023695</x:v>
      </x:c>
      <x:c r="AN227" s="246" t="n">
        <x:f>L227-$B$4*AE227</x:f>
        <x:v>1.4856699849547768</x:v>
      </x:c>
      <x:c r="AO227" s="246" t="n">
        <x:f>M227-$B$4*AF227</x:f>
        <x:v>2.2927833256401007</x:v>
      </x:c>
      <x:c r="AP227" s="246" t="n">
        <x:f>N227-$B$4*AG227</x:f>
        <x:v>-2.1365959539951196</x:v>
      </x:c>
      <x:c r="AQ227" s="246" t="n">
        <x:f>O227-$B$4*AH227</x:f>
        <x:v>1.157717733324223</x:v>
      </x:c>
      <x:c r="AR227" s="182" t="n">
        <x:f>IF(U227&gt;=$B$5,1,0)</x:f>
        <x:v>1</x:v>
      </x:c>
      <x:c r="AS227" s="182" t="n">
        <x:f>IF(AR227=F227,1,0)</x:f>
        <x:v>1</x:v>
      </x:c>
      <x:c r="AT227" s="252" t="n">
        <x:f>ABS(F227-U227)</x:f>
        <x:v>0.4405346410911979</x:v>
      </x:c>
    </x:row>
    <x:row r="228">
      <x:c r="A228" s="114" t="n">
        <x:v>212</x:v>
      </x:c>
      <x:c r="B228" s="114" t="n">
        <x:v>53</x:v>
      </x:c>
      <x:c r="C228" s="114" t="n">
        <x:v>4</x:v>
      </x:c>
      <x:c r="D228" s="168" t="n">
        <x:f>$I$8</x:f>
        <x:v>1</x:v>
      </x:c>
      <x:c r="E228" s="168" t="n">
        <x:f>$J$8</x:f>
        <x:v>1</x:v>
      </x:c>
      <x:c r="F228" s="168" t="n">
        <x:f>$K$8</x:f>
        <x:v>0</x:v>
      </x:c>
      <x:c r="G228" s="242" t="n">
        <x:f>AI227</x:f>
        <x:v>1.9316105067748257</x:v>
      </x:c>
      <x:c r="H228" s="242" t="n">
        <x:f>AJ227</x:f>
        <x:v>-2.326590811697442</x:v>
      </x:c>
      <x:c r="I228" s="242" t="n">
        <x:f>AK227</x:f>
        <x:v>-1.3525647971827144</x:v>
      </x:c>
      <x:c r="J228" s="242" t="n">
        <x:f>AL227</x:f>
        <x:v>2.0139384518431336</x:v>
      </x:c>
      <x:c r="K228" s="242" t="n">
        <x:f>AM227</x:f>
        <x:v>-2.1573913521023695</x:v>
      </x:c>
      <x:c r="L228" s="242" t="n">
        <x:f>AN227</x:f>
        <x:v>1.4856699849547768</x:v>
      </x:c>
      <x:c r="M228" s="242" t="n">
        <x:f>AO227</x:f>
        <x:v>2.2927833256401007</x:v>
      </x:c>
      <x:c r="N228" s="242" t="n">
        <x:f>AP227</x:f>
        <x:v>-2.1365959539951196</x:v>
      </x:c>
      <x:c r="O228" s="242" t="n">
        <x:f>AQ227</x:f>
        <x:v>1.157717733324223</x:v>
      </x:c>
      <x:c r="P228" s="243" t="n">
        <x:f>D228*G228+E228*H228+I228</x:f>
        <x:v>-1.7475451021053308</x:v>
      </x:c>
      <x:c r="Q228" s="243" t="n">
        <x:f>1/(1+EXP(-P228))</x:f>
        <x:v>0.14835710000326283</x:v>
      </x:c>
      <x:c r="R228" s="243" t="n">
        <x:f>D228*J228+E228*K228+L228</x:f>
        <x:v>1.3422170846955408</x:v>
      </x:c>
      <x:c r="S228" s="243" t="n">
        <x:f>1/(1+EXP(-R228))</x:f>
        <x:v>0.7928543037783314</x:v>
      </x:c>
      <x:c r="T228" s="243" t="n">
        <x:f>Q228*M228+S228*N228+O228</x:f>
        <x:v>-0.1961408791083754</x:v>
      </x:c>
      <x:c r="U228" s="243" t="n">
        <x:f>1/(1+EXP(-T228))</x:f>
        <x:v>0.45112138161270743</x:v>
      </x:c>
      <x:c r="V228" s="243" t="n">
        <x:f>0.5*(F228-U228)^2</x:f>
        <x:v>0.101755250474079</x:v>
      </x:c>
      <x:c r="W228" s="244" t="n">
        <x:f>(U228-F228)*U228*(1-U228)</x:f>
        <x:v>0.11170256258773076</x:v>
      </x:c>
      <x:c r="X228" s="244" t="n">
        <x:f>W228*M228*Q228*(1-Q228)</x:f>
        <x:v>0.0323587708561903</x:v>
      </x:c>
      <x:c r="Y228" s="244" t="n">
        <x:f>W228*N228*S228*(1-S228)</x:f>
        <x:v>-0.03919718156779234</x:v>
      </x:c>
      <x:c r="Z228" s="245" t="n">
        <x:f>X228*D228</x:f>
        <x:v>0.0323587708561903</x:v>
      </x:c>
      <x:c r="AA228" s="245" t="n">
        <x:f>X228*E228</x:f>
        <x:v>0.0323587708561903</x:v>
      </x:c>
      <x:c r="AB228" s="245" t="n">
        <x:f>X228</x:f>
        <x:v>0.0323587708561903</x:v>
      </x:c>
      <x:c r="AC228" s="245" t="n">
        <x:f>Y228*D228</x:f>
        <x:v>-0.03919718156779234</x:v>
      </x:c>
      <x:c r="AD228" s="245" t="n">
        <x:f>Y228*E228</x:f>
        <x:v>-0.03919718156779234</x:v>
      </x:c>
      <x:c r="AE228" s="245" t="n">
        <x:f>Y228</x:f>
        <x:v>-0.03919718156779234</x:v>
      </x:c>
      <x:c r="AF228" s="245" t="n">
        <x:f>W228*Q228</x:f>
        <x:v>0.016571868248448696</x:v>
      </x:c>
      <x:c r="AG228" s="245" t="n">
        <x:f>W228*S228</x:f>
        <x:v>0.08856385749075077</x:v>
      </x:c>
      <x:c r="AH228" s="245" t="n">
        <x:f>W228</x:f>
        <x:v>0.11170256258773076</x:v>
      </x:c>
      <x:c r="AI228" s="246" t="n">
        <x:f>G228-$B$4*Z228</x:f>
        <x:v>1.8992517359186354</x:v>
      </x:c>
      <x:c r="AJ228" s="246" t="n">
        <x:f>H228-$B$4*AA228</x:f>
        <x:v>-2.3589495825536324</x:v>
      </x:c>
      <x:c r="AK228" s="246" t="n">
        <x:f>I228-$B$4*AB228</x:f>
        <x:v>-1.3849235680389047</x:v>
      </x:c>
      <x:c r="AL228" s="246" t="n">
        <x:f>J228-$B$4*AC228</x:f>
        <x:v>2.053135633410926</x:v>
      </x:c>
      <x:c r="AM228" s="246" t="n">
        <x:f>K228-$B$4*AD228</x:f>
        <x:v>-2.118194170534577</x:v>
      </x:c>
      <x:c r="AN228" s="246" t="n">
        <x:f>L228-$B$4*AE228</x:f>
        <x:v>1.524867166522569</x:v>
      </x:c>
      <x:c r="AO228" s="246" t="n">
        <x:f>M228-$B$4*AF228</x:f>
        <x:v>2.276211457391652</x:v>
      </x:c>
      <x:c r="AP228" s="246" t="n">
        <x:f>N228-$B$4*AG228</x:f>
        <x:v>-2.22515981148587</x:v>
      </x:c>
      <x:c r="AQ228" s="246" t="n">
        <x:f>O228-$B$4*AH228</x:f>
        <x:v>1.0460151707364922</x:v>
      </x:c>
      <x:c r="AR228" s="182" t="n">
        <x:f>IF(U228&gt;=$B$5,1,0)</x:f>
        <x:v>0</x:v>
      </x:c>
      <x:c r="AS228" s="182" t="n">
        <x:f>IF(AR228=F228,1,0)</x:f>
        <x:v>1</x:v>
      </x:c>
      <x:c r="AT228" s="252" t="n">
        <x:f>ABS(F228-U228)</x:f>
        <x:v>0.45112138161270743</x:v>
      </x:c>
    </x:row>
    <x:row r="229">
      <x:c r="A229" s="114" t="n">
        <x:v>213</x:v>
      </x:c>
      <x:c r="B229" s="114" t="n">
        <x:v>54</x:v>
      </x:c>
      <x:c r="C229" s="114" t="n">
        <x:v>1</x:v>
      </x:c>
      <x:c r="D229" s="168" t="n">
        <x:f>$I$5</x:f>
        <x:v>0</x:v>
      </x:c>
      <x:c r="E229" s="168" t="n">
        <x:f>$J$5</x:f>
        <x:v>0</x:v>
      </x:c>
      <x:c r="F229" s="168" t="n">
        <x:f>$K$5</x:f>
        <x:v>0</x:v>
      </x:c>
      <x:c r="G229" s="242" t="n">
        <x:f>AI228</x:f>
        <x:v>1.8992517359186354</x:v>
      </x:c>
      <x:c r="H229" s="242" t="n">
        <x:f>AJ228</x:f>
        <x:v>-2.3589495825536324</x:v>
      </x:c>
      <x:c r="I229" s="242" t="n">
        <x:f>AK228</x:f>
        <x:v>-1.3849235680389047</x:v>
      </x:c>
      <x:c r="J229" s="242" t="n">
        <x:f>AL228</x:f>
        <x:v>2.053135633410926</x:v>
      </x:c>
      <x:c r="K229" s="242" t="n">
        <x:f>AM228</x:f>
        <x:v>-2.118194170534577</x:v>
      </x:c>
      <x:c r="L229" s="242" t="n">
        <x:f>AN228</x:f>
        <x:v>1.524867166522569</x:v>
      </x:c>
      <x:c r="M229" s="242" t="n">
        <x:f>AO228</x:f>
        <x:v>2.276211457391652</x:v>
      </x:c>
      <x:c r="N229" s="242" t="n">
        <x:f>AP228</x:f>
        <x:v>-2.22515981148587</x:v>
      </x:c>
      <x:c r="O229" s="242" t="n">
        <x:f>AQ228</x:f>
        <x:v>1.0460151707364922</x:v>
      </x:c>
      <x:c r="P229" s="243" t="n">
        <x:f>D229*G229+E229*H229+I229</x:f>
        <x:v>-1.3849235680389047</x:v>
      </x:c>
      <x:c r="Q229" s="243" t="n">
        <x:f>1/(1+EXP(-P229))</x:f>
        <x:v>0.20021941709122848</x:v>
      </x:c>
      <x:c r="R229" s="243" t="n">
        <x:f>D229*J229+E229*K229+L229</x:f>
        <x:v>1.524867166522569</x:v>
      </x:c>
      <x:c r="S229" s="243" t="n">
        <x:f>1/(1+EXP(-R229))</x:f>
        <x:v>0.8212540777743337</x:v>
      </x:c>
      <x:c r="T229" s="243" t="n">
        <x:f>Q229*M229+S229*N229+O229</x:f>
        <x:v>-0.3256646669705141</x:v>
      </x:c>
      <x:c r="U229" s="243" t="n">
        <x:f>1/(1+EXP(-T229))</x:f>
        <x:v>0.41929584884334375</x:v>
      </x:c>
      <x:c r="V229" s="243" t="n">
        <x:f>0.5*(F229-U229)^2</x:f>
        <x:v>0.08790450442863008</x:v>
      </x:c>
      <x:c r="W229" s="244" t="n">
        <x:f>(U229-F229)*U229*(1-U229)</x:f>
        <x:v>0.10209302125414832</x:v>
      </x:c>
      <x:c r="X229" s="244" t="n">
        <x:f>W229*M229*Q229*(1-Q229)</x:f>
        <x:v>0.037212231148382645</x:v>
      </x:c>
      <x:c r="Y229" s="244" t="n">
        <x:f>W229*N229*S229*(1-S229)</x:f>
        <x:v>-0.03334808851857506</x:v>
      </x:c>
      <x:c r="Z229" s="245" t="n">
        <x:f>X229*D229</x:f>
        <x:v>0</x:v>
      </x:c>
      <x:c r="AA229" s="245" t="n">
        <x:f>X229*E229</x:f>
        <x:v>0</x:v>
      </x:c>
      <x:c r="AB229" s="245" t="n">
        <x:f>X229</x:f>
        <x:v>0.037212231148382645</x:v>
      </x:c>
      <x:c r="AC229" s="245" t="n">
        <x:f>Y229*D229</x:f>
        <x:v>0</x:v>
      </x:c>
      <x:c r="AD229" s="245" t="n">
        <x:f>Y229*E229</x:f>
        <x:v>0</x:v>
      </x:c>
      <x:c r="AE229" s="245" t="n">
        <x:f>Y229</x:f>
        <x:v>-0.03334808851857506</x:v>
      </x:c>
      <x:c r="AF229" s="245" t="n">
        <x:f>W229*Q229</x:f>
        <x:v>0.020441005204587977</x:v>
      </x:c>
      <x:c r="AG229" s="245" t="n">
        <x:f>W229*S229</x:f>
        <x:v>0.08384431001727102</x:v>
      </x:c>
      <x:c r="AH229" s="245" t="n">
        <x:f>W229</x:f>
        <x:v>0.10209302125414832</x:v>
      </x:c>
      <x:c r="AI229" s="246" t="n">
        <x:f>G229-$B$4*Z229</x:f>
        <x:v>1.8992517359186354</x:v>
      </x:c>
      <x:c r="AJ229" s="246" t="n">
        <x:f>H229-$B$4*AA229</x:f>
        <x:v>-2.3589495825536324</x:v>
      </x:c>
      <x:c r="AK229" s="246" t="n">
        <x:f>I229-$B$4*AB229</x:f>
        <x:v>-1.4221357991872874</x:v>
      </x:c>
      <x:c r="AL229" s="246" t="n">
        <x:f>J229-$B$4*AC229</x:f>
        <x:v>2.053135633410926</x:v>
      </x:c>
      <x:c r="AM229" s="246" t="n">
        <x:f>K229-$B$4*AD229</x:f>
        <x:v>-2.118194170534577</x:v>
      </x:c>
      <x:c r="AN229" s="246" t="n">
        <x:f>L229-$B$4*AE229</x:f>
        <x:v>1.558215255041144</x:v>
      </x:c>
      <x:c r="AO229" s="246" t="n">
        <x:f>M229-$B$4*AF229</x:f>
        <x:v>2.2557704521870643</x:v>
      </x:c>
      <x:c r="AP229" s="246" t="n">
        <x:f>N229-$B$4*AG229</x:f>
        <x:v>-2.309004121503141</x:v>
      </x:c>
      <x:c r="AQ229" s="246" t="n">
        <x:f>O229-$B$4*AH229</x:f>
        <x:v>0.9439221494823439</x:v>
      </x:c>
      <x:c r="AR229" s="182" t="n">
        <x:f>IF(U229&gt;=$B$5,1,0)</x:f>
        <x:v>0</x:v>
      </x:c>
      <x:c r="AS229" s="182" t="n">
        <x:f>IF(AR229=F229,1,0)</x:f>
        <x:v>1</x:v>
      </x:c>
      <x:c r="AT229" s="252" t="n">
        <x:f>ABS(F229-U229)</x:f>
        <x:v>0.41929584884334375</x:v>
      </x:c>
    </x:row>
    <x:row r="230">
      <x:c r="A230" s="114" t="n">
        <x:v>214</x:v>
      </x:c>
      <x:c r="B230" s="114" t="n">
        <x:v>54</x:v>
      </x:c>
      <x:c r="C230" s="114" t="n">
        <x:v>2</x:v>
      </x:c>
      <x:c r="D230" s="168" t="n">
        <x:f>$I$6</x:f>
        <x:v>0</x:v>
      </x:c>
      <x:c r="E230" s="168" t="n">
        <x:f>$J$6</x:f>
        <x:v>1</x:v>
      </x:c>
      <x:c r="F230" s="168" t="n">
        <x:f>$K$6</x:f>
        <x:v>1</x:v>
      </x:c>
      <x:c r="G230" s="242" t="n">
        <x:f>AI229</x:f>
        <x:v>1.8992517359186354</x:v>
      </x:c>
      <x:c r="H230" s="242" t="n">
        <x:f>AJ229</x:f>
        <x:v>-2.3589495825536324</x:v>
      </x:c>
      <x:c r="I230" s="242" t="n">
        <x:f>AK229</x:f>
        <x:v>-1.4221357991872874</x:v>
      </x:c>
      <x:c r="J230" s="242" t="n">
        <x:f>AL229</x:f>
        <x:v>2.053135633410926</x:v>
      </x:c>
      <x:c r="K230" s="242" t="n">
        <x:f>AM229</x:f>
        <x:v>-2.118194170534577</x:v>
      </x:c>
      <x:c r="L230" s="242" t="n">
        <x:f>AN229</x:f>
        <x:v>1.558215255041144</x:v>
      </x:c>
      <x:c r="M230" s="242" t="n">
        <x:f>AO229</x:f>
        <x:v>2.2557704521870643</x:v>
      </x:c>
      <x:c r="N230" s="242" t="n">
        <x:f>AP229</x:f>
        <x:v>-2.309004121503141</x:v>
      </x:c>
      <x:c r="O230" s="242" t="n">
        <x:f>AQ229</x:f>
        <x:v>0.9439221494823439</x:v>
      </x:c>
      <x:c r="P230" s="243" t="n">
        <x:f>D230*G230+E230*H230+I230</x:f>
        <x:v>-3.78108538174092</x:v>
      </x:c>
      <x:c r="Q230" s="243" t="n">
        <x:f>1/(1+EXP(-P230))</x:f>
        <x:v>0.02228977277276388</x:v>
      </x:c>
      <x:c r="R230" s="243" t="n">
        <x:f>D230*J230+E230*K230+L230</x:f>
        <x:v>-0.5599789154934329</x:v>
      </x:c>
      <x:c r="S230" s="243" t="n">
        <x:f>1/(1+EXP(-R230))</x:f>
        <x:v>0.36355233828044753</x:v>
      </x:c>
      <x:c r="T230" s="243" t="n">
        <x:f>Q230*M230+S230*N230+O230</x:f>
        <x:v>0.1547589128174508</x:v>
      </x:c>
      <x:c r="U230" s="243" t="n">
        <x:f>1/(1+EXP(-T230))</x:f>
        <x:v>0.5386126934154276</x:v>
      </x:c>
      <x:c r="V230" s="243" t="n">
        <x:f>0.5*(F230-U230)^2</x:f>
        <x:v>0.10643912333868309</x:v>
      </x:c>
      <x:c r="W230" s="244" t="n">
        <x:f>(U230-F230)*U230*(1-U230)</x:f>
        <x:v>-0.11465892581245002</x:v>
      </x:c>
      <x:c r="X230" s="244" t="n">
        <x:f>W230*M230*Q230*(1-Q230)</x:f>
        <x:v>-0.005636617591116362</x:v>
      </x:c>
      <x:c r="Y230" s="244" t="n">
        <x:f>W230*N230*S230*(1-S230)</x:f>
        <x:v>0.06125791549205976</x:v>
      </x:c>
      <x:c r="Z230" s="245" t="n">
        <x:f>X230*D230</x:f>
        <x:v>0</x:v>
      </x:c>
      <x:c r="AA230" s="245" t="n">
        <x:f>X230*E230</x:f>
        <x:v>-0.005636617591116362</x:v>
      </x:c>
      <x:c r="AB230" s="245" t="n">
        <x:f>X230</x:f>
        <x:v>-0.005636617591116362</x:v>
      </x:c>
      <x:c r="AC230" s="245" t="n">
        <x:f>Y230*D230</x:f>
        <x:v>0</x:v>
      </x:c>
      <x:c r="AD230" s="245" t="n">
        <x:f>Y230*E230</x:f>
        <x:v>0.06125791549205976</x:v>
      </x:c>
      <x:c r="AE230" s="245" t="n">
        <x:f>Y230</x:f>
        <x:v>0.06125791549205976</x:v>
      </x:c>
      <x:c r="AF230" s="245" t="n">
        <x:f>W230*Q230</x:f>
        <x:v>-0.002555721402728702</x:v>
      </x:c>
      <x:c r="AG230" s="245" t="n">
        <x:f>W230*S230</x:f>
        <x:v>-0.04168452058384057</x:v>
      </x:c>
      <x:c r="AH230" s="245" t="n">
        <x:f>W230</x:f>
        <x:v>-0.11465892581245002</x:v>
      </x:c>
      <x:c r="AI230" s="246" t="n">
        <x:f>G230-$B$4*Z230</x:f>
        <x:v>1.8992517359186354</x:v>
      </x:c>
      <x:c r="AJ230" s="246" t="n">
        <x:f>H230-$B$4*AA230</x:f>
        <x:v>-2.353312964962516</x:v>
      </x:c>
      <x:c r="AK230" s="246" t="n">
        <x:f>I230-$B$4*AB230</x:f>
        <x:v>-1.416499181596171</x:v>
      </x:c>
      <x:c r="AL230" s="246" t="n">
        <x:f>J230-$B$4*AC230</x:f>
        <x:v>2.053135633410926</x:v>
      </x:c>
      <x:c r="AM230" s="246" t="n">
        <x:f>K230-$B$4*AD230</x:f>
        <x:v>-2.179452086026637</x:v>
      </x:c>
      <x:c r="AN230" s="246" t="n">
        <x:f>L230-$B$4*AE230</x:f>
        <x:v>1.4969573395490843</x:v>
      </x:c>
      <x:c r="AO230" s="246" t="n">
        <x:f>M230-$B$4*AF230</x:f>
        <x:v>2.258326173589793</x:v>
      </x:c>
      <x:c r="AP230" s="246" t="n">
        <x:f>N230-$B$4*AG230</x:f>
        <x:v>-2.2673196009193006</x:v>
      </x:c>
      <x:c r="AQ230" s="246" t="n">
        <x:f>O230-$B$4*AH230</x:f>
        <x:v>1.058581075294794</x:v>
      </x:c>
      <x:c r="AR230" s="182" t="n">
        <x:f>IF(U230&gt;=$B$5,1,0)</x:f>
        <x:v>1</x:v>
      </x:c>
      <x:c r="AS230" s="182" t="n">
        <x:f>IF(AR230=F230,1,0)</x:f>
        <x:v>1</x:v>
      </x:c>
      <x:c r="AT230" s="252" t="n">
        <x:f>ABS(F230-U230)</x:f>
        <x:v>0.4613873065845724</x:v>
      </x:c>
    </x:row>
    <x:row r="231">
      <x:c r="A231" s="114" t="n">
        <x:v>215</x:v>
      </x:c>
      <x:c r="B231" s="114" t="n">
        <x:v>54</x:v>
      </x:c>
      <x:c r="C231" s="114" t="n">
        <x:v>3</x:v>
      </x:c>
      <x:c r="D231" s="168" t="n">
        <x:f>$I$7</x:f>
        <x:v>1</x:v>
      </x:c>
      <x:c r="E231" s="168" t="n">
        <x:f>$J$7</x:f>
        <x:v>0</x:v>
      </x:c>
      <x:c r="F231" s="168" t="n">
        <x:f>$K$7</x:f>
        <x:v>1</x:v>
      </x:c>
      <x:c r="G231" s="242" t="n">
        <x:f>AI230</x:f>
        <x:v>1.8992517359186354</x:v>
      </x:c>
      <x:c r="H231" s="242" t="n">
        <x:f>AJ230</x:f>
        <x:v>-2.353312964962516</x:v>
      </x:c>
      <x:c r="I231" s="242" t="n">
        <x:f>AK230</x:f>
        <x:v>-1.416499181596171</x:v>
      </x:c>
      <x:c r="J231" s="242" t="n">
        <x:f>AL230</x:f>
        <x:v>2.053135633410926</x:v>
      </x:c>
      <x:c r="K231" s="242" t="n">
        <x:f>AM230</x:f>
        <x:v>-2.179452086026637</x:v>
      </x:c>
      <x:c r="L231" s="242" t="n">
        <x:f>AN230</x:f>
        <x:v>1.4969573395490843</x:v>
      </x:c>
      <x:c r="M231" s="242" t="n">
        <x:f>AO230</x:f>
        <x:v>2.258326173589793</x:v>
      </x:c>
      <x:c r="N231" s="242" t="n">
        <x:f>AP230</x:f>
        <x:v>-2.2673196009193006</x:v>
      </x:c>
      <x:c r="O231" s="242" t="n">
        <x:f>AQ230</x:f>
        <x:v>1.058581075294794</x:v>
      </x:c>
      <x:c r="P231" s="243" t="n">
        <x:f>D231*G231+E231*H231+I231</x:f>
        <x:v>0.48275255432246444</x:v>
      </x:c>
      <x:c r="Q231" s="243" t="n">
        <x:f>1/(1+EXP(-P231))</x:f>
        <x:v>0.6183976393859854</x:v>
      </x:c>
      <x:c r="R231" s="243" t="n">
        <x:f>D231*J231+E231*K231+L231</x:f>
        <x:v>3.5500929729600106</x:v>
      </x:c>
      <x:c r="S231" s="243" t="n">
        <x:f>1/(1+EXP(-R231))</x:f>
        <x:v>0.9720799496612664</x:v>
      </x:c>
      <x:c r="T231" s="243" t="n">
        <x:f>Q231*M231+S231*N231+O231</x:f>
        <x:v>0.2511087264786702</x:v>
      </x:c>
      <x:c r="U231" s="243" t="n">
        <x:f>1/(1+EXP(-T231))</x:f>
        <x:v>0.5624493774214623</x:v>
      </x:c>
      <x:c r="V231" s="243" t="n">
        <x:f>0.5*(F231-U231)^2</x:f>
        <x:v>0.09572527365943298</x:v>
      </x:c>
      <x:c r="W231" s="244" t="n">
        <x:f>(U231-F231)*U231*(1-U231)</x:f>
        <x:v>-0.10768124114649437</x:v>
      </x:c>
      <x:c r="X231" s="244" t="n">
        <x:f>W231*M231*Q231*(1-Q231)</x:f>
        <x:v>-0.05738595273272499</x:v>
      </x:c>
      <x:c r="Y231" s="244" t="n">
        <x:f>W231*N231*S231*(1-S231)</x:f>
        <x:v>0.006626298217596976</x:v>
      </x:c>
      <x:c r="Z231" s="245" t="n">
        <x:f>X231*D231</x:f>
        <x:v>-0.05738595273272499</x:v>
      </x:c>
      <x:c r="AA231" s="245" t="n">
        <x:f>X231*E231</x:f>
        <x:v>0</x:v>
      </x:c>
      <x:c r="AB231" s="245" t="n">
        <x:f>X231</x:f>
        <x:v>-0.05738595273272499</x:v>
      </x:c>
      <x:c r="AC231" s="245" t="n">
        <x:f>Y231*D231</x:f>
        <x:v>0.006626298217596976</x:v>
      </x:c>
      <x:c r="AD231" s="245" t="n">
        <x:f>Y231*E231</x:f>
        <x:v>0</x:v>
      </x:c>
      <x:c r="AE231" s="245" t="n">
        <x:f>Y231</x:f>
        <x:v>0.006626298217596976</x:v>
      </x:c>
      <x:c r="AF231" s="245" t="n">
        <x:f>W231*Q231</x:f>
        <x:v>-0.06658982533114516</x:v>
      </x:c>
      <x:c r="AG231" s="245" t="n">
        <x:f>W231*S231</x:f>
        <x:v>-0.10467477547314694</x:v>
      </x:c>
      <x:c r="AH231" s="245" t="n">
        <x:f>W231</x:f>
        <x:v>-0.10768124114649437</x:v>
      </x:c>
      <x:c r="AI231" s="246" t="n">
        <x:f>G231-$B$4*Z231</x:f>
        <x:v>1.9566376886513603</x:v>
      </x:c>
      <x:c r="AJ231" s="246" t="n">
        <x:f>H231-$B$4*AA231</x:f>
        <x:v>-2.353312964962516</x:v>
      </x:c>
      <x:c r="AK231" s="246" t="n">
        <x:f>I231-$B$4*AB231</x:f>
        <x:v>-1.359113228863446</x:v>
      </x:c>
      <x:c r="AL231" s="246" t="n">
        <x:f>J231-$B$4*AC231</x:f>
        <x:v>2.046509335193329</x:v>
      </x:c>
      <x:c r="AM231" s="246" t="n">
        <x:f>K231-$B$4*AD231</x:f>
        <x:v>-2.179452086026637</x:v>
      </x:c>
      <x:c r="AN231" s="246" t="n">
        <x:f>L231-$B$4*AE231</x:f>
        <x:v>1.4903310413314872</x:v>
      </x:c>
      <x:c r="AO231" s="246" t="n">
        <x:f>M231-$B$4*AF231</x:f>
        <x:v>2.3249159989209383</x:v>
      </x:c>
      <x:c r="AP231" s="246" t="n">
        <x:f>N231-$B$4*AG231</x:f>
        <x:v>-2.162644825446154</x:v>
      </x:c>
      <x:c r="AQ231" s="246" t="n">
        <x:f>O231-$B$4*AH231</x:f>
        <x:v>1.1662623164412884</x:v>
      </x:c>
      <x:c r="AR231" s="182" t="n">
        <x:f>IF(U231&gt;=$B$5,1,0)</x:f>
        <x:v>1</x:v>
      </x:c>
      <x:c r="AS231" s="182" t="n">
        <x:f>IF(AR231=F231,1,0)</x:f>
        <x:v>1</x:v>
      </x:c>
      <x:c r="AT231" s="252" t="n">
        <x:f>ABS(F231-U231)</x:f>
        <x:v>0.4375506225785377</x:v>
      </x:c>
    </x:row>
    <x:row r="232">
      <x:c r="A232" s="114" t="n">
        <x:v>216</x:v>
      </x:c>
      <x:c r="B232" s="114" t="n">
        <x:v>54</x:v>
      </x:c>
      <x:c r="C232" s="114" t="n">
        <x:v>4</x:v>
      </x:c>
      <x:c r="D232" s="168" t="n">
        <x:f>$I$8</x:f>
        <x:v>1</x:v>
      </x:c>
      <x:c r="E232" s="168" t="n">
        <x:f>$J$8</x:f>
        <x:v>1</x:v>
      </x:c>
      <x:c r="F232" s="168" t="n">
        <x:f>$K$8</x:f>
        <x:v>0</x:v>
      </x:c>
      <x:c r="G232" s="242" t="n">
        <x:f>AI231</x:f>
        <x:v>1.9566376886513603</x:v>
      </x:c>
      <x:c r="H232" s="242" t="n">
        <x:f>AJ231</x:f>
        <x:v>-2.353312964962516</x:v>
      </x:c>
      <x:c r="I232" s="242" t="n">
        <x:f>AK231</x:f>
        <x:v>-1.359113228863446</x:v>
      </x:c>
      <x:c r="J232" s="242" t="n">
        <x:f>AL231</x:f>
        <x:v>2.046509335193329</x:v>
      </x:c>
      <x:c r="K232" s="242" t="n">
        <x:f>AM231</x:f>
        <x:v>-2.179452086026637</x:v>
      </x:c>
      <x:c r="L232" s="242" t="n">
        <x:f>AN231</x:f>
        <x:v>1.4903310413314872</x:v>
      </x:c>
      <x:c r="M232" s="242" t="n">
        <x:f>AO231</x:f>
        <x:v>2.3249159989209383</x:v>
      </x:c>
      <x:c r="N232" s="242" t="n">
        <x:f>AP231</x:f>
        <x:v>-2.162644825446154</x:v>
      </x:c>
      <x:c r="O232" s="242" t="n">
        <x:f>AQ231</x:f>
        <x:v>1.1662623164412884</x:v>
      </x:c>
      <x:c r="P232" s="243" t="n">
        <x:f>D232*G232+E232*H232+I232</x:f>
        <x:v>-1.7557885051746016</x:v>
      </x:c>
      <x:c r="Q232" s="243" t="n">
        <x:f>1/(1+EXP(-P232))</x:f>
        <x:v>0.14731858478313203</x:v>
      </x:c>
      <x:c r="R232" s="243" t="n">
        <x:f>D232*J232+E232*K232+L232</x:f>
        <x:v>1.3573882904981793</x:v>
      </x:c>
      <x:c r="S232" s="243" t="n">
        <x:f>1/(1+EXP(-R232))</x:f>
        <x:v>0.7953348986022318</x:v>
      </x:c>
      <x:c r="T232" s="243" t="n">
        <x:f>Q232*M232+S232*N232+O232</x:f>
        <x:v>-0.2112612518168755</x:v>
      </x:c>
      <x:c r="U232" s="243" t="n">
        <x:f>1/(1+EXP(-T232))</x:f>
        <x:v>0.4473802490190937</x:v>
      </x:c>
      <x:c r="V232" s="243" t="n">
        <x:f>0.5*(F232-U232)^2</x:f>
        <x:v>0.10007454360619314</x:v>
      </x:c>
      <x:c r="W232" s="244" t="n">
        <x:f>(U232-F232)*U232*(1-U232)</x:f>
        <x:v>0.11060633873436461</x:v>
      </x:c>
      <x:c r="X232" s="244" t="n">
        <x:f>W232*M232*Q232*(1-Q232)</x:f>
        <x:v>0.03230216403675119</x:v>
      </x:c>
      <x:c r="Y232" s="244" t="n">
        <x:f>W232*N232*S232*(1-S232)</x:f>
        <x:v>-0.03893669196477201</x:v>
      </x:c>
      <x:c r="Z232" s="245" t="n">
        <x:f>X232*D232</x:f>
        <x:v>0.03230216403675119</x:v>
      </x:c>
      <x:c r="AA232" s="245" t="n">
        <x:f>X232*E232</x:f>
        <x:v>0.03230216403675119</x:v>
      </x:c>
      <x:c r="AB232" s="245" t="n">
        <x:f>X232</x:f>
        <x:v>0.03230216403675119</x:v>
      </x:c>
      <x:c r="AC232" s="245" t="n">
        <x:f>Y232*D232</x:f>
        <x:v>-0.03893669196477201</x:v>
      </x:c>
      <x:c r="AD232" s="245" t="n">
        <x:f>Y232*E232</x:f>
        <x:v>-0.03893669196477201</x:v>
      </x:c>
      <x:c r="AE232" s="245" t="n">
        <x:f>Y232</x:f>
        <x:v>-0.03893669196477201</x:v>
      </x:c>
      <x:c r="AF232" s="245" t="n">
        <x:f>W232*Q232</x:f>
        <x:v>0.016294369290390312</x:v>
      </x:c>
      <x:c r="AG232" s="245" t="n">
        <x:f>W232*S232</x:f>
        <x:v>0.08796908120205998</x:v>
      </x:c>
      <x:c r="AH232" s="245" t="n">
        <x:f>W232</x:f>
        <x:v>0.11060633873436461</x:v>
      </x:c>
      <x:c r="AI232" s="246" t="n">
        <x:f>G232-$B$4*Z232</x:f>
        <x:v>1.9243355246146092</x:v>
      </x:c>
      <x:c r="AJ232" s="246" t="n">
        <x:f>H232-$B$4*AA232</x:f>
        <x:v>-2.3856151289992673</x:v>
      </x:c>
      <x:c r="AK232" s="246" t="n">
        <x:f>I232-$B$4*AB232</x:f>
        <x:v>-1.3914153929001971</x:v>
      </x:c>
      <x:c r="AL232" s="246" t="n">
        <x:f>J232-$B$4*AC232</x:f>
        <x:v>2.085446027158101</x:v>
      </x:c>
      <x:c r="AM232" s="246" t="n">
        <x:f>K232-$B$4*AD232</x:f>
        <x:v>-2.1405153940618646</x:v>
      </x:c>
      <x:c r="AN232" s="246" t="n">
        <x:f>L232-$B$4*AE232</x:f>
        <x:v>1.5292677332962592</x:v>
      </x:c>
      <x:c r="AO232" s="246" t="n">
        <x:f>M232-$B$4*AF232</x:f>
        <x:v>2.3086216296305477</x:v>
      </x:c>
      <x:c r="AP232" s="246" t="n">
        <x:f>N232-$B$4*AG232</x:f>
        <x:v>-2.250613906648214</x:v>
      </x:c>
      <x:c r="AQ232" s="246" t="n">
        <x:f>O232-$B$4*AH232</x:f>
        <x:v>1.0556559777069239</x:v>
      </x:c>
      <x:c r="AR232" s="182" t="n">
        <x:f>IF(U232&gt;=$B$5,1,0)</x:f>
        <x:v>0</x:v>
      </x:c>
      <x:c r="AS232" s="182" t="n">
        <x:f>IF(AR232=F232,1,0)</x:f>
        <x:v>1</x:v>
      </x:c>
      <x:c r="AT232" s="252" t="n">
        <x:f>ABS(F232-U232)</x:f>
        <x:v>0.4473802490190937</x:v>
      </x:c>
    </x:row>
    <x:row r="233">
      <x:c r="A233" s="114" t="n">
        <x:v>217</x:v>
      </x:c>
      <x:c r="B233" s="114" t="n">
        <x:v>55</x:v>
      </x:c>
      <x:c r="C233" s="114" t="n">
        <x:v>1</x:v>
      </x:c>
      <x:c r="D233" s="168" t="n">
        <x:f>$I$5</x:f>
        <x:v>0</x:v>
      </x:c>
      <x:c r="E233" s="168" t="n">
        <x:f>$J$5</x:f>
        <x:v>0</x:v>
      </x:c>
      <x:c r="F233" s="168" t="n">
        <x:f>$K$5</x:f>
        <x:v>0</x:v>
      </x:c>
      <x:c r="G233" s="242" t="n">
        <x:f>AI232</x:f>
        <x:v>1.9243355246146092</x:v>
      </x:c>
      <x:c r="H233" s="242" t="n">
        <x:f>AJ232</x:f>
        <x:v>-2.3856151289992673</x:v>
      </x:c>
      <x:c r="I233" s="242" t="n">
        <x:f>AK232</x:f>
        <x:v>-1.3914153929001971</x:v>
      </x:c>
      <x:c r="J233" s="242" t="n">
        <x:f>AL232</x:f>
        <x:v>2.085446027158101</x:v>
      </x:c>
      <x:c r="K233" s="242" t="n">
        <x:f>AM232</x:f>
        <x:v>-2.1405153940618646</x:v>
      </x:c>
      <x:c r="L233" s="242" t="n">
        <x:f>AN232</x:f>
        <x:v>1.5292677332962592</x:v>
      </x:c>
      <x:c r="M233" s="242" t="n">
        <x:f>AO232</x:f>
        <x:v>2.3086216296305477</x:v>
      </x:c>
      <x:c r="N233" s="242" t="n">
        <x:f>AP232</x:f>
        <x:v>-2.250613906648214</x:v>
      </x:c>
      <x:c r="O233" s="242" t="n">
        <x:f>AQ232</x:f>
        <x:v>1.0556559777069239</x:v>
      </x:c>
      <x:c r="P233" s="243" t="n">
        <x:f>D233*G233+E233*H233+I233</x:f>
        <x:v>-1.3914153929001971</x:v>
      </x:c>
      <x:c r="Q233" s="243" t="n">
        <x:f>1/(1+EXP(-P233))</x:f>
        <x:v>0.19918189356776309</x:v>
      </x:c>
      <x:c r="R233" s="243" t="n">
        <x:f>D233*J233+E233*K233+L233</x:f>
        <x:v>1.5292677332962592</x:v>
      </x:c>
      <x:c r="S233" s="243" t="n">
        <x:f>1/(1+EXP(-R233))</x:f>
        <x:v>0.8218991495923736</x:v>
      </x:c>
      <x:c r="T233" s="243" t="n">
        <x:f>Q233*M233+S233*N233+O233</x:f>
        <x:v>-0.33428605050670535</x:v>
      </x:c>
      <x:c r="U233" s="243" t="n">
        <x:f>1/(1+EXP(-T233))</x:f>
        <x:v>0.41719812795837824</x:v>
      </x:c>
      <x:c r="V233" s="243" t="n">
        <x:f>0.5*(F233-U233)^2</x:f>
        <x:v>0.08702713898598767</x:v>
      </x:c>
      <x:c r="W233" s="244" t="n">
        <x:f>(U233-F233)*U233*(1-U233)</x:f>
        <x:v>0.10143915903892003</x:v>
      </x:c>
      <x:c r="X233" s="244" t="n">
        <x:f>W233*M233*Q233*(1-Q233)</x:f>
        <x:v>0.03735443234992093</x:v>
      </x:c>
      <x:c r="Y233" s="244" t="n">
        <x:f>W233*N233*S233*(1-S233)</x:f>
        <x:v>-0.033418823948586425</x:v>
      </x:c>
      <x:c r="Z233" s="245" t="n">
        <x:f>X233*D233</x:f>
        <x:v>0</x:v>
      </x:c>
      <x:c r="AA233" s="245" t="n">
        <x:f>X233*E233</x:f>
        <x:v>0</x:v>
      </x:c>
      <x:c r="AB233" s="245" t="n">
        <x:f>X233</x:f>
        <x:v>0.03735443234992093</x:v>
      </x:c>
      <x:c r="AC233" s="245" t="n">
        <x:f>Y233*D233</x:f>
        <x:v>0</x:v>
      </x:c>
      <x:c r="AD233" s="245" t="n">
        <x:f>Y233*E233</x:f>
        <x:v>0</x:v>
      </x:c>
      <x:c r="AE233" s="245" t="n">
        <x:f>Y233</x:f>
        <x:v>-0.033418823948586425</x:v>
      </x:c>
      <x:c r="AF233" s="245" t="n">
        <x:f>W233*Q233</x:f>
        <x:v>0.020204843779293564</x:v>
      </x:c>
      <x:c r="AG233" s="245" t="n">
        <x:f>W233*S233</x:f>
        <x:v>0.08337275854945392</x:v>
      </x:c>
      <x:c r="AH233" s="245" t="n">
        <x:f>W233</x:f>
        <x:v>0.10143915903892003</x:v>
      </x:c>
      <x:c r="AI233" s="246" t="n">
        <x:f>G233-$B$4*Z233</x:f>
        <x:v>1.9243355246146092</x:v>
      </x:c>
      <x:c r="AJ233" s="246" t="n">
        <x:f>H233-$B$4*AA233</x:f>
        <x:v>-2.3856151289992673</x:v>
      </x:c>
      <x:c r="AK233" s="246" t="n">
        <x:f>I233-$B$4*AB233</x:f>
        <x:v>-1.428769825250118</x:v>
      </x:c>
      <x:c r="AL233" s="246" t="n">
        <x:f>J233-$B$4*AC233</x:f>
        <x:v>2.085446027158101</x:v>
      </x:c>
      <x:c r="AM233" s="246" t="n">
        <x:f>K233-$B$4*AD233</x:f>
        <x:v>-2.1405153940618646</x:v>
      </x:c>
      <x:c r="AN233" s="246" t="n">
        <x:f>L233-$B$4*AE233</x:f>
        <x:v>1.5626865572448456</x:v>
      </x:c>
      <x:c r="AO233" s="246" t="n">
        <x:f>M233-$B$4*AF233</x:f>
        <x:v>2.288416785851254</x:v>
      </x:c>
      <x:c r="AP233" s="246" t="n">
        <x:f>N233-$B$4*AG233</x:f>
        <x:v>-2.333986665197668</x:v>
      </x:c>
      <x:c r="AQ233" s="246" t="n">
        <x:f>O233-$B$4*AH233</x:f>
        <x:v>0.9542168186680038</x:v>
      </x:c>
      <x:c r="AR233" s="182" t="n">
        <x:f>IF(U233&gt;=$B$5,1,0)</x:f>
        <x:v>0</x:v>
      </x:c>
      <x:c r="AS233" s="182" t="n">
        <x:f>IF(AR233=F233,1,0)</x:f>
        <x:v>1</x:v>
      </x:c>
      <x:c r="AT233" s="252" t="n">
        <x:f>ABS(F233-U233)</x:f>
        <x:v>0.41719812795837824</x:v>
      </x:c>
    </x:row>
    <x:row r="234">
      <x:c r="A234" s="114" t="n">
        <x:v>218</x:v>
      </x:c>
      <x:c r="B234" s="114" t="n">
        <x:v>55</x:v>
      </x:c>
      <x:c r="C234" s="114" t="n">
        <x:v>2</x:v>
      </x:c>
      <x:c r="D234" s="168" t="n">
        <x:f>$I$6</x:f>
        <x:v>0</x:v>
      </x:c>
      <x:c r="E234" s="168" t="n">
        <x:f>$J$6</x:f>
        <x:v>1</x:v>
      </x:c>
      <x:c r="F234" s="168" t="n">
        <x:f>$K$6</x:f>
        <x:v>1</x:v>
      </x:c>
      <x:c r="G234" s="242" t="n">
        <x:f>AI233</x:f>
        <x:v>1.9243355246146092</x:v>
      </x:c>
      <x:c r="H234" s="242" t="n">
        <x:f>AJ233</x:f>
        <x:v>-2.3856151289992673</x:v>
      </x:c>
      <x:c r="I234" s="242" t="n">
        <x:f>AK233</x:f>
        <x:v>-1.428769825250118</x:v>
      </x:c>
      <x:c r="J234" s="242" t="n">
        <x:f>AL233</x:f>
        <x:v>2.085446027158101</x:v>
      </x:c>
      <x:c r="K234" s="242" t="n">
        <x:f>AM233</x:f>
        <x:v>-2.1405153940618646</x:v>
      </x:c>
      <x:c r="L234" s="242" t="n">
        <x:f>AN233</x:f>
        <x:v>1.5626865572448456</x:v>
      </x:c>
      <x:c r="M234" s="242" t="n">
        <x:f>AO233</x:f>
        <x:v>2.288416785851254</x:v>
      </x:c>
      <x:c r="N234" s="242" t="n">
        <x:f>AP233</x:f>
        <x:v>-2.333986665197668</x:v>
      </x:c>
      <x:c r="O234" s="242" t="n">
        <x:f>AQ233</x:f>
        <x:v>0.9542168186680038</x:v>
      </x:c>
      <x:c r="P234" s="243" t="n">
        <x:f>D234*G234+E234*H234+I234</x:f>
        <x:v>-3.8143849542493853</x:v>
      </x:c>
      <x:c r="Q234" s="243" t="n">
        <x:f>1/(1+EXP(-P234))</x:f>
        <x:v>0.021575505467936514</x:v>
      </x:c>
      <x:c r="R234" s="243" t="n">
        <x:f>D234*J234+E234*K234+L234</x:f>
        <x:v>-0.577828836817019</x:v>
      </x:c>
      <x:c r="S234" s="243" t="n">
        <x:f>1/(1+EXP(-R234))</x:f>
        <x:v>0.3594323311485438</x:v>
      </x:c>
      <x:c r="T234" s="243" t="n">
        <x:f>Q234*M234+S234*N234+O234</x:f>
        <x:v>0.16468029960244157</x:v>
      </x:c>
      <x:c r="U234" s="243" t="n">
        <x:f>1/(1+EXP(-T234))</x:f>
        <x:v>0.5410772835383262</x:v>
      </x:c>
      <x:c r="V234" s="243" t="n">
        <x:f>0.5*(F234-U234)^2</x:f>
        <x:v>0.10530502984228093</x:v>
      </x:c>
      <x:c r="W234" s="244" t="n">
        <x:f>(U234-F234)*U234*(1-U234)</x:f>
        <x:v>-0.11395631897996747</x:v>
      </x:c>
      <x:c r="X234" s="244" t="n">
        <x:f>W234*M234*Q234*(1-Q234)</x:f>
        <x:v>-0.005505057158827646</x:v>
      </x:c>
      <x:c r="Y234" s="244" t="n">
        <x:f>W234*N234*S234*(1-S234)</x:f>
        <x:v>0.06123770934314691</x:v>
      </x:c>
      <x:c r="Z234" s="245" t="n">
        <x:f>X234*D234</x:f>
        <x:v>0</x:v>
      </x:c>
      <x:c r="AA234" s="245" t="n">
        <x:f>X234*E234</x:f>
        <x:v>-0.005505057158827646</x:v>
      </x:c>
      <x:c r="AB234" s="245" t="n">
        <x:f>X234</x:f>
        <x:v>-0.005505057158827646</x:v>
      </x:c>
      <x:c r="AC234" s="245" t="n">
        <x:f>Y234*D234</x:f>
        <x:v>0</x:v>
      </x:c>
      <x:c r="AD234" s="245" t="n">
        <x:f>Y234*E234</x:f>
        <x:v>0.06123770934314691</x:v>
      </x:c>
      <x:c r="AE234" s="245" t="n">
        <x:f>Y234</x:f>
        <x:v>0.06123770934314691</x:v>
      </x:c>
      <x:c r="AF234" s="245" t="n">
        <x:f>W234*Q234</x:f>
        <x:v>-0.0024586651832582056</x:v>
      </x:c>
      <x:c r="AG234" s="245" t="n">
        <x:f>W234*S234</x:f>
        <x:v>-0.040959585380076755</x:v>
      </x:c>
      <x:c r="AH234" s="245" t="n">
        <x:f>W234</x:f>
        <x:v>-0.11395631897996747</x:v>
      </x:c>
      <x:c r="AI234" s="246" t="n">
        <x:f>G234-$B$4*Z234</x:f>
        <x:v>1.9243355246146092</x:v>
      </x:c>
      <x:c r="AJ234" s="246" t="n">
        <x:f>H234-$B$4*AA234</x:f>
        <x:v>-2.3801100718404395</x:v>
      </x:c>
      <x:c r="AK234" s="246" t="n">
        <x:f>I234-$B$4*AB234</x:f>
        <x:v>-1.4232647680912904</x:v>
      </x:c>
      <x:c r="AL234" s="246" t="n">
        <x:f>J234-$B$4*AC234</x:f>
        <x:v>2.085446027158101</x:v>
      </x:c>
      <x:c r="AM234" s="246" t="n">
        <x:f>K234-$B$4*AD234</x:f>
        <x:v>-2.2017531034050117</x:v>
      </x:c>
      <x:c r="AN234" s="246" t="n">
        <x:f>L234-$B$4*AE234</x:f>
        <x:v>1.5014488479016987</x:v>
      </x:c>
      <x:c r="AO234" s="246" t="n">
        <x:f>M234-$B$4*AF234</x:f>
        <x:v>2.290875451034512</x:v>
      </x:c>
      <x:c r="AP234" s="246" t="n">
        <x:f>N234-$B$4*AG234</x:f>
        <x:v>-2.293027079817591</x:v>
      </x:c>
      <x:c r="AQ234" s="246" t="n">
        <x:f>O234-$B$4*AH234</x:f>
        <x:v>1.0681731376479713</x:v>
      </x:c>
      <x:c r="AR234" s="182" t="n">
        <x:f>IF(U234&gt;=$B$5,1,0)</x:f>
        <x:v>1</x:v>
      </x:c>
      <x:c r="AS234" s="182" t="n">
        <x:f>IF(AR234=F234,1,0)</x:f>
        <x:v>1</x:v>
      </x:c>
      <x:c r="AT234" s="252" t="n">
        <x:f>ABS(F234-U234)</x:f>
        <x:v>0.4589227164616738</x:v>
      </x:c>
    </x:row>
    <x:row r="235">
      <x:c r="A235" s="114" t="n">
        <x:v>219</x:v>
      </x:c>
      <x:c r="B235" s="114" t="n">
        <x:v>55</x:v>
      </x:c>
      <x:c r="C235" s="114" t="n">
        <x:v>3</x:v>
      </x:c>
      <x:c r="D235" s="168" t="n">
        <x:f>$I$7</x:f>
        <x:v>1</x:v>
      </x:c>
      <x:c r="E235" s="168" t="n">
        <x:f>$J$7</x:f>
        <x:v>0</x:v>
      </x:c>
      <x:c r="F235" s="168" t="n">
        <x:f>$K$7</x:f>
        <x:v>1</x:v>
      </x:c>
      <x:c r="G235" s="242" t="n">
        <x:f>AI234</x:f>
        <x:v>1.9243355246146092</x:v>
      </x:c>
      <x:c r="H235" s="242" t="n">
        <x:f>AJ234</x:f>
        <x:v>-2.3801100718404395</x:v>
      </x:c>
      <x:c r="I235" s="242" t="n">
        <x:f>AK234</x:f>
        <x:v>-1.4232647680912904</x:v>
      </x:c>
      <x:c r="J235" s="242" t="n">
        <x:f>AL234</x:f>
        <x:v>2.085446027158101</x:v>
      </x:c>
      <x:c r="K235" s="242" t="n">
        <x:f>AM234</x:f>
        <x:v>-2.2017531034050117</x:v>
      </x:c>
      <x:c r="L235" s="242" t="n">
        <x:f>AN234</x:f>
        <x:v>1.5014488479016987</x:v>
      </x:c>
      <x:c r="M235" s="242" t="n">
        <x:f>AO234</x:f>
        <x:v>2.290875451034512</x:v>
      </x:c>
      <x:c r="N235" s="242" t="n">
        <x:f>AP234</x:f>
        <x:v>-2.293027079817591</x:v>
      </x:c>
      <x:c r="O235" s="242" t="n">
        <x:f>AQ234</x:f>
        <x:v>1.0681731376479713</x:v>
      </x:c>
      <x:c r="P235" s="243" t="n">
        <x:f>D235*G235+E235*H235+I235</x:f>
        <x:v>0.5010707565233188</x:v>
      </x:c>
      <x:c r="Q235" s="243" t="n">
        <x:f>1/(1+EXP(-P235))</x:f>
        <x:v>0.6227109299449942</x:v>
      </x:c>
      <x:c r="R235" s="243" t="n">
        <x:f>D235*J235+E235*K235+L235</x:f>
        <x:v>3.5868948750597998</x:v>
      </x:c>
      <x:c r="S235" s="243" t="n">
        <x:f>1/(1+EXP(-R235))</x:f>
        <x:v>0.9730616069071545</x:v>
      </x:c>
      <x:c r="T235" s="243" t="n">
        <x:f>Q235*M235+S235*N235+O235</x:f>
        <x:v>0.2634697051809052</x:v>
      </x:c>
      <x:c r="U235" s="243" t="n">
        <x:f>1/(1+EXP(-T235))</x:f>
        <x:v>0.5654890300915518</x:v>
      </x:c>
      <x:c r="V235" s="243" t="n">
        <x:f>0.5*(F235-U235)^2</x:f>
        <x:v>0.09439989148539017</x:v>
      </x:c>
      <x:c r="W235" s="244" t="n">
        <x:f>(U235-F235)*U235*(1-U235)</x:f>
        <x:v>-0.10676420615364207</x:v>
      </x:c>
      <x:c r="X235" s="244" t="n">
        <x:f>W235*M235*Q235*(1-Q235)</x:f>
        <x:v>-0.057462943172928445</x:v>
      </x:c>
      <x:c r="Y235" s="244" t="n">
        <x:f>W235*N235*S235*(1-S235)</x:f>
        <x:v>0.0064172193177697645</x:v>
      </x:c>
      <x:c r="Z235" s="245" t="n">
        <x:f>X235*D235</x:f>
        <x:v>-0.057462943172928445</x:v>
      </x:c>
      <x:c r="AA235" s="245" t="n">
        <x:f>X235*E235</x:f>
        <x:v>0</x:v>
      </x:c>
      <x:c r="AB235" s="245" t="n">
        <x:f>X235</x:f>
        <x:v>-0.057462943172928445</x:v>
      </x:c>
      <x:c r="AC235" s="245" t="n">
        <x:f>Y235*D235</x:f>
        <x:v>0.0064172193177697645</x:v>
      </x:c>
      <x:c r="AD235" s="245" t="n">
        <x:f>Y235*E235</x:f>
        <x:v>0</x:v>
      </x:c>
      <x:c r="AE235" s="245" t="n">
        <x:f>Y235</x:f>
        <x:v>0.0064172193177697645</x:v>
      </x:c>
      <x:c r="AF235" s="245" t="n">
        <x:f>W235*Q235</x:f>
        <x:v>-0.06648323809877353</x:v>
      </x:c>
      <x:c r="AG235" s="245" t="n">
        <x:f>W235*S235</x:f>
        <x:v>-0.10388815000002967</x:v>
      </x:c>
      <x:c r="AH235" s="245" t="n">
        <x:f>W235</x:f>
        <x:v>-0.10676420615364207</x:v>
      </x:c>
      <x:c r="AI235" s="246" t="n">
        <x:f>G235-$B$4*Z235</x:f>
        <x:v>1.9817984677875378</x:v>
      </x:c>
      <x:c r="AJ235" s="246" t="n">
        <x:f>H235-$B$4*AA235</x:f>
        <x:v>-2.3801100718404395</x:v>
      </x:c>
      <x:c r="AK235" s="246" t="n">
        <x:f>I235-$B$4*AB235</x:f>
        <x:v>-1.3658018249183619</x:v>
      </x:c>
      <x:c r="AL235" s="246" t="n">
        <x:f>J235-$B$4*AC235</x:f>
        <x:v>2.079028807840331</x:v>
      </x:c>
      <x:c r="AM235" s="246" t="n">
        <x:f>K235-$B$4*AD235</x:f>
        <x:v>-2.2017531034050117</x:v>
      </x:c>
      <x:c r="AN235" s="246" t="n">
        <x:f>L235-$B$4*AE235</x:f>
        <x:v>1.495031628583929</x:v>
      </x:c>
      <x:c r="AO235" s="246" t="n">
        <x:f>M235-$B$4*AF235</x:f>
        <x:v>2.3573586891332856</x:v>
      </x:c>
      <x:c r="AP235" s="246" t="n">
        <x:f>N235-$B$4*AG235</x:f>
        <x:v>-2.1891389298175614</x:v>
      </x:c>
      <x:c r="AQ235" s="246" t="n">
        <x:f>O235-$B$4*AH235</x:f>
        <x:v>1.1749373438016133</x:v>
      </x:c>
      <x:c r="AR235" s="182" t="n">
        <x:f>IF(U235&gt;=$B$5,1,0)</x:f>
        <x:v>1</x:v>
      </x:c>
      <x:c r="AS235" s="182" t="n">
        <x:f>IF(AR235=F235,1,0)</x:f>
        <x:v>1</x:v>
      </x:c>
      <x:c r="AT235" s="252" t="n">
        <x:f>ABS(F235-U235)</x:f>
        <x:v>0.4345109699084482</x:v>
      </x:c>
    </x:row>
    <x:row r="236">
      <x:c r="A236" s="114" t="n">
        <x:v>220</x:v>
      </x:c>
      <x:c r="B236" s="114" t="n">
        <x:v>55</x:v>
      </x:c>
      <x:c r="C236" s="114" t="n">
        <x:v>4</x:v>
      </x:c>
      <x:c r="D236" s="168" t="n">
        <x:f>$I$8</x:f>
        <x:v>1</x:v>
      </x:c>
      <x:c r="E236" s="168" t="n">
        <x:f>$J$8</x:f>
        <x:v>1</x:v>
      </x:c>
      <x:c r="F236" s="168" t="n">
        <x:f>$K$8</x:f>
        <x:v>0</x:v>
      </x:c>
      <x:c r="G236" s="242" t="n">
        <x:f>AI235</x:f>
        <x:v>1.9817984677875378</x:v>
      </x:c>
      <x:c r="H236" s="242" t="n">
        <x:f>AJ235</x:f>
        <x:v>-2.3801100718404395</x:v>
      </x:c>
      <x:c r="I236" s="242" t="n">
        <x:f>AK235</x:f>
        <x:v>-1.3658018249183619</x:v>
      </x:c>
      <x:c r="J236" s="242" t="n">
        <x:f>AL235</x:f>
        <x:v>2.079028807840331</x:v>
      </x:c>
      <x:c r="K236" s="242" t="n">
        <x:f>AM235</x:f>
        <x:v>-2.2017531034050117</x:v>
      </x:c>
      <x:c r="L236" s="242" t="n">
        <x:f>AN235</x:f>
        <x:v>1.495031628583929</x:v>
      </x:c>
      <x:c r="M236" s="242" t="n">
        <x:f>AO235</x:f>
        <x:v>2.3573586891332856</x:v>
      </x:c>
      <x:c r="N236" s="242" t="n">
        <x:f>AP235</x:f>
        <x:v>-2.1891389298175614</x:v>
      </x:c>
      <x:c r="O236" s="242" t="n">
        <x:f>AQ235</x:f>
        <x:v>1.1749373438016133</x:v>
      </x:c>
      <x:c r="P236" s="243" t="n">
        <x:f>D236*G236+E236*H236+I236</x:f>
        <x:v>-1.7641134289712637</x:v>
      </x:c>
      <x:c r="Q236" s="243" t="n">
        <x:f>1/(1+EXP(-P236))</x:f>
        <x:v>0.14627591002208148</x:v>
      </x:c>
      <x:c r="R236" s="243" t="n">
        <x:f>D236*J236+E236*K236+L236</x:f>
        <x:v>1.3723073330192483</x:v>
      </x:c>
      <x:c r="S236" s="243" t="n">
        <x:f>1/(1+EXP(-R236))</x:f>
        <x:v>0.7977526821526147</x:v>
      </x:c>
      <x:c r="T236" s="243" t="n">
        <x:f>Q236*M236+S236*N236+O236</x:f>
        <x:v>-0.22662932156361837</x:v>
      </x:c>
      <x:c r="U236" s="243" t="n">
        <x:f>1/(1+EXP(-T236))</x:f>
        <x:v>0.4435839279459385</x:v>
      </x:c>
      <x:c r="V236" s="243" t="n">
        <x:f>0.5*(F236-U236)^2</x:f>
        <x:v>0.09838335056597378</x:v>
      </x:c>
      <x:c r="W236" s="244" t="n">
        <x:f>(U236-F236)*U236*(1-U236)</x:f>
        <x:v>0.10948415495487372</x:v>
      </x:c>
      <x:c r="X236" s="244" t="n">
        <x:f>W236*M236*Q236*(1-Q236)</x:f>
        <x:v>0.03223051790908734</x:v>
      </x:c>
      <x:c r="Y236" s="244" t="n">
        <x:f>W236*N236*S236*(1-S236)</x:f>
        <x:v>-0.038670130587028215</x:v>
      </x:c>
      <x:c r="Z236" s="245" t="n">
        <x:f>X236*D236</x:f>
        <x:v>0.03223051790908734</x:v>
      </x:c>
      <x:c r="AA236" s="245" t="n">
        <x:f>X236*E236</x:f>
        <x:v>0.03223051790908734</x:v>
      </x:c>
      <x:c r="AB236" s="245" t="n">
        <x:f>X236</x:f>
        <x:v>0.03223051790908734</x:v>
      </x:c>
      <x:c r="AC236" s="245" t="n">
        <x:f>Y236*D236</x:f>
        <x:v>-0.038670130587028215</x:v>
      </x:c>
      <x:c r="AD236" s="245" t="n">
        <x:f>Y236*E236</x:f>
        <x:v>-0.038670130587028215</x:v>
      </x:c>
      <x:c r="AE236" s="245" t="n">
        <x:f>Y236</x:f>
        <x:v>-0.038670130587028215</x:v>
      </x:c>
      <x:c r="AF236" s="245" t="n">
        <x:f>W236*Q236</x:f>
        <x:v>0.016014894399022737</x:v>
      </x:c>
      <x:c r="AG236" s="245" t="n">
        <x:f>W236*S236</x:f>
        <x:v>0.087341278268463</x:v>
      </x:c>
      <x:c r="AH236" s="245" t="n">
        <x:f>W236</x:f>
        <x:v>0.10948415495487372</x:v>
      </x:c>
      <x:c r="AI236" s="246" t="n">
        <x:f>G236-$B$4*Z236</x:f>
        <x:v>1.9495679498784504</x:v>
      </x:c>
      <x:c r="AJ236" s="246" t="n">
        <x:f>H236-$B$4*AA236</x:f>
        <x:v>-2.412340589749527</x:v>
      </x:c>
      <x:c r="AK236" s="246" t="n">
        <x:f>I236-$B$4*AB236</x:f>
        <x:v>-1.3980323428274493</x:v>
      </x:c>
      <x:c r="AL236" s="246" t="n">
        <x:f>J236-$B$4*AC236</x:f>
        <x:v>2.1176989384273592</x:v>
      </x:c>
      <x:c r="AM236" s="246" t="n">
        <x:f>K236-$B$4*AD236</x:f>
        <x:v>-2.1630829728179837</x:v>
      </x:c>
      <x:c r="AN236" s="246" t="n">
        <x:f>L236-$B$4*AE236</x:f>
        <x:v>1.5337017591709572</x:v>
      </x:c>
      <x:c r="AO236" s="246" t="n">
        <x:f>M236-$B$4*AF236</x:f>
        <x:v>2.341343794734263</x:v>
      </x:c>
      <x:c r="AP236" s="246" t="n">
        <x:f>N236-$B$4*AG236</x:f>
        <x:v>-2.2764802080860242</x:v>
      </x:c>
      <x:c r="AQ236" s="246" t="n">
        <x:f>O236-$B$4*AH236</x:f>
        <x:v>1.0654531888467396</x:v>
      </x:c>
      <x:c r="AR236" s="182" t="n">
        <x:f>IF(U236&gt;=$B$5,1,0)</x:f>
        <x:v>0</x:v>
      </x:c>
      <x:c r="AS236" s="182" t="n">
        <x:f>IF(AR236=F236,1,0)</x:f>
        <x:v>1</x:v>
      </x:c>
      <x:c r="AT236" s="252" t="n">
        <x:f>ABS(F236-U236)</x:f>
        <x:v>0.4435839279459385</x:v>
      </x:c>
    </x:row>
    <x:row r="237">
      <x:c r="A237" s="114" t="n">
        <x:v>221</x:v>
      </x:c>
      <x:c r="B237" s="114" t="n">
        <x:v>56</x:v>
      </x:c>
      <x:c r="C237" s="114" t="n">
        <x:v>1</x:v>
      </x:c>
      <x:c r="D237" s="168" t="n">
        <x:f>$I$5</x:f>
        <x:v>0</x:v>
      </x:c>
      <x:c r="E237" s="168" t="n">
        <x:f>$J$5</x:f>
        <x:v>0</x:v>
      </x:c>
      <x:c r="F237" s="168" t="n">
        <x:f>$K$5</x:f>
        <x:v>0</x:v>
      </x:c>
      <x:c r="G237" s="242" t="n">
        <x:f>AI236</x:f>
        <x:v>1.9495679498784504</x:v>
      </x:c>
      <x:c r="H237" s="242" t="n">
        <x:f>AJ236</x:f>
        <x:v>-2.412340589749527</x:v>
      </x:c>
      <x:c r="I237" s="242" t="n">
        <x:f>AK236</x:f>
        <x:v>-1.3980323428274493</x:v>
      </x:c>
      <x:c r="J237" s="242" t="n">
        <x:f>AL236</x:f>
        <x:v>2.1176989384273592</x:v>
      </x:c>
      <x:c r="K237" s="242" t="n">
        <x:f>AM236</x:f>
        <x:v>-2.1630829728179837</x:v>
      </x:c>
      <x:c r="L237" s="242" t="n">
        <x:f>AN236</x:f>
        <x:v>1.5337017591709572</x:v>
      </x:c>
      <x:c r="M237" s="242" t="n">
        <x:f>AO236</x:f>
        <x:v>2.341343794734263</x:v>
      </x:c>
      <x:c r="N237" s="242" t="n">
        <x:f>AP236</x:f>
        <x:v>-2.2764802080860242</x:v>
      </x:c>
      <x:c r="O237" s="242" t="n">
        <x:f>AQ236</x:f>
        <x:v>1.0654531888467396</x:v>
      </x:c>
      <x:c r="P237" s="243" t="n">
        <x:f>D237*G237+E237*H237+I237</x:f>
        <x:v>-1.3980323428274493</x:v>
      </x:c>
      <x:c r="Q237" s="243" t="n">
        <x:f>1/(1+EXP(-P237))</x:f>
        <x:v>0.1981285345823684</x:v>
      </x:c>
      <x:c r="R237" s="243" t="n">
        <x:f>D237*J237+E237*K237+L237</x:f>
        <x:v>1.5337017591709572</x:v>
      </x:c>
      <x:c r="S237" s="243" t="n">
        <x:f>1/(1+EXP(-R237))</x:f>
        <x:v>0.8225472803119771</x:v>
      </x:c>
      <x:c r="T237" s="243" t="n">
        <x:f>Q237*M237+S237*N237+O237</x:f>
        <x:v>-0.3431723999942422</x:v>
      </x:c>
      <x:c r="U237" s="243" t="n">
        <x:f>1/(1+EXP(-T237))</x:f>
        <x:v>0.41503906958844466</x:v>
      </x:c>
      <x:c r="V237" s="243" t="n">
        <x:f>0.5*(F237-U237)^2</x:f>
        <x:v>0.0861287146424209</x:v>
      </x:c>
      <x:c r="W237" s="244" t="n">
        <x:f>(U237-F237)*U237*(1-U237)</x:f>
        <x:v>0.10076386610476375</x:v>
      </x:c>
      <x:c r="X237" s="244" t="n">
        <x:f>W237*M237*Q237*(1-Q237)</x:f>
        <x:v>0.03748191725394381</x:v>
      </x:c>
      <x:c r="Y237" s="244" t="n">
        <x:f>W237*N237*S237*(1-S237)</x:f>
        <x:v>-0.03348206472421622</x:v>
      </x:c>
      <x:c r="Z237" s="245" t="n">
        <x:f>X237*D237</x:f>
        <x:v>0</x:v>
      </x:c>
      <x:c r="AA237" s="245" t="n">
        <x:f>X237*E237</x:f>
        <x:v>0</x:v>
      </x:c>
      <x:c r="AB237" s="245" t="n">
        <x:f>X237</x:f>
        <x:v>0.03748191725394381</x:v>
      </x:c>
      <x:c r="AC237" s="245" t="n">
        <x:f>Y237*D237</x:f>
        <x:v>0</x:v>
      </x:c>
      <x:c r="AD237" s="245" t="n">
        <x:f>Y237*E237</x:f>
        <x:v>0</x:v>
      </x:c>
      <x:c r="AE237" s="245" t="n">
        <x:f>Y237</x:f>
        <x:v>-0.03348206472421622</x:v>
      </x:c>
      <x:c r="AF237" s="245" t="n">
        <x:f>W237*Q237</x:f>
        <x:v>0.019964197130190823</x:v>
      </x:c>
      <x:c r="AG237" s="245" t="n">
        <x:f>W237*S237</x:f>
        <x:v>0.08288304401819363</x:v>
      </x:c>
      <x:c r="AH237" s="245" t="n">
        <x:f>W237</x:f>
        <x:v>0.10076386610476375</x:v>
      </x:c>
      <x:c r="AI237" s="246" t="n">
        <x:f>G237-$B$4*Z237</x:f>
        <x:v>1.9495679498784504</x:v>
      </x:c>
      <x:c r="AJ237" s="246" t="n">
        <x:f>H237-$B$4*AA237</x:f>
        <x:v>-2.412340589749527</x:v>
      </x:c>
      <x:c r="AK237" s="246" t="n">
        <x:f>I237-$B$4*AB237</x:f>
        <x:v>-1.435514260081393</x:v>
      </x:c>
      <x:c r="AL237" s="246" t="n">
        <x:f>J237-$B$4*AC237</x:f>
        <x:v>2.1176989384273592</x:v>
      </x:c>
      <x:c r="AM237" s="246" t="n">
        <x:f>K237-$B$4*AD237</x:f>
        <x:v>-2.1630829728179837</x:v>
      </x:c>
      <x:c r="AN237" s="246" t="n">
        <x:f>L237-$B$4*AE237</x:f>
        <x:v>1.5671838238951734</x:v>
      </x:c>
      <x:c r="AO237" s="246" t="n">
        <x:f>M237-$B$4*AF237</x:f>
        <x:v>2.3213795976040723</x:v>
      </x:c>
      <x:c r="AP237" s="246" t="n">
        <x:f>N237-$B$4*AG237</x:f>
        <x:v>-2.359363252104218</x:v>
      </x:c>
      <x:c r="AQ237" s="246" t="n">
        <x:f>O237-$B$4*AH237</x:f>
        <x:v>0.9646893227419758</x:v>
      </x:c>
      <x:c r="AR237" s="182" t="n">
        <x:f>IF(U237&gt;=$B$5,1,0)</x:f>
        <x:v>0</x:v>
      </x:c>
      <x:c r="AS237" s="182" t="n">
        <x:f>IF(AR237=F237,1,0)</x:f>
        <x:v>1</x:v>
      </x:c>
      <x:c r="AT237" s="252" t="n">
        <x:f>ABS(F237-U237)</x:f>
        <x:v>0.41503906958844466</x:v>
      </x:c>
    </x:row>
    <x:row r="238">
      <x:c r="A238" s="114" t="n">
        <x:v>222</x:v>
      </x:c>
      <x:c r="B238" s="114" t="n">
        <x:v>56</x:v>
      </x:c>
      <x:c r="C238" s="114" t="n">
        <x:v>2</x:v>
      </x:c>
      <x:c r="D238" s="168" t="n">
        <x:f>$I$6</x:f>
        <x:v>0</x:v>
      </x:c>
      <x:c r="E238" s="168" t="n">
        <x:f>$J$6</x:f>
        <x:v>1</x:v>
      </x:c>
      <x:c r="F238" s="168" t="n">
        <x:f>$K$6</x:f>
        <x:v>1</x:v>
      </x:c>
      <x:c r="G238" s="242" t="n">
        <x:f>AI237</x:f>
        <x:v>1.9495679498784504</x:v>
      </x:c>
      <x:c r="H238" s="242" t="n">
        <x:f>AJ237</x:f>
        <x:v>-2.412340589749527</x:v>
      </x:c>
      <x:c r="I238" s="242" t="n">
        <x:f>AK237</x:f>
        <x:v>-1.435514260081393</x:v>
      </x:c>
      <x:c r="J238" s="242" t="n">
        <x:f>AL237</x:f>
        <x:v>2.1176989384273592</x:v>
      </x:c>
      <x:c r="K238" s="242" t="n">
        <x:f>AM237</x:f>
        <x:v>-2.1630829728179837</x:v>
      </x:c>
      <x:c r="L238" s="242" t="n">
        <x:f>AN237</x:f>
        <x:v>1.5671838238951734</x:v>
      </x:c>
      <x:c r="M238" s="242" t="n">
        <x:f>AO237</x:f>
        <x:v>2.3213795976040723</x:v>
      </x:c>
      <x:c r="N238" s="242" t="n">
        <x:f>AP237</x:f>
        <x:v>-2.359363252104218</x:v>
      </x:c>
      <x:c r="O238" s="242" t="n">
        <x:f>AQ237</x:f>
        <x:v>0.9646893227419758</x:v>
      </x:c>
      <x:c r="P238" s="243" t="n">
        <x:f>D238*G238+E238*H238+I238</x:f>
        <x:v>-3.84785484983092</x:v>
      </x:c>
      <x:c r="Q238" s="243" t="n">
        <x:f>1/(1+EXP(-P238))</x:f>
        <x:v>0.02088015529805972</x:v>
      </x:c>
      <x:c r="R238" s="243" t="n">
        <x:f>D238*J238+E238*K238+L238</x:f>
        <x:v>-0.5958991489228103</x:v>
      </x:c>
      <x:c r="S238" s="243" t="n">
        <x:f>1/(1+EXP(-R238))</x:f>
        <x:v>0.3552824632984697</x:v>
      </x:c>
      <x:c r="T238" s="243" t="n">
        <x:f>Q238*M238+S238*N238+O238</x:f>
        <x:v>0.17491970122222134</x:v>
      </x:c>
      <x:c r="U238" s="243" t="n">
        <x:f>1/(1+EXP(-T238))</x:f>
        <x:v>0.543618765388611</x:v>
      </x:c>
      <x:c r="V238" s="243" t="n">
        <x:f>0.5*(F238-U238)^2</x:f>
        <x:v>0.10414191565270785</x:v>
      </x:c>
      <x:c r="W238" s="244" t="n">
        <x:f>(U238-F238)*U238*(1-U238)</x:f>
        <x:v>-0.11322699922465981</x:v>
      </x:c>
      <x:c r="X238" s="244" t="n">
        <x:f>W238*M238*Q238*(1-Q238)</x:f>
        <x:v>-0.005373604984693609</x:v>
      </x:c>
      <x:c r="Y238" s="244" t="n">
        <x:f>W238*N238*S238*(1-S238)</x:f>
        <x:v>0.061191072228835755</x:v>
      </x:c>
      <x:c r="Z238" s="245" t="n">
        <x:f>X238*D238</x:f>
        <x:v>0</x:v>
      </x:c>
      <x:c r="AA238" s="245" t="n">
        <x:f>X238*E238</x:f>
        <x:v>-0.005373604984693609</x:v>
      </x:c>
      <x:c r="AB238" s="245" t="n">
        <x:f>X238</x:f>
        <x:v>-0.005373604984693609</x:v>
      </x:c>
      <x:c r="AC238" s="245" t="n">
        <x:f>Y238*D238</x:f>
        <x:v>0</x:v>
      </x:c>
      <x:c r="AD238" s="245" t="n">
        <x:f>Y238*E238</x:f>
        <x:v>0.061191072228835755</x:v>
      </x:c>
      <x:c r="AE238" s="245" t="n">
        <x:f>Y238</x:f>
        <x:v>0.061191072228835755</x:v>
      </x:c>
      <x:c r="AF238" s="245" t="n">
        <x:f>W238*Q238</x:f>
        <x:v>-0.0023641973277441844</x:v>
      </x:c>
      <x:c r="AG238" s="245" t="n">
        <x:f>W238*S238</x:f>
        <x:v>-0.04022756719643106</x:v>
      </x:c>
      <x:c r="AH238" s="245" t="n">
        <x:f>W238</x:f>
        <x:v>-0.11322699922465981</x:v>
      </x:c>
      <x:c r="AI238" s="246" t="n">
        <x:f>G238-$B$4*Z238</x:f>
        <x:v>1.9495679498784504</x:v>
      </x:c>
      <x:c r="AJ238" s="246" t="n">
        <x:f>H238-$B$4*AA238</x:f>
        <x:v>-2.4069669847648334</x:v>
      </x:c>
      <x:c r="AK238" s="246" t="n">
        <x:f>I238-$B$4*AB238</x:f>
        <x:v>-1.4301406550966995</x:v>
      </x:c>
      <x:c r="AL238" s="246" t="n">
        <x:f>J238-$B$4*AC238</x:f>
        <x:v>2.1176989384273592</x:v>
      </x:c>
      <x:c r="AM238" s="246" t="n">
        <x:f>K238-$B$4*AD238</x:f>
        <x:v>-2.2242740450468195</x:v>
      </x:c>
      <x:c r="AN238" s="246" t="n">
        <x:f>L238-$B$4*AE238</x:f>
        <x:v>1.5059927516663376</x:v>
      </x:c>
      <x:c r="AO238" s="246" t="n">
        <x:f>M238-$B$4*AF238</x:f>
        <x:v>2.3237437949318167</x:v>
      </x:c>
      <x:c r="AP238" s="246" t="n">
        <x:f>N238-$B$4*AG238</x:f>
        <x:v>-2.319135684907787</x:v>
      </x:c>
      <x:c r="AQ238" s="246" t="n">
        <x:f>O238-$B$4*AH238</x:f>
        <x:v>1.0779163219666357</x:v>
      </x:c>
      <x:c r="AR238" s="182" t="n">
        <x:f>IF(U238&gt;=$B$5,1,0)</x:f>
        <x:v>1</x:v>
      </x:c>
      <x:c r="AS238" s="182" t="n">
        <x:f>IF(AR238=F238,1,0)</x:f>
        <x:v>1</x:v>
      </x:c>
      <x:c r="AT238" s="252" t="n">
        <x:f>ABS(F238-U238)</x:f>
        <x:v>0.456381234611389</x:v>
      </x:c>
    </x:row>
    <x:row r="239">
      <x:c r="A239" s="114" t="n">
        <x:v>223</x:v>
      </x:c>
      <x:c r="B239" s="114" t="n">
        <x:v>56</x:v>
      </x:c>
      <x:c r="C239" s="114" t="n">
        <x:v>3</x:v>
      </x:c>
      <x:c r="D239" s="168" t="n">
        <x:f>$I$7</x:f>
        <x:v>1</x:v>
      </x:c>
      <x:c r="E239" s="168" t="n">
        <x:f>$J$7</x:f>
        <x:v>0</x:v>
      </x:c>
      <x:c r="F239" s="168" t="n">
        <x:f>$K$7</x:f>
        <x:v>1</x:v>
      </x:c>
      <x:c r="G239" s="242" t="n">
        <x:f>AI238</x:f>
        <x:v>1.9495679498784504</x:v>
      </x:c>
      <x:c r="H239" s="242" t="n">
        <x:f>AJ238</x:f>
        <x:v>-2.4069669847648334</x:v>
      </x:c>
      <x:c r="I239" s="242" t="n">
        <x:f>AK238</x:f>
        <x:v>-1.4301406550966995</x:v>
      </x:c>
      <x:c r="J239" s="242" t="n">
        <x:f>AL238</x:f>
        <x:v>2.1176989384273592</x:v>
      </x:c>
      <x:c r="K239" s="242" t="n">
        <x:f>AM238</x:f>
        <x:v>-2.2242740450468195</x:v>
      </x:c>
      <x:c r="L239" s="242" t="n">
        <x:f>AN238</x:f>
        <x:v>1.5059927516663376</x:v>
      </x:c>
      <x:c r="M239" s="242" t="n">
        <x:f>AO238</x:f>
        <x:v>2.3237437949318167</x:v>
      </x:c>
      <x:c r="N239" s="242" t="n">
        <x:f>AP238</x:f>
        <x:v>-2.319135684907787</x:v>
      </x:c>
      <x:c r="O239" s="242" t="n">
        <x:f>AQ238</x:f>
        <x:v>1.0779163219666357</x:v>
      </x:c>
      <x:c r="P239" s="243" t="n">
        <x:f>D239*G239+E239*H239+I239</x:f>
        <x:v>0.5194272947817509</x:v>
      </x:c>
      <x:c r="Q239" s="243" t="n">
        <x:f>1/(1+EXP(-P239))</x:f>
        <x:v>0.6270138389300552</x:v>
      </x:c>
      <x:c r="R239" s="243" t="n">
        <x:f>D239*J239+E239*K239+L239</x:f>
        <x:v>3.623691690093697</x:v>
      </x:c>
      <x:c r="S239" s="243" t="n">
        <x:f>1/(1+EXP(-R239))</x:f>
        <x:v>0.9740095435301642</x:v>
      </x:c>
      <x:c r="T239" s="243" t="n">
        <x:f>Q239*M239+S239*N239+O239</x:f>
        <x:v>0.2760755496751808</x:v>
      </x:c>
      <x:c r="U239" s="243" t="n">
        <x:f>1/(1+EXP(-T239))</x:f>
        <x:v>0.5685838312263423</x:v>
      </x:c>
      <x:c r="V239" s="243" t="n">
        <x:f>0.5*(F239-U239)^2</x:f>
        <x:v>0.09305995533967057</x:v>
      </x:c>
      <x:c r="W239" s="244" t="n">
        <x:f>(U239-F239)*U239*(1-U239)</x:f>
        <x:v>-0.1058247718815644</x:v>
      </x:c>
      <x:c r="X239" s="244" t="n">
        <x:f>W239*M239*Q239*(1-Q239)</x:f>
        <x:v>-0.057510272953315414</x:v>
      </x:c>
      <x:c r="Y239" s="244" t="n">
        <x:f>W239*N239*S239*(1-S239)</x:f>
        <x:v>0.006212846429346193</x:v>
      </x:c>
      <x:c r="Z239" s="245" t="n">
        <x:f>X239*D239</x:f>
        <x:v>-0.057510272953315414</x:v>
      </x:c>
      <x:c r="AA239" s="245" t="n">
        <x:f>X239*E239</x:f>
        <x:v>0</x:v>
      </x:c>
      <x:c r="AB239" s="245" t="n">
        <x:f>X239</x:f>
        <x:v>-0.057510272953315414</x:v>
      </x:c>
      <x:c r="AC239" s="245" t="n">
        <x:f>Y239*D239</x:f>
        <x:v>0.006212846429346193</x:v>
      </x:c>
      <x:c r="AD239" s="245" t="n">
        <x:f>Y239*E239</x:f>
        <x:v>0</x:v>
      </x:c>
      <x:c r="AE239" s="245" t="n">
        <x:f>Y239</x:f>
        <x:v>0.006212846429346193</x:v>
      </x:c>
      <x:c r="AF239" s="245" t="n">
        <x:f>W239*Q239</x:f>
        <x:v>-0.06635359647135707</x:v>
      </x:c>
      <x:c r="AG239" s="245" t="n">
        <x:f>W239*S239</x:f>
        <x:v>-0.1030743377545463</x:v>
      </x:c>
      <x:c r="AH239" s="245" t="n">
        <x:f>W239</x:f>
        <x:v>-0.1058247718815644</x:v>
      </x:c>
      <x:c r="AI239" s="246" t="n">
        <x:f>G239-$B$4*Z239</x:f>
        <x:v>2.007078222831766</x:v>
      </x:c>
      <x:c r="AJ239" s="246" t="n">
        <x:f>H239-$B$4*AA239</x:f>
        <x:v>-2.4069669847648334</x:v>
      </x:c>
      <x:c r="AK239" s="246" t="n">
        <x:f>I239-$B$4*AB239</x:f>
        <x:v>-1.372630382143384</x:v>
      </x:c>
      <x:c r="AL239" s="246" t="n">
        <x:f>J239-$B$4*AC239</x:f>
        <x:v>2.111486091998013</x:v>
      </x:c>
      <x:c r="AM239" s="246" t="n">
        <x:f>K239-$B$4*AD239</x:f>
        <x:v>-2.2242740450468195</x:v>
      </x:c>
      <x:c r="AN239" s="246" t="n">
        <x:f>L239-$B$4*AE239</x:f>
        <x:v>1.4997799052369913</x:v>
      </x:c>
      <x:c r="AO239" s="246" t="n">
        <x:f>M239-$B$4*AF239</x:f>
        <x:v>2.390097391403174</x:v>
      </x:c>
      <x:c r="AP239" s="246" t="n">
        <x:f>N239-$B$4*AG239</x:f>
        <x:v>-2.2160613471532407</x:v>
      </x:c>
      <x:c r="AQ239" s="246" t="n">
        <x:f>O239-$B$4*AH239</x:f>
        <x:v>1.1837410938482</x:v>
      </x:c>
      <x:c r="AR239" s="182" t="n">
        <x:f>IF(U239&gt;=$B$5,1,0)</x:f>
        <x:v>1</x:v>
      </x:c>
      <x:c r="AS239" s="182" t="n">
        <x:f>IF(AR239=F239,1,0)</x:f>
        <x:v>1</x:v>
      </x:c>
      <x:c r="AT239" s="252" t="n">
        <x:f>ABS(F239-U239)</x:f>
        <x:v>0.43141616877365774</x:v>
      </x:c>
    </x:row>
    <x:row r="240">
      <x:c r="A240" s="114" t="n">
        <x:v>224</x:v>
      </x:c>
      <x:c r="B240" s="114" t="n">
        <x:v>56</x:v>
      </x:c>
      <x:c r="C240" s="114" t="n">
        <x:v>4</x:v>
      </x:c>
      <x:c r="D240" s="168" t="n">
        <x:f>$I$8</x:f>
        <x:v>1</x:v>
      </x:c>
      <x:c r="E240" s="168" t="n">
        <x:f>$J$8</x:f>
        <x:v>1</x:v>
      </x:c>
      <x:c r="F240" s="168" t="n">
        <x:f>$K$8</x:f>
        <x:v>0</x:v>
      </x:c>
      <x:c r="G240" s="242" t="n">
        <x:f>AI239</x:f>
        <x:v>2.007078222831766</x:v>
      </x:c>
      <x:c r="H240" s="242" t="n">
        <x:f>AJ239</x:f>
        <x:v>-2.4069669847648334</x:v>
      </x:c>
      <x:c r="I240" s="242" t="n">
        <x:f>AK239</x:f>
        <x:v>-1.372630382143384</x:v>
      </x:c>
      <x:c r="J240" s="242" t="n">
        <x:f>AL239</x:f>
        <x:v>2.111486091998013</x:v>
      </x:c>
      <x:c r="K240" s="242" t="n">
        <x:f>AM239</x:f>
        <x:v>-2.2242740450468195</x:v>
      </x:c>
      <x:c r="L240" s="242" t="n">
        <x:f>AN239</x:f>
        <x:v>1.4997799052369913</x:v>
      </x:c>
      <x:c r="M240" s="242" t="n">
        <x:f>AO239</x:f>
        <x:v>2.390097391403174</x:v>
      </x:c>
      <x:c r="N240" s="242" t="n">
        <x:f>AP239</x:f>
        <x:v>-2.2160613471532407</x:v>
      </x:c>
      <x:c r="O240" s="242" t="n">
        <x:f>AQ239</x:f>
        <x:v>1.1837410938482</x:v>
      </x:c>
      <x:c r="P240" s="243" t="n">
        <x:f>D240*G240+E240*H240+I240</x:f>
        <x:v>-1.7725191440764516</x:v>
      </x:c>
      <x:c r="Q240" s="243" t="n">
        <x:f>1/(1+EXP(-P240))</x:f>
        <x:v>0.14522932843870615</x:v>
      </x:c>
      <x:c r="R240" s="243" t="n">
        <x:f>D240*J240+E240*K240+L240</x:f>
        <x:v>1.3869919521881848</x:v>
      </x:c>
      <x:c r="S240" s="243" t="n">
        <x:f>1/(1+EXP(-R240))</x:f>
        <x:v>0.8001115912128918</x:v>
      </x:c>
      <x:c r="T240" s="243" t="n">
        <x:f>Q240*M240+S240*N240+O240</x:f>
        <x:v>-0.24224303779137757</x:v>
      </x:c>
      <x:c r="U240" s="243" t="n">
        <x:f>1/(1+EXP(-T240))</x:f>
        <x:v>0.43973366358809635</x:v>
      </x:c>
      <x:c r="V240" s="243" t="n">
        <x:f>0.5*(F240-U240)^2</x:f>
        <x:v>0.09668284744630455</x:v>
      </x:c>
      <x:c r="W240" s="244" t="n">
        <x:f>(U240-F240)*U240*(1-U240)</x:f>
        <x:v>0.10833628946522404</x:v>
      </x:c>
      <x:c r="X240" s="244" t="n">
        <x:f>W240*M240*Q240*(1-Q240)</x:f>
        <x:v>0.03214352460429109</x:v>
      </x:c>
      <x:c r="Y240" s="244" t="n">
        <x:f>W240*N240*S240*(1-S240)</x:f>
        <x:v>-0.0383967007009433</x:v>
      </x:c>
      <x:c r="Z240" s="245" t="n">
        <x:f>X240*D240</x:f>
        <x:v>0.03214352460429109</x:v>
      </x:c>
      <x:c r="AA240" s="245" t="n">
        <x:f>X240*E240</x:f>
        <x:v>0.03214352460429109</x:v>
      </x:c>
      <x:c r="AB240" s="245" t="n">
        <x:f>X240</x:f>
        <x:v>0.03214352460429109</x:v>
      </x:c>
      <x:c r="AC240" s="245" t="n">
        <x:f>Y240*D240</x:f>
        <x:v>-0.0383967007009433</x:v>
      </x:c>
      <x:c r="AD240" s="245" t="n">
        <x:f>Y240*E240</x:f>
        <x:v>-0.0383967007009433</x:v>
      </x:c>
      <x:c r="AE240" s="245" t="n">
        <x:f>Y240</x:f>
        <x:v>-0.0383967007009433</x:v>
      </x:c>
      <x:c r="AF240" s="245" t="n">
        <x:f>W240*Q240</x:f>
        <x:v>0.015733606564575762</x:v>
      </x:c>
      <x:c r="AG240" s="245" t="n">
        <x:f>W240*S240</x:f>
        <x:v>0.08668112095012086</x:v>
      </x:c>
      <x:c r="AH240" s="245" t="n">
        <x:f>W240</x:f>
        <x:v>0.10833628946522404</x:v>
      </x:c>
      <x:c r="AI240" s="246" t="n">
        <x:f>G240-$B$4*Z240</x:f>
        <x:v>1.9749346982274747</x:v>
      </x:c>
      <x:c r="AJ240" s="246" t="n">
        <x:f>H240-$B$4*AA240</x:f>
        <x:v>-2.4391105093691245</x:v>
      </x:c>
      <x:c r="AK240" s="246" t="n">
        <x:f>I240-$B$4*AB240</x:f>
        <x:v>-1.4047739067476752</x:v>
      </x:c>
      <x:c r="AL240" s="246" t="n">
        <x:f>J240-$B$4*AC240</x:f>
        <x:v>2.149882792698956</x:v>
      </x:c>
      <x:c r="AM240" s="246" t="n">
        <x:f>K240-$B$4*AD240</x:f>
        <x:v>-2.1858773443458763</x:v>
      </x:c>
      <x:c r="AN240" s="246" t="n">
        <x:f>L240-$B$4*AE240</x:f>
        <x:v>1.5381766059379347</x:v>
      </x:c>
      <x:c r="AO240" s="246" t="n">
        <x:f>M240-$B$4*AF240</x:f>
        <x:v>2.374363784838598</x:v>
      </x:c>
      <x:c r="AP240" s="246" t="n">
        <x:f>N240-$B$4*AG240</x:f>
        <x:v>-2.3027424681033617</x:v>
      </x:c>
      <x:c r="AQ240" s="246" t="n">
        <x:f>O240-$B$4*AH240</x:f>
        <x:v>1.075404804382976</x:v>
      </x:c>
      <x:c r="AR240" s="182" t="n">
        <x:f>IF(U240&gt;=$B$5,1,0)</x:f>
        <x:v>0</x:v>
      </x:c>
      <x:c r="AS240" s="182" t="n">
        <x:f>IF(AR240=F240,1,0)</x:f>
        <x:v>1</x:v>
      </x:c>
      <x:c r="AT240" s="252" t="n">
        <x:f>ABS(F240-U240)</x:f>
        <x:v>0.43973366358809635</x:v>
      </x:c>
    </x:row>
    <x:row r="241">
      <x:c r="A241" s="114" t="n">
        <x:v>225</x:v>
      </x:c>
      <x:c r="B241" s="114" t="n">
        <x:v>57</x:v>
      </x:c>
      <x:c r="C241" s="114" t="n">
        <x:v>1</x:v>
      </x:c>
      <x:c r="D241" s="168" t="n">
        <x:f>$I$5</x:f>
        <x:v>0</x:v>
      </x:c>
      <x:c r="E241" s="168" t="n">
        <x:f>$J$5</x:f>
        <x:v>0</x:v>
      </x:c>
      <x:c r="F241" s="168" t="n">
        <x:f>$K$5</x:f>
        <x:v>0</x:v>
      </x:c>
      <x:c r="G241" s="242" t="n">
        <x:f>AI240</x:f>
        <x:v>1.9749346982274747</x:v>
      </x:c>
      <x:c r="H241" s="242" t="n">
        <x:f>AJ240</x:f>
        <x:v>-2.4391105093691245</x:v>
      </x:c>
      <x:c r="I241" s="242" t="n">
        <x:f>AK240</x:f>
        <x:v>-1.4047739067476752</x:v>
      </x:c>
      <x:c r="J241" s="242" t="n">
        <x:f>AL240</x:f>
        <x:v>2.149882792698956</x:v>
      </x:c>
      <x:c r="K241" s="242" t="n">
        <x:f>AM240</x:f>
        <x:v>-2.1858773443458763</x:v>
      </x:c>
      <x:c r="L241" s="242" t="n">
        <x:f>AN240</x:f>
        <x:v>1.5381766059379347</x:v>
      </x:c>
      <x:c r="M241" s="242" t="n">
        <x:f>AO240</x:f>
        <x:v>2.374363784838598</x:v>
      </x:c>
      <x:c r="N241" s="242" t="n">
        <x:f>AP240</x:f>
        <x:v>-2.3027424681033617</x:v>
      </x:c>
      <x:c r="O241" s="242" t="n">
        <x:f>AQ240</x:f>
        <x:v>1.075404804382976</x:v>
      </x:c>
      <x:c r="P241" s="243" t="n">
        <x:f>D241*G241+E241*H241+I241</x:f>
        <x:v>-1.4047739067476752</x:v>
      </x:c>
      <x:c r="Q241" s="243" t="n">
        <x:f>1/(1+EXP(-P241))</x:f>
        <x:v>0.19705965723425647</x:v>
      </x:c>
      <x:c r="R241" s="243" t="n">
        <x:f>D241*J241+E241*K241+L241</x:f>
        <x:v>1.5381766059379347</x:v>
      </x:c>
      <x:c r="S241" s="243" t="n">
        <x:f>1/(1+EXP(-R241))</x:f>
        <x:v>0.8231995010272264</x:v>
      </x:c>
      <x:c r="T241" s="243" t="n">
        <x:f>Q241*M241+S241*N241+O241</x:f>
        <x:v>-0.35232033276418906</x:v>
      </x:c>
      <x:c r="U241" s="243" t="n">
        <x:f>1/(1+EXP(-T241))</x:f>
        <x:v>0.4128198597486492</x:v>
      </x:c>
      <x:c r="V241" s="243" t="n">
        <x:f>0.5*(F241-U241)^2</x:f>
        <x:v>0.0852101183014472</x:v>
      </x:c>
      <x:c r="W241" s="244" t="n">
        <x:f>(U241-F241)*U241*(1-U241)</x:f>
        <x:v>0.10006737843015592</x:v>
      </x:c>
      <x:c r="X241" s="244" t="n">
        <x:f>W241*M241*Q241*(1-Q241)</x:f>
        <x:v>0.03759419449344508</x:v>
      </x:c>
      <x:c r="Y241" s="244" t="n">
        <x:f>W241*N241*S241*(1-S241)</x:f>
        <x:v>-0.033537175042057776</x:v>
      </x:c>
      <x:c r="Z241" s="245" t="n">
        <x:f>X241*D241</x:f>
        <x:v>0</x:v>
      </x:c>
      <x:c r="AA241" s="245" t="n">
        <x:f>X241*E241</x:f>
        <x:v>0</x:v>
      </x:c>
      <x:c r="AB241" s="245" t="n">
        <x:f>X241</x:f>
        <x:v>0.03759419449344508</x:v>
      </x:c>
      <x:c r="AC241" s="245" t="n">
        <x:f>Y241*D241</x:f>
        <x:v>0</x:v>
      </x:c>
      <x:c r="AD241" s="245" t="n">
        <x:f>Y241*E241</x:f>
        <x:v>0</x:v>
      </x:c>
      <x:c r="AE241" s="245" t="n">
        <x:f>Y241</x:f>
        <x:v>-0.033537175042057776</x:v>
      </x:c>
      <x:c r="AF241" s="245" t="n">
        <x:f>W241*Q241</x:f>
        <x:v>0.019719243293777156</x:v>
      </x:c>
      <x:c r="AG241" s="245" t="n">
        <x:f>W241*S241</x:f>
        <x:v>0.082375415992807</x:v>
      </x:c>
      <x:c r="AH241" s="245" t="n">
        <x:f>W241</x:f>
        <x:v>0.10006737843015592</x:v>
      </x:c>
      <x:c r="AI241" s="246" t="n">
        <x:f>G241-$B$4*Z241</x:f>
        <x:v>1.9749346982274747</x:v>
      </x:c>
      <x:c r="AJ241" s="246" t="n">
        <x:f>H241-$B$4*AA241</x:f>
        <x:v>-2.4391105093691245</x:v>
      </x:c>
      <x:c r="AK241" s="246" t="n">
        <x:f>I241-$B$4*AB241</x:f>
        <x:v>-1.4423681012411202</x:v>
      </x:c>
      <x:c r="AL241" s="246" t="n">
        <x:f>J241-$B$4*AC241</x:f>
        <x:v>2.149882792698956</x:v>
      </x:c>
      <x:c r="AM241" s="246" t="n">
        <x:f>K241-$B$4*AD241</x:f>
        <x:v>-2.1858773443458763</x:v>
      </x:c>
      <x:c r="AN241" s="246" t="n">
        <x:f>L241-$B$4*AE241</x:f>
        <x:v>1.5717137809799926</x:v>
      </x:c>
      <x:c r="AO241" s="246" t="n">
        <x:f>M241-$B$4*AF241</x:f>
        <x:v>2.354644541544821</x:v>
      </x:c>
      <x:c r="AP241" s="246" t="n">
        <x:f>N241-$B$4*AG241</x:f>
        <x:v>-2.385117884096169</x:v>
      </x:c>
      <x:c r="AQ241" s="246" t="n">
        <x:f>O241-$B$4*AH241</x:f>
        <x:v>0.9753374259528201</x:v>
      </x:c>
      <x:c r="AR241" s="182" t="n">
        <x:f>IF(U241&gt;=$B$5,1,0)</x:f>
        <x:v>0</x:v>
      </x:c>
      <x:c r="AS241" s="182" t="n">
        <x:f>IF(AR241=F241,1,0)</x:f>
        <x:v>1</x:v>
      </x:c>
      <x:c r="AT241" s="252" t="n">
        <x:f>ABS(F241-U241)</x:f>
        <x:v>0.4128198597486492</x:v>
      </x:c>
    </x:row>
    <x:row r="242">
      <x:c r="A242" s="114" t="n">
        <x:v>226</x:v>
      </x:c>
      <x:c r="B242" s="114" t="n">
        <x:v>57</x:v>
      </x:c>
      <x:c r="C242" s="114" t="n">
        <x:v>2</x:v>
      </x:c>
      <x:c r="D242" s="168" t="n">
        <x:f>$I$6</x:f>
        <x:v>0</x:v>
      </x:c>
      <x:c r="E242" s="168" t="n">
        <x:f>$J$6</x:f>
        <x:v>1</x:v>
      </x:c>
      <x:c r="F242" s="168" t="n">
        <x:f>$K$6</x:f>
        <x:v>1</x:v>
      </x:c>
      <x:c r="G242" s="242" t="n">
        <x:f>AI241</x:f>
        <x:v>1.9749346982274747</x:v>
      </x:c>
      <x:c r="H242" s="242" t="n">
        <x:f>AJ241</x:f>
        <x:v>-2.4391105093691245</x:v>
      </x:c>
      <x:c r="I242" s="242" t="n">
        <x:f>AK241</x:f>
        <x:v>-1.4423681012411202</x:v>
      </x:c>
      <x:c r="J242" s="242" t="n">
        <x:f>AL241</x:f>
        <x:v>2.149882792698956</x:v>
      </x:c>
      <x:c r="K242" s="242" t="n">
        <x:f>AM241</x:f>
        <x:v>-2.1858773443458763</x:v>
      </x:c>
      <x:c r="L242" s="242" t="n">
        <x:f>AN241</x:f>
        <x:v>1.5717137809799926</x:v>
      </x:c>
      <x:c r="M242" s="242" t="n">
        <x:f>AO241</x:f>
        <x:v>2.354644541544821</x:v>
      </x:c>
      <x:c r="N242" s="242" t="n">
        <x:f>AP241</x:f>
        <x:v>-2.385117884096169</x:v>
      </x:c>
      <x:c r="O242" s="242" t="n">
        <x:f>AQ241</x:f>
        <x:v>0.9753374259528201</x:v>
      </x:c>
      <x:c r="P242" s="243" t="n">
        <x:f>D242*G242+E242*H242+I242</x:f>
        <x:v>-3.8814786106102446</x:v>
      </x:c>
      <x:c r="Q242" s="243" t="n">
        <x:f>1/(1+EXP(-P242))</x:f>
        <x:v>0.020203706460374803</x:v>
      </x:c>
      <x:c r="R242" s="243" t="n">
        <x:f>D242*J242+E242*K242+L242</x:f>
        <x:v>-0.6141635633658837</x:v>
      </x:c>
      <x:c r="S242" s="243" t="n">
        <x:f>1/(1+EXP(-R242))</x:f>
        <x:v>0.3511100188564285</x:v>
      </x:c>
      <x:c r="T242" s="243" t="n">
        <x:f>Q242*M242+S242*N242+O242</x:f>
        <x:v>0.1854711878289047</x:v>
      </x:c>
      <x:c r="U242" s="243" t="n">
        <x:f>1/(1+EXP(-T242))</x:f>
        <x:v>0.5462353332841557</x:v>
      </x:c>
      <x:c r="V242" s="243" t="n">
        <x:f>0.5*(F242-U242)^2</x:f>
        <x:v>0.10295118637987061</x:v>
      </x:c>
      <x:c r="W242" s="244" t="n">
        <x:f>(U242-F242)*U242*(1-U242)</x:f>
        <x:v>-0.11247115120841572</x:v>
      </x:c>
      <x:c r="X242" s="244" t="n">
        <x:f>W242*M242*Q242*(1-Q242)</x:f>
        <x:v>-0.005242438420055183</x:v>
      </x:c>
      <x:c r="Y242" s="244" t="n">
        <x:f>W242*N242*S242*(1-S242)</x:f>
        <x:v>0.06111745763133093</x:v>
      </x:c>
      <x:c r="Z242" s="245" t="n">
        <x:f>X242*D242</x:f>
        <x:v>0</x:v>
      </x:c>
      <x:c r="AA242" s="245" t="n">
        <x:f>X242*E242</x:f>
        <x:v>-0.005242438420055183</x:v>
      </x:c>
      <x:c r="AB242" s="245" t="n">
        <x:f>X242</x:f>
        <x:v>-0.005242438420055183</x:v>
      </x:c>
      <x:c r="AC242" s="245" t="n">
        <x:f>Y242*D242</x:f>
        <x:v>0</x:v>
      </x:c>
      <x:c r="AD242" s="245" t="n">
        <x:f>Y242*E242</x:f>
        <x:v>0.06111745763133093</x:v>
      </x:c>
      <x:c r="AE242" s="245" t="n">
        <x:f>Y242</x:f>
        <x:v>0.06111745763133093</x:v>
      </x:c>
      <x:c r="AF242" s="245" t="n">
        <x:f>W242*Q242</x:f>
        <x:v>-0.0022723341242752598</x:v>
      </x:c>
      <x:c r="AG242" s="245" t="n">
        <x:f>W242*S242</x:f>
        <x:v>-0.03948974802159107</x:v>
      </x:c>
      <x:c r="AH242" s="245" t="n">
        <x:f>W242</x:f>
        <x:v>-0.11247115120841572</x:v>
      </x:c>
      <x:c r="AI242" s="246" t="n">
        <x:f>G242-$B$4*Z242</x:f>
        <x:v>1.9749346982274747</x:v>
      </x:c>
      <x:c r="AJ242" s="246" t="n">
        <x:f>H242-$B$4*AA242</x:f>
        <x:v>-2.433868070949069</x:v>
      </x:c>
      <x:c r="AK242" s="246" t="n">
        <x:f>I242-$B$4*AB242</x:f>
        <x:v>-1.4371256628210651</x:v>
      </x:c>
      <x:c r="AL242" s="246" t="n">
        <x:f>J242-$B$4*AC242</x:f>
        <x:v>2.149882792698956</x:v>
      </x:c>
      <x:c r="AM242" s="246" t="n">
        <x:f>K242-$B$4*AD242</x:f>
        <x:v>-2.2469948019772072</x:v>
      </x:c>
      <x:c r="AN242" s="246" t="n">
        <x:f>L242-$B$4*AE242</x:f>
        <x:v>1.5105963233486617</x:v>
      </x:c>
      <x:c r="AO242" s="246" t="n">
        <x:f>M242-$B$4*AF242</x:f>
        <x:v>2.3569168756690964</x:v>
      </x:c>
      <x:c r="AP242" s="246" t="n">
        <x:f>N242-$B$4*AG242</x:f>
        <x:v>-2.345628136074578</x:v>
      </x:c>
      <x:c r="AQ242" s="246" t="n">
        <x:f>O242-$B$4*AH242</x:f>
        <x:v>1.0878085771612358</x:v>
      </x:c>
      <x:c r="AR242" s="182" t="n">
        <x:f>IF(U242&gt;=$B$5,1,0)</x:f>
        <x:v>1</x:v>
      </x:c>
      <x:c r="AS242" s="182" t="n">
        <x:f>IF(AR242=F242,1,0)</x:f>
        <x:v>1</x:v>
      </x:c>
      <x:c r="AT242" s="252" t="n">
        <x:f>ABS(F242-U242)</x:f>
        <x:v>0.45376466671584426</x:v>
      </x:c>
    </x:row>
    <x:row r="243">
      <x:c r="A243" s="114" t="n">
        <x:v>227</x:v>
      </x:c>
      <x:c r="B243" s="114" t="n">
        <x:v>57</x:v>
      </x:c>
      <x:c r="C243" s="114" t="n">
        <x:v>3</x:v>
      </x:c>
      <x:c r="D243" s="168" t="n">
        <x:f>$I$7</x:f>
        <x:v>1</x:v>
      </x:c>
      <x:c r="E243" s="168" t="n">
        <x:f>$J$7</x:f>
        <x:v>0</x:v>
      </x:c>
      <x:c r="F243" s="168" t="n">
        <x:f>$K$7</x:f>
        <x:v>1</x:v>
      </x:c>
      <x:c r="G243" s="242" t="n">
        <x:f>AI242</x:f>
        <x:v>1.9749346982274747</x:v>
      </x:c>
      <x:c r="H243" s="242" t="n">
        <x:f>AJ242</x:f>
        <x:v>-2.433868070949069</x:v>
      </x:c>
      <x:c r="I243" s="242" t="n">
        <x:f>AK242</x:f>
        <x:v>-1.4371256628210651</x:v>
      </x:c>
      <x:c r="J243" s="242" t="n">
        <x:f>AL242</x:f>
        <x:v>2.149882792698956</x:v>
      </x:c>
      <x:c r="K243" s="242" t="n">
        <x:f>AM242</x:f>
        <x:v>-2.2469948019772072</x:v>
      </x:c>
      <x:c r="L243" s="242" t="n">
        <x:f>AN242</x:f>
        <x:v>1.5105963233486617</x:v>
      </x:c>
      <x:c r="M243" s="242" t="n">
        <x:f>AO242</x:f>
        <x:v>2.3569168756690964</x:v>
      </x:c>
      <x:c r="N243" s="242" t="n">
        <x:f>AP242</x:f>
        <x:v>-2.345628136074578</x:v>
      </x:c>
      <x:c r="O243" s="242" t="n">
        <x:f>AQ242</x:f>
        <x:v>1.0878085771612358</x:v>
      </x:c>
      <x:c r="P243" s="243" t="n">
        <x:f>D243*G243+E243*H243+I243</x:f>
        <x:v>0.5378090354064096</x:v>
      </x:c>
      <x:c r="Q243" s="243" t="n">
        <x:f>1/(1+EXP(-P243))</x:f>
        <x:v>0.6313025965009819</x:v>
      </x:c>
      <x:c r="R243" s="243" t="n">
        <x:f>D243*J243+E243*K243+L243</x:f>
        <x:v>3.6604791160476178</x:v>
      </x:c>
      <x:c r="S243" s="243" t="n">
        <x:f>1/(1+EXP(-R243))</x:f>
        <x:v>0.9749247532123523</x:v>
      </x:c>
      <x:c r="T243" s="243" t="n">
        <x:f>Q243*M243+S243*N243+O243</x:f>
        <x:v>0.2889253888176604</x:v>
      </x:c>
      <x:c r="U243" s="243" t="n">
        <x:f>1/(1+EXP(-T243))</x:f>
        <x:v>0.5717330299915236</x:v>
      </x:c>
      <x:c r="V243" s="243" t="n">
        <x:f>0.5*(F243-U243)^2</x:f>
        <x:v>0.09170629880012059</x:v>
      </x:c>
      <x:c r="W243" s="244" t="n">
        <x:f>(U243-F243)*U243*(1-U243)</x:f>
        <x:v>-0.10486304016460196</x:v>
      </x:c>
      <x:c r="X243" s="244" t="n">
        <x:f>W243*M243*Q243*(1-Q243)</x:f>
        <x:v>-0.05752734954045674</x:v>
      </x:c>
      <x:c r="Y243" s="244" t="n">
        <x:f>W243*N243*S243*(1-S243)</x:f>
        <x:v>0.0060130929906194</x:v>
      </x:c>
      <x:c r="Z243" s="245" t="n">
        <x:f>X243*D243</x:f>
        <x:v>-0.05752734954045674</x:v>
      </x:c>
      <x:c r="AA243" s="245" t="n">
        <x:f>X243*E243</x:f>
        <x:v>0</x:v>
      </x:c>
      <x:c r="AB243" s="245" t="n">
        <x:f>X243</x:f>
        <x:v>-0.05752734954045674</x:v>
      </x:c>
      <x:c r="AC243" s="245" t="n">
        <x:f>Y243*D243</x:f>
        <x:v>0.0060130929906194</x:v>
      </x:c>
      <x:c r="AD243" s="245" t="n">
        <x:f>Y243*E243</x:f>
        <x:v>0</x:v>
      </x:c>
      <x:c r="AE243" s="245" t="n">
        <x:f>Y243</x:f>
        <x:v>0.0060130929906194</x:v>
      </x:c>
      <x:c r="AF243" s="245" t="n">
        <x:f>W243*Q243</x:f>
        <x:v>-0.06620030953289997</x:v>
      </x:c>
      <x:c r="AG243" s="245" t="n">
        <x:f>W243*S243</x:f>
        <x:v>-0.10223357355357156</x:v>
      </x:c>
      <x:c r="AH243" s="245" t="n">
        <x:f>W243</x:f>
        <x:v>-0.10486304016460196</x:v>
      </x:c>
      <x:c r="AI243" s="246" t="n">
        <x:f>G243-$B$4*Z243</x:f>
        <x:v>2.0324620477679316</x:v>
      </x:c>
      <x:c r="AJ243" s="246" t="n">
        <x:f>H243-$B$4*AA243</x:f>
        <x:v>-2.433868070949069</x:v>
      </x:c>
      <x:c r="AK243" s="246" t="n">
        <x:f>I243-$B$4*AB243</x:f>
        <x:v>-1.3795983132806084</x:v>
      </x:c>
      <x:c r="AL243" s="246" t="n">
        <x:f>J243-$B$4*AC243</x:f>
        <x:v>2.1438696997083366</x:v>
      </x:c>
      <x:c r="AM243" s="246" t="n">
        <x:f>K243-$B$4*AD243</x:f>
        <x:v>-2.2469948019772072</x:v>
      </x:c>
      <x:c r="AN243" s="246" t="n">
        <x:f>L243-$B$4*AE243</x:f>
        <x:v>1.5045832303580422</x:v>
      </x:c>
      <x:c r="AO243" s="246" t="n">
        <x:f>M243-$B$4*AF243</x:f>
        <x:v>2.4231171852019964</x:v>
      </x:c>
      <x:c r="AP243" s="246" t="n">
        <x:f>N243-$B$4*AG243</x:f>
        <x:v>-2.243394562521006</x:v>
      </x:c>
      <x:c r="AQ243" s="246" t="n">
        <x:f>O243-$B$4*AH243</x:f>
        <x:v>1.1926716173258378</x:v>
      </x:c>
      <x:c r="AR243" s="182" t="n">
        <x:f>IF(U243&gt;=$B$5,1,0)</x:f>
        <x:v>1</x:v>
      </x:c>
      <x:c r="AS243" s="182" t="n">
        <x:f>IF(AR243=F243,1,0)</x:f>
        <x:v>1</x:v>
      </x:c>
      <x:c r="AT243" s="252" t="n">
        <x:f>ABS(F243-U243)</x:f>
        <x:v>0.42826697000847636</x:v>
      </x:c>
    </x:row>
    <x:row r="244">
      <x:c r="A244" s="114" t="n">
        <x:v>228</x:v>
      </x:c>
      <x:c r="B244" s="114" t="n">
        <x:v>57</x:v>
      </x:c>
      <x:c r="C244" s="114" t="n">
        <x:v>4</x:v>
      </x:c>
      <x:c r="D244" s="168" t="n">
        <x:f>$I$8</x:f>
        <x:v>1</x:v>
      </x:c>
      <x:c r="E244" s="168" t="n">
        <x:f>$J$8</x:f>
        <x:v>1</x:v>
      </x:c>
      <x:c r="F244" s="168" t="n">
        <x:f>$K$8</x:f>
        <x:v>0</x:v>
      </x:c>
      <x:c r="G244" s="242" t="n">
        <x:f>AI243</x:f>
        <x:v>2.0324620477679316</x:v>
      </x:c>
      <x:c r="H244" s="242" t="n">
        <x:f>AJ243</x:f>
        <x:v>-2.433868070949069</x:v>
      </x:c>
      <x:c r="I244" s="242" t="n">
        <x:f>AK243</x:f>
        <x:v>-1.3795983132806084</x:v>
      </x:c>
      <x:c r="J244" s="242" t="n">
        <x:f>AL243</x:f>
        <x:v>2.1438696997083366</x:v>
      </x:c>
      <x:c r="K244" s="242" t="n">
        <x:f>AM243</x:f>
        <x:v>-2.2469948019772072</x:v>
      </x:c>
      <x:c r="L244" s="242" t="n">
        <x:f>AN243</x:f>
        <x:v>1.5045832303580422</x:v>
      </x:c>
      <x:c r="M244" s="242" t="n">
        <x:f>AO243</x:f>
        <x:v>2.4231171852019964</x:v>
      </x:c>
      <x:c r="N244" s="242" t="n">
        <x:f>AP243</x:f>
        <x:v>-2.243394562521006</x:v>
      </x:c>
      <x:c r="O244" s="242" t="n">
        <x:f>AQ243</x:f>
        <x:v>1.1926716173258378</x:v>
      </x:c>
      <x:c r="P244" s="243" t="n">
        <x:f>D244*G244+E244*H244+I244</x:f>
        <x:v>-1.781004336461746</x:v>
      </x:c>
      <x:c r="Q244" s="243" t="n">
        <x:f>1/(1+EXP(-P244))</x:f>
        <x:v>0.14417916318347412</x:v>
      </x:c>
      <x:c r="R244" s="243" t="n">
        <x:f>D244*J244+E244*K244+L244</x:f>
        <x:v>1.4014581280891716</x:v>
      </x:c>
      <x:c r="S244" s="243" t="n">
        <x:f>1/(1+EXP(-R244))</x:f>
        <x:v>0.8024151695163027</x:v>
      </x:c>
      <x:c r="T244" s="243" t="n">
        <x:f>Q244*M244+S244*N244+O244</x:f>
        <x:v>-0.25809920279348786</x:v>
      </x:c>
      <x:c r="U244" s="243" t="n">
        <x:f>1/(1+EXP(-T244))</x:f>
        <x:v>0.43583102352646025</x:v>
      </x:c>
      <x:c r="V244" s="243" t="n">
        <x:f>0.5*(F244-U244)^2</x:f>
        <x:v>0.09497434053406097</x:v>
      </x:c>
      <x:c r="W244" s="244" t="n">
        <x:f>(U244-F244)*U244*(1-U244)</x:f>
        <x:v>0.1071631529807012</x:v>
      </x:c>
      <x:c r="X244" s="244" t="n">
        <x:f>W244*M244*Q244*(1-Q244)</x:f>
        <x:v>0.03204094064340744</x:v>
      </x:c>
      <x:c r="Y244" s="244" t="n">
        <x:f>W244*N244*S244*(1-S244)</x:f>
        <x:v>-0.03811569780127742</x:v>
      </x:c>
      <x:c r="Z244" s="245" t="n">
        <x:f>X244*D244</x:f>
        <x:v>0.03204094064340744</x:v>
      </x:c>
      <x:c r="AA244" s="245" t="n">
        <x:f>X244*E244</x:f>
        <x:v>0.03204094064340744</x:v>
      </x:c>
      <x:c r="AB244" s="245" t="n">
        <x:f>X244</x:f>
        <x:v>0.03204094064340744</x:v>
      </x:c>
      <x:c r="AC244" s="245" t="n">
        <x:f>Y244*D244</x:f>
        <x:v>-0.03811569780127742</x:v>
      </x:c>
      <x:c r="AD244" s="245" t="n">
        <x:f>Y244*E244</x:f>
        <x:v>-0.03811569780127742</x:v>
      </x:c>
      <x:c r="AE244" s="245" t="n">
        <x:f>Y244</x:f>
        <x:v>-0.03811569780127742</x:v>
      </x:c>
      <x:c r="AF244" s="245" t="n">
        <x:f>W244*Q244</x:f>
        <x:v>0.01545069372086012</x:v>
      </x:c>
      <x:c r="AG244" s="245" t="n">
        <x:f>W244*S244</x:f>
        <x:v>0.08598933956491082</x:v>
      </x:c>
      <x:c r="AH244" s="245" t="n">
        <x:f>W244</x:f>
        <x:v>0.1071631529807012</x:v>
      </x:c>
      <x:c r="AI244" s="246" t="n">
        <x:f>G244-$B$4*Z244</x:f>
        <x:v>2.000421107124524</x:v>
      </x:c>
      <x:c r="AJ244" s="246" t="n">
        <x:f>H244-$B$4*AA244</x:f>
        <x:v>-2.4659090115924767</x:v>
      </x:c>
      <x:c r="AK244" s="246" t="n">
        <x:f>I244-$B$4*AB244</x:f>
        <x:v>-1.411639253924016</x:v>
      </x:c>
      <x:c r="AL244" s="246" t="n">
        <x:f>J244-$B$4*AC244</x:f>
        <x:v>2.181985397509614</x:v>
      </x:c>
      <x:c r="AM244" s="246" t="n">
        <x:f>K244-$B$4*AD244</x:f>
        <x:v>-2.2088791041759297</x:v>
      </x:c>
      <x:c r="AN244" s="246" t="n">
        <x:f>L244-$B$4*AE244</x:f>
        <x:v>1.5426989281593195</x:v>
      </x:c>
      <x:c r="AO244" s="246" t="n">
        <x:f>M244-$B$4*AF244</x:f>
        <x:v>2.407666491481136</x:v>
      </x:c>
      <x:c r="AP244" s="246" t="n">
        <x:f>N244-$B$4*AG244</x:f>
        <x:v>-2.329383902085917</x:v>
      </x:c>
      <x:c r="AQ244" s="246" t="n">
        <x:f>O244-$B$4*AH244</x:f>
        <x:v>1.0855084643451367</x:v>
      </x:c>
      <x:c r="AR244" s="182" t="n">
        <x:f>IF(U244&gt;=$B$5,1,0)</x:f>
        <x:v>0</x:v>
      </x:c>
      <x:c r="AS244" s="182" t="n">
        <x:f>IF(AR244=F244,1,0)</x:f>
        <x:v>1</x:v>
      </x:c>
      <x:c r="AT244" s="252" t="n">
        <x:f>ABS(F244-U244)</x:f>
        <x:v>0.43583102352646025</x:v>
      </x:c>
    </x:row>
    <x:row r="245">
      <x:c r="A245" s="114" t="n">
        <x:v>229</x:v>
      </x:c>
      <x:c r="B245" s="114" t="n">
        <x:v>58</x:v>
      </x:c>
      <x:c r="C245" s="114" t="n">
        <x:v>1</x:v>
      </x:c>
      <x:c r="D245" s="168" t="n">
        <x:f>$I$5</x:f>
        <x:v>0</x:v>
      </x:c>
      <x:c r="E245" s="168" t="n">
        <x:f>$J$5</x:f>
        <x:v>0</x:v>
      </x:c>
      <x:c r="F245" s="168" t="n">
        <x:f>$K$5</x:f>
        <x:v>0</x:v>
      </x:c>
      <x:c r="G245" s="242" t="n">
        <x:f>AI244</x:f>
        <x:v>2.000421107124524</x:v>
      </x:c>
      <x:c r="H245" s="242" t="n">
        <x:f>AJ244</x:f>
        <x:v>-2.4659090115924767</x:v>
      </x:c>
      <x:c r="I245" s="242" t="n">
        <x:f>AK244</x:f>
        <x:v>-1.411639253924016</x:v>
      </x:c>
      <x:c r="J245" s="242" t="n">
        <x:f>AL244</x:f>
        <x:v>2.181985397509614</x:v>
      </x:c>
      <x:c r="K245" s="242" t="n">
        <x:f>AM244</x:f>
        <x:v>-2.2088791041759297</x:v>
      </x:c>
      <x:c r="L245" s="242" t="n">
        <x:f>AN244</x:f>
        <x:v>1.5426989281593195</x:v>
      </x:c>
      <x:c r="M245" s="242" t="n">
        <x:f>AO244</x:f>
        <x:v>2.407666491481136</x:v>
      </x:c>
      <x:c r="N245" s="242" t="n">
        <x:f>AP244</x:f>
        <x:v>-2.329383902085917</x:v>
      </x:c>
      <x:c r="O245" s="242" t="n">
        <x:f>AQ244</x:f>
        <x:v>1.0855084643451367</x:v>
      </x:c>
      <x:c r="P245" s="243" t="n">
        <x:f>D245*G245+E245*H245+I245</x:f>
        <x:v>-1.411639253924016</x:v>
      </x:c>
      <x:c r="Q245" s="243" t="n">
        <x:f>1/(1+EXP(-P245))</x:f>
        <x:v>0.19597563172939836</x:v>
      </x:c>
      <x:c r="R245" s="243" t="n">
        <x:f>D245*J245+E245*K245+L245</x:f>
        <x:v>1.5426989281593195</x:v>
      </x:c>
      <x:c r="S245" s="243" t="n">
        <x:f>1/(1+EXP(-R245))</x:f>
        <x:v>0.8238567274908513</x:v>
      </x:c>
      <x:c r="T245" s="243" t="n">
        <x:f>Q245*M245+S245*N245+O245</x:f>
        <x:v>-0.36172617263551654</x:v>
      </x:c>
      <x:c r="U245" s="243" t="n">
        <x:f>1/(1+EXP(-T245))</x:f>
        <x:v>0.410541772540677</x:v>
      </x:c>
      <x:c r="V245" s="243" t="n">
        <x:f>0.5*(F245-U245)^2</x:f>
        <x:v>0.08427227350042048</x:v>
      </x:c>
      <x:c r="W245" s="244" t="n">
        <x:f>(U245-F245)*U245*(1-U245)</x:f>
        <x:v>0.09934996992305026</x:v>
      </x:c>
      <x:c r="X245" s="244" t="n">
        <x:f>W245*M245*Q245*(1-Q245)</x:f>
        <x:v>0.03769079978124391</x:v>
      </x:c>
      <x:c r="Y245" s="244" t="n">
        <x:f>W245*N245*S245*(1-S245)</x:f>
        <x:v>-0.03358354697975017</x:v>
      </x:c>
      <x:c r="Z245" s="245" t="n">
        <x:f>X245*D245</x:f>
        <x:v>0</x:v>
      </x:c>
      <x:c r="AA245" s="245" t="n">
        <x:f>X245*E245</x:f>
        <x:v>0</x:v>
      </x:c>
      <x:c r="AB245" s="245" t="n">
        <x:f>X245</x:f>
        <x:v>0.03769079978124391</x:v>
      </x:c>
      <x:c r="AC245" s="245" t="n">
        <x:f>Y245*D245</x:f>
        <x:v>0</x:v>
      </x:c>
      <x:c r="AD245" s="245" t="n">
        <x:f>Y245*E245</x:f>
        <x:v>0</x:v>
      </x:c>
      <x:c r="AE245" s="245" t="n">
        <x:f>Y245</x:f>
        <x:v>-0.03358354697975017</x:v>
      </x:c>
      <x:c r="AF245" s="245" t="n">
        <x:f>W245*Q245</x:f>
        <x:v>0.0194701731179665</x:v>
      </x:c>
      <x:c r="AG245" s="245" t="n">
        <x:f>W245*S245</x:f>
        <x:v>0.08185014109711869</x:v>
      </x:c>
      <x:c r="AH245" s="245" t="n">
        <x:f>W245</x:f>
        <x:v>0.09934996992305026</x:v>
      </x:c>
      <x:c r="AI245" s="246" t="n">
        <x:f>G245-$B$4*Z245</x:f>
        <x:v>2.000421107124524</x:v>
      </x:c>
      <x:c r="AJ245" s="246" t="n">
        <x:f>H245-$B$4*AA245</x:f>
        <x:v>-2.4659090115924767</x:v>
      </x:c>
      <x:c r="AK245" s="246" t="n">
        <x:f>I245-$B$4*AB245</x:f>
        <x:v>-1.4493300537052598</x:v>
      </x:c>
      <x:c r="AL245" s="246" t="n">
        <x:f>J245-$B$4*AC245</x:f>
        <x:v>2.181985397509614</x:v>
      </x:c>
      <x:c r="AM245" s="246" t="n">
        <x:f>K245-$B$4*AD245</x:f>
        <x:v>-2.2088791041759297</x:v>
      </x:c>
      <x:c r="AN245" s="246" t="n">
        <x:f>L245-$B$4*AE245</x:f>
        <x:v>1.5762824751390696</x:v>
      </x:c>
      <x:c r="AO245" s="246" t="n">
        <x:f>M245-$B$4*AF245</x:f>
        <x:v>2.38819631836317</x:v>
      </x:c>
      <x:c r="AP245" s="246" t="n">
        <x:f>N245-$B$4*AG245</x:f>
        <x:v>-2.4112340431830357</x:v>
      </x:c>
      <x:c r="AQ245" s="246" t="n">
        <x:f>O245-$B$4*AH245</x:f>
        <x:v>0.9861584944220865</x:v>
      </x:c>
      <x:c r="AR245" s="182" t="n">
        <x:f>IF(U245&gt;=$B$5,1,0)</x:f>
        <x:v>0</x:v>
      </x:c>
      <x:c r="AS245" s="182" t="n">
        <x:f>IF(AR245=F245,1,0)</x:f>
        <x:v>1</x:v>
      </x:c>
      <x:c r="AT245" s="252" t="n">
        <x:f>ABS(F245-U245)</x:f>
        <x:v>0.410541772540677</x:v>
      </x:c>
    </x:row>
    <x:row r="246">
      <x:c r="A246" s="114" t="n">
        <x:v>230</x:v>
      </x:c>
      <x:c r="B246" s="114" t="n">
        <x:v>58</x:v>
      </x:c>
      <x:c r="C246" s="114" t="n">
        <x:v>2</x:v>
      </x:c>
      <x:c r="D246" s="168" t="n">
        <x:f>$I$6</x:f>
        <x:v>0</x:v>
      </x:c>
      <x:c r="E246" s="168" t="n">
        <x:f>$J$6</x:f>
        <x:v>1</x:v>
      </x:c>
      <x:c r="F246" s="168" t="n">
        <x:f>$K$6</x:f>
        <x:v>1</x:v>
      </x:c>
      <x:c r="G246" s="242" t="n">
        <x:f>AI245</x:f>
        <x:v>2.000421107124524</x:v>
      </x:c>
      <x:c r="H246" s="242" t="n">
        <x:f>AJ245</x:f>
        <x:v>-2.4659090115924767</x:v>
      </x:c>
      <x:c r="I246" s="242" t="n">
        <x:f>AK245</x:f>
        <x:v>-1.4493300537052598</x:v>
      </x:c>
      <x:c r="J246" s="242" t="n">
        <x:f>AL245</x:f>
        <x:v>2.181985397509614</x:v>
      </x:c>
      <x:c r="K246" s="242" t="n">
        <x:f>AM245</x:f>
        <x:v>-2.2088791041759297</x:v>
      </x:c>
      <x:c r="L246" s="242" t="n">
        <x:f>AN245</x:f>
        <x:v>1.5762824751390696</x:v>
      </x:c>
      <x:c r="M246" s="242" t="n">
        <x:f>AO245</x:f>
        <x:v>2.38819631836317</x:v>
      </x:c>
      <x:c r="N246" s="242" t="n">
        <x:f>AP245</x:f>
        <x:v>-2.4112340431830357</x:v>
      </x:c>
      <x:c r="O246" s="242" t="n">
        <x:f>AQ245</x:f>
        <x:v>0.9861584944220865</x:v>
      </x:c>
      <x:c r="P246" s="243" t="n">
        <x:f>D246*G246+E246*H246+I246</x:f>
        <x:v>-3.9152390652977367</x:v>
      </x:c>
      <x:c r="Q246" s="243" t="n">
        <x:f>1/(1+EXP(-P246))</x:f>
        <x:v>0.019546115031622225</x:v>
      </x:c>
      <x:c r="R246" s="243" t="n">
        <x:f>D246*J246+E246*K246+L246</x:f>
        <x:v>-0.6325966290368601</x:v>
      </x:c>
      <x:c r="S246" s="243" t="n">
        <x:f>1/(1+EXP(-R246))</x:f>
        <x:v>0.3469219934265966</x:v>
      </x:c>
      <x:c r="T246" s="243" t="n">
        <x:f>Q246*M246+S246*N246+O246</x:f>
        <x:v>0.19632833349977863</x:v>
      </x:c>
      <x:c r="U246" s="243" t="n">
        <x:f>1/(1+EXP(-T246))</x:f>
        <x:v>0.5489250337088156</x:v>
      </x:c>
      <x:c r="V246" s="243" t="n">
        <x:f>0.5*(F246-U246)^2</x:f>
        <x:v>0.10173431260729655</x:v>
      </x:c>
      <x:c r="W246" s="244" t="n">
        <x:f>(U246-F246)*U246*(1-U246)</x:f>
        <x:v>-0.1116890219546069</x:v>
      </x:c>
      <x:c r="X246" s="244" t="n">
        <x:f>W246*M246*Q246*(1-Q246)</x:f>
        <x:v>-0.0051117326834141785</x:v>
      </x:c>
      <x:c r="Y246" s="244" t="n">
        <x:f>W246*N246*S246*(1-S246)</x:f>
        <x:v>0.06101642328417892</x:v>
      </x:c>
      <x:c r="Z246" s="245" t="n">
        <x:f>X246*D246</x:f>
        <x:v>0</x:v>
      </x:c>
      <x:c r="AA246" s="245" t="n">
        <x:f>X246*E246</x:f>
        <x:v>-0.0051117326834141785</x:v>
      </x:c>
      <x:c r="AB246" s="245" t="n">
        <x:f>X246</x:f>
        <x:v>-0.0051117326834141785</x:v>
      </x:c>
      <x:c r="AC246" s="245" t="n">
        <x:f>Y246*D246</x:f>
        <x:v>0</x:v>
      </x:c>
      <x:c r="AD246" s="245" t="n">
        <x:f>Y246*E246</x:f>
        <x:v>0.06101642328417892</x:v>
      </x:c>
      <x:c r="AE246" s="245" t="n">
        <x:f>Y246</x:f>
        <x:v>0.06101642328417892</x:v>
      </x:c>
      <x:c r="AF246" s="245" t="n">
        <x:f>W246*Q246</x:f>
        <x:v>-0.002183086470894127</x:v>
      </x:c>
      <x:c r="AG246" s="245" t="n">
        <x:f>W246*S246</x:f>
        <x:v>-0.03874737814035914</x:v>
      </x:c>
      <x:c r="AH246" s="245" t="n">
        <x:f>W246</x:f>
        <x:v>-0.1116890219546069</x:v>
      </x:c>
      <x:c r="AI246" s="246" t="n">
        <x:f>G246-$B$4*Z246</x:f>
        <x:v>2.000421107124524</x:v>
      </x:c>
      <x:c r="AJ246" s="246" t="n">
        <x:f>H246-$B$4*AA246</x:f>
        <x:v>-2.4607972789090624</x:v>
      </x:c>
      <x:c r="AK246" s="246" t="n">
        <x:f>I246-$B$4*AB246</x:f>
        <x:v>-1.4442183210218456</x:v>
      </x:c>
      <x:c r="AL246" s="246" t="n">
        <x:f>J246-$B$4*AC246</x:f>
        <x:v>2.181985397509614</x:v>
      </x:c>
      <x:c r="AM246" s="246" t="n">
        <x:f>K246-$B$4*AD246</x:f>
        <x:v>-2.2698955274601085</x:v>
      </x:c>
      <x:c r="AN246" s="246" t="n">
        <x:f>L246-$B$4*AE246</x:f>
        <x:v>1.5152660518548906</x:v>
      </x:c>
      <x:c r="AO246" s="246" t="n">
        <x:f>M246-$B$4*AF246</x:f>
        <x:v>2.390379404834064</x:v>
      </x:c>
      <x:c r="AP246" s="246" t="n">
        <x:f>N246-$B$4*AG246</x:f>
        <x:v>-2.3724866650426764</x:v>
      </x:c>
      <x:c r="AQ246" s="246" t="n">
        <x:f>O246-$B$4*AH246</x:f>
        <x:v>1.0978475163766934</x:v>
      </x:c>
      <x:c r="AR246" s="182" t="n">
        <x:f>IF(U246&gt;=$B$5,1,0)</x:f>
        <x:v>1</x:v>
      </x:c>
      <x:c r="AS246" s="182" t="n">
        <x:f>IF(AR246=F246,1,0)</x:f>
        <x:v>1</x:v>
      </x:c>
      <x:c r="AT246" s="252" t="n">
        <x:f>ABS(F246-U246)</x:f>
        <x:v>0.4510749662911844</x:v>
      </x:c>
    </x:row>
    <x:row r="247">
      <x:c r="A247" s="114" t="n">
        <x:v>231</x:v>
      </x:c>
      <x:c r="B247" s="114" t="n">
        <x:v>58</x:v>
      </x:c>
      <x:c r="C247" s="114" t="n">
        <x:v>3</x:v>
      </x:c>
      <x:c r="D247" s="168" t="n">
        <x:f>$I$7</x:f>
        <x:v>1</x:v>
      </x:c>
      <x:c r="E247" s="168" t="n">
        <x:f>$J$7</x:f>
        <x:v>0</x:v>
      </x:c>
      <x:c r="F247" s="168" t="n">
        <x:f>$K$7</x:f>
        <x:v>1</x:v>
      </x:c>
      <x:c r="G247" s="242" t="n">
        <x:f>AI246</x:f>
        <x:v>2.000421107124524</x:v>
      </x:c>
      <x:c r="H247" s="242" t="n">
        <x:f>AJ246</x:f>
        <x:v>-2.4607972789090624</x:v>
      </x:c>
      <x:c r="I247" s="242" t="n">
        <x:f>AK246</x:f>
        <x:v>-1.4442183210218456</x:v>
      </x:c>
      <x:c r="J247" s="242" t="n">
        <x:f>AL246</x:f>
        <x:v>2.181985397509614</x:v>
      </x:c>
      <x:c r="K247" s="242" t="n">
        <x:f>AM246</x:f>
        <x:v>-2.2698955274601085</x:v>
      </x:c>
      <x:c r="L247" s="242" t="n">
        <x:f>AN246</x:f>
        <x:v>1.5152660518548906</x:v>
      </x:c>
      <x:c r="M247" s="242" t="n">
        <x:f>AO246</x:f>
        <x:v>2.390379404834064</x:v>
      </x:c>
      <x:c r="N247" s="242" t="n">
        <x:f>AP246</x:f>
        <x:v>-2.3724866650426764</x:v>
      </x:c>
      <x:c r="O247" s="242" t="n">
        <x:f>AQ246</x:f>
        <x:v>1.0978475163766934</x:v>
      </x:c>
      <x:c r="P247" s="243" t="n">
        <x:f>D247*G247+E247*H247+I247</x:f>
        <x:v>0.5562027861026786</x:v>
      </x:c>
      <x:c r="Q247" s="243" t="n">
        <x:f>1/(1+EXP(-P247))</x:f>
        <x:v>0.6355734838382101</x:v>
      </x:c>
      <x:c r="R247" s="243" t="n">
        <x:f>D247*J247+E247*K247+L247</x:f>
        <x:v>3.697251449364505</x:v>
      </x:c>
      <x:c r="S247" s="243" t="n">
        <x:f>1/(1+EXP(-R247))</x:f>
        <x:v>0.9758081794959007</x:v>
      </x:c>
      <x:c r="T247" s="243" t="n">
        <x:f>Q247*M247+S247*N247+O247</x:f>
        <x:v>0.30201738890859176</x:v>
      </x:c>
      <x:c r="U247" s="243" t="n">
        <x:f>1/(1+EXP(-T247))</x:f>
        <x:v>0.5749356100785379</x:v>
      </x:c>
      <x:c r="V247" s="243" t="n">
        <x:f>0.5*(F247-U247)^2</x:f>
        <x:v>0.09033986778965239</x:v>
      </x:c>
      <x:c r="W247" s="244" t="n">
        <x:f>(U247-F247)*U247*(1-U247)</x:f>
        <x:v>-0.10387921400411651</x:v>
      </x:c>
      <x:c r="X247" s="244" t="n">
        <x:f>W247*M247*Q247*(1-Q247)</x:f>
        <x:v>-0.05751369005655708</x:v>
      </x:c>
      <x:c r="Y247" s="244" t="n">
        <x:f>W247*N247*S247*(1-S247)</x:f>
        <x:v>0.005817889128724808</x:v>
      </x:c>
      <x:c r="Z247" s="245" t="n">
        <x:f>X247*D247</x:f>
        <x:v>-0.05751369005655708</x:v>
      </x:c>
      <x:c r="AA247" s="245" t="n">
        <x:f>X247*E247</x:f>
        <x:v>0</x:v>
      </x:c>
      <x:c r="AB247" s="245" t="n">
        <x:f>X247</x:f>
        <x:v>-0.05751369005655708</x:v>
      </x:c>
      <x:c r="AC247" s="245" t="n">
        <x:f>Y247*D247</x:f>
        <x:v>0.005817889128724808</x:v>
      </x:c>
      <x:c r="AD247" s="245" t="n">
        <x:f>Y247*E247</x:f>
        <x:v>0</x:v>
      </x:c>
      <x:c r="AE247" s="245" t="n">
        <x:f>Y247</x:f>
        <x:v>0.005817889128724808</x:v>
      </x:c>
      <x:c r="AF247" s="245" t="n">
        <x:f>W247*Q247</x:f>
        <x:v>-0.06602287394297131</x:v>
      </x:c>
      <x:c r="AG247" s="245" t="n">
        <x:f>W247*S247</x:f>
        <x:v>-0.101366186704822</x:v>
      </x:c>
      <x:c r="AH247" s="245" t="n">
        <x:f>W247</x:f>
        <x:v>-0.10387921400411651</x:v>
      </x:c>
      <x:c r="AI247" s="246" t="n">
        <x:f>G247-$B$4*Z247</x:f>
        <x:v>2.057934797181081</x:v>
      </x:c>
      <x:c r="AJ247" s="246" t="n">
        <x:f>H247-$B$4*AA247</x:f>
        <x:v>-2.4607972789090624</x:v>
      </x:c>
      <x:c r="AK247" s="246" t="n">
        <x:f>I247-$B$4*AB247</x:f>
        <x:v>-1.3867046309652884</x:v>
      </x:c>
      <x:c r="AL247" s="246" t="n">
        <x:f>J247-$B$4*AC247</x:f>
        <x:v>2.1761675083808893</x:v>
      </x:c>
      <x:c r="AM247" s="246" t="n">
        <x:f>K247-$B$4*AD247</x:f>
        <x:v>-2.2698955274601085</x:v>
      </x:c>
      <x:c r="AN247" s="246" t="n">
        <x:f>L247-$B$4*AE247</x:f>
        <x:v>1.5094481627261658</x:v>
      </x:c>
      <x:c r="AO247" s="246" t="n">
        <x:f>M247-$B$4*AF247</x:f>
        <x:v>2.456402278777035</x:v>
      </x:c>
      <x:c r="AP247" s="246" t="n">
        <x:f>N247-$B$4*AG247</x:f>
        <x:v>-2.2711204783378545</x:v>
      </x:c>
      <x:c r="AQ247" s="246" t="n">
        <x:f>O247-$B$4*AH247</x:f>
        <x:v>1.20172673038081</x:v>
      </x:c>
      <x:c r="AR247" s="182" t="n">
        <x:f>IF(U247&gt;=$B$5,1,0)</x:f>
        <x:v>1</x:v>
      </x:c>
      <x:c r="AS247" s="182" t="n">
        <x:f>IF(AR247=F247,1,0)</x:f>
        <x:v>1</x:v>
      </x:c>
      <x:c r="AT247" s="252" t="n">
        <x:f>ABS(F247-U247)</x:f>
        <x:v>0.4250643899214621</x:v>
      </x:c>
    </x:row>
    <x:row r="248">
      <x:c r="A248" s="114" t="n">
        <x:v>232</x:v>
      </x:c>
      <x:c r="B248" s="114" t="n">
        <x:v>58</x:v>
      </x:c>
      <x:c r="C248" s="114" t="n">
        <x:v>4</x:v>
      </x:c>
      <x:c r="D248" s="168" t="n">
        <x:f>$I$8</x:f>
        <x:v>1</x:v>
      </x:c>
      <x:c r="E248" s="168" t="n">
        <x:f>$J$8</x:f>
        <x:v>1</x:v>
      </x:c>
      <x:c r="F248" s="168" t="n">
        <x:f>$K$8</x:f>
        <x:v>0</x:v>
      </x:c>
      <x:c r="G248" s="242" t="n">
        <x:f>AI247</x:f>
        <x:v>2.057934797181081</x:v>
      </x:c>
      <x:c r="H248" s="242" t="n">
        <x:f>AJ247</x:f>
        <x:v>-2.4607972789090624</x:v>
      </x:c>
      <x:c r="I248" s="242" t="n">
        <x:f>AK247</x:f>
        <x:v>-1.3867046309652884</x:v>
      </x:c>
      <x:c r="J248" s="242" t="n">
        <x:f>AL247</x:f>
        <x:v>2.1761675083808893</x:v>
      </x:c>
      <x:c r="K248" s="242" t="n">
        <x:f>AM247</x:f>
        <x:v>-2.2698955274601085</x:v>
      </x:c>
      <x:c r="L248" s="242" t="n">
        <x:f>AN247</x:f>
        <x:v>1.5094481627261658</x:v>
      </x:c>
      <x:c r="M248" s="242" t="n">
        <x:f>AO247</x:f>
        <x:v>2.456402278777035</x:v>
      </x:c>
      <x:c r="N248" s="242" t="n">
        <x:f>AP247</x:f>
        <x:v>-2.2711204783378545</x:v>
      </x:c>
      <x:c r="O248" s="242" t="n">
        <x:f>AQ247</x:f>
        <x:v>1.20172673038081</x:v>
      </x:c>
      <x:c r="P248" s="243" t="n">
        <x:f>D248*G248+E248*H248+I248</x:f>
        <x:v>-1.7895671126932697</x:v>
      </x:c>
      <x:c r="Q248" s="243" t="n">
        <x:f>1/(1+EXP(-P248))</x:f>
        <x:v>0.14312580492835134</x:v>
      </x:c>
      <x:c r="R248" s="243" t="n">
        <x:f>D248*J248+E248*K248+L248</x:f>
        <x:v>1.4157201436469466</x:v>
      </x:c>
      <x:c r="S248" s="243" t="n">
        <x:f>1/(1+EXP(-R248))</x:f>
        <x:v>0.8046665930391086</x:v>
      </x:c>
      <x:c r="T248" s="243" t="n">
        <x:f>Q248*M248+S248*N248+O248</x:f>
        <x:v>-0.27419349392686243</x:v>
      </x:c>
      <x:c r="U248" s="243" t="n">
        <x:f>1/(1+EXP(-T248))</x:f>
        <x:v>0.4318778894682133</x:v>
      </x:c>
      <x:c r="V248" s="243" t="n">
        <x:f>0.5*(F248-U248)^2</x:f>
        <x:v>0.09325925570575914</x:v>
      </x:c>
      <x:c r="W248" s="244" t="n">
        <x:f>(U248-F248)*U248*(1-U248)</x:f>
        <x:v>0.1059652903563589</x:v>
      </x:c>
      <x:c r="X248" s="244" t="n">
        <x:f>W248*M248*Q248*(1-Q248)</x:f>
        <x:v>0.0319225907585942</x:v>
      </x:c>
      <x:c r="Y248" s="244" t="n">
        <x:f>W248*N248*S248*(1-S248)</x:f>
        <x:v>-0.03782651247102199</x:v>
      </x:c>
      <x:c r="Z248" s="245" t="n">
        <x:f>X248*D248</x:f>
        <x:v>0.0319225907585942</x:v>
      </x:c>
      <x:c r="AA248" s="245" t="n">
        <x:f>X248*E248</x:f>
        <x:v>0.0319225907585942</x:v>
      </x:c>
      <x:c r="AB248" s="245" t="n">
        <x:f>X248</x:f>
        <x:v>0.0319225907585942</x:v>
      </x:c>
      <x:c r="AC248" s="245" t="n">
        <x:f>Y248*D248</x:f>
        <x:v>-0.03782651247102199</x:v>
      </x:c>
      <x:c r="AD248" s="245" t="n">
        <x:f>Y248*E248</x:f>
        <x:v>-0.03782651247102199</x:v>
      </x:c>
      <x:c r="AE248" s="245" t="n">
        <x:f>Y248</x:f>
        <x:v>-0.03782651247102199</x:v>
      </x:c>
      <x:c r="AF248" s="245" t="n">
        <x:f>W248*Q248</x:f>
        <x:v>0.015166367476720333</x:v>
      </x:c>
      <x:c r="AG248" s="245" t="n">
        <x:f>W248*S248</x:f>
        <x:v>0.08526672917145123</x:v>
      </x:c>
      <x:c r="AH248" s="245" t="n">
        <x:f>W248</x:f>
        <x:v>0.1059652903563589</x:v>
      </x:c>
      <x:c r="AI248" s="246" t="n">
        <x:f>G248-$B$4*Z248</x:f>
        <x:v>2.026012206422487</x:v>
      </x:c>
      <x:c r="AJ248" s="246" t="n">
        <x:f>H248-$B$4*AA248</x:f>
        <x:v>-2.4927198696676567</x:v>
      </x:c>
      <x:c r="AK248" s="246" t="n">
        <x:f>I248-$B$4*AB248</x:f>
        <x:v>-1.4186272217238827</x:v>
      </x:c>
      <x:c r="AL248" s="246" t="n">
        <x:f>J248-$B$4*AC248</x:f>
        <x:v>2.2139940208519113</x:v>
      </x:c>
      <x:c r="AM248" s="246" t="n">
        <x:f>K248-$B$4*AD248</x:f>
        <x:v>-2.2320690149890865</x:v>
      </x:c>
      <x:c r="AN248" s="246" t="n">
        <x:f>L248-$B$4*AE248</x:f>
        <x:v>1.5472746751971878</x:v>
      </x:c>
      <x:c r="AO248" s="246" t="n">
        <x:f>M248-$B$4*AF248</x:f>
        <x:v>2.4412359113003146</x:v>
      </x:c>
      <x:c r="AP248" s="246" t="n">
        <x:f>N248-$B$4*AG248</x:f>
        <x:v>-2.3563872075093055</x:v>
      </x:c>
      <x:c r="AQ248" s="246" t="n">
        <x:f>O248-$B$4*AH248</x:f>
        <x:v>1.095761440024451</x:v>
      </x:c>
      <x:c r="AR248" s="182" t="n">
        <x:f>IF(U248&gt;=$B$5,1,0)</x:f>
        <x:v>0</x:v>
      </x:c>
      <x:c r="AS248" s="182" t="n">
        <x:f>IF(AR248=F248,1,0)</x:f>
        <x:v>1</x:v>
      </x:c>
      <x:c r="AT248" s="252" t="n">
        <x:f>ABS(F248-U248)</x:f>
        <x:v>0.4318778894682133</x:v>
      </x:c>
    </x:row>
    <x:row r="249">
      <x:c r="A249" s="114" t="n">
        <x:v>233</x:v>
      </x:c>
      <x:c r="B249" s="114" t="n">
        <x:v>59</x:v>
      </x:c>
      <x:c r="C249" s="114" t="n">
        <x:v>1</x:v>
      </x:c>
      <x:c r="D249" s="168" t="n">
        <x:f>$I$5</x:f>
        <x:v>0</x:v>
      </x:c>
      <x:c r="E249" s="168" t="n">
        <x:f>$J$5</x:f>
        <x:v>0</x:v>
      </x:c>
      <x:c r="F249" s="168" t="n">
        <x:f>$K$5</x:f>
        <x:v>0</x:v>
      </x:c>
      <x:c r="G249" s="242" t="n">
        <x:f>AI248</x:f>
        <x:v>2.026012206422487</x:v>
      </x:c>
      <x:c r="H249" s="242" t="n">
        <x:f>AJ248</x:f>
        <x:v>-2.4927198696676567</x:v>
      </x:c>
      <x:c r="I249" s="242" t="n">
        <x:f>AK248</x:f>
        <x:v>-1.4186272217238827</x:v>
      </x:c>
      <x:c r="J249" s="242" t="n">
        <x:f>AL248</x:f>
        <x:v>2.2139940208519113</x:v>
      </x:c>
      <x:c r="K249" s="242" t="n">
        <x:f>AM248</x:f>
        <x:v>-2.2320690149890865</x:v>
      </x:c>
      <x:c r="L249" s="242" t="n">
        <x:f>AN248</x:f>
        <x:v>1.5472746751971878</x:v>
      </x:c>
      <x:c r="M249" s="242" t="n">
        <x:f>AO248</x:f>
        <x:v>2.4412359113003146</x:v>
      </x:c>
      <x:c r="N249" s="242" t="n">
        <x:f>AP248</x:f>
        <x:v>-2.3563872075093055</x:v>
      </x:c>
      <x:c r="O249" s="242" t="n">
        <x:f>AQ248</x:f>
        <x:v>1.095761440024451</x:v>
      </x:c>
      <x:c r="P249" s="243" t="n">
        <x:f>D249*G249+E249*H249+I249</x:f>
        <x:v>-1.4186272217238827</x:v>
      </x:c>
      <x:c r="Q249" s="243" t="n">
        <x:f>1/(1+EXP(-P249))</x:f>
        <x:v>0.19487688212727164</x:v>
      </x:c>
      <x:c r="R249" s="243" t="n">
        <x:f>D249*J249+E249*K249+L249</x:f>
        <x:v>1.5472746751971878</x:v>
      </x:c>
      <x:c r="S249" s="243" t="n">
        <x:f>1/(1+EXP(-R249))</x:f>
        <x:v>0.8245197616521794</x:v>
      </x:c>
      <x:c r="T249" s="243" t="n">
        <x:f>Q249*M249+S249*N249+O249</x:f>
        <x:v>-0.3713859357400322</x:v>
      </x:c>
      <x:c r="U249" s="243" t="n">
        <x:f>1/(1+EXP(-T249))</x:f>
        <x:v>0.40820617312863433</x:v>
      </x:c>
      <x:c r="V249" s="243" t="n">
        <x:f>0.5*(F249-U249)^2</x:f>
        <x:v>0.08331613989016229</x:v>
      </x:c>
      <x:c r="W249" s="244" t="n">
        <x:f>(U249-F249)*U249*(1-U249)</x:f>
        <x:v>0.09861195453149836</x:v>
      </x:c>
      <x:c r="X249" s="244" t="n">
        <x:f>W249*M249*Q249*(1-Q249)</x:f>
        <x:v>0.03777130033066863</x:v>
      </x:c>
      <x:c r="Y249" s="244" t="n">
        <x:f>W249*N249*S249*(1-S249)</x:f>
        <x:v>-0.03362060372532207</x:v>
      </x:c>
      <x:c r="Z249" s="245" t="n">
        <x:f>X249*D249</x:f>
        <x:v>0</x:v>
      </x:c>
      <x:c r="AA249" s="245" t="n">
        <x:f>X249*E249</x:f>
        <x:v>0</x:v>
      </x:c>
      <x:c r="AB249" s="245" t="n">
        <x:f>X249</x:f>
        <x:v>0.03777130033066863</x:v>
      </x:c>
      <x:c r="AC249" s="245" t="n">
        <x:f>Y249*D249</x:f>
        <x:v>0</x:v>
      </x:c>
      <x:c r="AD249" s="245" t="n">
        <x:f>Y249*E249</x:f>
        <x:v>0</x:v>
      </x:c>
      <x:c r="AE249" s="245" t="n">
        <x:f>Y249</x:f>
        <x:v>-0.03362060372532207</x:v>
      </x:c>
      <x:c r="AF249" s="245" t="n">
        <x:f>W249*Q249</x:f>
        <x:v>0.019217190239574678</x:v>
      </x:c>
      <x:c r="AG249" s="245" t="n">
        <x:f>W249*S249</x:f>
        <x:v>0.08130750524636658</x:v>
      </x:c>
      <x:c r="AH249" s="245" t="n">
        <x:f>W249</x:f>
        <x:v>0.09861195453149836</x:v>
      </x:c>
      <x:c r="AI249" s="246" t="n">
        <x:f>G249-$B$4*Z249</x:f>
        <x:v>2.026012206422487</x:v>
      </x:c>
      <x:c r="AJ249" s="246" t="n">
        <x:f>H249-$B$4*AA249</x:f>
        <x:v>-2.4927198696676567</x:v>
      </x:c>
      <x:c r="AK249" s="246" t="n">
        <x:f>I249-$B$4*AB249</x:f>
        <x:v>-1.4563985220545512</x:v>
      </x:c>
      <x:c r="AL249" s="246" t="n">
        <x:f>J249-$B$4*AC249</x:f>
        <x:v>2.2139940208519113</x:v>
      </x:c>
      <x:c r="AM249" s="246" t="n">
        <x:f>K249-$B$4*AD249</x:f>
        <x:v>-2.2320690149890865</x:v>
      </x:c>
      <x:c r="AN249" s="246" t="n">
        <x:f>L249-$B$4*AE249</x:f>
        <x:v>1.58089527892251</x:v>
      </x:c>
      <x:c r="AO249" s="246" t="n">
        <x:f>M249-$B$4*AF249</x:f>
        <x:v>2.42201872106074</x:v>
      </x:c>
      <x:c r="AP249" s="246" t="n">
        <x:f>N249-$B$4*AG249</x:f>
        <x:v>-2.4376947127556723</x:v>
      </x:c>
      <x:c r="AQ249" s="246" t="n">
        <x:f>O249-$B$4*AH249</x:f>
        <x:v>0.9971494854929527</x:v>
      </x:c>
      <x:c r="AR249" s="182" t="n">
        <x:f>IF(U249&gt;=$B$5,1,0)</x:f>
        <x:v>0</x:v>
      </x:c>
      <x:c r="AS249" s="182" t="n">
        <x:f>IF(AR249=F249,1,0)</x:f>
        <x:v>1</x:v>
      </x:c>
      <x:c r="AT249" s="252" t="n">
        <x:f>ABS(F249-U249)</x:f>
        <x:v>0.40820617312863433</x:v>
      </x:c>
    </x:row>
    <x:row r="250">
      <x:c r="A250" s="114" t="n">
        <x:v>234</x:v>
      </x:c>
      <x:c r="B250" s="114" t="n">
        <x:v>59</x:v>
      </x:c>
      <x:c r="C250" s="114" t="n">
        <x:v>2</x:v>
      </x:c>
      <x:c r="D250" s="168" t="n">
        <x:f>$I$6</x:f>
        <x:v>0</x:v>
      </x:c>
      <x:c r="E250" s="168" t="n">
        <x:f>$J$6</x:f>
        <x:v>1</x:v>
      </x:c>
      <x:c r="F250" s="168" t="n">
        <x:f>$K$6</x:f>
        <x:v>1</x:v>
      </x:c>
      <x:c r="G250" s="242" t="n">
        <x:f>AI249</x:f>
        <x:v>2.026012206422487</x:v>
      </x:c>
      <x:c r="H250" s="242" t="n">
        <x:f>AJ249</x:f>
        <x:v>-2.4927198696676567</x:v>
      </x:c>
      <x:c r="I250" s="242" t="n">
        <x:f>AK249</x:f>
        <x:v>-1.4563985220545512</x:v>
      </x:c>
      <x:c r="J250" s="242" t="n">
        <x:f>AL249</x:f>
        <x:v>2.2139940208519113</x:v>
      </x:c>
      <x:c r="K250" s="242" t="n">
        <x:f>AM249</x:f>
        <x:v>-2.2320690149890865</x:v>
      </x:c>
      <x:c r="L250" s="242" t="n">
        <x:f>AN249</x:f>
        <x:v>1.58089527892251</x:v>
      </x:c>
      <x:c r="M250" s="242" t="n">
        <x:f>AO249</x:f>
        <x:v>2.42201872106074</x:v>
      </x:c>
      <x:c r="N250" s="242" t="n">
        <x:f>AP249</x:f>
        <x:v>-2.4376947127556723</x:v>
      </x:c>
      <x:c r="O250" s="242" t="n">
        <x:f>AQ249</x:f>
        <x:v>0.9971494854929527</x:v>
      </x:c>
      <x:c r="P250" s="243" t="n">
        <x:f>D250*G250+E250*H250+I250</x:f>
        <x:v>-3.949118391722208</x:v>
      </x:c>
      <x:c r="Q250" s="243" t="n">
        <x:f>1/(1+EXP(-P250))</x:f>
        <x:v>0.018907308679692245</x:v>
      </x:c>
      <x:c r="R250" s="243" t="n">
        <x:f>D250*J250+E250*K250+L250</x:f>
        <x:v>-0.6511737360665766</x:v>
      </x:c>
      <x:c r="S250" s="243" t="n">
        <x:f>1/(1+EXP(-R250))</x:f>
        <x:v>0.3427250873518815</x:v>
      </x:c>
      <x:c r="T250" s="243" t="n">
        <x:f>Q250*M250+S250*N250+O250</x:f>
        <x:v>0.20748420771363396</x:v>
      </x:c>
      <x:c r="U250" s="243" t="n">
        <x:f>1/(1+EXP(-T250))</x:f>
        <x:v>0.5516857634620972</x:v>
      </x:c>
      <x:c r="V250" s="243" t="n">
        <x:f>0.5*(F250-U250)^2</x:f>
        <x:v>0.10049282734128133</x:v>
      </x:c>
      <x:c r="W250" s="244" t="n">
        <x:f>(U250-F250)*U250*(1-U250)</x:f>
        <x:v>-0.11088092434847902</x:v>
      </x:c>
      <x:c r="X250" s="244" t="n">
        <x:f>W250*M250*Q250*(1-Q250)</x:f>
        <x:v>-0.004981660056750962</x:v>
      </x:c>
      <x:c r="Y250" s="244" t="n">
        <x:f>W250*N250*S250*(1-S250)</x:f>
        <x:v>0.06088763493301545</x:v>
      </x:c>
      <x:c r="Z250" s="245" t="n">
        <x:f>X250*D250</x:f>
        <x:v>0</x:v>
      </x:c>
      <x:c r="AA250" s="245" t="n">
        <x:f>X250*E250</x:f>
        <x:v>-0.004981660056750962</x:v>
      </x:c>
      <x:c r="AB250" s="245" t="n">
        <x:f>X250</x:f>
        <x:v>-0.004981660056750962</x:v>
      </x:c>
      <x:c r="AC250" s="245" t="n">
        <x:f>Y250*D250</x:f>
        <x:v>0</x:v>
      </x:c>
      <x:c r="AD250" s="245" t="n">
        <x:f>Y250*E250</x:f>
        <x:v>0.06088763493301545</x:v>
      </x:c>
      <x:c r="AE250" s="245" t="n">
        <x:f>Y250</x:f>
        <x:v>0.06088763493301545</x:v>
      </x:c>
      <x:c r="AF250" s="245" t="n">
        <x:f>W250*Q250</x:f>
        <x:v>-0.0020964598633462965</x:v>
      </x:c>
      <x:c r="AG250" s="245" t="n">
        <x:f>W250*S250</x:f>
        <x:v>-0.038001674482989835</x:v>
      </x:c>
      <x:c r="AH250" s="245" t="n">
        <x:f>W250</x:f>
        <x:v>-0.11088092434847902</x:v>
      </x:c>
      <x:c r="AI250" s="246" t="n">
        <x:f>G250-$B$4*Z250</x:f>
        <x:v>2.026012206422487</x:v>
      </x:c>
      <x:c r="AJ250" s="246" t="n">
        <x:f>H250-$B$4*AA250</x:f>
        <x:v>-2.4877382096109057</x:v>
      </x:c>
      <x:c r="AK250" s="246" t="n">
        <x:f>I250-$B$4*AB250</x:f>
        <x:v>-1.4514168619978003</x:v>
      </x:c>
      <x:c r="AL250" s="246" t="n">
        <x:f>J250-$B$4*AC250</x:f>
        <x:v>2.2139940208519113</x:v>
      </x:c>
      <x:c r="AM250" s="246" t="n">
        <x:f>K250-$B$4*AD250</x:f>
        <x:v>-2.292956649922102</x:v>
      </x:c>
      <x:c r="AN250" s="246" t="n">
        <x:f>L250-$B$4*AE250</x:f>
        <x:v>1.5200076439894945</x:v>
      </x:c>
      <x:c r="AO250" s="246" t="n">
        <x:f>M250-$B$4*AF250</x:f>
        <x:v>2.4241151809240864</x:v>
      </x:c>
      <x:c r="AP250" s="246" t="n">
        <x:f>N250-$B$4*AG250</x:f>
        <x:v>-2.3996930382726824</x:v>
      </x:c>
      <x:c r="AQ250" s="246" t="n">
        <x:f>O250-$B$4*AH250</x:f>
        <x:v>1.1080304098414318</x:v>
      </x:c>
      <x:c r="AR250" s="182" t="n">
        <x:f>IF(U250&gt;=$B$5,1,0)</x:f>
        <x:v>1</x:v>
      </x:c>
      <x:c r="AS250" s="182" t="n">
        <x:f>IF(AR250=F250,1,0)</x:f>
        <x:v>1</x:v>
      </x:c>
      <x:c r="AT250" s="252" t="n">
        <x:f>ABS(F250-U250)</x:f>
        <x:v>0.4483142365379028</x:v>
      </x:c>
    </x:row>
    <x:row r="251">
      <x:c r="A251" s="114" t="n">
        <x:v>235</x:v>
      </x:c>
      <x:c r="B251" s="114" t="n">
        <x:v>59</x:v>
      </x:c>
      <x:c r="C251" s="114" t="n">
        <x:v>3</x:v>
      </x:c>
      <x:c r="D251" s="168" t="n">
        <x:f>$I$7</x:f>
        <x:v>1</x:v>
      </x:c>
      <x:c r="E251" s="168" t="n">
        <x:f>$J$7</x:f>
        <x:v>0</x:v>
      </x:c>
      <x:c r="F251" s="168" t="n">
        <x:f>$K$7</x:f>
        <x:v>1</x:v>
      </x:c>
      <x:c r="G251" s="242" t="n">
        <x:f>AI250</x:f>
        <x:v>2.026012206422487</x:v>
      </x:c>
      <x:c r="H251" s="242" t="n">
        <x:f>AJ250</x:f>
        <x:v>-2.4877382096109057</x:v>
      </x:c>
      <x:c r="I251" s="242" t="n">
        <x:f>AK250</x:f>
        <x:v>-1.4514168619978003</x:v>
      </x:c>
      <x:c r="J251" s="242" t="n">
        <x:f>AL250</x:f>
        <x:v>2.2139940208519113</x:v>
      </x:c>
      <x:c r="K251" s="242" t="n">
        <x:f>AM250</x:f>
        <x:v>-2.292956649922102</x:v>
      </x:c>
      <x:c r="L251" s="242" t="n">
        <x:f>AN250</x:f>
        <x:v>1.5200076439894945</x:v>
      </x:c>
      <x:c r="M251" s="242" t="n">
        <x:f>AO250</x:f>
        <x:v>2.4241151809240864</x:v>
      </x:c>
      <x:c r="N251" s="242" t="n">
        <x:f>AP250</x:f>
        <x:v>-2.3996930382726824</x:v>
      </x:c>
      <x:c r="O251" s="242" t="n">
        <x:f>AQ250</x:f>
        <x:v>1.1080304098414318</x:v>
      </x:c>
      <x:c r="P251" s="243" t="n">
        <x:f>D251*G251+E251*H251+I251</x:f>
        <x:v>0.5745953444246865</x:v>
      </x:c>
      <x:c r="Q251" s="243" t="n">
        <x:f>1/(1+EXP(-P251))</x:f>
        <x:v>0.6398228493112977</x:v>
      </x:c>
      <x:c r="R251" s="243" t="n">
        <x:f>D251*J251+E251*K251+L251</x:f>
        <x:v>3.734001664841406</x:v>
      </x:c>
      <x:c r="S251" s="243" t="n">
        <x:f>1/(1+EXP(-R251))</x:f>
        <x:v>0.9766607226967713</x:v>
      </x:c>
      <x:c r="T251" s="243" t="n">
        <x:f>Q251*M251+S251*N251+O251</x:f>
        <x:v>0.3153487549492442</x:v>
      </x:c>
      <x:c r="U251" s="243" t="n">
        <x:f>1/(1+EXP(-T251))</x:f>
        <x:v>0.5781902917495402</x:v>
      </x:c>
      <x:c r="V251" s="243" t="n">
        <x:f>0.5*(F251-U251)^2</x:f>
        <x:v>0.08896171498716902</x:v>
      </x:c>
      <x:c r="W251" s="244" t="n">
        <x:f>(U251-F251)*U251*(1-U251)</x:f>
        <x:v>-0.10287359988594139</x:v>
      </x:c>
      <x:c r="X251" s="244" t="n">
        <x:f>W251*M251*Q251*(1-Q251)</x:f>
        <x:v>-0.05746892752060596</x:v>
      </x:c>
      <x:c r="Y251" s="244" t="n">
        <x:f>W251*N251*S251*(1-S251)</x:f>
        <x:v>0.005627179329392747</x:v>
      </x:c>
      <x:c r="Z251" s="245" t="n">
        <x:f>X251*D251</x:f>
        <x:v>-0.05746892752060596</x:v>
      </x:c>
      <x:c r="AA251" s="245" t="n">
        <x:f>X251*E251</x:f>
        <x:v>0</x:v>
      </x:c>
      <x:c r="AB251" s="245" t="n">
        <x:f>X251</x:f>
        <x:v>-0.05746892752060596</x:v>
      </x:c>
      <x:c r="AC251" s="245" t="n">
        <x:f>Y251*D251</x:f>
        <x:v>0.005627179329392747</x:v>
      </x:c>
      <x:c r="AD251" s="245" t="n">
        <x:f>Y251*E251</x:f>
        <x:v>0</x:v>
      </x:c>
      <x:c r="AE251" s="245" t="n">
        <x:f>Y251</x:f>
        <x:v>0.005627179329392747</x:v>
      </x:c>
      <x:c r="AF251" s="245" t="n">
        <x:f>W251*Q251</x:f>
        <x:v>-0.06582087979793341</x:v>
      </x:c>
      <x:c r="AG251" s="245" t="n">
        <x:f>W251*S251</x:f>
        <x:v>-0.100472604411022</x:v>
      </x:c>
      <x:c r="AH251" s="245" t="n">
        <x:f>W251</x:f>
        <x:v>-0.10287359988594139</x:v>
      </x:c>
      <x:c r="AI251" s="246" t="n">
        <x:f>G251-$B$4*Z251</x:f>
        <x:v>2.083481133943093</x:v>
      </x:c>
      <x:c r="AJ251" s="246" t="n">
        <x:f>H251-$B$4*AA251</x:f>
        <x:v>-2.4877382096109057</x:v>
      </x:c>
      <x:c r="AK251" s="246" t="n">
        <x:f>I251-$B$4*AB251</x:f>
        <x:v>-1.3939479344771943</x:v>
      </x:c>
      <x:c r="AL251" s="246" t="n">
        <x:f>J251-$B$4*AC251</x:f>
        <x:v>2.2083668415225186</x:v>
      </x:c>
      <x:c r="AM251" s="246" t="n">
        <x:f>K251-$B$4*AD251</x:f>
        <x:v>-2.292956649922102</x:v>
      </x:c>
      <x:c r="AN251" s="246" t="n">
        <x:f>L251-$B$4*AE251</x:f>
        <x:v>1.5143804646601018</x:v>
      </x:c>
      <x:c r="AO251" s="246" t="n">
        <x:f>M251-$B$4*AF251</x:f>
        <x:v>2.48993606072202</x:v>
      </x:c>
      <x:c r="AP251" s="246" t="n">
        <x:f>N251-$B$4*AG251</x:f>
        <x:v>-2.2992204338616604</x:v>
      </x:c>
      <x:c r="AQ251" s="246" t="n">
        <x:f>O251-$B$4*AH251</x:f>
        <x:v>1.210904009727373</x:v>
      </x:c>
      <x:c r="AR251" s="182" t="n">
        <x:f>IF(U251&gt;=$B$5,1,0)</x:f>
        <x:v>1</x:v>
      </x:c>
      <x:c r="AS251" s="182" t="n">
        <x:f>IF(AR251=F251,1,0)</x:f>
        <x:v>1</x:v>
      </x:c>
      <x:c r="AT251" s="252" t="n">
        <x:f>ABS(F251-U251)</x:f>
        <x:v>0.4218097082504598</x:v>
      </x:c>
    </x:row>
    <x:row r="252">
      <x:c r="A252" s="114" t="n">
        <x:v>236</x:v>
      </x:c>
      <x:c r="B252" s="114" t="n">
        <x:v>59</x:v>
      </x:c>
      <x:c r="C252" s="114" t="n">
        <x:v>4</x:v>
      </x:c>
      <x:c r="D252" s="168" t="n">
        <x:f>$I$8</x:f>
        <x:v>1</x:v>
      </x:c>
      <x:c r="E252" s="168" t="n">
        <x:f>$J$8</x:f>
        <x:v>1</x:v>
      </x:c>
      <x:c r="F252" s="168" t="n">
        <x:f>$K$8</x:f>
        <x:v>0</x:v>
      </x:c>
      <x:c r="G252" s="242" t="n">
        <x:f>AI251</x:f>
        <x:v>2.083481133943093</x:v>
      </x:c>
      <x:c r="H252" s="242" t="n">
        <x:f>AJ251</x:f>
        <x:v>-2.4877382096109057</x:v>
      </x:c>
      <x:c r="I252" s="242" t="n">
        <x:f>AK251</x:f>
        <x:v>-1.3939479344771943</x:v>
      </x:c>
      <x:c r="J252" s="242" t="n">
        <x:f>AL251</x:f>
        <x:v>2.2083668415225186</x:v>
      </x:c>
      <x:c r="K252" s="242" t="n">
        <x:f>AM251</x:f>
        <x:v>-2.292956649922102</x:v>
      </x:c>
      <x:c r="L252" s="242" t="n">
        <x:f>AN251</x:f>
        <x:v>1.5143804646601018</x:v>
      </x:c>
      <x:c r="M252" s="242" t="n">
        <x:f>AO251</x:f>
        <x:v>2.48993606072202</x:v>
      </x:c>
      <x:c r="N252" s="242" t="n">
        <x:f>AP251</x:f>
        <x:v>-2.2992204338616604</x:v>
      </x:c>
      <x:c r="O252" s="242" t="n">
        <x:f>AQ251</x:f>
        <x:v>1.210904009727373</x:v>
      </x:c>
      <x:c r="P252" s="243" t="n">
        <x:f>D252*G252+E252*H252+I252</x:f>
        <x:v>-1.798205010145007</x:v>
      </x:c>
      <x:c r="Q252" s="243" t="n">
        <x:f>1/(1+EXP(-P252))</x:f>
        <x:v>0.14206970833276594</x:v>
      </x:c>
      <x:c r="R252" s="243" t="n">
        <x:f>D252*J252+E252*K252+L252</x:f>
        <x:v>1.4297906562605183</x:v>
      </x:c>
      <x:c r="S252" s="243" t="n">
        <x:f>1/(1+EXP(-R252))</x:f>
        <x:v>0.8068686954918095</x:v>
      </x:c>
      <x:c r="T252" s="243" t="n">
        <x:f>Q252*M252+S252*N252+O252</x:f>
        <x:v>-0.29052049247668355</x:v>
      </x:c>
      <x:c r="U252" s="243" t="n">
        <x:f>1/(1+EXP(-T252))</x:f>
        <x:v>0.427876446670235</x:v>
      </x:c>
      <x:c r="V252" s="243" t="n">
        <x:f>0.5*(F252-U252)^2</x:f>
        <x:v>0.09153912680757323</x:v>
      </x:c>
      <x:c r="W252" s="244" t="n">
        <x:f>(U252-F252)*U252*(1-U252)</x:f>
        <x:v>0.1047433809957055</x:v>
      </x:c>
      <x:c r="X252" s="244" t="n">
        <x:f>W252*M252*Q252*(1-Q252)</x:f>
        <x:v>0.03178837109032081</x:v>
      </x:c>
      <x:c r="Y252" s="244" t="n">
        <x:f>W252*N252*S252*(1-S252)</x:f>
        <x:v>-0.037528632457821266</x:v>
      </x:c>
      <x:c r="Z252" s="245" t="n">
        <x:f>X252*D252</x:f>
        <x:v>0.03178837109032081</x:v>
      </x:c>
      <x:c r="AA252" s="245" t="n">
        <x:f>X252*E252</x:f>
        <x:v>0.03178837109032081</x:v>
      </x:c>
      <x:c r="AB252" s="245" t="n">
        <x:f>X252</x:f>
        <x:v>0.03178837109032081</x:v>
      </x:c>
      <x:c r="AC252" s="245" t="n">
        <x:f>Y252*D252</x:f>
        <x:v>-0.037528632457821266</x:v>
      </x:c>
      <x:c r="AD252" s="245" t="n">
        <x:f>Y252*E252</x:f>
        <x:v>-0.037528632457821266</x:v>
      </x:c>
      <x:c r="AE252" s="245" t="n">
        <x:f>Y252</x:f>
        <x:v>-0.037528632457821266</x:v>
      </x:c>
      <x:c r="AF252" s="245" t="n">
        <x:f>W252*Q252</x:f>
        <x:v>0.01488086158784766</x:v>
      </x:c>
      <x:c r="AG252" s="245" t="n">
        <x:f>W252*S252</x:f>
        <x:v>0.08451415518540649</x:v>
      </x:c>
      <x:c r="AH252" s="245" t="n">
        <x:f>W252</x:f>
        <x:v>0.1047433809957055</x:v>
      </x:c>
      <x:c r="AI252" s="246" t="n">
        <x:f>G252-$B$4*Z252</x:f>
        <x:v>2.051692762852772</x:v>
      </x:c>
      <x:c r="AJ252" s="246" t="n">
        <x:f>H252-$B$4*AA252</x:f>
        <x:v>-2.5195265807012266</x:v>
      </x:c>
      <x:c r="AK252" s="246" t="n">
        <x:f>I252-$B$4*AB252</x:f>
        <x:v>-1.4257363055675152</x:v>
      </x:c>
      <x:c r="AL252" s="246" t="n">
        <x:f>J252-$B$4*AC252</x:f>
        <x:v>2.24589547398034</x:v>
      </x:c>
      <x:c r="AM252" s="246" t="n">
        <x:f>K252-$B$4*AD252</x:f>
        <x:v>-2.255428017464281</x:v>
      </x:c>
      <x:c r="AN252" s="246" t="n">
        <x:f>L252-$B$4*AE252</x:f>
        <x:v>1.551909097117923</x:v>
      </x:c>
      <x:c r="AO252" s="246" t="n">
        <x:f>M252-$B$4*AF252</x:f>
        <x:v>2.4750551991341725</x:v>
      </x:c>
      <x:c r="AP252" s="246" t="n">
        <x:f>N252-$B$4*AG252</x:f>
        <x:v>-2.3837345890470667</x:v>
      </x:c>
      <x:c r="AQ252" s="246" t="n">
        <x:f>O252-$B$4*AH252</x:f>
        <x:v>1.1061606287316677</x:v>
      </x:c>
      <x:c r="AR252" s="182" t="n">
        <x:f>IF(U252&gt;=$B$5,1,0)</x:f>
        <x:v>0</x:v>
      </x:c>
      <x:c r="AS252" s="182" t="n">
        <x:f>IF(AR252=F252,1,0)</x:f>
        <x:v>1</x:v>
      </x:c>
      <x:c r="AT252" s="252" t="n">
        <x:f>ABS(F252-U252)</x:f>
        <x:v>0.427876446670235</x:v>
      </x:c>
    </x:row>
    <x:row r="253">
      <x:c r="A253" s="114" t="n">
        <x:v>237</x:v>
      </x:c>
      <x:c r="B253" s="114" t="n">
        <x:v>60</x:v>
      </x:c>
      <x:c r="C253" s="114" t="n">
        <x:v>1</x:v>
      </x:c>
      <x:c r="D253" s="168" t="n">
        <x:f>$I$5</x:f>
        <x:v>0</x:v>
      </x:c>
      <x:c r="E253" s="168" t="n">
        <x:f>$J$5</x:f>
        <x:v>0</x:v>
      </x:c>
      <x:c r="F253" s="168" t="n">
        <x:f>$K$5</x:f>
        <x:v>0</x:v>
      </x:c>
      <x:c r="G253" s="242" t="n">
        <x:f>AI252</x:f>
        <x:v>2.051692762852772</x:v>
      </x:c>
      <x:c r="H253" s="242" t="n">
        <x:f>AJ252</x:f>
        <x:v>-2.5195265807012266</x:v>
      </x:c>
      <x:c r="I253" s="242" t="n">
        <x:f>AK252</x:f>
        <x:v>-1.4257363055675152</x:v>
      </x:c>
      <x:c r="J253" s="242" t="n">
        <x:f>AL252</x:f>
        <x:v>2.24589547398034</x:v>
      </x:c>
      <x:c r="K253" s="242" t="n">
        <x:f>AM252</x:f>
        <x:v>-2.255428017464281</x:v>
      </x:c>
      <x:c r="L253" s="242" t="n">
        <x:f>AN252</x:f>
        <x:v>1.551909097117923</x:v>
      </x:c>
      <x:c r="M253" s="242" t="n">
        <x:f>AO252</x:f>
        <x:v>2.4750551991341725</x:v>
      </x:c>
      <x:c r="N253" s="242" t="n">
        <x:f>AP252</x:f>
        <x:v>-2.3837345890470667</x:v>
      </x:c>
      <x:c r="O253" s="242" t="n">
        <x:f>AQ252</x:f>
        <x:v>1.1061606287316677</x:v>
      </x:c>
      <x:c r="P253" s="243" t="n">
        <x:f>D253*G253+E253*H253+I253</x:f>
        <x:v>-1.4257363055675152</x:v>
      </x:c>
      <x:c r="Q253" s="243" t="n">
        <x:f>1/(1+EXP(-P253))</x:f>
        <x:v>0.19376388664138813</x:v>
      </x:c>
      <x:c r="R253" s="243" t="n">
        <x:f>D253*J253+E253*K253+L253</x:f>
        <x:v>1.551909097117923</x:v>
      </x:c>
      <x:c r="S253" s="243" t="n">
        <x:f>1/(1+EXP(-R253))</x:f>
        <x:v>0.8251892937569367</x:v>
      </x:c>
      <x:c r="T253" s="243" t="n">
        <x:f>Q253*M253+S253*N253+O253</x:f>
        <x:v>-0.3812953182718508</x:v>
      </x:c>
      <x:c r="U253" s="243" t="n">
        <x:f>1/(1+EXP(-T253))</x:f>
        <x:v>0.40581452007637764</x:v>
      </x:c>
      <x:c r="V253" s="243" t="n">
        <x:f>0.5*(F253-U253)^2</x:f>
        <x:v>0.08234271235241035</x:v>
      </x:c>
      <x:c r="W253" s="244" t="n">
        <x:f>(U253-F253)*U253*(1-U253)</x:f>
        <x:v>0.09785368811465946</x:v>
      </x:c>
      <x:c r="X253" s="244" t="n">
        <x:f>W253*M253*Q253*(1-Q253)</x:f>
        <x:v>0.037835299195098995</x:v>
      </x:c>
      <x:c r="Y253" s="244" t="n">
        <x:f>W253*N253*S253*(1-S253)</x:f>
        <x:v>-0.033647802739139004</x:v>
      </x:c>
      <x:c r="Z253" s="245" t="n">
        <x:f>X253*D253</x:f>
        <x:v>0</x:v>
      </x:c>
      <x:c r="AA253" s="245" t="n">
        <x:f>X253*E253</x:f>
        <x:v>0</x:v>
      </x:c>
      <x:c r="AB253" s="245" t="n">
        <x:f>X253</x:f>
        <x:v>0.037835299195098995</x:v>
      </x:c>
      <x:c r="AC253" s="245" t="n">
        <x:f>Y253*D253</x:f>
        <x:v>0</x:v>
      </x:c>
      <x:c r="AD253" s="245" t="n">
        <x:f>Y253*E253</x:f>
        <x:v>0</x:v>
      </x:c>
      <x:c r="AE253" s="245" t="n">
        <x:f>Y253</x:f>
        <x:v>-0.033647802739139004</x:v>
      </x:c>
      <x:c r="AF253" s="245" t="n">
        <x:f>W253*Q253</x:f>
        <x:v>0.018960510931290624</x:v>
      </x:c>
      <x:c r="AG253" s="245" t="n">
        <x:f>W253*S253</x:f>
        <x:v>0.0807478157868474</x:v>
      </x:c>
      <x:c r="AH253" s="245" t="n">
        <x:f>W253</x:f>
        <x:v>0.09785368811465946</x:v>
      </x:c>
      <x:c r="AI253" s="246" t="n">
        <x:f>G253-$B$4*Z253</x:f>
        <x:v>2.051692762852772</x:v>
      </x:c>
      <x:c r="AJ253" s="246" t="n">
        <x:f>H253-$B$4*AA253</x:f>
        <x:v>-2.5195265807012266</x:v>
      </x:c>
      <x:c r="AK253" s="246" t="n">
        <x:f>I253-$B$4*AB253</x:f>
        <x:v>-1.4635716047626142</x:v>
      </x:c>
      <x:c r="AL253" s="246" t="n">
        <x:f>J253-$B$4*AC253</x:f>
        <x:v>2.24589547398034</x:v>
      </x:c>
      <x:c r="AM253" s="246" t="n">
        <x:f>K253-$B$4*AD253</x:f>
        <x:v>-2.255428017464281</x:v>
      </x:c>
      <x:c r="AN253" s="246" t="n">
        <x:f>L253-$B$4*AE253</x:f>
        <x:v>1.585556899857062</x:v>
      </x:c>
      <x:c r="AO253" s="246" t="n">
        <x:f>M253-$B$4*AF253</x:f>
        <x:v>2.456094688202882</x:v>
      </x:c>
      <x:c r="AP253" s="246" t="n">
        <x:f>N253-$B$4*AG253</x:f>
        <x:v>-2.4644824048339142</x:v>
      </x:c>
      <x:c r="AQ253" s="246" t="n">
        <x:f>O253-$B$4*AH253</x:f>
        <x:v>1.0083069406170082</x:v>
      </x:c>
      <x:c r="AR253" s="182" t="n">
        <x:f>IF(U253&gt;=$B$5,1,0)</x:f>
        <x:v>0</x:v>
      </x:c>
      <x:c r="AS253" s="182" t="n">
        <x:f>IF(AR253=F253,1,0)</x:f>
        <x:v>1</x:v>
      </x:c>
      <x:c r="AT253" s="252" t="n">
        <x:f>ABS(F253-U253)</x:f>
        <x:v>0.40581452007637764</x:v>
      </x:c>
    </x:row>
    <x:row r="254">
      <x:c r="A254" s="114" t="n">
        <x:v>238</x:v>
      </x:c>
      <x:c r="B254" s="114" t="n">
        <x:v>60</x:v>
      </x:c>
      <x:c r="C254" s="114" t="n">
        <x:v>2</x:v>
      </x:c>
      <x:c r="D254" s="168" t="n">
        <x:f>$I$6</x:f>
        <x:v>0</x:v>
      </x:c>
      <x:c r="E254" s="168" t="n">
        <x:f>$J$6</x:f>
        <x:v>1</x:v>
      </x:c>
      <x:c r="F254" s="168" t="n">
        <x:f>$K$6</x:f>
        <x:v>1</x:v>
      </x:c>
      <x:c r="G254" s="242" t="n">
        <x:f>AI253</x:f>
        <x:v>2.051692762852772</x:v>
      </x:c>
      <x:c r="H254" s="242" t="n">
        <x:f>AJ253</x:f>
        <x:v>-2.5195265807012266</x:v>
      </x:c>
      <x:c r="I254" s="242" t="n">
        <x:f>AK253</x:f>
        <x:v>-1.4635716047626142</x:v>
      </x:c>
      <x:c r="J254" s="242" t="n">
        <x:f>AL253</x:f>
        <x:v>2.24589547398034</x:v>
      </x:c>
      <x:c r="K254" s="242" t="n">
        <x:f>AM253</x:f>
        <x:v>-2.255428017464281</x:v>
      </x:c>
      <x:c r="L254" s="242" t="n">
        <x:f>AN253</x:f>
        <x:v>1.585556899857062</x:v>
      </x:c>
      <x:c r="M254" s="242" t="n">
        <x:f>AO253</x:f>
        <x:v>2.456094688202882</x:v>
      </x:c>
      <x:c r="N254" s="242" t="n">
        <x:f>AP253</x:f>
        <x:v>-2.4644824048339142</x:v>
      </x:c>
      <x:c r="O254" s="242" t="n">
        <x:f>AQ253</x:f>
        <x:v>1.0083069406170082</x:v>
      </x:c>
      <x:c r="P254" s="243" t="n">
        <x:f>D254*G254+E254*H254+I254</x:f>
        <x:v>-3.9830981854638408</x:v>
      </x:c>
      <x:c r="Q254" s="243" t="n">
        <x:f>1/(1+EXP(-P254))</x:f>
        <x:v>0.018287186610686852</x:v>
      </x:c>
      <x:c r="R254" s="243" t="n">
        <x:f>D254*J254+E254*K254+L254</x:f>
        <x:v>-0.669871117607219</x:v>
      </x:c>
      <x:c r="S254" s="243" t="n">
        <x:f>1/(1+EXP(-R254))</x:f>
        <x:v>0.3385257003216065</x:v>
      </x:c>
      <x:c r="T254" s="243" t="n">
        <x:f>Q254*M254+S254*N254+O254</x:f>
        <x:v>0.21893137048701328</x:v>
      </x:c>
      <x:c r="U254" s="243" t="n">
        <x:f>1/(1+EXP(-T254))</x:f>
        <x:v>0.554515269007466</x:v>
      </x:c>
      <x:c r="V254" s="243" t="n">
        <x:f>0.5*(F254-U254)^2</x:f>
        <x:v>0.09922832277374521</x:v>
      </x:c>
      <x:c r="W254" s="244" t="n">
        <x:f>(U254-F254)*U254*(1-U254)</x:f>
        <x:v>-0.11004724019208598</x:v>
      </x:c>
      <x:c r="X254" s="244" t="n">
        <x:f>W254*M254*Q254*(1-Q254)</x:f>
        <x:v>-0.004852389090065621</x:v>
      </x:c>
      <x:c r="Y254" s="244" t="n">
        <x:f>W254*N254*S254*(1-S254)</x:f>
        <x:v>0.060730869328272465</x:v>
      </x:c>
      <x:c r="Z254" s="245" t="n">
        <x:f>X254*D254</x:f>
        <x:v>0</x:v>
      </x:c>
      <x:c r="AA254" s="245" t="n">
        <x:f>X254*E254</x:f>
        <x:v>-0.004852389090065621</x:v>
      </x:c>
      <x:c r="AB254" s="245" t="n">
        <x:f>X254</x:f>
        <x:v>-0.004852389090065621</x:v>
      </x:c>
      <x:c r="AC254" s="245" t="n">
        <x:f>Y254*D254</x:f>
        <x:v>0</x:v>
      </x:c>
      <x:c r="AD254" s="245" t="n">
        <x:f>Y254*E254</x:f>
        <x:v>0.060730869328272465</x:v>
      </x:c>
      <x:c r="AE254" s="245" t="n">
        <x:f>Y254</x:f>
        <x:v>0.060730869328272465</x:v>
      </x:c>
      <x:c r="AF254" s="245" t="n">
        <x:f>W254*Q254</x:f>
        <x:v>-0.0020124544173837546</x:v>
      </x:c>
      <x:c r="AG254" s="245" t="n">
        <x:f>W254*S254</x:f>
        <x:v>-0.03725381905448595</x:v>
      </x:c>
      <x:c r="AH254" s="245" t="n">
        <x:f>W254</x:f>
        <x:v>-0.11004724019208598</x:v>
      </x:c>
      <x:c r="AI254" s="246" t="n">
        <x:f>G254-$B$4*Z254</x:f>
        <x:v>2.051692762852772</x:v>
      </x:c>
      <x:c r="AJ254" s="246" t="n">
        <x:f>H254-$B$4*AA254</x:f>
        <x:v>-2.514674191611161</x:v>
      </x:c>
      <x:c r="AK254" s="246" t="n">
        <x:f>I254-$B$4*AB254</x:f>
        <x:v>-1.4587192156725486</x:v>
      </x:c>
      <x:c r="AL254" s="246" t="n">
        <x:f>J254-$B$4*AC254</x:f>
        <x:v>2.24589547398034</x:v>
      </x:c>
      <x:c r="AM254" s="246" t="n">
        <x:f>K254-$B$4*AD254</x:f>
        <x:v>-2.3161588867925533</x:v>
      </x:c>
      <x:c r="AN254" s="246" t="n">
        <x:f>L254-$B$4*AE254</x:f>
        <x:v>1.5248260305287895</x:v>
      </x:c>
      <x:c r="AO254" s="246" t="n">
        <x:f>M254-$B$4*AF254</x:f>
        <x:v>2.458107142620266</x:v>
      </x:c>
      <x:c r="AP254" s="246" t="n">
        <x:f>N254-$B$4*AG254</x:f>
        <x:v>-2.4272285857794285</x:v>
      </x:c>
      <x:c r="AQ254" s="246" t="n">
        <x:f>O254-$B$4*AH254</x:f>
        <x:v>1.1183541808090942</x:v>
      </x:c>
      <x:c r="AR254" s="182" t="n">
        <x:f>IF(U254&gt;=$B$5,1,0)</x:f>
        <x:v>1</x:v>
      </x:c>
      <x:c r="AS254" s="182" t="n">
        <x:f>IF(AR254=F254,1,0)</x:f>
        <x:v>1</x:v>
      </x:c>
      <x:c r="AT254" s="252" t="n">
        <x:f>ABS(F254-U254)</x:f>
        <x:v>0.44548473099253405</x:v>
      </x:c>
    </x:row>
    <x:row r="255">
      <x:c r="A255" s="114" t="n">
        <x:v>239</x:v>
      </x:c>
      <x:c r="B255" s="114" t="n">
        <x:v>60</x:v>
      </x:c>
      <x:c r="C255" s="114" t="n">
        <x:v>3</x:v>
      </x:c>
      <x:c r="D255" s="168" t="n">
        <x:f>$I$7</x:f>
        <x:v>1</x:v>
      </x:c>
      <x:c r="E255" s="168" t="n">
        <x:f>$J$7</x:f>
        <x:v>0</x:v>
      </x:c>
      <x:c r="F255" s="168" t="n">
        <x:f>$K$7</x:f>
        <x:v>1</x:v>
      </x:c>
      <x:c r="G255" s="242" t="n">
        <x:f>AI254</x:f>
        <x:v>2.051692762852772</x:v>
      </x:c>
      <x:c r="H255" s="242" t="n">
        <x:f>AJ254</x:f>
        <x:v>-2.514674191611161</x:v>
      </x:c>
      <x:c r="I255" s="242" t="n">
        <x:f>AK254</x:f>
        <x:v>-1.4587192156725486</x:v>
      </x:c>
      <x:c r="J255" s="242" t="n">
        <x:f>AL254</x:f>
        <x:v>2.24589547398034</x:v>
      </x:c>
      <x:c r="K255" s="242" t="n">
        <x:f>AM254</x:f>
        <x:v>-2.3161588867925533</x:v>
      </x:c>
      <x:c r="L255" s="242" t="n">
        <x:f>AN254</x:f>
        <x:v>1.5248260305287895</x:v>
      </x:c>
      <x:c r="M255" s="242" t="n">
        <x:f>AO254</x:f>
        <x:v>2.458107142620266</x:v>
      </x:c>
      <x:c r="N255" s="242" t="n">
        <x:f>AP254</x:f>
        <x:v>-2.4272285857794285</x:v>
      </x:c>
      <x:c r="O255" s="242" t="n">
        <x:f>AQ254</x:f>
        <x:v>1.1183541808090942</x:v>
      </x:c>
      <x:c r="P255" s="243" t="n">
        <x:f>D255*G255+E255*H255+I255</x:f>
        <x:v>0.5929735471802235</x:v>
      </x:c>
      <x:c r="Q255" s="243" t="n">
        <x:f>1/(1+EXP(-P255))</x:f>
        <x:v>0.6440471242621787</x:v>
      </x:c>
      <x:c r="R255" s="243" t="n">
        <x:f>D255*J255+E255*K255+L255</x:f>
        <x:v>3.7707215045091296</x:v>
      </x:c>
      <x:c r="S255" s="243" t="n">
        <x:f>1/(1+EXP(-R255))</x:f>
        <x:v>0.9774832461491699</x:v>
      </x:c>
      <x:c r="T255" s="243" t="n">
        <x:f>Q255*M255+S255*N255+O255</x:f>
        <x:v>0.3289157399682632</x:v>
      </x:c>
      <x:c r="U255" s="243" t="n">
        <x:f>1/(1+EXP(-T255))</x:f>
        <x:v>0.5814955363106501</x:v>
      </x:c>
      <x:c r="V255" s="243" t="n">
        <x:f>0.5*(F255-U255)^2</x:f>
        <x:v>0.08757299306395519</x:v>
      </x:c>
      <x:c r="W255" s="244" t="n">
        <x:f>(U255-F255)*U255*(1-U255)</x:f>
        <x:v>-0.10184660913610694</x:v>
      </x:c>
      <x:c r="X255" s="244" t="n">
        <x:f>W255*M255*Q255*(1-Q255)</x:f>
        <x:v>-0.05739281603386451</x:v>
      </x:c>
      <x:c r="Y255" s="244" t="n">
        <x:f>W255*N255*S255*(1-S255)</x:f>
        <x:v>0.005440920184777172</x:v>
      </x:c>
      <x:c r="Z255" s="245" t="n">
        <x:f>X255*D255</x:f>
        <x:v>-0.05739281603386451</x:v>
      </x:c>
      <x:c r="AA255" s="245" t="n">
        <x:f>X255*E255</x:f>
        <x:v>0</x:v>
      </x:c>
      <x:c r="AB255" s="245" t="n">
        <x:f>X255</x:f>
        <x:v>-0.05739281603386451</x:v>
      </x:c>
      <x:c r="AC255" s="245" t="n">
        <x:f>Y255*D255</x:f>
        <x:v>0.005440920184777172</x:v>
      </x:c>
      <x:c r="AD255" s="245" t="n">
        <x:f>Y255*E255</x:f>
        <x:v>0</x:v>
      </x:c>
      <x:c r="AE255" s="245" t="n">
        <x:f>Y255</x:f>
        <x:v>0.005440920184777172</x:v>
      </x:c>
      <x:c r="AF255" s="245" t="n">
        <x:f>W255*Q255</x:f>
        <x:v>-0.0655940157299638</x:v>
      </x:c>
      <x:c r="AG255" s="245" t="n">
        <x:f>W255*S255</x:f>
        <x:v>-0.09955335410764751</x:v>
      </x:c>
      <x:c r="AH255" s="245" t="n">
        <x:f>W255</x:f>
        <x:v>-0.10184660913610694</x:v>
      </x:c>
      <x:c r="AI255" s="246" t="n">
        <x:f>G255-$B$4*Z255</x:f>
        <x:v>2.1090855788866367</x:v>
      </x:c>
      <x:c r="AJ255" s="246" t="n">
        <x:f>H255-$B$4*AA255</x:f>
        <x:v>-2.514674191611161</x:v>
      </x:c>
      <x:c r="AK255" s="246" t="n">
        <x:f>I255-$B$4*AB255</x:f>
        <x:v>-1.401326399638684</x:v>
      </x:c>
      <x:c r="AL255" s="246" t="n">
        <x:f>J255-$B$4*AC255</x:f>
        <x:v>2.2404545537955625</x:v>
      </x:c>
      <x:c r="AM255" s="246" t="n">
        <x:f>K255-$B$4*AD255</x:f>
        <x:v>-2.3161588867925533</x:v>
      </x:c>
      <x:c r="AN255" s="246" t="n">
        <x:f>L255-$B$4*AE255</x:f>
        <x:v>1.5193851103440124</x:v>
      </x:c>
      <x:c r="AO255" s="246" t="n">
        <x:f>M255-$B$4*AF255</x:f>
        <x:v>2.52370115835023</x:v>
      </x:c>
      <x:c r="AP255" s="246" t="n">
        <x:f>N255-$B$4*AG255</x:f>
        <x:v>-2.327675231671781</x:v>
      </x:c>
      <x:c r="AQ255" s="246" t="n">
        <x:f>O255-$B$4*AH255</x:f>
        <x:v>1.2202007899452012</x:v>
      </x:c>
      <x:c r="AR255" s="182" t="n">
        <x:f>IF(U255&gt;=$B$5,1,0)</x:f>
        <x:v>1</x:v>
      </x:c>
      <x:c r="AS255" s="182" t="n">
        <x:f>IF(AR255=F255,1,0)</x:f>
        <x:v>1</x:v>
      </x:c>
      <x:c r="AT255" s="252" t="n">
        <x:f>ABS(F255-U255)</x:f>
        <x:v>0.4185044636893499</x:v>
      </x:c>
    </x:row>
    <x:row r="256">
      <x:c r="A256" s="114" t="n">
        <x:v>240</x:v>
      </x:c>
      <x:c r="B256" s="114" t="n">
        <x:v>60</x:v>
      </x:c>
      <x:c r="C256" s="114" t="n">
        <x:v>4</x:v>
      </x:c>
      <x:c r="D256" s="168" t="n">
        <x:f>$I$8</x:f>
        <x:v>1</x:v>
      </x:c>
      <x:c r="E256" s="168" t="n">
        <x:f>$J$8</x:f>
        <x:v>1</x:v>
      </x:c>
      <x:c r="F256" s="168" t="n">
        <x:f>$K$8</x:f>
        <x:v>0</x:v>
      </x:c>
      <x:c r="G256" s="242" t="n">
        <x:f>AI255</x:f>
        <x:v>2.1090855788866367</x:v>
      </x:c>
      <x:c r="H256" s="242" t="n">
        <x:f>AJ255</x:f>
        <x:v>-2.514674191611161</x:v>
      </x:c>
      <x:c r="I256" s="242" t="n">
        <x:f>AK255</x:f>
        <x:v>-1.401326399638684</x:v>
      </x:c>
      <x:c r="J256" s="242" t="n">
        <x:f>AL255</x:f>
        <x:v>2.2404545537955625</x:v>
      </x:c>
      <x:c r="K256" s="242" t="n">
        <x:f>AM255</x:f>
        <x:v>-2.3161588867925533</x:v>
      </x:c>
      <x:c r="L256" s="242" t="n">
        <x:f>AN255</x:f>
        <x:v>1.5193851103440124</x:v>
      </x:c>
      <x:c r="M256" s="242" t="n">
        <x:f>AO255</x:f>
        <x:v>2.52370115835023</x:v>
      </x:c>
      <x:c r="N256" s="242" t="n">
        <x:f>AP255</x:f>
        <x:v>-2.327675231671781</x:v>
      </x:c>
      <x:c r="O256" s="242" t="n">
        <x:f>AQ255</x:f>
        <x:v>1.2202007899452012</x:v>
      </x:c>
      <x:c r="P256" s="243" t="n">
        <x:f>D256*G256+E256*H256+I256</x:f>
        <x:v>-1.8069150123632083</x:v>
      </x:c>
      <x:c r="Q256" s="243" t="n">
        <x:f>1/(1+EXP(-P256))</x:f>
        <x:v>0.14101138790104462</x:v>
      </x:c>
      <x:c r="R256" s="243" t="n">
        <x:f>D256*J256+E256*K256+L256</x:f>
        <x:v>1.4436807773470215</x:v>
      </x:c>
      <x:c r="S256" s="243" t="n">
        <x:f>1/(1+EXP(-R256))</x:f>
        <x:v>0.8090239938468893</x:v>
      </x:c>
      <x:c r="T256" s="243" t="n">
        <x:f>Q256*M256+S256*N256+O256</x:f>
        <x:v>-0.30707371937394656</x:v>
      </x:c>
      <x:c r="U256" s="243" t="n">
        <x:f>1/(1+EXP(-T256))</x:f>
        <x:v>0.4238291710035985</x:v>
      </x:c>
      <x:c r="V256" s="243" t="n">
        <x:f>0.5*(F256-U256)^2</x:f>
        <x:v>0.08981558309679878</x:v>
      </x:c>
      <x:c r="W256" s="244" t="n">
        <x:f>(U256-F256)*U256*(1-U256)</x:f>
        <x:v>0.10349823793935548</x:v>
      </x:c>
      <x:c r="X256" s="244" t="n">
        <x:f>W256*M256*Q256*(1-Q256)</x:f>
        <x:v>0.031638251676129776</x:v>
      </x:c>
      <x:c r="Y256" s="244" t="n">
        <x:f>W256*N256*S256*(1-S256)</x:f>
        <x:v>-0.03722164391981099</x:v>
      </x:c>
      <x:c r="Z256" s="245" t="n">
        <x:f>X256*D256</x:f>
        <x:v>0.031638251676129776</x:v>
      </x:c>
      <x:c r="AA256" s="245" t="n">
        <x:f>X256*E256</x:f>
        <x:v>0.031638251676129776</x:v>
      </x:c>
      <x:c r="AB256" s="245" t="n">
        <x:f>X256</x:f>
        <x:v>0.031638251676129776</x:v>
      </x:c>
      <x:c r="AC256" s="245" t="n">
        <x:f>Y256*D256</x:f>
        <x:v>-0.03722164391981099</x:v>
      </x:c>
      <x:c r="AD256" s="245" t="n">
        <x:f>Y256*E256</x:f>
        <x:v>-0.03722164391981099</x:v>
      </x:c>
      <x:c r="AE256" s="245" t="n">
        <x:f>Y256</x:f>
        <x:v>-0.03722164391981099</x:v>
      </x:c>
      <x:c r="AF256" s="245" t="n">
        <x:f>W256*Q256</x:f>
        <x:v>0.014594430177141068</x:v>
      </x:c>
      <x:c r="AG256" s="245" t="n">
        <x:f>W256*S256</x:f>
        <x:v>0.083732557813813</x:v>
      </x:c>
      <x:c r="AH256" s="245" t="n">
        <x:f>W256</x:f>
        <x:v>0.10349823793935548</x:v>
      </x:c>
      <x:c r="AI256" s="246" t="n">
        <x:f>G256-$B$4*Z256</x:f>
        <x:v>2.077447327210507</x:v>
      </x:c>
      <x:c r="AJ256" s="246" t="n">
        <x:f>H256-$B$4*AA256</x:f>
        <x:v>-2.546312443287291</x:v>
      </x:c>
      <x:c r="AK256" s="246" t="n">
        <x:f>I256-$B$4*AB256</x:f>
        <x:v>-1.4329646513148138</x:v>
      </x:c>
      <x:c r="AL256" s="246" t="n">
        <x:f>J256-$B$4*AC256</x:f>
        <x:v>2.2776761977153734</x:v>
      </x:c>
      <x:c r="AM256" s="246" t="n">
        <x:f>K256-$B$4*AD256</x:f>
        <x:v>-2.2789372428727424</x:v>
      </x:c>
      <x:c r="AN256" s="246" t="n">
        <x:f>L256-$B$4*AE256</x:f>
        <x:v>1.5566067542638233</x:v>
      </x:c>
      <x:c r="AO256" s="246" t="n">
        <x:f>M256-$B$4*AF256</x:f>
        <x:v>2.5091067281730886</x:v>
      </x:c>
      <x:c r="AP256" s="246" t="n">
        <x:f>N256-$B$4*AG256</x:f>
        <x:v>-2.411407789485594</x:v>
      </x:c>
      <x:c r="AQ256" s="246" t="n">
        <x:f>O256-$B$4*AH256</x:f>
        <x:v>1.1167025520058458</x:v>
      </x:c>
      <x:c r="AR256" s="182" t="n">
        <x:f>IF(U256&gt;=$B$5,1,0)</x:f>
        <x:v>0</x:v>
      </x:c>
      <x:c r="AS256" s="182" t="n">
        <x:f>IF(AR256=F256,1,0)</x:f>
        <x:v>1</x:v>
      </x:c>
      <x:c r="AT256" s="252" t="n">
        <x:f>ABS(F256-U256)</x:f>
        <x:v>0.4238291710035985</x:v>
      </x:c>
    </x:row>
    <x:row r="257">
      <x:c r="A257" s="114" t="n">
        <x:v>241</x:v>
      </x:c>
      <x:c r="B257" s="114" t="n">
        <x:v>61</x:v>
      </x:c>
      <x:c r="C257" s="114" t="n">
        <x:v>1</x:v>
      </x:c>
      <x:c r="D257" s="168" t="n">
        <x:f>$I$5</x:f>
        <x:v>0</x:v>
      </x:c>
      <x:c r="E257" s="168" t="n">
        <x:f>$J$5</x:f>
        <x:v>0</x:v>
      </x:c>
      <x:c r="F257" s="168" t="n">
        <x:f>$K$5</x:f>
        <x:v>0</x:v>
      </x:c>
      <x:c r="G257" s="242" t="n">
        <x:f>AI256</x:f>
        <x:v>2.077447327210507</x:v>
      </x:c>
      <x:c r="H257" s="242" t="n">
        <x:f>AJ256</x:f>
        <x:v>-2.546312443287291</x:v>
      </x:c>
      <x:c r="I257" s="242" t="n">
        <x:f>AK256</x:f>
        <x:v>-1.4329646513148138</x:v>
      </x:c>
      <x:c r="J257" s="242" t="n">
        <x:f>AL256</x:f>
        <x:v>2.2776761977153734</x:v>
      </x:c>
      <x:c r="K257" s="242" t="n">
        <x:f>AM256</x:f>
        <x:v>-2.2789372428727424</x:v>
      </x:c>
      <x:c r="L257" s="242" t="n">
        <x:f>AN256</x:f>
        <x:v>1.5566067542638233</x:v>
      </x:c>
      <x:c r="M257" s="242" t="n">
        <x:f>AO256</x:f>
        <x:v>2.5091067281730886</x:v>
      </x:c>
      <x:c r="N257" s="242" t="n">
        <x:f>AP256</x:f>
        <x:v>-2.411407789485594</x:v>
      </x:c>
      <x:c r="O257" s="242" t="n">
        <x:f>AQ256</x:f>
        <x:v>1.1167025520058458</x:v>
      </x:c>
      <x:c r="P257" s="243" t="n">
        <x:f>D257*G257+E257*H257+I257</x:f>
        <x:v>-1.4329646513148138</x:v>
      </x:c>
      <x:c r="Q257" s="243" t="n">
        <x:f>1/(1+EXP(-P257))</x:f>
        <x:v>0.19263717746309175</x:v>
      </x:c>
      <x:c r="R257" s="243" t="n">
        <x:f>D257*J257+E257*K257+L257</x:f>
        <x:v>1.5566067542638233</x:v>
      </x:c>
      <x:c r="S257" s="243" t="n">
        <x:f>1/(1+EXP(-R257))</x:f>
        <x:v>0.8258659049804805</x:v>
      </x:c>
      <x:c r="T257" s="243" t="n">
        <x:f>Q257*M257+S257*N257+O257</x:f>
        <x:v>-0.3914496862657375</x:v>
      </x:c>
      <x:c r="U257" s="243" t="n">
        <x:f>1/(1+EXP(-T257))</x:f>
        <x:v>0.4033683670128872</x:v>
      </x:c>
      <x:c r="V257" s="243" t="n">
        <x:f>0.5*(F257-U257)^2</x:f>
        <x:v>0.08135301975332163</x:v>
      </x:c>
      <x:c r="W257" s="244" t="n">
        <x:f>(U257-F257)*U257*(1-U257)</x:f>
        <x:v>0.09707557004771426</x:v>
      </x:c>
      <x:c r="X257" s="244" t="n">
        <x:f>W257*M257*Q257*(1-Q257)</x:f>
        <x:v>0.03788243946585157</x:v>
      </x:c>
      <x:c r="Y257" s="244" t="n">
        <x:f>W257*N257*S257*(1-S257)</x:f>
        <x:v>-0.03366463880991851</x:v>
      </x:c>
      <x:c r="Z257" s="245" t="n">
        <x:f>X257*D257</x:f>
        <x:v>0</x:v>
      </x:c>
      <x:c r="AA257" s="245" t="n">
        <x:f>X257*E257</x:f>
        <x:v>0</x:v>
      </x:c>
      <x:c r="AB257" s="245" t="n">
        <x:f>X257</x:f>
        <x:v>0.03788243946585157</x:v>
      </x:c>
      <x:c r="AC257" s="245" t="n">
        <x:f>Y257*D257</x:f>
        <x:v>0</x:v>
      </x:c>
      <x:c r="AD257" s="245" t="n">
        <x:f>Y257*E257</x:f>
        <x:v>0</x:v>
      </x:c>
      <x:c r="AE257" s="245" t="n">
        <x:f>Y257</x:f>
        <x:v>-0.03366463880991851</x:v>
      </x:c>
      <x:c r="AF257" s="245" t="n">
        <x:f>W257*Q257</x:f>
        <x:v>0.018700363814612327</x:v>
      </x:c>
      <x:c r="AG257" s="245" t="n">
        <x:f>W257*S257</x:f>
        <x:v>0.08017140350895156</x:v>
      </x:c>
      <x:c r="AH257" s="245" t="n">
        <x:f>W257</x:f>
        <x:v>0.09707557004771426</x:v>
      </x:c>
      <x:c r="AI257" s="246" t="n">
        <x:f>G257-$B$4*Z257</x:f>
        <x:v>2.077447327210507</x:v>
      </x:c>
      <x:c r="AJ257" s="246" t="n">
        <x:f>H257-$B$4*AA257</x:f>
        <x:v>-2.546312443287291</x:v>
      </x:c>
      <x:c r="AK257" s="246" t="n">
        <x:f>I257-$B$4*AB257</x:f>
        <x:v>-1.4708470907806652</x:v>
      </x:c>
      <x:c r="AL257" s="246" t="n">
        <x:f>J257-$B$4*AC257</x:f>
        <x:v>2.2776761977153734</x:v>
      </x:c>
      <x:c r="AM257" s="246" t="n">
        <x:f>K257-$B$4*AD257</x:f>
        <x:v>-2.2789372428727424</x:v>
      </x:c>
      <x:c r="AN257" s="246" t="n">
        <x:f>L257-$B$4*AE257</x:f>
        <x:v>1.5902713930737418</x:v>
      </x:c>
      <x:c r="AO257" s="246" t="n">
        <x:f>M257-$B$4*AF257</x:f>
        <x:v>2.4904063643584764</x:v>
      </x:c>
      <x:c r="AP257" s="246" t="n">
        <x:f>N257-$B$4*AG257</x:f>
        <x:v>-2.4915791929945454</x:v>
      </x:c>
      <x:c r="AQ257" s="246" t="n">
        <x:f>O257-$B$4*AH257</x:f>
        <x:v>1.0196269819581316</x:v>
      </x:c>
      <x:c r="AR257" s="182" t="n">
        <x:f>IF(U257&gt;=$B$5,1,0)</x:f>
        <x:v>0</x:v>
      </x:c>
      <x:c r="AS257" s="182" t="n">
        <x:f>IF(AR257=F257,1,0)</x:f>
        <x:v>1</x:v>
      </x:c>
      <x:c r="AT257" s="252" t="n">
        <x:f>ABS(F257-U257)</x:f>
        <x:v>0.4033683670128872</x:v>
      </x:c>
    </x:row>
    <x:row r="258">
      <x:c r="A258" s="114" t="n">
        <x:v>242</x:v>
      </x:c>
      <x:c r="B258" s="114" t="n">
        <x:v>61</x:v>
      </x:c>
      <x:c r="C258" s="114" t="n">
        <x:v>2</x:v>
      </x:c>
      <x:c r="D258" s="168" t="n">
        <x:f>$I$6</x:f>
        <x:v>0</x:v>
      </x:c>
      <x:c r="E258" s="168" t="n">
        <x:f>$J$6</x:f>
        <x:v>1</x:v>
      </x:c>
      <x:c r="F258" s="168" t="n">
        <x:f>$K$6</x:f>
        <x:v>1</x:v>
      </x:c>
      <x:c r="G258" s="242" t="n">
        <x:f>AI257</x:f>
        <x:v>2.077447327210507</x:v>
      </x:c>
      <x:c r="H258" s="242" t="n">
        <x:f>AJ257</x:f>
        <x:v>-2.546312443287291</x:v>
      </x:c>
      <x:c r="I258" s="242" t="n">
        <x:f>AK257</x:f>
        <x:v>-1.4708470907806652</x:v>
      </x:c>
      <x:c r="J258" s="242" t="n">
        <x:f>AL257</x:f>
        <x:v>2.2776761977153734</x:v>
      </x:c>
      <x:c r="K258" s="242" t="n">
        <x:f>AM257</x:f>
        <x:v>-2.2789372428727424</x:v>
      </x:c>
      <x:c r="L258" s="242" t="n">
        <x:f>AN257</x:f>
        <x:v>1.5902713930737418</x:v>
      </x:c>
      <x:c r="M258" s="242" t="n">
        <x:f>AO257</x:f>
        <x:v>2.4904063643584764</x:v>
      </x:c>
      <x:c r="N258" s="242" t="n">
        <x:f>AP257</x:f>
        <x:v>-2.4915791929945454</x:v>
      </x:c>
      <x:c r="O258" s="242" t="n">
        <x:f>AQ257</x:f>
        <x:v>1.0196269819581316</x:v>
      </x:c>
      <x:c r="P258" s="243" t="n">
        <x:f>D258*G258+E258*H258+I258</x:f>
        <x:v>-4.017159534067956</x:v>
      </x:c>
      <x:c r="Q258" s="243" t="n">
        <x:f>1/(1+EXP(-P258))</x:f>
        <x:v>0.017685619750115254</x:v>
      </x:c>
      <x:c r="R258" s="243" t="n">
        <x:f>D258*J258+E258*K258+L258</x:f>
        <x:v>-0.6886658497990006</x:v>
      </x:c>
      <x:c r="S258" s="243" t="n">
        <x:f>1/(1+EXP(-R258))</x:f>
        <x:v>0.3343299272902427</x:v>
      </x:c>
      <x:c r="T258" s="243" t="n">
        <x:f>Q258*M258+S258*N258+O258</x:f>
        <x:v>0.23066187150969464</x:v>
      </x:c>
      <x:c r="U258" s="243" t="n">
        <x:f>1/(1+EXP(-T258))</x:f>
        <x:v>0.5574111471200909</x:v>
      </x:c>
      <x:c r="V258" s="243" t="n">
        <x:f>0.5*(F258-U258)^2</x:f>
        <x:v>0.09794244634677692</x:v>
      </x:c>
      <x:c r="W258" s="244" t="n">
        <x:f>(U258-F258)*U258*(1-U258)</x:f>
        <x:v>-0.10918842273980976</x:v>
      </x:c>
      <x:c r="X258" s="244" t="n">
        <x:f>W258*M258*Q258*(1-Q258)</x:f>
        <x:v>-0.004724083823570993</x:v>
      </x:c>
      <x:c r="Y258" s="244" t="n">
        <x:f>W258*N258*S258*(1-S258)</x:f>
        <x:v>0.06054601639592599</x:v>
      </x:c>
      <x:c r="Z258" s="245" t="n">
        <x:f>X258*D258</x:f>
        <x:v>0</x:v>
      </x:c>
      <x:c r="AA258" s="245" t="n">
        <x:f>X258*E258</x:f>
        <x:v>-0.004724083823570993</x:v>
      </x:c>
      <x:c r="AB258" s="245" t="n">
        <x:f>X258</x:f>
        <x:v>-0.004724083823570993</x:v>
      </x:c>
      <x:c r="AC258" s="245" t="n">
        <x:f>Y258*D258</x:f>
        <x:v>0</x:v>
      </x:c>
      <x:c r="AD258" s="245" t="n">
        <x:f>Y258*E258</x:f>
        <x:v>0.06054601639592599</x:v>
      </x:c>
      <x:c r="AE258" s="245" t="n">
        <x:f>Y258</x:f>
        <x:v>0.06054601639592599</x:v>
      </x:c>
      <x:c r="AF258" s="245" t="n">
        <x:f>W258*Q258</x:f>
        <x:v>-0.001931064925691113</x:v>
      </x:c>
      <x:c r="AG258" s="245" t="n">
        <x:f>W258*S258</x:f>
        <x:v>-0.03650495743553688</x:v>
      </x:c>
      <x:c r="AH258" s="245" t="n">
        <x:f>W258</x:f>
        <x:v>-0.10918842273980976</x:v>
      </x:c>
      <x:c r="AI258" s="246" t="n">
        <x:f>G258-$B$4*Z258</x:f>
        <x:v>2.077447327210507</x:v>
      </x:c>
      <x:c r="AJ258" s="246" t="n">
        <x:f>H258-$B$4*AA258</x:f>
        <x:v>-2.5415883594637196</x:v>
      </x:c>
      <x:c r="AK258" s="246" t="n">
        <x:f>I258-$B$4*AB258</x:f>
        <x:v>-1.4661230069570943</x:v>
      </x:c>
      <x:c r="AL258" s="246" t="n">
        <x:f>J258-$B$4*AC258</x:f>
        <x:v>2.2776761977153734</x:v>
      </x:c>
      <x:c r="AM258" s="246" t="n">
        <x:f>K258-$B$4*AD258</x:f>
        <x:v>-2.3394832592686683</x:v>
      </x:c>
      <x:c r="AN258" s="246" t="n">
        <x:f>L258-$B$4*AE258</x:f>
        <x:v>1.5297253766778158</x:v>
      </x:c>
      <x:c r="AO258" s="246" t="n">
        <x:f>M258-$B$4*AF258</x:f>
        <x:v>2.4923374292841673</x:v>
      </x:c>
      <x:c r="AP258" s="246" t="n">
        <x:f>N258-$B$4*AG258</x:f>
        <x:v>-2.4550742355590085</x:v>
      </x:c>
      <x:c r="AQ258" s="246" t="n">
        <x:f>O258-$B$4*AH258</x:f>
        <x:v>1.1288154046979413</x:v>
      </x:c>
      <x:c r="AR258" s="182" t="n">
        <x:f>IF(U258&gt;=$B$5,1,0)</x:f>
        <x:v>1</x:v>
      </x:c>
      <x:c r="AS258" s="182" t="n">
        <x:f>IF(AR258=F258,1,0)</x:f>
        <x:v>1</x:v>
      </x:c>
      <x:c r="AT258" s="252" t="n">
        <x:f>ABS(F258-U258)</x:f>
        <x:v>0.4425888528799091</x:v>
      </x:c>
    </x:row>
    <x:row r="259">
      <x:c r="A259" s="114" t="n">
        <x:v>243</x:v>
      </x:c>
      <x:c r="B259" s="114" t="n">
        <x:v>61</x:v>
      </x:c>
      <x:c r="C259" s="114" t="n">
        <x:v>3</x:v>
      </x:c>
      <x:c r="D259" s="168" t="n">
        <x:f>$I$7</x:f>
        <x:v>1</x:v>
      </x:c>
      <x:c r="E259" s="168" t="n">
        <x:f>$J$7</x:f>
        <x:v>0</x:v>
      </x:c>
      <x:c r="F259" s="168" t="n">
        <x:f>$K$7</x:f>
        <x:v>1</x:v>
      </x:c>
      <x:c r="G259" s="242" t="n">
        <x:f>AI258</x:f>
        <x:v>2.077447327210507</x:v>
      </x:c>
      <x:c r="H259" s="242" t="n">
        <x:f>AJ258</x:f>
        <x:v>-2.5415883594637196</x:v>
      </x:c>
      <x:c r="I259" s="242" t="n">
        <x:f>AK258</x:f>
        <x:v>-1.4661230069570943</x:v>
      </x:c>
      <x:c r="J259" s="242" t="n">
        <x:f>AL258</x:f>
        <x:v>2.2776761977153734</x:v>
      </x:c>
      <x:c r="K259" s="242" t="n">
        <x:f>AM258</x:f>
        <x:v>-2.3394832592686683</x:v>
      </x:c>
      <x:c r="L259" s="242" t="n">
        <x:f>AN258</x:f>
        <x:v>1.5297253766778158</x:v>
      </x:c>
      <x:c r="M259" s="242" t="n">
        <x:f>AO258</x:f>
        <x:v>2.4923374292841673</x:v>
      </x:c>
      <x:c r="N259" s="242" t="n">
        <x:f>AP258</x:f>
        <x:v>-2.4550742355590085</x:v>
      </x:c>
      <x:c r="O259" s="242" t="n">
        <x:f>AQ258</x:f>
        <x:v>1.1288154046979413</x:v>
      </x:c>
      <x:c r="P259" s="243" t="n">
        <x:f>D259*G259+E259*H259+I259</x:f>
        <x:v>0.6113243202534127</x:v>
      </x:c>
      <x:c r="Q259" s="243" t="n">
        <x:f>1/(1+EXP(-P259))</x:f>
        <x:v>0.64824283821468</x:v>
      </x:c>
      <x:c r="R259" s="243" t="n">
        <x:f>D259*J259+E259*K259+L259</x:f>
        <x:v>3.8074015743931895</x:v>
      </x:c>
      <x:c r="S259" s="243" t="n">
        <x:f>1/(1+EXP(-R259))</x:f>
        <x:v>0.9782765817837925</x:v>
      </x:c>
      <x:c r="T259" s="243" t="n">
        <x:f>Q259*M259+S259*N259+O259</x:f>
        <x:v>0.34271366245766477</x:v>
      </x:c>
      <x:c r="U259" s="243" t="n">
        <x:f>1/(1+EXP(-T259))</x:f>
        <x:v>0.5848495530210015</x:v>
      </x:c>
      <x:c r="V259" s="243" t="n">
        <x:f>0.5*(F259-U259)^2</x:f>
        <x:v>0.08617494681343112</x:v>
      </x:c>
      <x:c r="W259" s="244" t="n">
        <x:f>(U259-F259)*U259*(1-U259)</x:f>
        <x:v>-0.10079875825088755</x:v>
      </x:c>
      <x:c r="X259" s="244" t="n">
        <x:f>W259*M259*Q259*(1-Q259)</x:f>
        <x:v>-0.0572852347997458</x:v>
      </x:c>
      <x:c r="Y259" s="244" t="n">
        <x:f>W259*N259*S259*(1-S259)</x:f>
        <x:v>0.005259078233413602</x:v>
      </x:c>
      <x:c r="Z259" s="245" t="n">
        <x:f>X259*D259</x:f>
        <x:v>-0.0572852347997458</x:v>
      </x:c>
      <x:c r="AA259" s="245" t="n">
        <x:f>X259*E259</x:f>
        <x:v>0</x:v>
      </x:c>
      <x:c r="AB259" s="245" t="n">
        <x:f>X259</x:f>
        <x:v>-0.0572852347997458</x:v>
      </x:c>
      <x:c r="AC259" s="245" t="n">
        <x:f>Y259*D259</x:f>
        <x:v>0.005259078233413602</x:v>
      </x:c>
      <x:c r="AD259" s="245" t="n">
        <x:f>Y259*E259</x:f>
        <x:v>0</x:v>
      </x:c>
      <x:c r="AE259" s="245" t="n">
        <x:f>Y259</x:f>
        <x:v>0.005259078233413602</x:v>
      </x:c>
      <x:c r="AF259" s="245" t="n">
        <x:f>W259*Q259</x:f>
        <x:v>-0.06534207313707073</x:v>
      </x:c>
      <x:c r="AG259" s="245" t="n">
        <x:f>W259*S259</x:f>
        <x:v>-0.09860906466972913</x:v>
      </x:c>
      <x:c r="AH259" s="245" t="n">
        <x:f>W259</x:f>
        <x:v>-0.10079875825088755</x:v>
      </x:c>
      <x:c r="AI259" s="246" t="n">
        <x:f>G259-$B$4*Z259</x:f>
        <x:v>2.1347325620102526</x:v>
      </x:c>
      <x:c r="AJ259" s="246" t="n">
        <x:f>H259-$B$4*AA259</x:f>
        <x:v>-2.5415883594637196</x:v>
      </x:c>
      <x:c r="AK259" s="246" t="n">
        <x:f>I259-$B$4*AB259</x:f>
        <x:v>-1.4088377721573484</x:v>
      </x:c>
      <x:c r="AL259" s="246" t="n">
        <x:f>J259-$B$4*AC259</x:f>
        <x:v>2.27241711948196</x:v>
      </x:c>
      <x:c r="AM259" s="246" t="n">
        <x:f>K259-$B$4*AD259</x:f>
        <x:v>-2.3394832592686683</x:v>
      </x:c>
      <x:c r="AN259" s="246" t="n">
        <x:f>L259-$B$4*AE259</x:f>
        <x:v>1.5244662984444022</x:v>
      </x:c>
      <x:c r="AO259" s="246" t="n">
        <x:f>M259-$B$4*AF259</x:f>
        <x:v>2.557679502421238</x:v>
      </x:c>
      <x:c r="AP259" s="246" t="n">
        <x:f>N259-$B$4*AG259</x:f>
        <x:v>-2.356465170889279</x:v>
      </x:c>
      <x:c r="AQ259" s="246" t="n">
        <x:f>O259-$B$4*AH259</x:f>
        <x:v>1.2296141629488289</x:v>
      </x:c>
      <x:c r="AR259" s="182" t="n">
        <x:f>IF(U259&gt;=$B$5,1,0)</x:f>
        <x:v>1</x:v>
      </x:c>
      <x:c r="AS259" s="182" t="n">
        <x:f>IF(AR259=F259,1,0)</x:f>
        <x:v>1</x:v>
      </x:c>
      <x:c r="AT259" s="252" t="n">
        <x:f>ABS(F259-U259)</x:f>
        <x:v>0.4151504469789985</x:v>
      </x:c>
    </x:row>
    <x:row r="260">
      <x:c r="A260" s="114" t="n">
        <x:v>244</x:v>
      </x:c>
      <x:c r="B260" s="114" t="n">
        <x:v>61</x:v>
      </x:c>
      <x:c r="C260" s="114" t="n">
        <x:v>4</x:v>
      </x:c>
      <x:c r="D260" s="168" t="n">
        <x:f>$I$8</x:f>
        <x:v>1</x:v>
      </x:c>
      <x:c r="E260" s="168" t="n">
        <x:f>$J$8</x:f>
        <x:v>1</x:v>
      </x:c>
      <x:c r="F260" s="168" t="n">
        <x:f>$K$8</x:f>
        <x:v>0</x:v>
      </x:c>
      <x:c r="G260" s="242" t="n">
        <x:f>AI259</x:f>
        <x:v>2.1347325620102526</x:v>
      </x:c>
      <x:c r="H260" s="242" t="n">
        <x:f>AJ259</x:f>
        <x:v>-2.5415883594637196</x:v>
      </x:c>
      <x:c r="I260" s="242" t="n">
        <x:f>AK259</x:f>
        <x:v>-1.4088377721573484</x:v>
      </x:c>
      <x:c r="J260" s="242" t="n">
        <x:f>AL259</x:f>
        <x:v>2.27241711948196</x:v>
      </x:c>
      <x:c r="K260" s="242" t="n">
        <x:f>AM259</x:f>
        <x:v>-2.3394832592686683</x:v>
      </x:c>
      <x:c r="L260" s="242" t="n">
        <x:f>AN259</x:f>
        <x:v>1.5244662984444022</x:v>
      </x:c>
      <x:c r="M260" s="242" t="n">
        <x:f>AO259</x:f>
        <x:v>2.557679502421238</x:v>
      </x:c>
      <x:c r="N260" s="242" t="n">
        <x:f>AP259</x:f>
        <x:v>-2.356465170889279</x:v>
      </x:c>
      <x:c r="O260" s="242" t="n">
        <x:f>AQ259</x:f>
        <x:v>1.2296141629488289</x:v>
      </x:c>
      <x:c r="P260" s="243" t="n">
        <x:f>D260*G260+E260*H260+I260</x:f>
        <x:v>-1.8156935696108154</x:v>
      </x:c>
      <x:c r="Q260" s="243" t="n">
        <x:f>1/(1+EXP(-P260))</x:f>
        <x:v>0.1399514132622732</x:v>
      </x:c>
      <x:c r="R260" s="243" t="n">
        <x:f>D260*J260+E260*K260+L260</x:f>
        <x:v>1.4574001586576937</x:v>
      </x:c>
      <x:c r="S260" s="243" t="n">
        <x:f>1/(1+EXP(-R260))</x:f>
        <x:v>0.8111347137332175</x:v>
      </x:c>
      <x:c r="T260" s="243" t="n">
        <x:f>Q260*M260+S260*N260+O260</x:f>
        <x:v>-0.3238456778269443</x:v>
      </x:c>
      <x:c r="U260" s="243" t="n">
        <x:f>1/(1+EXP(-T260))</x:f>
        <x:v>0.41973881366696825</x:v>
      </x:c>
      <x:c r="V260" s="243" t="n">
        <x:f>0.5*(F260-U260)^2</x:f>
        <x:v>0.08809033584927695</x:v>
      </x:c>
      <x:c r="W260" s="244" t="n">
        <x:f>(U260-F260)*U260*(1-U260)</x:f>
        <x:v>0.10223080556875329</x:v>
      </x:c>
      <x:c r="X260" s="244" t="n">
        <x:f>W260*M260*Q260*(1-Q260)</x:f>
        <x:v>0.03147227815872075</x:v>
      </x:c>
      <x:c r="Y260" s="244" t="n">
        <x:f>W260*N260*S260*(1-S260)</x:f>
        <x:v>-0.03690523180521942</x:v>
      </x:c>
      <x:c r="Z260" s="245" t="n">
        <x:f>X260*D260</x:f>
        <x:v>0.03147227815872075</x:v>
      </x:c>
      <x:c r="AA260" s="245" t="n">
        <x:f>X260*E260</x:f>
        <x:v>0.03147227815872075</x:v>
      </x:c>
      <x:c r="AB260" s="245" t="n">
        <x:f>X260</x:f>
        <x:v>0.03147227815872075</x:v>
      </x:c>
      <x:c r="AC260" s="245" t="n">
        <x:f>Y260*D260</x:f>
        <x:v>-0.03690523180521942</x:v>
      </x:c>
      <x:c r="AD260" s="245" t="n">
        <x:f>Y260*E260</x:f>
        <x:v>-0.03690523180521942</x:v>
      </x:c>
      <x:c r="AE260" s="245" t="n">
        <x:f>Y260</x:f>
        <x:v>-0.03690523180521942</x:v>
      </x:c>
      <x:c r="AF260" s="245" t="n">
        <x:f>W260*Q260</x:f>
        <x:v>0.014307345718287692</x:v>
      </x:c>
      <x:c r="AG260" s="245" t="n">
        <x:f>W260*S260</x:f>
        <x:v>0.08292295520972692</x:v>
      </x:c>
      <x:c r="AH260" s="245" t="n">
        <x:f>W260</x:f>
        <x:v>0.10223080556875329</x:v>
      </x:c>
      <x:c r="AI260" s="246" t="n">
        <x:f>G260-$B$4*Z260</x:f>
        <x:v>2.1032602838515317</x:v>
      </x:c>
      <x:c r="AJ260" s="246" t="n">
        <x:f>H260-$B$4*AA260</x:f>
        <x:v>-2.5730606376224405</x:v>
      </x:c>
      <x:c r="AK260" s="246" t="n">
        <x:f>I260-$B$4*AB260</x:f>
        <x:v>-1.440310050316069</x:v>
      </x:c>
      <x:c r="AL260" s="246" t="n">
        <x:f>J260-$B$4*AC260</x:f>
        <x:v>2.309322351287179</x:v>
      </x:c>
      <x:c r="AM260" s="246" t="n">
        <x:f>K260-$B$4*AD260</x:f>
        <x:v>-2.302578027463449</x:v>
      </x:c>
      <x:c r="AN260" s="246" t="n">
        <x:f>L260-$B$4*AE260</x:f>
        <x:v>1.5613715302496216</x:v>
      </x:c>
      <x:c r="AO260" s="246" t="n">
        <x:f>M260-$B$4*AF260</x:f>
        <x:v>2.5433721567029504</x:v>
      </x:c>
      <x:c r="AP260" s="246" t="n">
        <x:f>N260-$B$4*AG260</x:f>
        <x:v>-2.439388126099006</x:v>
      </x:c>
      <x:c r="AQ260" s="246" t="n">
        <x:f>O260-$B$4*AH260</x:f>
        <x:v>1.1273833573800756</x:v>
      </x:c>
      <x:c r="AR260" s="182" t="n">
        <x:f>IF(U260&gt;=$B$5,1,0)</x:f>
        <x:v>0</x:v>
      </x:c>
      <x:c r="AS260" s="182" t="n">
        <x:f>IF(AR260=F260,1,0)</x:f>
        <x:v>1</x:v>
      </x:c>
      <x:c r="AT260" s="252" t="n">
        <x:f>ABS(F260-U260)</x:f>
        <x:v>0.41973881366696825</x:v>
      </x:c>
    </x:row>
    <x:row r="261">
      <x:c r="A261" s="114" t="n">
        <x:v>245</x:v>
      </x:c>
      <x:c r="B261" s="114" t="n">
        <x:v>62</x:v>
      </x:c>
      <x:c r="C261" s="114" t="n">
        <x:v>1</x:v>
      </x:c>
      <x:c r="D261" s="168" t="n">
        <x:f>$I$5</x:f>
        <x:v>0</x:v>
      </x:c>
      <x:c r="E261" s="168" t="n">
        <x:f>$J$5</x:f>
        <x:v>0</x:v>
      </x:c>
      <x:c r="F261" s="168" t="n">
        <x:f>$K$5</x:f>
        <x:v>0</x:v>
      </x:c>
      <x:c r="G261" s="242" t="n">
        <x:f>AI260</x:f>
        <x:v>2.1032602838515317</x:v>
      </x:c>
      <x:c r="H261" s="242" t="n">
        <x:f>AJ260</x:f>
        <x:v>-2.5730606376224405</x:v>
      </x:c>
      <x:c r="I261" s="242" t="n">
        <x:f>AK260</x:f>
        <x:v>-1.440310050316069</x:v>
      </x:c>
      <x:c r="J261" s="242" t="n">
        <x:f>AL260</x:f>
        <x:v>2.309322351287179</x:v>
      </x:c>
      <x:c r="K261" s="242" t="n">
        <x:f>AM260</x:f>
        <x:v>-2.302578027463449</x:v>
      </x:c>
      <x:c r="L261" s="242" t="n">
        <x:f>AN260</x:f>
        <x:v>1.5613715302496216</x:v>
      </x:c>
      <x:c r="M261" s="242" t="n">
        <x:f>AO260</x:f>
        <x:v>2.5433721567029504</x:v>
      </x:c>
      <x:c r="N261" s="242" t="n">
        <x:f>AP260</x:f>
        <x:v>-2.439388126099006</x:v>
      </x:c>
      <x:c r="O261" s="242" t="n">
        <x:f>AQ260</x:f>
        <x:v>1.1273833573800756</x:v>
      </x:c>
      <x:c r="P261" s="243" t="n">
        <x:f>D261*G261+E261*H261+I261</x:f>
        <x:v>-1.440310050316069</x:v>
      </x:c>
      <x:c r="Q261" s="243" t="n">
        <x:f>1/(1+EXP(-P261))</x:f>
        <x:v>0.19149734008579952</x:v>
      </x:c>
      <x:c r="R261" s="243" t="n">
        <x:f>D261*J261+E261*K261+L261</x:f>
        <x:v>1.5613715302496216</x:v>
      </x:c>
      <x:c r="S261" s="243" t="n">
        <x:f>1/(1+EXP(-R261))</x:f>
        <x:v>0.8265500705594667</x:v>
      </x:c>
      <x:c r="T261" s="243" t="n">
        <x:f>Q261*M261+S261*N261+O261</x:f>
        <x:v>-0.4018440675120849</x:v>
      </x:c>
      <x:c r="U261" s="243" t="n">
        <x:f>1/(1+EXP(-T261))</x:f>
        <x:v>0.4008693635932257</x:v>
      </x:c>
      <x:c r="V261" s="243" t="n">
        <x:f>0.5*(F261-U261)^2</x:f>
        <x:v>0.0803481233338189</x:v>
      </x:c>
      <x:c r="W261" s="244" t="n">
        <x:f>(U261-F261)*U261*(1-U261)</x:f>
        <x:v>0.09627804453416182</x:v>
      </x:c>
      <x:c r="X261" s="244" t="n">
        <x:f>W261*M261*Q261*(1-Q261)</x:f>
        <x:v>0.03791240826642388</x:v>
      </x:c>
      <x:c r="Y261" s="244" t="n">
        <x:f>W261*N261*S261*(1-S261)</x:f>
        <x:v>-0.03367064696583353</x:v>
      </x:c>
      <x:c r="Z261" s="245" t="n">
        <x:f>X261*D261</x:f>
        <x:v>0</x:v>
      </x:c>
      <x:c r="AA261" s="245" t="n">
        <x:f>X261*E261</x:f>
        <x:v>0</x:v>
      </x:c>
      <x:c r="AB261" s="245" t="n">
        <x:f>X261</x:f>
        <x:v>0.03791240826642388</x:v>
      </x:c>
      <x:c r="AC261" s="245" t="n">
        <x:f>Y261*D261</x:f>
        <x:v>0</x:v>
      </x:c>
      <x:c r="AD261" s="245" t="n">
        <x:f>Y261*E261</x:f>
        <x:v>0</x:v>
      </x:c>
      <x:c r="AE261" s="245" t="n">
        <x:f>Y261</x:f>
        <x:v>-0.03367064696583353</x:v>
      </x:c>
      <x:c r="AF261" s="245" t="n">
        <x:f>W261*Q261</x:f>
        <x:v>0.018436989436954137</x:v>
      </x:c>
      <x:c r="AG261" s="245" t="n">
        <x:f>W261*S261</x:f>
        <x:v>0.07957862450303893</x:v>
      </x:c>
      <x:c r="AH261" s="245" t="n">
        <x:f>W261</x:f>
        <x:v>0.09627804453416182</x:v>
      </x:c>
      <x:c r="AI261" s="246" t="n">
        <x:f>G261-$B$4*Z261</x:f>
        <x:v>2.1032602838515317</x:v>
      </x:c>
      <x:c r="AJ261" s="246" t="n">
        <x:f>H261-$B$4*AA261</x:f>
        <x:v>-2.5730606376224405</x:v>
      </x:c>
      <x:c r="AK261" s="246" t="n">
        <x:f>I261-$B$4*AB261</x:f>
        <x:v>-1.478222458582493</x:v>
      </x:c>
      <x:c r="AL261" s="246" t="n">
        <x:f>J261-$B$4*AC261</x:f>
        <x:v>2.309322351287179</x:v>
      </x:c>
      <x:c r="AM261" s="246" t="n">
        <x:f>K261-$B$4*AD261</x:f>
        <x:v>-2.302578027463449</x:v>
      </x:c>
      <x:c r="AN261" s="246" t="n">
        <x:f>L261-$B$4*AE261</x:f>
        <x:v>1.595042177215455</x:v>
      </x:c>
      <x:c r="AO261" s="246" t="n">
        <x:f>M261-$B$4*AF261</x:f>
        <x:v>2.5249351672659963</x:v>
      </x:c>
      <x:c r="AP261" s="246" t="n">
        <x:f>N261-$B$4*AG261</x:f>
        <x:v>-2.518966750602045</x:v>
      </x:c>
      <x:c r="AQ261" s="246" t="n">
        <x:f>O261-$B$4*AH261</x:f>
        <x:v>1.0311053128459138</x:v>
      </x:c>
      <x:c r="AR261" s="182" t="n">
        <x:f>IF(U261&gt;=$B$5,1,0)</x:f>
        <x:v>0</x:v>
      </x:c>
      <x:c r="AS261" s="182" t="n">
        <x:f>IF(AR261=F261,1,0)</x:f>
        <x:v>1</x:v>
      </x:c>
      <x:c r="AT261" s="252" t="n">
        <x:f>ABS(F261-U261)</x:f>
        <x:v>0.4008693635932257</x:v>
      </x:c>
    </x:row>
    <x:row r="262">
      <x:c r="A262" s="114" t="n">
        <x:v>246</x:v>
      </x:c>
      <x:c r="B262" s="114" t="n">
        <x:v>62</x:v>
      </x:c>
      <x:c r="C262" s="114" t="n">
        <x:v>2</x:v>
      </x:c>
      <x:c r="D262" s="168" t="n">
        <x:f>$I$6</x:f>
        <x:v>0</x:v>
      </x:c>
      <x:c r="E262" s="168" t="n">
        <x:f>$J$6</x:f>
        <x:v>1</x:v>
      </x:c>
      <x:c r="F262" s="168" t="n">
        <x:f>$K$6</x:f>
        <x:v>1</x:v>
      </x:c>
      <x:c r="G262" s="242" t="n">
        <x:f>AI261</x:f>
        <x:v>2.1032602838515317</x:v>
      </x:c>
      <x:c r="H262" s="242" t="n">
        <x:f>AJ261</x:f>
        <x:v>-2.5730606376224405</x:v>
      </x:c>
      <x:c r="I262" s="242" t="n">
        <x:f>AK261</x:f>
        <x:v>-1.478222458582493</x:v>
      </x:c>
      <x:c r="J262" s="242" t="n">
        <x:f>AL261</x:f>
        <x:v>2.309322351287179</x:v>
      </x:c>
      <x:c r="K262" s="242" t="n">
        <x:f>AM261</x:f>
        <x:v>-2.302578027463449</x:v>
      </x:c>
      <x:c r="L262" s="242" t="n">
        <x:f>AN261</x:f>
        <x:v>1.595042177215455</x:v>
      </x:c>
      <x:c r="M262" s="242" t="n">
        <x:f>AO261</x:f>
        <x:v>2.5249351672659963</x:v>
      </x:c>
      <x:c r="N262" s="242" t="n">
        <x:f>AP261</x:f>
        <x:v>-2.518966750602045</x:v>
      </x:c>
      <x:c r="O262" s="242" t="n">
        <x:f>AQ261</x:f>
        <x:v>1.0311053128459138</x:v>
      </x:c>
      <x:c r="P262" s="243" t="n">
        <x:f>D262*G262+E262*H262+I262</x:f>
        <x:v>-4.0512830962049335</x:v>
      </x:c>
      <x:c r="Q262" s="243" t="n">
        <x:f>1/(1+EXP(-P262))</x:f>
        <x:v>0.017102451153854288</x:v>
      </x:c>
      <x:c r="R262" s="243" t="n">
        <x:f>D262*J262+E262*K262+L262</x:f>
        <x:v>-0.7075358502479938</x:v>
      </x:c>
      <x:c r="S262" s="243" t="n">
        <x:f>1/(1+EXP(-R262))</x:f>
        <x:v>0.33014355565579406</x:v>
      </x:c>
      <x:c r="T262" s="243" t="n">
        <x:f>Q262*M262+S262*N262+O262</x:f>
        <x:v>0.24266725358824848</x:v>
      </x:c>
      <x:c r="U262" s="243" t="n">
        <x:f>1/(1+EXP(-T262))</x:f>
        <x:v>0.5603708469225913</x:v>
      </x:c>
      <x:c r="V262" s="243" t="n">
        <x:f>0.5*(F262-U262)^2</x:f>
        <x:v>0.09663689611777981</x:v>
      </x:c>
      <x:c r="W262" s="244" t="n">
        <x:f>(U262-F262)*U262*(1-U262)</x:f>
        <x:v>-0.10830499864298151</x:v>
      </x:c>
      <x:c r="X262" s="244" t="n">
        <x:f>W262*M262*Q262*(1-Q262)</x:f>
        <x:v>-0.00459690303687296</x:v>
      </x:c>
      <x:c r="Y262" s="244" t="n">
        <x:f>W262*N262*S262*(1-S262)</x:f>
        <x:v>0.06033308053736736</x:v>
      </x:c>
      <x:c r="Z262" s="245" t="n">
        <x:f>X262*D262</x:f>
        <x:v>0</x:v>
      </x:c>
      <x:c r="AA262" s="245" t="n">
        <x:f>X262*E262</x:f>
        <x:v>-0.00459690303687296</x:v>
      </x:c>
      <x:c r="AB262" s="245" t="n">
        <x:f>X262</x:f>
        <x:v>-0.00459690303687296</x:v>
      </x:c>
      <x:c r="AC262" s="245" t="n">
        <x:f>Y262*D262</x:f>
        <x:v>0</x:v>
      </x:c>
      <x:c r="AD262" s="245" t="n">
        <x:f>Y262*E262</x:f>
        <x:v>0.06033308053736736</x:v>
      </x:c>
      <x:c r="AE262" s="245" t="n">
        <x:f>Y262</x:f>
        <x:v>0.06033308053736736</x:v>
      </x:c>
      <x:c r="AF262" s="245" t="n">
        <x:f>W262*Q262</x:f>
        <x:v>-0.0018522809490098464</x:v>
      </x:c>
      <x:c r="AG262" s="245" t="n">
        <x:f>W262*S262</x:f>
        <x:v>-0.03575619734728987</x:v>
      </x:c>
      <x:c r="AH262" s="245" t="n">
        <x:f>W262</x:f>
        <x:v>-0.10830499864298151</x:v>
      </x:c>
      <x:c r="AI262" s="246" t="n">
        <x:f>G262-$B$4*Z262</x:f>
        <x:v>2.1032602838515317</x:v>
      </x:c>
      <x:c r="AJ262" s="246" t="n">
        <x:f>H262-$B$4*AA262</x:f>
        <x:v>-2.5684637345855674</x:v>
      </x:c>
      <x:c r="AK262" s="246" t="n">
        <x:f>I262-$B$4*AB262</x:f>
        <x:v>-1.4736255555456201</x:v>
      </x:c>
      <x:c r="AL262" s="246" t="n">
        <x:f>J262-$B$4*AC262</x:f>
        <x:v>2.309322351287179</x:v>
      </x:c>
      <x:c r="AM262" s="246" t="n">
        <x:f>K262-$B$4*AD262</x:f>
        <x:v>-2.3629111080008163</x:v>
      </x:c>
      <x:c r="AN262" s="246" t="n">
        <x:f>L262-$B$4*AE262</x:f>
        <x:v>1.5347090966780876</x:v>
      </x:c>
      <x:c r="AO262" s="246" t="n">
        <x:f>M262-$B$4*AF262</x:f>
        <x:v>2.526787448215006</x:v>
      </x:c>
      <x:c r="AP262" s="246" t="n">
        <x:f>N262-$B$4*AG262</x:f>
        <x:v>-2.483210553254755</x:v>
      </x:c>
      <x:c r="AQ262" s="246" t="n">
        <x:f>O262-$B$4*AH262</x:f>
        <x:v>1.1394103114888954</x:v>
      </x:c>
      <x:c r="AR262" s="182" t="n">
        <x:f>IF(U262&gt;=$B$5,1,0)</x:f>
        <x:v>1</x:v>
      </x:c>
      <x:c r="AS262" s="182" t="n">
        <x:f>IF(AR262=F262,1,0)</x:f>
        <x:v>1</x:v>
      </x:c>
      <x:c r="AT262" s="252" t="n">
        <x:f>ABS(F262-U262)</x:f>
        <x:v>0.4396291530774087</x:v>
      </x:c>
    </x:row>
    <x:row r="263">
      <x:c r="A263" s="114" t="n">
        <x:v>247</x:v>
      </x:c>
      <x:c r="B263" s="114" t="n">
        <x:v>62</x:v>
      </x:c>
      <x:c r="C263" s="114" t="n">
        <x:v>3</x:v>
      </x:c>
      <x:c r="D263" s="168" t="n">
        <x:f>$I$7</x:f>
        <x:v>1</x:v>
      </x:c>
      <x:c r="E263" s="168" t="n">
        <x:f>$J$7</x:f>
        <x:v>0</x:v>
      </x:c>
      <x:c r="F263" s="168" t="n">
        <x:f>$K$7</x:f>
        <x:v>1</x:v>
      </x:c>
      <x:c r="G263" s="242" t="n">
        <x:f>AI262</x:f>
        <x:v>2.1032602838515317</x:v>
      </x:c>
      <x:c r="H263" s="242" t="n">
        <x:f>AJ262</x:f>
        <x:v>-2.5684637345855674</x:v>
      </x:c>
      <x:c r="I263" s="242" t="n">
        <x:f>AK262</x:f>
        <x:v>-1.4736255555456201</x:v>
      </x:c>
      <x:c r="J263" s="242" t="n">
        <x:f>AL262</x:f>
        <x:v>2.309322351287179</x:v>
      </x:c>
      <x:c r="K263" s="242" t="n">
        <x:f>AM262</x:f>
        <x:v>-2.3629111080008163</x:v>
      </x:c>
      <x:c r="L263" s="242" t="n">
        <x:f>AN262</x:f>
        <x:v>1.5347090966780876</x:v>
      </x:c>
      <x:c r="M263" s="242" t="n">
        <x:f>AO262</x:f>
        <x:v>2.526787448215006</x:v>
      </x:c>
      <x:c r="N263" s="242" t="n">
        <x:f>AP262</x:f>
        <x:v>-2.483210553254755</x:v>
      </x:c>
      <x:c r="O263" s="242" t="n">
        <x:f>AQ262</x:f>
        <x:v>1.1394103114888954</x:v>
      </x:c>
      <x:c r="P263" s="243" t="n">
        <x:f>D263*G263+E263*H263+I263</x:f>
        <x:v>0.6296347283059116</x:v>
      </x:c>
      <x:c r="Q263" s="243" t="n">
        <x:f>1/(1+EXP(-P263))</x:f>
        <x:v>0.6524066333324503</x:v>
      </x:c>
      <x:c r="R263" s="243" t="n">
        <x:f>D263*J263+E263*K263+L263</x:f>
        <x:v>3.844031447965267</x:v>
      </x:c>
      <x:c r="S263" s="243" t="n">
        <x:f>1/(1+EXP(-R263))</x:f>
        <x:v>0.9790415350498225</x:v>
      </x:c>
      <x:c r="T263" s="243" t="n">
        <x:f>Q263*M263+S263*N263+O263</x:f>
        <x:v>0.35673693181508637</x:v>
      </x:c>
      <x:c r="U263" s="243" t="n">
        <x:f>1/(1+EXP(-T263))</x:f>
        <x:v>0.5882503084000361</x:v>
      </x:c>
      <x:c r="V263" s="243" t="n">
        <x:f>0.5*(F263-U263)^2</x:f>
        <x:v>0.08476890426633268</x:v>
      </x:c>
      <x:c r="W263" s="244" t="n">
        <x:f>(U263-F263)*U263*(1-U263)</x:f>
        <x:v>-0.09973066815480668</x:v>
      </x:c>
      <x:c r="X263" s="244" t="n">
        <x:f>W263*M263*Q263*(1-Q263)</x:f>
        <x:v>-0.0571461908877092</x:v>
      </x:c>
      <x:c r="Y263" s="244" t="n">
        <x:f>W263*N263*S263*(1-S263)</x:f>
        <x:v>0.005081627906087159</x:v>
      </x:c>
      <x:c r="Z263" s="245" t="n">
        <x:f>X263*D263</x:f>
        <x:v>-0.0571461908877092</x:v>
      </x:c>
      <x:c r="AA263" s="245" t="n">
        <x:f>X263*E263</x:f>
        <x:v>0</x:v>
      </x:c>
      <x:c r="AB263" s="245" t="n">
        <x:f>X263</x:f>
        <x:v>-0.0571461908877092</x:v>
      </x:c>
      <x:c r="AC263" s="245" t="n">
        <x:f>Y263*D263</x:f>
        <x:v>0.005081627906087159</x:v>
      </x:c>
      <x:c r="AD263" s="245" t="n">
        <x:f>Y263*E263</x:f>
        <x:v>0</x:v>
      </x:c>
      <x:c r="AE263" s="245" t="n">
        <x:f>Y263</x:f>
        <x:v>0.005081627906087159</x:v>
      </x:c>
      <x:c r="AF263" s="245" t="n">
        <x:f>W263*Q263</x:f>
        <x:v>-0.06506494945087324</x:v>
      </x:c>
      <x:c r="AG263" s="245" t="n">
        <x:f>W263*S263</x:f>
        <x:v>-0.09764046644182638</x:v>
      </x:c>
      <x:c r="AH263" s="245" t="n">
        <x:f>W263</x:f>
        <x:v>-0.09973066815480668</x:v>
      </x:c>
      <x:c r="AI263" s="246" t="n">
        <x:f>G263-$B$4*Z263</x:f>
        <x:v>2.160406474739241</x:v>
      </x:c>
      <x:c r="AJ263" s="246" t="n">
        <x:f>H263-$B$4*AA263</x:f>
        <x:v>-2.5684637345855674</x:v>
      </x:c>
      <x:c r="AK263" s="246" t="n">
        <x:f>I263-$B$4*AB263</x:f>
        <x:v>-1.416479364657911</x:v>
      </x:c>
      <x:c r="AL263" s="246" t="n">
        <x:f>J263-$B$4*AC263</x:f>
        <x:v>2.304240723381092</x:v>
      </x:c>
      <x:c r="AM263" s="246" t="n">
        <x:f>K263-$B$4*AD263</x:f>
        <x:v>-2.3629111080008163</x:v>
      </x:c>
      <x:c r="AN263" s="246" t="n">
        <x:f>L263-$B$4*AE263</x:f>
        <x:v>1.5296274687720004</x:v>
      </x:c>
      <x:c r="AO263" s="246" t="n">
        <x:f>M263-$B$4*AF263</x:f>
        <x:v>2.591852397665879</x:v>
      </x:c>
      <x:c r="AP263" s="246" t="n">
        <x:f>N263-$B$4*AG263</x:f>
        <x:v>-2.385570086812929</x:v>
      </x:c>
      <x:c r="AQ263" s="246" t="n">
        <x:f>O263-$B$4*AH263</x:f>
        <x:v>1.239140979643702</x:v>
      </x:c>
      <x:c r="AR263" s="182" t="n">
        <x:f>IF(U263&gt;=$B$5,1,0)</x:f>
        <x:v>1</x:v>
      </x:c>
      <x:c r="AS263" s="182" t="n">
        <x:f>IF(AR263=F263,1,0)</x:f>
        <x:v>1</x:v>
      </x:c>
      <x:c r="AT263" s="252" t="n">
        <x:f>ABS(F263-U263)</x:f>
        <x:v>0.4117496915999639</x:v>
      </x:c>
    </x:row>
    <x:row r="264">
      <x:c r="A264" s="114" t="n">
        <x:v>248</x:v>
      </x:c>
      <x:c r="B264" s="114" t="n">
        <x:v>62</x:v>
      </x:c>
      <x:c r="C264" s="114" t="n">
        <x:v>4</x:v>
      </x:c>
      <x:c r="D264" s="168" t="n">
        <x:f>$I$8</x:f>
        <x:v>1</x:v>
      </x:c>
      <x:c r="E264" s="168" t="n">
        <x:f>$J$8</x:f>
        <x:v>1</x:v>
      </x:c>
      <x:c r="F264" s="168" t="n">
        <x:f>$K$8</x:f>
        <x:v>0</x:v>
      </x:c>
      <x:c r="G264" s="242" t="n">
        <x:f>AI263</x:f>
        <x:v>2.160406474739241</x:v>
      </x:c>
      <x:c r="H264" s="242" t="n">
        <x:f>AJ263</x:f>
        <x:v>-2.5684637345855674</x:v>
      </x:c>
      <x:c r="I264" s="242" t="n">
        <x:f>AK263</x:f>
        <x:v>-1.416479364657911</x:v>
      </x:c>
      <x:c r="J264" s="242" t="n">
        <x:f>AL263</x:f>
        <x:v>2.304240723381092</x:v>
      </x:c>
      <x:c r="K264" s="242" t="n">
        <x:f>AM263</x:f>
        <x:v>-2.3629111080008163</x:v>
      </x:c>
      <x:c r="L264" s="242" t="n">
        <x:f>AN263</x:f>
        <x:v>1.5296274687720004</x:v>
      </x:c>
      <x:c r="M264" s="242" t="n">
        <x:f>AO263</x:f>
        <x:v>2.591852397665879</x:v>
      </x:c>
      <x:c r="N264" s="242" t="n">
        <x:f>AP263</x:f>
        <x:v>-2.385570086812929</x:v>
      </x:c>
      <x:c r="O264" s="242" t="n">
        <x:f>AQ263</x:f>
        <x:v>1.239140979643702</x:v>
      </x:c>
      <x:c r="P264" s="243" t="n">
        <x:f>D264*G264+E264*H264+I264</x:f>
        <x:v>-1.8245366245042376</x:v>
      </x:c>
      <x:c r="Q264" s="243" t="n">
        <x:f>1/(1+EXP(-P264))</x:f>
        <x:v>0.13889040391877855</x:v>
      </x:c>
      <x:c r="R264" s="243" t="n">
        <x:f>D264*J264+E264*K264+L264</x:f>
        <x:v>1.470957084152276</x:v>
      </x:c>
      <x:c r="S264" s="243" t="n">
        <x:f>1/(1+EXP(-R264))</x:f>
        <x:v>0.8132028145228799</x:v>
      </x:c>
      <x:c r="T264" s="243" t="n">
        <x:f>Q264*M264+S264*N264+O264</x:f>
        <x:v>-0.34082790278449404</x:v>
      </x:c>
      <x:c r="U264" s="243" t="n">
        <x:f>1/(1+EXP(-T264))</x:f>
        <x:v>0.4156083836079748</x:v>
      </x:c>
      <x:c r="V264" s="243" t="n">
        <x:f>0.5*(F264-U264)^2</x:f>
        <x:v>0.08636516426261677</x:v>
      </x:c>
      <x:c r="W264" s="244" t="n">
        <x:f>(U264-F264)*U264*(1-U264)</x:f>
        <x:v>0.10094215588678676</x:v>
      </x:c>
      <x:c r="X264" s="244" t="n">
        <x:f>W264*M264*Q264*(1-Q264)</x:f>
        <x:v>0.03129057265605319</x:v>
      </x:c>
      <x:c r="Y264" s="244" t="n">
        <x:f>W264*N264*S264*(1-S264)</x:f>
        <x:v>-0.03657917934359813</x:v>
      </x:c>
      <x:c r="Z264" s="245" t="n">
        <x:f>X264*D264</x:f>
        <x:v>0.03129057265605319</x:v>
      </x:c>
      <x:c r="AA264" s="245" t="n">
        <x:f>X264*E264</x:f>
        <x:v>0.03129057265605319</x:v>
      </x:c>
      <x:c r="AB264" s="245" t="n">
        <x:f>X264</x:f>
        <x:v>0.03129057265605319</x:v>
      </x:c>
      <x:c r="AC264" s="245" t="n">
        <x:f>Y264*D264</x:f>
        <x:v>-0.03657917934359813</x:v>
      </x:c>
      <x:c r="AD264" s="245" t="n">
        <x:f>Y264*E264</x:f>
        <x:v>-0.03657917934359813</x:v>
      </x:c>
      <x:c r="AE264" s="245" t="n">
        <x:f>Y264</x:f>
        <x:v>-0.03657917934359813</x:v>
      </x:c>
      <x:c r="AF264" s="245" t="n">
        <x:f>W264*Q264</x:f>
        <x:v>0.014019896803548123</x:v>
      </x:c>
      <x:c r="AG264" s="245" t="n">
        <x:f>W264*S264</x:f>
        <x:v>0.08208644527114228</x:v>
      </x:c>
      <x:c r="AH264" s="245" t="n">
        <x:f>W264</x:f>
        <x:v>0.10094215588678676</x:v>
      </x:c>
      <x:c r="AI264" s="246" t="n">
        <x:f>G264-$B$4*Z264</x:f>
        <x:v>2.129115902083188</x:v>
      </x:c>
      <x:c r="AJ264" s="246" t="n">
        <x:f>H264-$B$4*AA264</x:f>
        <x:v>-2.5997543072416205</x:v>
      </x:c>
      <x:c r="AK264" s="246" t="n">
        <x:f>I264-$B$4*AB264</x:f>
        <x:v>-1.4477699373139643</x:v>
      </x:c>
      <x:c r="AL264" s="246" t="n">
        <x:f>J264-$B$4*AC264</x:f>
        <x:v>2.3408199027246903</x:v>
      </x:c>
      <x:c r="AM264" s="246" t="n">
        <x:f>K264-$B$4*AD264</x:f>
        <x:v>-2.326331928657218</x:v>
      </x:c>
      <x:c r="AN264" s="246" t="n">
        <x:f>L264-$B$4*AE264</x:f>
        <x:v>1.5662066481155985</x:v>
      </x:c>
      <x:c r="AO264" s="246" t="n">
        <x:f>M264-$B$4*AF264</x:f>
        <x:v>2.577832500862331</x:v>
      </x:c>
      <x:c r="AP264" s="246" t="n">
        <x:f>N264-$B$4*AG264</x:f>
        <x:v>-2.467656532084071</x:v>
      </x:c>
      <x:c r="AQ264" s="246" t="n">
        <x:f>O264-$B$4*AH264</x:f>
        <x:v>1.1381988237569154</x:v>
      </x:c>
      <x:c r="AR264" s="182" t="n">
        <x:f>IF(U264&gt;=$B$5,1,0)</x:f>
        <x:v>0</x:v>
      </x:c>
      <x:c r="AS264" s="182" t="n">
        <x:f>IF(AR264=F264,1,0)</x:f>
        <x:v>1</x:v>
      </x:c>
      <x:c r="AT264" s="252" t="n">
        <x:f>ABS(F264-U264)</x:f>
        <x:v>0.4156083836079748</x:v>
      </x:c>
    </x:row>
    <x:row r="265">
      <x:c r="A265" s="114" t="n">
        <x:v>249</x:v>
      </x:c>
      <x:c r="B265" s="114" t="n">
        <x:v>63</x:v>
      </x:c>
      <x:c r="C265" s="114" t="n">
        <x:v>1</x:v>
      </x:c>
      <x:c r="D265" s="168" t="n">
        <x:f>$I$5</x:f>
        <x:v>0</x:v>
      </x:c>
      <x:c r="E265" s="168" t="n">
        <x:f>$J$5</x:f>
        <x:v>0</x:v>
      </x:c>
      <x:c r="F265" s="168" t="n">
        <x:f>$K$5</x:f>
        <x:v>0</x:v>
      </x:c>
      <x:c r="G265" s="242" t="n">
        <x:f>AI264</x:f>
        <x:v>2.129115902083188</x:v>
      </x:c>
      <x:c r="H265" s="242" t="n">
        <x:f>AJ264</x:f>
        <x:v>-2.5997543072416205</x:v>
      </x:c>
      <x:c r="I265" s="242" t="n">
        <x:f>AK264</x:f>
        <x:v>-1.4477699373139643</x:v>
      </x:c>
      <x:c r="J265" s="242" t="n">
        <x:f>AL264</x:f>
        <x:v>2.3408199027246903</x:v>
      </x:c>
      <x:c r="K265" s="242" t="n">
        <x:f>AM264</x:f>
        <x:v>-2.326331928657218</x:v>
      </x:c>
      <x:c r="L265" s="242" t="n">
        <x:f>AN264</x:f>
        <x:v>1.5662066481155985</x:v>
      </x:c>
      <x:c r="M265" s="242" t="n">
        <x:f>AO264</x:f>
        <x:v>2.577832500862331</x:v>
      </x:c>
      <x:c r="N265" s="242" t="n">
        <x:f>AP264</x:f>
        <x:v>-2.467656532084071</x:v>
      </x:c>
      <x:c r="O265" s="242" t="n">
        <x:f>AQ264</x:f>
        <x:v>1.1381988237569154</x:v>
      </x:c>
      <x:c r="P265" s="243" t="n">
        <x:f>D265*G265+E265*H265+I265</x:f>
        <x:v>-1.4477699373139643</x:v>
      </x:c>
      <x:c r="Q265" s="243" t="n">
        <x:f>1/(1+EXP(-P265))</x:f>
        <x:v>0.1903450121153507</x:v>
      </x:c>
      <x:c r="R265" s="243" t="n">
        <x:f>D265*J265+E265*K265+L265</x:f>
        <x:v>1.5662066481155985</x:v>
      </x:c>
      <x:c r="S265" s="243" t="n">
        <x:f>1/(1+EXP(-R265))</x:f>
        <x:v>0.8272421633816507</x:v>
      </x:c>
      <x:c r="T265" s="243" t="n">
        <x:f>Q265*M265+S265*N265+O265</x:f>
        <x:v>-0.4124731457191877</x:v>
      </x:c>
      <x:c r="U265" s="243" t="n">
        <x:f>1/(1+EXP(-T265))</x:f>
        <x:v>0.3983192557240677</x:v>
      </x:c>
      <x:c r="V265" s="243" t="n">
        <x:f>0.5*(F265-U265)^2</x:f>
        <x:v>0.07932911474028762</x:v>
      </x:c>
      <x:c r="W265" s="244" t="n">
        <x:f>(U265-F265)*U265*(1-U265)</x:f>
        <x:v>0.09546160159937417</x:v>
      </x:c>
      <x:c r="X265" s="244" t="n">
        <x:f>W265*M265*Q265*(1-Q265)</x:f>
        <x:v>0.03792494048087693</x:v>
      </x:c>
      <x:c r="Y265" s="244" t="n">
        <x:f>W265*N265*S265*(1-S265)</x:f>
        <x:v>-0.03366540520173687</x:v>
      </x:c>
      <x:c r="Z265" s="245" t="n">
        <x:f>X265*D265</x:f>
        <x:v>0</x:v>
      </x:c>
      <x:c r="AA265" s="245" t="n">
        <x:f>X265*E265</x:f>
        <x:v>0</x:v>
      </x:c>
      <x:c r="AB265" s="245" t="n">
        <x:f>X265</x:f>
        <x:v>0.03792494048087693</x:v>
      </x:c>
      <x:c r="AC265" s="245" t="n">
        <x:f>Y265*D265</x:f>
        <x:v>0</x:v>
      </x:c>
      <x:c r="AD265" s="245" t="n">
        <x:f>Y265*E265</x:f>
        <x:v>0</x:v>
      </x:c>
      <x:c r="AE265" s="245" t="n">
        <x:f>Y265</x:f>
        <x:v>-0.03366540520173687</x:v>
      </x:c>
      <x:c r="AF265" s="245" t="n">
        <x:f>W265*Q265</x:f>
        <x:v>0.018170639712983657</x:v>
      </x:c>
      <x:c r="AG265" s="245" t="n">
        <x:f>W265*S265</x:f>
        <x:v>0.07896986182694353</x:v>
      </x:c>
      <x:c r="AH265" s="245" t="n">
        <x:f>W265</x:f>
        <x:v>0.09546160159937417</x:v>
      </x:c>
      <x:c r="AI265" s="246" t="n">
        <x:f>G265-$B$4*Z265</x:f>
        <x:v>2.129115902083188</x:v>
      </x:c>
      <x:c r="AJ265" s="246" t="n">
        <x:f>H265-$B$4*AA265</x:f>
        <x:v>-2.5997543072416205</x:v>
      </x:c>
      <x:c r="AK265" s="246" t="n">
        <x:f>I265-$B$4*AB265</x:f>
        <x:v>-1.4856948777948413</x:v>
      </x:c>
      <x:c r="AL265" s="246" t="n">
        <x:f>J265-$B$4*AC265</x:f>
        <x:v>2.3408199027246903</x:v>
      </x:c>
      <x:c r="AM265" s="246" t="n">
        <x:f>K265-$B$4*AD265</x:f>
        <x:v>-2.326331928657218</x:v>
      </x:c>
      <x:c r="AN265" s="246" t="n">
        <x:f>L265-$B$4*AE265</x:f>
        <x:v>1.5998720533173354</x:v>
      </x:c>
      <x:c r="AO265" s="246" t="n">
        <x:f>M265-$B$4*AF265</x:f>
        <x:v>2.5596618611493476</x:v>
      </x:c>
      <x:c r="AP265" s="246" t="n">
        <x:f>N265-$B$4*AG265</x:f>
        <x:v>-2.5466263939110143</x:v>
      </x:c>
      <x:c r="AQ265" s="246" t="n">
        <x:f>O265-$B$4*AH265</x:f>
        <x:v>1.0427372221575413</x:v>
      </x:c>
      <x:c r="AR265" s="182" t="n">
        <x:f>IF(U265&gt;=$B$5,1,0)</x:f>
        <x:v>0</x:v>
      </x:c>
      <x:c r="AS265" s="182" t="n">
        <x:f>IF(AR265=F265,1,0)</x:f>
        <x:v>1</x:v>
      </x:c>
      <x:c r="AT265" s="252" t="n">
        <x:f>ABS(F265-U265)</x:f>
        <x:v>0.3983192557240677</x:v>
      </x:c>
    </x:row>
    <x:row r="266">
      <x:c r="A266" s="114" t="n">
        <x:v>250</x:v>
      </x:c>
      <x:c r="B266" s="114" t="n">
        <x:v>63</x:v>
      </x:c>
      <x:c r="C266" s="114" t="n">
        <x:v>2</x:v>
      </x:c>
      <x:c r="D266" s="168" t="n">
        <x:f>$I$6</x:f>
        <x:v>0</x:v>
      </x:c>
      <x:c r="E266" s="168" t="n">
        <x:f>$J$6</x:f>
        <x:v>1</x:v>
      </x:c>
      <x:c r="F266" s="168" t="n">
        <x:f>$K$6</x:f>
        <x:v>1</x:v>
      </x:c>
      <x:c r="G266" s="242" t="n">
        <x:f>AI265</x:f>
        <x:v>2.129115902083188</x:v>
      </x:c>
      <x:c r="H266" s="242" t="n">
        <x:f>AJ265</x:f>
        <x:v>-2.5997543072416205</x:v>
      </x:c>
      <x:c r="I266" s="242" t="n">
        <x:f>AK265</x:f>
        <x:v>-1.4856948777948413</x:v>
      </x:c>
      <x:c r="J266" s="242" t="n">
        <x:f>AL265</x:f>
        <x:v>2.3408199027246903</x:v>
      </x:c>
      <x:c r="K266" s="242" t="n">
        <x:f>AM265</x:f>
        <x:v>-2.326331928657218</x:v>
      </x:c>
      <x:c r="L266" s="242" t="n">
        <x:f>AN265</x:f>
        <x:v>1.5998720533173354</x:v>
      </x:c>
      <x:c r="M266" s="242" t="n">
        <x:f>AO265</x:f>
        <x:v>2.5596618611493476</x:v>
      </x:c>
      <x:c r="N266" s="242" t="n">
        <x:f>AP265</x:f>
        <x:v>-2.5466263939110143</x:v>
      </x:c>
      <x:c r="O266" s="242" t="n">
        <x:f>AQ265</x:f>
        <x:v>1.0427372221575413</x:v>
      </x:c>
      <x:c r="P266" s="243" t="n">
        <x:f>D266*G266+E266*H266+I266</x:f>
        <x:v>-4.085449185036461</x:v>
      </x:c>
      <x:c r="Q266" s="243" t="n">
        <x:f>1/(1+EXP(-P266))</x:f>
        <x:v>0.016537496641384278</x:v>
      </x:c>
      <x:c r="R266" s="243" t="n">
        <x:f>D266*J266+E266*K266+L266</x:f>
        <x:v>-0.7264598753398825</x:v>
      </x:c>
      <x:c r="S266" s="243" t="n">
        <x:f>1/(1+EXP(-R266))</x:f>
        <x:v>0.325972063635581</x:v>
      </x:c>
      <x:c r="T266" s="243" t="n">
        <x:f>Q266*M266+S266*N266+O266</x:f>
        <x:v>0.25493856065736675</x:v>
      </x:c>
      <x:c r="U266" s="243" t="n">
        <x:f>1/(1+EXP(-T266))</x:f>
        <x:v>0.5633916733796606</x:v>
      </x:c>
      <x:c r="V266" s="243" t="n">
        <x:f>0.5*(F266-U266)^2</x:f>
        <x:v>0.0953134154371065</x:v>
      </x:c>
      <x:c r="W266" s="244" t="n">
        <x:f>(U266-F266)*U266*(1-U266)</x:f>
        <x:v>-0.1073975692372844</x:v>
      </x:c>
      <x:c r="X266" s="244" t="n">
        <x:f>W266*M266*Q266*(1-Q266)</x:f>
        <x:v>-0.004470999534203256</x:v>
      </x:c>
      <x:c r="Y266" s="244" t="n">
        <x:f>W266*N266*S266*(1-S266)</x:f>
        <x:v>0.06009218101665449</x:v>
      </x:c>
      <x:c r="Z266" s="245" t="n">
        <x:f>X266*D266</x:f>
        <x:v>0</x:v>
      </x:c>
      <x:c r="AA266" s="245" t="n">
        <x:f>X266*E266</x:f>
        <x:v>-0.004470999534203256</x:v>
      </x:c>
      <x:c r="AB266" s="245" t="n">
        <x:f>X266</x:f>
        <x:v>-0.004470999534203256</x:v>
      </x:c>
      <x:c r="AC266" s="245" t="n">
        <x:f>Y266*D266</x:f>
        <x:v>0</x:v>
      </x:c>
      <x:c r="AD266" s="245" t="n">
        <x:f>Y266*E266</x:f>
        <x:v>0.06009218101665449</x:v>
      </x:c>
      <x:c r="AE266" s="245" t="n">
        <x:f>Y266</x:f>
        <x:v>0.06009218101665449</x:v>
      </x:c>
      <x:c r="AF266" s="245" t="n">
        <x:f>W266*Q266</x:f>
        <x:v>-0.001776086940554426</x:v>
      </x:c>
      <x:c r="AG266" s="245" t="n">
        <x:f>W266*S266</x:f>
        <x:v>-0.035008607273722785</x:v>
      </x:c>
      <x:c r="AH266" s="245" t="n">
        <x:f>W266</x:f>
        <x:v>-0.1073975692372844</x:v>
      </x:c>
      <x:c r="AI266" s="246" t="n">
        <x:f>G266-$B$4*Z266</x:f>
        <x:v>2.129115902083188</x:v>
      </x:c>
      <x:c r="AJ266" s="246" t="n">
        <x:f>H266-$B$4*AA266</x:f>
        <x:v>-2.595283307707417</x:v>
      </x:c>
      <x:c r="AK266" s="246" t="n">
        <x:f>I266-$B$4*AB266</x:f>
        <x:v>-1.4812238782606382</x:v>
      </x:c>
      <x:c r="AL266" s="246" t="n">
        <x:f>J266-$B$4*AC266</x:f>
        <x:v>2.3408199027246903</x:v>
      </x:c>
      <x:c r="AM266" s="246" t="n">
        <x:f>K266-$B$4*AD266</x:f>
        <x:v>-2.3864241096738725</x:v>
      </x:c>
      <x:c r="AN266" s="246" t="n">
        <x:f>L266-$B$4*AE266</x:f>
        <x:v>1.5397798723006808</x:v>
      </x:c>
      <x:c r="AO266" s="246" t="n">
        <x:f>M266-$B$4*AF266</x:f>
        <x:v>2.561437948089902</x:v>
      </x:c>
      <x:c r="AP266" s="246" t="n">
        <x:f>N266-$B$4*AG266</x:f>
        <x:v>-2.5116177866372915</x:v>
      </x:c>
      <x:c r="AQ266" s="246" t="n">
        <x:f>O266-$B$4*AH266</x:f>
        <x:v>1.1501347913948257</x:v>
      </x:c>
      <x:c r="AR266" s="182" t="n">
        <x:f>IF(U266&gt;=$B$5,1,0)</x:f>
        <x:v>1</x:v>
      </x:c>
      <x:c r="AS266" s="182" t="n">
        <x:f>IF(AR266=F266,1,0)</x:f>
        <x:v>1</x:v>
      </x:c>
      <x:c r="AT266" s="252" t="n">
        <x:f>ABS(F266-U266)</x:f>
        <x:v>0.43660832662033944</x:v>
      </x:c>
    </x:row>
    <x:row r="267">
      <x:c r="A267" s="114" t="n">
        <x:v>251</x:v>
      </x:c>
      <x:c r="B267" s="114" t="n">
        <x:v>63</x:v>
      </x:c>
      <x:c r="C267" s="114" t="n">
        <x:v>3</x:v>
      </x:c>
      <x:c r="D267" s="168" t="n">
        <x:f>$I$7</x:f>
        <x:v>1</x:v>
      </x:c>
      <x:c r="E267" s="168" t="n">
        <x:f>$J$7</x:f>
        <x:v>0</x:v>
      </x:c>
      <x:c r="F267" s="168" t="n">
        <x:f>$K$7</x:f>
        <x:v>1</x:v>
      </x:c>
      <x:c r="G267" s="242" t="n">
        <x:f>AI266</x:f>
        <x:v>2.129115902083188</x:v>
      </x:c>
      <x:c r="H267" s="242" t="n">
        <x:f>AJ266</x:f>
        <x:v>-2.595283307707417</x:v>
      </x:c>
      <x:c r="I267" s="242" t="n">
        <x:f>AK266</x:f>
        <x:v>-1.4812238782606382</x:v>
      </x:c>
      <x:c r="J267" s="242" t="n">
        <x:f>AL266</x:f>
        <x:v>2.3408199027246903</x:v>
      </x:c>
      <x:c r="K267" s="242" t="n">
        <x:f>AM266</x:f>
        <x:v>-2.3864241096738725</x:v>
      </x:c>
      <x:c r="L267" s="242" t="n">
        <x:f>AN266</x:f>
        <x:v>1.5397798723006808</x:v>
      </x:c>
      <x:c r="M267" s="242" t="n">
        <x:f>AO266</x:f>
        <x:v>2.561437948089902</x:v>
      </x:c>
      <x:c r="N267" s="242" t="n">
        <x:f>AP266</x:f>
        <x:v>-2.5116177866372915</x:v>
      </x:c>
      <x:c r="O267" s="242" t="n">
        <x:f>AQ266</x:f>
        <x:v>1.1501347913948257</x:v>
      </x:c>
      <x:c r="P267" s="243" t="n">
        <x:f>D267*G267+E267*H267+I267</x:f>
        <x:v>0.6478920238225496</x:v>
      </x:c>
      <x:c r="Q267" s="243" t="n">
        <x:f>1/(1+EXP(-P267))</x:f>
        <x:v>0.6565352779614807</x:v>
      </x:c>
      <x:c r="R267" s="243" t="n">
        <x:f>D267*J267+E267*K267+L267</x:f>
        <x:v>3.880599775025371</x:v>
      </x:c>
      <x:c r="S267" s="243" t="n">
        <x:f>1/(1+EXP(-R267))</x:f>
        <x:v>0.9797788891974928</x:v>
      </x:c>
      <x:c r="T267" s="243" t="n">
        <x:f>Q267*M267+S267*N267+O267</x:f>
        <x:v>0.3709790815449632</x:v>
      </x:c>
      <x:c r="U267" s="243" t="n">
        <x:f>1/(1+EXP(-T267))</x:f>
        <x:v>0.5916955378500226</x:v>
      </x:c>
      <x:c r="V267" s="243" t="n">
        <x:f>0.5*(F267-U267)^2</x:f>
        <x:v>0.08335626690579116</x:v>
      </x:c>
      <x:c r="W267" s="244" t="n">
        <x:f>(U267-F267)*U267*(1-U267)</x:f>
        <x:v>-0.09864306235998428</x:v>
      </x:c>
      <x:c r="X267" s="244" t="n">
        <x:f>W267*M267*Q267*(1-Q267)</x:f>
        <x:v>-0.05697582067339611</x:v>
      </x:c>
      <x:c r="Y267" s="244" t="n">
        <x:f>W267*N267*S267*(1-S267)</x:f>
        <x:v>0.004908549590655423</x:v>
      </x:c>
      <x:c r="Z267" s="245" t="n">
        <x:f>X267*D267</x:f>
        <x:v>-0.05697582067339611</x:v>
      </x:c>
      <x:c r="AA267" s="245" t="n">
        <x:f>X267*E267</x:f>
        <x:v>0</x:v>
      </x:c>
      <x:c r="AB267" s="245" t="n">
        <x:f>X267</x:f>
        <x:v>-0.05697582067339611</x:v>
      </x:c>
      <x:c r="AC267" s="245" t="n">
        <x:f>Y267*D267</x:f>
        <x:v>0.004908549590655423</x:v>
      </x:c>
      <x:c r="AD267" s="245" t="n">
        <x:f>Y267*E267</x:f>
        <x:v>0</x:v>
      </x:c>
      <x:c r="AE267" s="245" t="n">
        <x:f>Y267</x:f>
        <x:v>0.004908549590655423</x:v>
      </x:c>
      <x:c r="AF267" s="245" t="n">
        <x:f>W267*Q267</x:f>
        <x:v>-0.06476265036548395</x:v>
      </x:c>
      <x:c r="AG267" s="245" t="n">
        <x:f>W267*S267</x:f>
        <x:v>-0.09664839006610441</x:v>
      </x:c>
      <x:c r="AH267" s="245" t="n">
        <x:f>W267</x:f>
        <x:v>-0.09864306235998428</x:v>
      </x:c>
      <x:c r="AI267" s="246" t="n">
        <x:f>G267-$B$4*Z267</x:f>
        <x:v>2.1860917227565837</x:v>
      </x:c>
      <x:c r="AJ267" s="246" t="n">
        <x:f>H267-$B$4*AA267</x:f>
        <x:v>-2.595283307707417</x:v>
      </x:c>
      <x:c r="AK267" s="246" t="n">
        <x:f>I267-$B$4*AB267</x:f>
        <x:v>-1.424248057587242</x:v>
      </x:c>
      <x:c r="AL267" s="246" t="n">
        <x:f>J267-$B$4*AC267</x:f>
        <x:v>2.3359113531340348</x:v>
      </x:c>
      <x:c r="AM267" s="246" t="n">
        <x:f>K267-$B$4*AD267</x:f>
        <x:v>-2.3864241096738725</x:v>
      </x:c>
      <x:c r="AN267" s="246" t="n">
        <x:f>L267-$B$4*AE267</x:f>
        <x:v>1.5348713227100255</x:v>
      </x:c>
      <x:c r="AO267" s="246" t="n">
        <x:f>M267-$B$4*AF267</x:f>
        <x:v>2.626200598455386</x:v>
      </x:c>
      <x:c r="AP267" s="246" t="n">
        <x:f>N267-$B$4*AG267</x:f>
        <x:v>-2.414969396571187</x:v>
      </x:c>
      <x:c r="AQ267" s="246" t="n">
        <x:f>O267-$B$4*AH267</x:f>
        <x:v>1.24877785375481</x:v>
      </x:c>
      <x:c r="AR267" s="182" t="n">
        <x:f>IF(U267&gt;=$B$5,1,0)</x:f>
        <x:v>1</x:v>
      </x:c>
      <x:c r="AS267" s="182" t="n">
        <x:f>IF(AR267=F267,1,0)</x:f>
        <x:v>1</x:v>
      </x:c>
      <x:c r="AT267" s="252" t="n">
        <x:f>ABS(F267-U267)</x:f>
        <x:v>0.4083044621499774</x:v>
      </x:c>
    </x:row>
    <x:row r="268">
      <x:c r="A268" s="114" t="n">
        <x:v>252</x:v>
      </x:c>
      <x:c r="B268" s="114" t="n">
        <x:v>63</x:v>
      </x:c>
      <x:c r="C268" s="114" t="n">
        <x:v>4</x:v>
      </x:c>
      <x:c r="D268" s="168" t="n">
        <x:f>$I$8</x:f>
        <x:v>1</x:v>
      </x:c>
      <x:c r="E268" s="168" t="n">
        <x:f>$J$8</x:f>
        <x:v>1</x:v>
      </x:c>
      <x:c r="F268" s="168" t="n">
        <x:f>$K$8</x:f>
        <x:v>0</x:v>
      </x:c>
      <x:c r="G268" s="242" t="n">
        <x:f>AI267</x:f>
        <x:v>2.1860917227565837</x:v>
      </x:c>
      <x:c r="H268" s="242" t="n">
        <x:f>AJ267</x:f>
        <x:v>-2.595283307707417</x:v>
      </x:c>
      <x:c r="I268" s="242" t="n">
        <x:f>AK267</x:f>
        <x:v>-1.424248057587242</x:v>
      </x:c>
      <x:c r="J268" s="242" t="n">
        <x:f>AL267</x:f>
        <x:v>2.3359113531340348</x:v>
      </x:c>
      <x:c r="K268" s="242" t="n">
        <x:f>AM267</x:f>
        <x:v>-2.3864241096738725</x:v>
      </x:c>
      <x:c r="L268" s="242" t="n">
        <x:f>AN267</x:f>
        <x:v>1.5348713227100255</x:v>
      </x:c>
      <x:c r="M268" s="242" t="n">
        <x:f>AO267</x:f>
        <x:v>2.626200598455386</x:v>
      </x:c>
      <x:c r="N268" s="242" t="n">
        <x:f>AP267</x:f>
        <x:v>-2.414969396571187</x:v>
      </x:c>
      <x:c r="O268" s="242" t="n">
        <x:f>AQ267</x:f>
        <x:v>1.24877785375481</x:v>
      </x:c>
      <x:c r="P268" s="243" t="n">
        <x:f>D268*G268+E268*H268+I268</x:f>
        <x:v>-1.8334396425380755</x:v>
      </x:c>
      <x:c r="Q268" s="243" t="n">
        <x:f>1/(1+EXP(-P268))</x:f>
        <x:v>0.13782902352357615</x:v>
      </x:c>
      <x:c r="R268" s="243" t="n">
        <x:f>D268*J268+E268*K268+L268</x:f>
        <x:v>1.4843585661701877</x:v>
      </x:c>
      <x:c r="S268" s="243" t="n">
        <x:f>1/(1+EXP(-R268))</x:f>
        <x:v>0.8152300139364095</x:v>
      </x:c>
      <x:c r="T268" s="243" t="n">
        <x:f>Q268*M268+S268*N268+O268</x:f>
        <x:v>-0.3580110170057842</x:v>
      </x:c>
      <x:c r="U268" s="243" t="n">
        <x:f>1/(1+EXP(-T268))</x:f>
        <x:v>0.4114411277629051</x:v>
      </x:c>
      <x:c r="V268" s="243" t="n">
        <x:f>0.5*(F268-U268)^2</x:f>
        <x:v>0.08464190080740559</x:v>
      </x:c>
      <x:c r="W268" s="244" t="n">
        <x:f>(U268-F268)*U268*(1-U268)</x:f>
        <x:v>0.09963348336642137</x:v>
      </x:c>
      <x:c r="X268" s="244" t="n">
        <x:f>W268*M268*Q268*(1-Q268)</x:f>
        <x:v>0.031093333753393158</x:v>
      </x:c>
      <x:c r="Y268" s="244" t="n">
        <x:f>W268*N268*S268*(1-S268)</x:f>
        <x:v>-0.03624336664158919</x:v>
      </x:c>
      <x:c r="Z268" s="245" t="n">
        <x:f>X268*D268</x:f>
        <x:v>0.031093333753393158</x:v>
      </x:c>
      <x:c r="AA268" s="245" t="n">
        <x:f>X268*E268</x:f>
        <x:v>0.031093333753393158</x:v>
      </x:c>
      <x:c r="AB268" s="245" t="n">
        <x:f>X268</x:f>
        <x:v>0.031093333753393158</x:v>
      </x:c>
      <x:c r="AC268" s="245" t="n">
        <x:f>Y268*D268</x:f>
        <x:v>-0.03624336664158919</x:v>
      </x:c>
      <x:c r="AD268" s="245" t="n">
        <x:f>Y268*E268</x:f>
        <x:v>-0.03624336664158919</x:v>
      </x:c>
      <x:c r="AE268" s="245" t="n">
        <x:f>Y268</x:f>
        <x:v>-0.03624336664158919</x:v>
      </x:c>
      <x:c r="AF268" s="245" t="n">
        <x:f>W268*Q268</x:f>
        <x:v>0.013732385722646324</x:v>
      </x:c>
      <x:c r="AG268" s="245" t="n">
        <x:f>W268*S268</x:f>
        <x:v>0.08122420603334071</x:v>
      </x:c>
      <x:c r="AH268" s="245" t="n">
        <x:f>W268</x:f>
        <x:v>0.09963348336642137</x:v>
      </x:c>
      <x:c r="AI268" s="246" t="n">
        <x:f>G268-$B$4*Z268</x:f>
        <x:v>2.1549983890031905</x:v>
      </x:c>
      <x:c r="AJ268" s="246" t="n">
        <x:f>H268-$B$4*AA268</x:f>
        <x:v>-2.6263766414608103</x:v>
      </x:c>
      <x:c r="AK268" s="246" t="n">
        <x:f>I268-$B$4*AB268</x:f>
        <x:v>-1.4553413913406352</x:v>
      </x:c>
      <x:c r="AL268" s="246" t="n">
        <x:f>J268-$B$4*AC268</x:f>
        <x:v>2.372154719775624</x:v>
      </x:c>
      <x:c r="AM268" s="246" t="n">
        <x:f>K268-$B$4*AD268</x:f>
        <x:v>-2.350180743032283</x:v>
      </x:c>
      <x:c r="AN268" s="246" t="n">
        <x:f>L268-$B$4*AE268</x:f>
        <x:v>1.5711146893516146</x:v>
      </x:c>
      <x:c r="AO268" s="246" t="n">
        <x:f>M268-$B$4*AF268</x:f>
        <x:v>2.6124682127327397</x:v>
      </x:c>
      <x:c r="AP268" s="246" t="n">
        <x:f>N268-$B$4*AG268</x:f>
        <x:v>-2.496193602604528</x:v>
      </x:c>
      <x:c r="AQ268" s="246" t="n">
        <x:f>O268-$B$4*AH268</x:f>
        <x:v>1.1491443703883886</x:v>
      </x:c>
      <x:c r="AR268" s="182" t="n">
        <x:f>IF(U268&gt;=$B$5,1,0)</x:f>
        <x:v>0</x:v>
      </x:c>
      <x:c r="AS268" s="182" t="n">
        <x:f>IF(AR268=F268,1,0)</x:f>
        <x:v>1</x:v>
      </x:c>
      <x:c r="AT268" s="252" t="n">
        <x:f>ABS(F268-U268)</x:f>
        <x:v>0.4114411277629051</x:v>
      </x:c>
    </x:row>
    <x:row r="269">
      <x:c r="A269" s="114" t="n">
        <x:v>253</x:v>
      </x:c>
      <x:c r="B269" s="114" t="n">
        <x:v>64</x:v>
      </x:c>
      <x:c r="C269" s="114" t="n">
        <x:v>1</x:v>
      </x:c>
      <x:c r="D269" s="168" t="n">
        <x:f>$I$5</x:f>
        <x:v>0</x:v>
      </x:c>
      <x:c r="E269" s="168" t="n">
        <x:f>$J$5</x:f>
        <x:v>0</x:v>
      </x:c>
      <x:c r="F269" s="168" t="n">
        <x:f>$K$5</x:f>
        <x:v>0</x:v>
      </x:c>
      <x:c r="G269" s="242" t="n">
        <x:f>AI268</x:f>
        <x:v>2.1549983890031905</x:v>
      </x:c>
      <x:c r="H269" s="242" t="n">
        <x:f>AJ268</x:f>
        <x:v>-2.6263766414608103</x:v>
      </x:c>
      <x:c r="I269" s="242" t="n">
        <x:f>AK268</x:f>
        <x:v>-1.4553413913406352</x:v>
      </x:c>
      <x:c r="J269" s="242" t="n">
        <x:f>AL268</x:f>
        <x:v>2.372154719775624</x:v>
      </x:c>
      <x:c r="K269" s="242" t="n">
        <x:f>AM268</x:f>
        <x:v>-2.350180743032283</x:v>
      </x:c>
      <x:c r="L269" s="242" t="n">
        <x:f>AN268</x:f>
        <x:v>1.5711146893516146</x:v>
      </x:c>
      <x:c r="M269" s="242" t="n">
        <x:f>AO268</x:f>
        <x:v>2.6124682127327397</x:v>
      </x:c>
      <x:c r="N269" s="242" t="n">
        <x:f>AP268</x:f>
        <x:v>-2.496193602604528</x:v>
      </x:c>
      <x:c r="O269" s="242" t="n">
        <x:f>AQ268</x:f>
        <x:v>1.1491443703883886</x:v>
      </x:c>
      <x:c r="P269" s="243" t="n">
        <x:f>D269*G269+E269*H269+I269</x:f>
        <x:v>-1.4553413913406352</x:v>
      </x:c>
      <x:c r="Q269" s="243" t="n">
        <x:f>1/(1+EXP(-P269))</x:f>
        <x:v>0.18918088156125035</x:v>
      </x:c>
      <x:c r="R269" s="243" t="n">
        <x:f>D269*J269+E269*K269+L269</x:f>
        <x:v>1.5711146893516146</x:v>
      </x:c>
      <x:c r="S269" s="243" t="n">
        <x:f>1/(1+EXP(-R269))</x:f>
        <x:v>0.8279424579896312</x:v>
      </x:c>
      <x:c r="T269" s="243" t="n">
        <x:f>Q269*M269+S269*N269+O269</x:f>
        <x:v>-0.42333125703447316</x:v>
      </x:c>
      <x:c r="U269" s="243" t="n">
        <x:f>1/(1+EXP(-T269))</x:f>
        <x:v>0.3957198850250373</x:v>
      </x:c>
      <x:c r="V269" s="243" t="n">
        <x:f>0.5*(F269-U269)^2</x:f>
        <x:v>0.07829711370211437</x:v>
      </x:c>
      <x:c r="W269" s="244" t="n">
        <x:f>(U269-F269)*U269*(1-U269)</x:f>
        <x:v>0.09462677774024279</x:v>
      </x:c>
      <x:c r="X269" s="244" t="n">
        <x:f>W269*M269*Q269*(1-Q269)</x:f>
        <x:v>0.03791982215526065</x:v>
      </x:c>
      <x:c r="Y269" s="244" t="n">
        <x:f>W269*N269*S269*(1-S269)</x:f>
        <x:v>-0.03364853698406459</x:v>
      </x:c>
      <x:c r="Z269" s="245" t="n">
        <x:f>X269*D269</x:f>
        <x:v>0</x:v>
      </x:c>
      <x:c r="AA269" s="245" t="n">
        <x:f>X269*E269</x:f>
        <x:v>0</x:v>
      </x:c>
      <x:c r="AB269" s="245" t="n">
        <x:f>X269</x:f>
        <x:v>0.03791982215526065</x:v>
      </x:c>
      <x:c r="AC269" s="245" t="n">
        <x:f>Y269*D269</x:f>
        <x:v>0</x:v>
      </x:c>
      <x:c r="AD269" s="245" t="n">
        <x:f>Y269*E269</x:f>
        <x:v>0</x:v>
      </x:c>
      <x:c r="AE269" s="245" t="n">
        <x:f>Y269</x:f>
        <x:v>-0.03364853698406459</x:v>
      </x:c>
      <x:c r="AF269" s="245" t="n">
        <x:f>W269*Q269</x:f>
        <x:v>0.017901577232199633</x:v>
      </x:c>
      <x:c r="AG269" s="245" t="n">
        <x:f>W269*S269</x:f>
        <x:v>0.07834552695389513</x:v>
      </x:c>
      <x:c r="AH269" s="245" t="n">
        <x:f>W269</x:f>
        <x:v>0.09462677774024279</x:v>
      </x:c>
      <x:c r="AI269" s="246" t="n">
        <x:f>G269-$B$4*Z269</x:f>
        <x:v>2.1549983890031905</x:v>
      </x:c>
      <x:c r="AJ269" s="246" t="n">
        <x:f>H269-$B$4*AA269</x:f>
        <x:v>-2.6263766414608103</x:v>
      </x:c>
      <x:c r="AK269" s="246" t="n">
        <x:f>I269-$B$4*AB269</x:f>
        <x:v>-1.4932612134958958</x:v>
      </x:c>
      <x:c r="AL269" s="246" t="n">
        <x:f>J269-$B$4*AC269</x:f>
        <x:v>2.372154719775624</x:v>
      </x:c>
      <x:c r="AM269" s="246" t="n">
        <x:f>K269-$B$4*AD269</x:f>
        <x:v>-2.350180743032283</x:v>
      </x:c>
      <x:c r="AN269" s="246" t="n">
        <x:f>L269-$B$4*AE269</x:f>
        <x:v>1.6047632263356792</x:v>
      </x:c>
      <x:c r="AO269" s="246" t="n">
        <x:f>M269-$B$4*AF269</x:f>
        <x:v>2.59456663550054</x:v>
      </x:c>
      <x:c r="AP269" s="246" t="n">
        <x:f>N269-$B$4*AG269</x:f>
        <x:v>-2.5745391295584232</x:v>
      </x:c>
      <x:c r="AQ269" s="246" t="n">
        <x:f>O269-$B$4*AH269</x:f>
        <x:v>1.0545175926481458</x:v>
      </x:c>
      <x:c r="AR269" s="182" t="n">
        <x:f>IF(U269&gt;=$B$5,1,0)</x:f>
        <x:v>0</x:v>
      </x:c>
      <x:c r="AS269" s="182" t="n">
        <x:f>IF(AR269=F269,1,0)</x:f>
        <x:v>1</x:v>
      </x:c>
      <x:c r="AT269" s="252" t="n">
        <x:f>ABS(F269-U269)</x:f>
        <x:v>0.3957198850250373</x:v>
      </x:c>
    </x:row>
    <x:row r="270">
      <x:c r="A270" s="114" t="n">
        <x:v>254</x:v>
      </x:c>
      <x:c r="B270" s="114" t="n">
        <x:v>64</x:v>
      </x:c>
      <x:c r="C270" s="114" t="n">
        <x:v>2</x:v>
      </x:c>
      <x:c r="D270" s="168" t="n">
        <x:f>$I$6</x:f>
        <x:v>0</x:v>
      </x:c>
      <x:c r="E270" s="168" t="n">
        <x:f>$J$6</x:f>
        <x:v>1</x:v>
      </x:c>
      <x:c r="F270" s="168" t="n">
        <x:f>$K$6</x:f>
        <x:v>1</x:v>
      </x:c>
      <x:c r="G270" s="242" t="n">
        <x:f>AI269</x:f>
        <x:v>2.1549983890031905</x:v>
      </x:c>
      <x:c r="H270" s="242" t="n">
        <x:f>AJ269</x:f>
        <x:v>-2.6263766414608103</x:v>
      </x:c>
      <x:c r="I270" s="242" t="n">
        <x:f>AK269</x:f>
        <x:v>-1.4932612134958958</x:v>
      </x:c>
      <x:c r="J270" s="242" t="n">
        <x:f>AL269</x:f>
        <x:v>2.372154719775624</x:v>
      </x:c>
      <x:c r="K270" s="242" t="n">
        <x:f>AM269</x:f>
        <x:v>-2.350180743032283</x:v>
      </x:c>
      <x:c r="L270" s="242" t="n">
        <x:f>AN269</x:f>
        <x:v>1.6047632263356792</x:v>
      </x:c>
      <x:c r="M270" s="242" t="n">
        <x:f>AO269</x:f>
        <x:v>2.59456663550054</x:v>
      </x:c>
      <x:c r="N270" s="242" t="n">
        <x:f>AP269</x:f>
        <x:v>-2.5745391295584232</x:v>
      </x:c>
      <x:c r="O270" s="242" t="n">
        <x:f>AQ269</x:f>
        <x:v>1.0545175926481458</x:v>
      </x:c>
      <x:c r="P270" s="243" t="n">
        <x:f>D270*G270+E270*H270+I270</x:f>
        <x:v>-4.119637854956706</x:v>
      </x:c>
      <x:c r="Q270" s="243" t="n">
        <x:f>1/(1+EXP(-P270))</x:f>
        <x:v>0.015990545640751655</x:v>
      </x:c>
      <x:c r="R270" s="243" t="n">
        <x:f>D270*J270+E270*K270+L270</x:f>
        <x:v>-0.7454175166966039</x:v>
      </x:c>
      <x:c r="S270" s="243" t="n">
        <x:f>1/(1+EXP(-R270))</x:f>
        <x:v>0.32182061977087245</x:v>
      </x:c>
      <x:c r="T270" s="243" t="n">
        <x:f>Q270*M270+S270*N270+O270</x:f>
        <x:v>0.26746635055223433</x:v>
      </x:c>
      <x:c r="U270" s="243" t="n">
        <x:f>1/(1+EXP(-T270))</x:f>
        <x:v>0.5664707922997543</x:v>
      </x:c>
      <x:c r="V270" s="243" t="n">
        <x:f>0.5*(F270-U270)^2</x:f>
        <x:v>0.0939737869646014</x:v>
      </x:c>
      <x:c r="W270" s="244" t="n">
        <x:f>(U270-F270)*U270*(1-U270)</x:f>
        <x:v>-0.10646681111449215</x:v>
      </x:c>
      <x:c r="X270" s="244" t="n">
        <x:f>W270*M270*Q270*(1-Q270)</x:f>
        <x:v>-0.004346519474321373</x:v>
      </x:c>
      <x:c r="Y270" s="244" t="n">
        <x:f>W270*N270*S270*(1-S270)</x:f>
        <x:v>0.05982355140283046</x:v>
      </x:c>
      <x:c r="Z270" s="245" t="n">
        <x:f>X270*D270</x:f>
        <x:v>0</x:v>
      </x:c>
      <x:c r="AA270" s="245" t="n">
        <x:f>X270*E270</x:f>
        <x:v>-0.004346519474321373</x:v>
      </x:c>
      <x:c r="AB270" s="245" t="n">
        <x:f>X270</x:f>
        <x:v>-0.004346519474321373</x:v>
      </x:c>
      <x:c r="AC270" s="245" t="n">
        <x:f>Y270*D270</x:f>
        <x:v>0</x:v>
      </x:c>
      <x:c r="AD270" s="245" t="n">
        <x:f>Y270*E270</x:f>
        <x:v>0.05982355140283046</x:v>
      </x:c>
      <x:c r="AE270" s="245" t="n">
        <x:f>Y270</x:f>
        <x:v>0.05982355140283046</x:v>
      </x:c>
      <x:c r="AF270" s="245" t="n">
        <x:f>W270*Q270</x:f>
        <x:v>-0.0017024624023515723</x:v>
      </x:c>
      <x:c r="AG270" s="245" t="n">
        <x:f>W270*S270</x:f>
        <x:v>-0.03426321513789427</x:v>
      </x:c>
      <x:c r="AH270" s="245" t="n">
        <x:f>W270</x:f>
        <x:v>-0.10646681111449215</x:v>
      </x:c>
      <x:c r="AI270" s="246" t="n">
        <x:f>G270-$B$4*Z270</x:f>
        <x:v>2.1549983890031905</x:v>
      </x:c>
      <x:c r="AJ270" s="246" t="n">
        <x:f>H270-$B$4*AA270</x:f>
        <x:v>-2.622030121986489</x:v>
      </x:c>
      <x:c r="AK270" s="246" t="n">
        <x:f>I270-$B$4*AB270</x:f>
        <x:v>-1.4889146940215745</x:v>
      </x:c>
      <x:c r="AL270" s="246" t="n">
        <x:f>J270-$B$4*AC270</x:f>
        <x:v>2.372154719775624</x:v>
      </x:c>
      <x:c r="AM270" s="246" t="n">
        <x:f>K270-$B$4*AD270</x:f>
        <x:v>-2.4100042944351134</x:v>
      </x:c>
      <x:c r="AN270" s="246" t="n">
        <x:f>L270-$B$4*AE270</x:f>
        <x:v>1.5449396749328488</x:v>
      </x:c>
      <x:c r="AO270" s="246" t="n">
        <x:f>M270-$B$4*AF270</x:f>
        <x:v>2.5962690979028915</x:v>
      </x:c>
      <x:c r="AP270" s="246" t="n">
        <x:f>N270-$B$4*AG270</x:f>
        <x:v>-2.540275914420529</x:v>
      </x:c>
      <x:c r="AQ270" s="246" t="n">
        <x:f>O270-$B$4*AH270</x:f>
        <x:v>1.160984403762638</x:v>
      </x:c>
      <x:c r="AR270" s="182" t="n">
        <x:f>IF(U270&gt;=$B$5,1,0)</x:f>
        <x:v>1</x:v>
      </x:c>
      <x:c r="AS270" s="182" t="n">
        <x:f>IF(AR270=F270,1,0)</x:f>
        <x:v>1</x:v>
      </x:c>
      <x:c r="AT270" s="252" t="n">
        <x:f>ABS(F270-U270)</x:f>
        <x:v>0.4335292077002457</x:v>
      </x:c>
    </x:row>
    <x:row r="271">
      <x:c r="A271" s="114" t="n">
        <x:v>255</x:v>
      </x:c>
      <x:c r="B271" s="114" t="n">
        <x:v>64</x:v>
      </x:c>
      <x:c r="C271" s="114" t="n">
        <x:v>3</x:v>
      </x:c>
      <x:c r="D271" s="168" t="n">
        <x:f>$I$7</x:f>
        <x:v>1</x:v>
      </x:c>
      <x:c r="E271" s="168" t="n">
        <x:f>$J$7</x:f>
        <x:v>0</x:v>
      </x:c>
      <x:c r="F271" s="168" t="n">
        <x:f>$K$7</x:f>
        <x:v>1</x:v>
      </x:c>
      <x:c r="G271" s="242" t="n">
        <x:f>AI270</x:f>
        <x:v>2.1549983890031905</x:v>
      </x:c>
      <x:c r="H271" s="242" t="n">
        <x:f>AJ270</x:f>
        <x:v>-2.622030121986489</x:v>
      </x:c>
      <x:c r="I271" s="242" t="n">
        <x:f>AK270</x:f>
        <x:v>-1.4889146940215745</x:v>
      </x:c>
      <x:c r="J271" s="242" t="n">
        <x:f>AL270</x:f>
        <x:v>2.372154719775624</x:v>
      </x:c>
      <x:c r="K271" s="242" t="n">
        <x:f>AM270</x:f>
        <x:v>-2.4100042944351134</x:v>
      </x:c>
      <x:c r="L271" s="242" t="n">
        <x:f>AN270</x:f>
        <x:v>1.5449396749328488</x:v>
      </x:c>
      <x:c r="M271" s="242" t="n">
        <x:f>AO270</x:f>
        <x:v>2.5962690979028915</x:v>
      </x:c>
      <x:c r="N271" s="242" t="n">
        <x:f>AP270</x:f>
        <x:v>-2.540275914420529</x:v>
      </x:c>
      <x:c r="O271" s="242" t="n">
        <x:f>AQ270</x:f>
        <x:v>1.160984403762638</x:v>
      </x:c>
      <x:c r="P271" s="243" t="n">
        <x:f>D271*G271+E271*H271+I271</x:f>
        <x:v>0.666083694981616</x:v>
      </x:c>
      <x:c r="Q271" s="243" t="n">
        <x:f>1/(1+EXP(-P271))</x:f>
        <x:v>0.6606256791104457</x:v>
      </x:c>
      <x:c r="R271" s="243" t="n">
        <x:f>D271*J271+E271*K271+L271</x:f>
        <x:v>3.9170943947084726</x:v>
      </x:c>
      <x:c r="S271" s="243" t="n">
        <x:f>1/(1+EXP(-R271))</x:f>
        <x:v>0.9804894089444529</x:v>
      </x:c>
      <x:c r="T271" s="243" t="n">
        <x:f>Q271*M271+S271*N271+O271</x:f>
        <x:v>0.385432809832186</x:v>
      </x:c>
      <x:c r="U271" s="243" t="n">
        <x:f>1/(1+EXP(-T271))</x:f>
        <x:v>0.5951827594664961</x:v>
      </x:c>
      <x:c r="V271" s="243" t="n">
        <x:f>0.5*(F271-U271)^2</x:f>
        <x:v>0.08193849911658037</x:v>
      </x:c>
      <x:c r="W271" s="244" t="n">
        <x:f>(U271-F271)*U271*(1-U271)</x:f>
        <x:v>-0.09753676402149872</x:v>
      </x:c>
      <x:c r="X271" s="244" t="n">
        <x:f>W271*M271*Q271*(1-Q271)</x:f>
        <x:v>-0.056774389912243255</x:v>
      </x:c>
      <x:c r="Y271" s="244" t="n">
        <x:f>W271*N271*S271*(1-S271)</x:f>
        <x:v>0.00473982782771803</x:v>
      </x:c>
      <x:c r="Z271" s="245" t="n">
        <x:f>X271*D271</x:f>
        <x:v>-0.056774389912243255</x:v>
      </x:c>
      <x:c r="AA271" s="245" t="n">
        <x:f>X271*E271</x:f>
        <x:v>0</x:v>
      </x:c>
      <x:c r="AB271" s="245" t="n">
        <x:f>X271</x:f>
        <x:v>-0.056774389912243255</x:v>
      </x:c>
      <x:c r="AC271" s="245" t="n">
        <x:f>Y271*D271</x:f>
        <x:v>0.00473982782771803</x:v>
      </x:c>
      <x:c r="AD271" s="245" t="n">
        <x:f>Y271*E271</x:f>
        <x:v>0</x:v>
      </x:c>
      <x:c r="AE271" s="245" t="n">
        <x:f>Y271</x:f>
        <x:v>0.00473982782771803</x:v>
      </x:c>
      <x:c r="AF271" s="245" t="n">
        <x:f>W271*Q271</x:f>
        <x:v>-0.06443529096993787</x:v>
      </x:c>
      <x:c r="AG271" s="245" t="n">
        <x:f>W271*S271</x:f>
        <x:v>-0.09563376410579386</x:v>
      </x:c>
      <x:c r="AH271" s="245" t="n">
        <x:f>W271</x:f>
        <x:v>-0.09753676402149872</x:v>
      </x:c>
      <x:c r="AI271" s="246" t="n">
        <x:f>G271-$B$4*Z271</x:f>
        <x:v>2.211772778915434</x:v>
      </x:c>
      <x:c r="AJ271" s="246" t="n">
        <x:f>H271-$B$4*AA271</x:f>
        <x:v>-2.622030121986489</x:v>
      </x:c>
      <x:c r="AK271" s="246" t="n">
        <x:f>I271-$B$4*AB271</x:f>
        <x:v>-1.4321403041093312</x:v>
      </x:c>
      <x:c r="AL271" s="246" t="n">
        <x:f>J271-$B$4*AC271</x:f>
        <x:v>2.367414891947906</x:v>
      </x:c>
      <x:c r="AM271" s="246" t="n">
        <x:f>K271-$B$4*AD271</x:f>
        <x:v>-2.4100042944351134</x:v>
      </x:c>
      <x:c r="AN271" s="246" t="n">
        <x:f>L271-$B$4*AE271</x:f>
        <x:v>1.5401998471051308</x:v>
      </x:c>
      <x:c r="AO271" s="246" t="n">
        <x:f>M271-$B$4*AF271</x:f>
        <x:v>2.6607043888728295</x:v>
      </x:c>
      <x:c r="AP271" s="246" t="n">
        <x:f>N271-$B$4*AG271</x:f>
        <x:v>-2.444642150314735</x:v>
      </x:c>
      <x:c r="AQ271" s="246" t="n">
        <x:f>O271-$B$4*AH271</x:f>
        <x:v>1.2585211677841368</x:v>
      </x:c>
      <x:c r="AR271" s="182" t="n">
        <x:f>IF(U271&gt;=$B$5,1,0)</x:f>
        <x:v>1</x:v>
      </x:c>
      <x:c r="AS271" s="182" t="n">
        <x:f>IF(AR271=F271,1,0)</x:f>
        <x:v>1</x:v>
      </x:c>
      <x:c r="AT271" s="252" t="n">
        <x:f>ABS(F271-U271)</x:f>
        <x:v>0.4048172405335039</x:v>
      </x:c>
    </x:row>
    <x:row r="272">
      <x:c r="A272" s="114" t="n">
        <x:v>256</x:v>
      </x:c>
      <x:c r="B272" s="114" t="n">
        <x:v>64</x:v>
      </x:c>
      <x:c r="C272" s="114" t="n">
        <x:v>4</x:v>
      </x:c>
      <x:c r="D272" s="168" t="n">
        <x:f>$I$8</x:f>
        <x:v>1</x:v>
      </x:c>
      <x:c r="E272" s="168" t="n">
        <x:f>$J$8</x:f>
        <x:v>1</x:v>
      </x:c>
      <x:c r="F272" s="168" t="n">
        <x:f>$K$8</x:f>
        <x:v>0</x:v>
      </x:c>
      <x:c r="G272" s="242" t="n">
        <x:f>AI271</x:f>
        <x:v>2.211772778915434</x:v>
      </x:c>
      <x:c r="H272" s="242" t="n">
        <x:f>AJ271</x:f>
        <x:v>-2.622030121986489</x:v>
      </x:c>
      <x:c r="I272" s="242" t="n">
        <x:f>AK271</x:f>
        <x:v>-1.4321403041093312</x:v>
      </x:c>
      <x:c r="J272" s="242" t="n">
        <x:f>AL271</x:f>
        <x:v>2.367414891947906</x:v>
      </x:c>
      <x:c r="K272" s="242" t="n">
        <x:f>AM271</x:f>
        <x:v>-2.4100042944351134</x:v>
      </x:c>
      <x:c r="L272" s="242" t="n">
        <x:f>AN271</x:f>
        <x:v>1.5401998471051308</x:v>
      </x:c>
      <x:c r="M272" s="242" t="n">
        <x:f>AO271</x:f>
        <x:v>2.6607043888728295</x:v>
      </x:c>
      <x:c r="N272" s="242" t="n">
        <x:f>AP271</x:f>
        <x:v>-2.444642150314735</x:v>
      </x:c>
      <x:c r="O272" s="242" t="n">
        <x:f>AQ271</x:f>
        <x:v>1.2585211677841368</x:v>
      </x:c>
      <x:c r="P272" s="243" t="n">
        <x:f>D272*G272+E272*H272+I272</x:f>
        <x:v>-1.8423976471803865</x:v>
      </x:c>
      <x:c r="Q272" s="243" t="n">
        <x:f>1/(1+EXP(-P272))</x:f>
        <x:v>0.13676797375967595</x:v>
      </x:c>
      <x:c r="R272" s="243" t="n">
        <x:f>D272*J272+E272*K272+L272</x:f>
        <x:v>1.4976104446179233</x:v>
      </x:c>
      <x:c r="S272" s="243" t="n">
        <x:f>1/(1+EXP(-R272))</x:f>
        <x:v>0.8172178119972597</x:v>
      </x:c>
      <x:c r="T272" s="243" t="n">
        <x:f>Q272*M272+S272*N272+O272</x:f>
        <x:v>-0.3753847933727332</x:v>
      </x:c>
      <x:c r="U272" s="243" t="n">
        <x:f>1/(1+EXP(-T272))</x:f>
        <x:v>0.4072405092748341</x:v>
      </x:c>
      <x:c r="V272" s="243" t="n">
        <x:f>0.5*(F272-U272)^2</x:f>
        <x:v>0.0829224161972131</x:v>
      </x:c>
      <x:c r="W272" s="244" t="n">
        <x:f>(U272-F272)*U272*(1-U272)</x:f>
        <x:v>0.09830609838952058</x:v>
      </x:c>
      <x:c r="X272" s="244" t="n">
        <x:f>W272*M272*Q272*(1-Q272)</x:f>
        <x:v>0.030880835596224843</x:v>
      </x:c>
      <x:c r="Y272" s="244" t="n">
        <x:f>W272*N272*S272*(1-S272)</x:f>
        <x:v>-0.035897768392158774</x:v>
      </x:c>
      <x:c r="Z272" s="245" t="n">
        <x:f>X272*D272</x:f>
        <x:v>0.030880835596224843</x:v>
      </x:c>
      <x:c r="AA272" s="245" t="n">
        <x:f>X272*E272</x:f>
        <x:v>0.030880835596224843</x:v>
      </x:c>
      <x:c r="AB272" s="245" t="n">
        <x:f>X272</x:f>
        <x:v>0.030880835596224843</x:v>
      </x:c>
      <x:c r="AC272" s="245" t="n">
        <x:f>Y272*D272</x:f>
        <x:v>-0.035897768392158774</x:v>
      </x:c>
      <x:c r="AD272" s="245" t="n">
        <x:f>Y272*E272</x:f>
        <x:v>-0.035897768392158774</x:v>
      </x:c>
      <x:c r="AE272" s="245" t="n">
        <x:f>Y272</x:f>
        <x:v>-0.035897768392158774</x:v>
      </x:c>
      <x:c r="AF272" s="245" t="n">
        <x:f>W272*Q272</x:f>
        <x:v>0.013445125884954072</x:v>
      </x:c>
      <x:c r="AG272" s="245" t="n">
        <x:f>W272*S272</x:f>
        <x:v>0.08033749463187134</x:v>
      </x:c>
      <x:c r="AH272" s="245" t="n">
        <x:f>W272</x:f>
        <x:v>0.09830609838952058</x:v>
      </x:c>
      <x:c r="AI272" s="246" t="n">
        <x:f>G272-$B$4*Z272</x:f>
        <x:v>2.180891943319209</x:v>
      </x:c>
      <x:c r="AJ272" s="246" t="n">
        <x:f>H272-$B$4*AA272</x:f>
        <x:v>-2.652910957582714</x:v>
      </x:c>
      <x:c r="AK272" s="246" t="n">
        <x:f>I272-$B$4*AB272</x:f>
        <x:v>-1.4630211397055561</x:v>
      </x:c>
      <x:c r="AL272" s="246" t="n">
        <x:f>J272-$B$4*AC272</x:f>
        <x:v>2.4033126603400645</x:v>
      </x:c>
      <x:c r="AM272" s="246" t="n">
        <x:f>K272-$B$4*AD272</x:f>
        <x:v>-2.374106526042955</x:v>
      </x:c>
      <x:c r="AN272" s="246" t="n">
        <x:f>L272-$B$4*AE272</x:f>
        <x:v>1.5760976154972897</x:v>
      </x:c>
      <x:c r="AO272" s="246" t="n">
        <x:f>M272-$B$4*AF272</x:f>
        <x:v>2.6472592629878755</x:v>
      </x:c>
      <x:c r="AP272" s="246" t="n">
        <x:f>N272-$B$4*AG272</x:f>
        <x:v>-2.5249796449466064</x:v>
      </x:c>
      <x:c r="AQ272" s="246" t="n">
        <x:f>O272-$B$4*AH272</x:f>
        <x:v>1.1602150693946163</x:v>
      </x:c>
      <x:c r="AR272" s="182" t="n">
        <x:f>IF(U272&gt;=$B$5,1,0)</x:f>
        <x:v>0</x:v>
      </x:c>
      <x:c r="AS272" s="182" t="n">
        <x:f>IF(AR272=F272,1,0)</x:f>
        <x:v>1</x:v>
      </x:c>
      <x:c r="AT272" s="252" t="n">
        <x:f>ABS(F272-U272)</x:f>
        <x:v>0.4072405092748341</x:v>
      </x:c>
    </x:row>
    <x:row r="273">
      <x:c r="A273" s="114" t="n">
        <x:v>257</x:v>
      </x:c>
      <x:c r="B273" s="114" t="n">
        <x:v>65</x:v>
      </x:c>
      <x:c r="C273" s="114" t="n">
        <x:v>1</x:v>
      </x:c>
      <x:c r="D273" s="168" t="n">
        <x:f>$I$5</x:f>
        <x:v>0</x:v>
      </x:c>
      <x:c r="E273" s="168" t="n">
        <x:f>$J$5</x:f>
        <x:v>0</x:v>
      </x:c>
      <x:c r="F273" s="168" t="n">
        <x:f>$K$5</x:f>
        <x:v>0</x:v>
      </x:c>
      <x:c r="G273" s="242" t="n">
        <x:f>AI272</x:f>
        <x:v>2.180891943319209</x:v>
      </x:c>
      <x:c r="H273" s="242" t="n">
        <x:f>AJ272</x:f>
        <x:v>-2.652910957582714</x:v>
      </x:c>
      <x:c r="I273" s="242" t="n">
        <x:f>AK272</x:f>
        <x:v>-1.4630211397055561</x:v>
      </x:c>
      <x:c r="J273" s="242" t="n">
        <x:f>AL272</x:f>
        <x:v>2.4033126603400645</x:v>
      </x:c>
      <x:c r="K273" s="242" t="n">
        <x:f>AM272</x:f>
        <x:v>-2.374106526042955</x:v>
      </x:c>
      <x:c r="L273" s="242" t="n">
        <x:f>AN272</x:f>
        <x:v>1.5760976154972897</x:v>
      </x:c>
      <x:c r="M273" s="242" t="n">
        <x:f>AO272</x:f>
        <x:v>2.6472592629878755</x:v>
      </x:c>
      <x:c r="N273" s="242" t="n">
        <x:f>AP272</x:f>
        <x:v>-2.5249796449466064</x:v>
      </x:c>
      <x:c r="O273" s="242" t="n">
        <x:f>AQ272</x:f>
        <x:v>1.1602150693946163</x:v>
      </x:c>
      <x:c r="P273" s="243" t="n">
        <x:f>D273*G273+E273*H273+I273</x:f>
        <x:v>-1.4630211397055561</x:v>
      </x:c>
      <x:c r="Q273" s="243" t="n">
        <x:f>1/(1+EXP(-P273))</x:f>
        <x:v>0.18800568461310496</x:v>
      </x:c>
      <x:c r="R273" s="243" t="n">
        <x:f>D273*J273+E273*K273+L273</x:f>
        <x:v>1.5760976154972897</x:v>
      </x:c>
      <x:c r="S273" s="243" t="n">
        <x:f>1/(1+EXP(-R273))</x:f>
        <x:v>0.8286511349517779</x:v>
      </x:c>
      <x:c r="T273" s="243" t="n">
        <x:f>Q273*M273+S273*N273+O273</x:f>
        <x:v>-0.43441238903410717</x:v>
      </x:c>
      <x:c r="U273" s="243" t="n">
        <x:f>1/(1+EXP(-T273))</x:f>
        <x:v>0.3930731875004538</x:v>
      </x:c>
      <x:c r="V273" s="243" t="n">
        <x:f>0.5*(F273-U273)^2</x:f>
        <x:v>0.07725326536588345</x:v>
      </x:c>
      <x:c r="W273" s="244" t="n">
        <x:f>(U273-F273)*U273*(1-U273)</x:f>
        <x:v>0.09377415620739446</x:v>
      </x:c>
      <x:c r="X273" s="244" t="n">
        <x:f>W273*M273*Q273*(1-Q273)</x:f>
        <x:v>0.03789689351355425</x:v>
      </x:c>
      <x:c r="Y273" s="244" t="n">
        <x:f>W273*N273*S273*(1-S273)</x:f>
        <x:v>-0.03361971349609418</x:v>
      </x:c>
      <x:c r="Z273" s="245" t="n">
        <x:f>X273*D273</x:f>
        <x:v>0</x:v>
      </x:c>
      <x:c r="AA273" s="245" t="n">
        <x:f>X273*E273</x:f>
        <x:v>0</x:v>
      </x:c>
      <x:c r="AB273" s="245" t="n">
        <x:f>X273</x:f>
        <x:v>0.03789689351355425</x:v>
      </x:c>
      <x:c r="AC273" s="245" t="n">
        <x:f>Y273*D273</x:f>
        <x:v>0</x:v>
      </x:c>
      <x:c r="AD273" s="245" t="n">
        <x:f>Y273*E273</x:f>
        <x:v>0</x:v>
      </x:c>
      <x:c r="AE273" s="245" t="n">
        <x:f>Y273</x:f>
        <x:v>-0.03361971349609418</x:v>
      </x:c>
      <x:c r="AF273" s="245" t="n">
        <x:f>W273*Q273</x:f>
        <x:v>0.017630074436787442</x:v>
      </x:c>
      <x:c r="AG273" s="245" t="n">
        <x:f>W273*S273</x:f>
        <x:v>0.07770606097040272</x:v>
      </x:c>
      <x:c r="AH273" s="245" t="n">
        <x:f>W273</x:f>
        <x:v>0.09377415620739446</x:v>
      </x:c>
      <x:c r="AI273" s="246" t="n">
        <x:f>G273-$B$4*Z273</x:f>
        <x:v>2.180891943319209</x:v>
      </x:c>
      <x:c r="AJ273" s="246" t="n">
        <x:f>H273-$B$4*AA273</x:f>
        <x:v>-2.652910957582714</x:v>
      </x:c>
      <x:c r="AK273" s="246" t="n">
        <x:f>I273-$B$4*AB273</x:f>
        <x:v>-1.5009180332191103</x:v>
      </x:c>
      <x:c r="AL273" s="246" t="n">
        <x:f>J273-$B$4*AC273</x:f>
        <x:v>2.4033126603400645</x:v>
      </x:c>
      <x:c r="AM273" s="246" t="n">
        <x:f>K273-$B$4*AD273</x:f>
        <x:v>-2.374106526042955</x:v>
      </x:c>
      <x:c r="AN273" s="246" t="n">
        <x:f>L273-$B$4*AE273</x:f>
        <x:v>1.609717328993384</x:v>
      </x:c>
      <x:c r="AO273" s="246" t="n">
        <x:f>M273-$B$4*AF273</x:f>
        <x:v>2.629629188551088</x:v>
      </x:c>
      <x:c r="AP273" s="246" t="n">
        <x:f>N273-$B$4*AG273</x:f>
        <x:v>-2.602685705917009</x:v>
      </x:c>
      <x:c r="AQ273" s="246" t="n">
        <x:f>O273-$B$4*AH273</x:f>
        <x:v>1.066440913187222</x:v>
      </x:c>
      <x:c r="AR273" s="182" t="n">
        <x:f>IF(U273&gt;=$B$5,1,0)</x:f>
        <x:v>0</x:v>
      </x:c>
      <x:c r="AS273" s="182" t="n">
        <x:f>IF(AR273=F273,1,0)</x:f>
        <x:v>1</x:v>
      </x:c>
      <x:c r="AT273" s="252" t="n">
        <x:f>ABS(F273-U273)</x:f>
        <x:v>0.3930731875004538</x:v>
      </x:c>
    </x:row>
    <x:row r="274">
      <x:c r="A274" s="114" t="n">
        <x:v>258</x:v>
      </x:c>
      <x:c r="B274" s="114" t="n">
        <x:v>65</x:v>
      </x:c>
      <x:c r="C274" s="114" t="n">
        <x:v>2</x:v>
      </x:c>
      <x:c r="D274" s="168" t="n">
        <x:f>$I$6</x:f>
        <x:v>0</x:v>
      </x:c>
      <x:c r="E274" s="168" t="n">
        <x:f>$J$6</x:f>
        <x:v>1</x:v>
      </x:c>
      <x:c r="F274" s="168" t="n">
        <x:f>$K$6</x:f>
        <x:v>1</x:v>
      </x:c>
      <x:c r="G274" s="242" t="n">
        <x:f>AI273</x:f>
        <x:v>2.180891943319209</x:v>
      </x:c>
      <x:c r="H274" s="242" t="n">
        <x:f>AJ273</x:f>
        <x:v>-2.652910957582714</x:v>
      </x:c>
      <x:c r="I274" s="242" t="n">
        <x:f>AK273</x:f>
        <x:v>-1.5009180332191103</x:v>
      </x:c>
      <x:c r="J274" s="242" t="n">
        <x:f>AL273</x:f>
        <x:v>2.4033126603400645</x:v>
      </x:c>
      <x:c r="K274" s="242" t="n">
        <x:f>AM273</x:f>
        <x:v>-2.374106526042955</x:v>
      </x:c>
      <x:c r="L274" s="242" t="n">
        <x:f>AN273</x:f>
        <x:v>1.609717328993384</x:v>
      </x:c>
      <x:c r="M274" s="242" t="n">
        <x:f>AO273</x:f>
        <x:v>2.629629188551088</x:v>
      </x:c>
      <x:c r="N274" s="242" t="n">
        <x:f>AP273</x:f>
        <x:v>-2.602685705917009</x:v>
      </x:c>
      <x:c r="O274" s="242" t="n">
        <x:f>AQ273</x:f>
        <x:v>1.066440913187222</x:v>
      </x:c>
      <x:c r="P274" s="243" t="n">
        <x:f>D274*G274+E274*H274+I274</x:f>
        <x:v>-4.153828990801824</x:v>
      </x:c>
      <x:c r="Q274" s="243" t="n">
        <x:f>1/(1+EXP(-P274))</x:f>
        <x:v>0.015461362231806523</x:v>
      </x:c>
      <x:c r="R274" s="243" t="n">
        <x:f>D274*J274+E274*K274+L274</x:f>
        <x:v>-0.7643891970495709</x:v>
      </x:c>
      <x:c r="S274" s="243" t="n">
        <x:f>1/(1+EXP(-R274))</x:f>
        <x:v>0.3176940834896795</x:v>
      </x:c>
      <x:c r="T274" s="243" t="n">
        <x:f>Q274*M274+S274*N274+O274</x:f>
        <x:v>0.28024071265374806</x:v>
      </x:c>
      <x:c r="U274" s="243" t="n">
        <x:f>1/(1+EXP(-T274))</x:f>
        <x:v>0.5696052368650464</x:v>
      </x:c>
      <x:c r="V274" s="243" t="n">
        <x:f>0.5*(F274-U274)^2</x:f>
        <x:v>0.09261982606699641</x:v>
      </x:c>
      <x:c r="W274" s="244" t="n">
        <x:f>(U274-F274)*U274*(1-U274)</x:f>
        <x:v>-0.10551347593058179</x:v>
      </x:c>
      <x:c r="X274" s="244" t="n">
        <x:f>W274*M274*Q274*(1-Q274)</x:f>
        <x:v>-0.0042236017530800805</x:v>
      </x:c>
      <x:c r="Y274" s="244" t="n">
        <x:f>W274*N274*S274*(1-S274)</x:f>
        <x:v>0.05952753804663924</x:v>
      </x:c>
      <x:c r="Z274" s="245" t="n">
        <x:f>X274*D274</x:f>
        <x:v>0</x:v>
      </x:c>
      <x:c r="AA274" s="245" t="n">
        <x:f>X274*E274</x:f>
        <x:v>-0.0042236017530800805</x:v>
      </x:c>
      <x:c r="AB274" s="245" t="n">
        <x:f>X274</x:f>
        <x:v>-0.0042236017530800805</x:v>
      </x:c>
      <x:c r="AC274" s="245" t="n">
        <x:f>Y274*D274</x:f>
        <x:v>0</x:v>
      </x:c>
      <x:c r="AD274" s="245" t="n">
        <x:f>Y274*E274</x:f>
        <x:v>0.05952753804663924</x:v>
      </x:c>
      <x:c r="AE274" s="245" t="n">
        <x:f>Y274</x:f>
        <x:v>0.05952753804663924</x:v>
      </x:c>
      <x:c r="AF274" s="245" t="n">
        <x:f>W274*Q274</x:f>
        <x:v>-0.0016313820716997239</x:v>
      </x:c>
      <x:c r="AG274" s="245" t="n">
        <x:f>W274*S274</x:f>
        <x:v>-0.03352100703157654</x:v>
      </x:c>
      <x:c r="AH274" s="245" t="n">
        <x:f>W274</x:f>
        <x:v>-0.10551347593058179</x:v>
      </x:c>
      <x:c r="AI274" s="246" t="n">
        <x:f>G274-$B$4*Z274</x:f>
        <x:v>2.180891943319209</x:v>
      </x:c>
      <x:c r="AJ274" s="246" t="n">
        <x:f>H274-$B$4*AA274</x:f>
        <x:v>-2.648687355829634</x:v>
      </x:c>
      <x:c r="AK274" s="246" t="n">
        <x:f>I274-$B$4*AB274</x:f>
        <x:v>-1.4966944314660302</x:v>
      </x:c>
      <x:c r="AL274" s="246" t="n">
        <x:f>J274-$B$4*AC274</x:f>
        <x:v>2.4033126603400645</x:v>
      </x:c>
      <x:c r="AM274" s="246" t="n">
        <x:f>K274-$B$4*AD274</x:f>
        <x:v>-2.433634064089594</x:v>
      </x:c>
      <x:c r="AN274" s="246" t="n">
        <x:f>L274-$B$4*AE274</x:f>
        <x:v>1.5501897909467446</x:v>
      </x:c>
      <x:c r="AO274" s="246" t="n">
        <x:f>M274-$B$4*AF274</x:f>
        <x:v>2.631260570622788</x:v>
      </x:c>
      <x:c r="AP274" s="246" t="n">
        <x:f>N274-$B$4*AG274</x:f>
        <x:v>-2.5691646988854324</x:v>
      </x:c>
      <x:c r="AQ274" s="246" t="n">
        <x:f>O274-$B$4*AH274</x:f>
        <x:v>1.1719543891178037</x:v>
      </x:c>
      <x:c r="AR274" s="182" t="n">
        <x:f>IF(U274&gt;=$B$5,1,0)</x:f>
        <x:v>1</x:v>
      </x:c>
      <x:c r="AS274" s="182" t="n">
        <x:f>IF(AR274=F274,1,0)</x:f>
        <x:v>1</x:v>
      </x:c>
      <x:c r="AT274" s="252" t="n">
        <x:f>ABS(F274-U274)</x:f>
        <x:v>0.4303947631349536</x:v>
      </x:c>
    </x:row>
    <x:row r="275">
      <x:c r="A275" s="114" t="n">
        <x:v>259</x:v>
      </x:c>
      <x:c r="B275" s="114" t="n">
        <x:v>65</x:v>
      </x:c>
      <x:c r="C275" s="114" t="n">
        <x:v>3</x:v>
      </x:c>
      <x:c r="D275" s="168" t="n">
        <x:f>$I$7</x:f>
        <x:v>1</x:v>
      </x:c>
      <x:c r="E275" s="168" t="n">
        <x:f>$J$7</x:f>
        <x:v>0</x:v>
      </x:c>
      <x:c r="F275" s="168" t="n">
        <x:f>$K$7</x:f>
        <x:v>1</x:v>
      </x:c>
      <x:c r="G275" s="242" t="n">
        <x:f>AI274</x:f>
        <x:v>2.180891943319209</x:v>
      </x:c>
      <x:c r="H275" s="242" t="n">
        <x:f>AJ274</x:f>
        <x:v>-2.648687355829634</x:v>
      </x:c>
      <x:c r="I275" s="242" t="n">
        <x:f>AK274</x:f>
        <x:v>-1.4966944314660302</x:v>
      </x:c>
      <x:c r="J275" s="242" t="n">
        <x:f>AL274</x:f>
        <x:v>2.4033126603400645</x:v>
      </x:c>
      <x:c r="K275" s="242" t="n">
        <x:f>AM274</x:f>
        <x:v>-2.433634064089594</x:v>
      </x:c>
      <x:c r="L275" s="242" t="n">
        <x:f>AN274</x:f>
        <x:v>1.5501897909467446</x:v>
      </x:c>
      <x:c r="M275" s="242" t="n">
        <x:f>AO274</x:f>
        <x:v>2.631260570622788</x:v>
      </x:c>
      <x:c r="N275" s="242" t="n">
        <x:f>AP274</x:f>
        <x:v>-2.5691646988854324</x:v>
      </x:c>
      <x:c r="O275" s="242" t="n">
        <x:f>AQ274</x:f>
        <x:v>1.1719543891178037</x:v>
      </x:c>
      <x:c r="P275" s="243" t="n">
        <x:f>D275*G275+E275*H275+I275</x:f>
        <x:v>0.6841975118531787</x:v>
      </x:c>
      <x:c r="Q275" s="243" t="n">
        <x:f>1/(1+EXP(-P275))</x:f>
        <x:v>0.6646748937416905</x:v>
      </x:c>
      <x:c r="R275" s="243" t="n">
        <x:f>D275*J275+E275*K275+L275</x:f>
        <x:v>3.953502451286809</x:v>
      </x:c>
      <x:c r="S275" s="243" t="n">
        <x:f>1/(1+EXP(-R275))</x:f>
        <x:v>0.9811738435551156</x:v>
      </x:c>
      <x:c r="T275" s="243" t="n">
        <x:f>Q275*M275+S275*N275+O275</x:f>
        <x:v>0.4000900269716643</x:v>
      </x:c>
      <x:c r="U275" s="243" t="n">
        <x:f>1/(1+EXP(-T275))</x:f>
        <x:v>0.5987092898676156</x:v>
      </x:c>
      <x:c r="V275" s="243" t="n">
        <x:f>0.5*(F275-U275)^2</x:f>
        <x:v>0.08051711701927668</x:v>
      </x:c>
      <x:c r="W275" s="244" t="n">
        <x:f>(U275-F275)*U275*(1-U275)</x:f>
        <x:v>-0.09641269190559767</x:v>
      </x:c>
      <x:c r="X275" s="244" t="n">
        <x:f>W275*M275*Q275*(1-Q275)</x:f>
        <x:v>-0.056542292430472936</x:v>
      </x:c>
      <x:c r="Y275" s="244" t="n">
        <x:f>W275*N275*S275*(1-S275)</x:f>
        <x:v>0.004575449647483422</x:v>
      </x:c>
      <x:c r="Z275" s="245" t="n">
        <x:f>X275*D275</x:f>
        <x:v>-0.056542292430472936</x:v>
      </x:c>
      <x:c r="AA275" s="245" t="n">
        <x:f>X275*E275</x:f>
        <x:v>0</x:v>
      </x:c>
      <x:c r="AB275" s="245" t="n">
        <x:f>X275</x:f>
        <x:v>-0.056542292430472936</x:v>
      </x:c>
      <x:c r="AC275" s="245" t="n">
        <x:f>Y275*D275</x:f>
        <x:v>0.004575449647483422</x:v>
      </x:c>
      <x:c r="AD275" s="245" t="n">
        <x:f>Y275*E275</x:f>
        <x:v>0</x:v>
      </x:c>
      <x:c r="AE275" s="245" t="n">
        <x:f>Y275</x:f>
        <x:v>0.004575449647483422</x:v>
      </x:c>
      <x:c r="AF275" s="245" t="n">
        <x:f>W275*Q275</x:f>
        <x:v>-0.06408309574770348</x:v>
      </x:c>
      <x:c r="AG275" s="245" t="n">
        <x:f>W275*S275</x:f>
        <x:v>-0.09459761148451046</x:v>
      </x:c>
      <x:c r="AH275" s="245" t="n">
        <x:f>W275</x:f>
        <x:v>-0.09641269190559767</x:v>
      </x:c>
      <x:c r="AI275" s="246" t="n">
        <x:f>G275-$B$4*Z275</x:f>
        <x:v>2.237434235749682</x:v>
      </x:c>
      <x:c r="AJ275" s="246" t="n">
        <x:f>H275-$B$4*AA275</x:f>
        <x:v>-2.648687355829634</x:v>
      </x:c>
      <x:c r="AK275" s="246" t="n">
        <x:f>I275-$B$4*AB275</x:f>
        <x:v>-1.4401521390355572</x:v>
      </x:c>
      <x:c r="AL275" s="246" t="n">
        <x:f>J275-$B$4*AC275</x:f>
        <x:v>2.3987372106925813</x:v>
      </x:c>
      <x:c r="AM275" s="246" t="n">
        <x:f>K275-$B$4*AD275</x:f>
        <x:v>-2.433634064089594</x:v>
      </x:c>
      <x:c r="AN275" s="246" t="n">
        <x:f>L275-$B$4*AE275</x:f>
        <x:v>1.5456143412992611</x:v>
      </x:c>
      <x:c r="AO275" s="246" t="n">
        <x:f>M275-$B$4*AF275</x:f>
        <x:v>2.6953436663704915</x:v>
      </x:c>
      <x:c r="AP275" s="246" t="n">
        <x:f>N275-$B$4*AG275</x:f>
        <x:v>-2.474567087400922</x:v>
      </x:c>
      <x:c r="AQ275" s="246" t="n">
        <x:f>O275-$B$4*AH275</x:f>
        <x:v>1.2683670810234013</x:v>
      </x:c>
      <x:c r="AR275" s="182" t="n">
        <x:f>IF(U275&gt;=$B$5,1,0)</x:f>
        <x:v>1</x:v>
      </x:c>
      <x:c r="AS275" s="182" t="n">
        <x:f>IF(AR275=F275,1,0)</x:f>
        <x:v>1</x:v>
      </x:c>
      <x:c r="AT275" s="252" t="n">
        <x:f>ABS(F275-U275)</x:f>
        <x:v>0.4012907101323844</x:v>
      </x:c>
    </x:row>
    <x:row r="276">
      <x:c r="A276" s="114" t="n">
        <x:v>260</x:v>
      </x:c>
      <x:c r="B276" s="114" t="n">
        <x:v>65</x:v>
      </x:c>
      <x:c r="C276" s="114" t="n">
        <x:v>4</x:v>
      </x:c>
      <x:c r="D276" s="168" t="n">
        <x:f>$I$8</x:f>
        <x:v>1</x:v>
      </x:c>
      <x:c r="E276" s="168" t="n">
        <x:f>$J$8</x:f>
        <x:v>1</x:v>
      </x:c>
      <x:c r="F276" s="168" t="n">
        <x:f>$K$8</x:f>
        <x:v>0</x:v>
      </x:c>
      <x:c r="G276" s="242" t="n">
        <x:f>AI275</x:f>
        <x:v>2.237434235749682</x:v>
      </x:c>
      <x:c r="H276" s="242" t="n">
        <x:f>AJ275</x:f>
        <x:v>-2.648687355829634</x:v>
      </x:c>
      <x:c r="I276" s="242" t="n">
        <x:f>AK275</x:f>
        <x:v>-1.4401521390355572</x:v>
      </x:c>
      <x:c r="J276" s="242" t="n">
        <x:f>AL275</x:f>
        <x:v>2.3987372106925813</x:v>
      </x:c>
      <x:c r="K276" s="242" t="n">
        <x:f>AM275</x:f>
        <x:v>-2.433634064089594</x:v>
      </x:c>
      <x:c r="L276" s="242" t="n">
        <x:f>AN275</x:f>
        <x:v>1.5456143412992611</x:v>
      </x:c>
      <x:c r="M276" s="242" t="n">
        <x:f>AO275</x:f>
        <x:v>2.6953436663704915</x:v>
      </x:c>
      <x:c r="N276" s="242" t="n">
        <x:f>AP275</x:f>
        <x:v>-2.474567087400922</x:v>
      </x:c>
      <x:c r="O276" s="242" t="n">
        <x:f>AQ275</x:f>
        <x:v>1.2683670810234013</x:v>
      </x:c>
      <x:c r="P276" s="243" t="n">
        <x:f>D276*G276+E276*H276+I276</x:f>
        <x:v>-1.8514052591155092</x:v>
      </x:c>
      <x:c r="Q276" s="243" t="n">
        <x:f>1/(1+EXP(-P276))</x:f>
        <x:v>0.13570798790464794</x:v>
      </x:c>
      <x:c r="R276" s="243" t="n">
        <x:f>D276*J276+E276*K276+L276</x:f>
        <x:v>1.5107174879022482</x:v>
      </x:c>
      <x:c r="S276" s="243" t="n">
        <x:f>1/(1+EXP(-R276))</x:f>
        <x:v>0.8191675141757254</x:v>
      </x:c>
      <x:c r="T276" s="243" t="n">
        <x:f>Q276*M276+S276*N276+O276</x:f>
        <x:v>-0.3929382229492009</x:v>
      </x:c>
      <x:c r="U276" s="243" t="n">
        <x:f>1/(1+EXP(-T276))</x:f>
        <x:v>0.4030101838971661</x:v>
      </x:c>
      <x:c r="V276" s="243" t="n">
        <x:f>0.5*(F276-U276)^2</x:f>
        <x:v>0.08120860416241381</x:v>
      </x:c>
      <x:c r="W276" s="244" t="n">
        <x:f>(U276-F276)*U276*(1-U276)</x:f>
        <x:v>0.09696141932977452</x:v>
      </x:c>
      <x:c r="X276" s="244" t="n">
        <x:f>W276*M276*Q276*(1-Q276)</x:f>
        <x:v>0.030653426083079333</x:v>
      </x:c>
      <x:c r="Y276" s="244" t="n">
        <x:f>W276*N276*S276*(1-S276)</x:f>
        <x:v>-0.03554245072267379</x:v>
      </x:c>
      <x:c r="Z276" s="245" t="n">
        <x:f>X276*D276</x:f>
        <x:v>0.030653426083079333</x:v>
      </x:c>
      <x:c r="AA276" s="245" t="n">
        <x:f>X276*E276</x:f>
        <x:v>0.030653426083079333</x:v>
      </x:c>
      <x:c r="AB276" s="245" t="n">
        <x:f>X276</x:f>
        <x:v>0.030653426083079333</x:v>
      </x:c>
      <x:c r="AC276" s="245" t="n">
        <x:f>Y276*D276</x:f>
        <x:v>-0.03554245072267379</x:v>
      </x:c>
      <x:c r="AD276" s="245" t="n">
        <x:f>Y276*E276</x:f>
        <x:v>-0.03554245072267379</x:v>
      </x:c>
      <x:c r="AE276" s="245" t="n">
        <x:f>Y276</x:f>
        <x:v>-0.03554245072267379</x:v>
      </x:c>
      <x:c r="AF276" s="245" t="n">
        <x:f>W276*Q276</x:f>
        <x:v>0.013158439121622538</x:v>
      </x:c>
      <x:c r="AG276" s="245" t="n">
        <x:f>W276*S276</x:f>
        <x:v>0.07942764484332153</x:v>
      </x:c>
      <x:c r="AH276" s="245" t="n">
        <x:f>W276</x:f>
        <x:v>0.09696141932977452</x:v>
      </x:c>
      <x:c r="AI276" s="246" t="n">
        <x:f>G276-$B$4*Z276</x:f>
        <x:v>2.2067808096666024</x:v>
      </x:c>
      <x:c r="AJ276" s="246" t="n">
        <x:f>H276-$B$4*AA276</x:f>
        <x:v>-2.6793407819127135</x:v>
      </x:c>
      <x:c r="AK276" s="246" t="n">
        <x:f>I276-$B$4*AB276</x:f>
        <x:v>-1.4708055651186365</x:v>
      </x:c>
      <x:c r="AL276" s="246" t="n">
        <x:f>J276-$B$4*AC276</x:f>
        <x:v>2.434279661415255</x:v>
      </x:c>
      <x:c r="AM276" s="246" t="n">
        <x:f>K276-$B$4*AD276</x:f>
        <x:v>-2.3980916133669203</x:v>
      </x:c>
      <x:c r="AN276" s="246" t="n">
        <x:f>L276-$B$4*AE276</x:f>
        <x:v>1.581156792021935</x:v>
      </x:c>
      <x:c r="AO276" s="246" t="n">
        <x:f>M276-$B$4*AF276</x:f>
        <x:v>2.682185227248869</x:v>
      </x:c>
      <x:c r="AP276" s="246" t="n">
        <x:f>N276-$B$4*AG276</x:f>
        <x:v>-2.5539947322442433</x:v>
      </x:c>
      <x:c r="AQ276" s="246" t="n">
        <x:f>O276-$B$4*AH276</x:f>
        <x:v>1.1714056616936268</x:v>
      </x:c>
      <x:c r="AR276" s="182" t="n">
        <x:f>IF(U276&gt;=$B$5,1,0)</x:f>
        <x:v>0</x:v>
      </x:c>
      <x:c r="AS276" s="182" t="n">
        <x:f>IF(AR276=F276,1,0)</x:f>
        <x:v>1</x:v>
      </x:c>
      <x:c r="AT276" s="252" t="n">
        <x:f>ABS(F276-U276)</x:f>
        <x:v>0.4030101838971661</x:v>
      </x:c>
    </x:row>
    <x:row r="277">
      <x:c r="A277" s="114" t="n">
        <x:v>261</x:v>
      </x:c>
      <x:c r="B277" s="114" t="n">
        <x:v>66</x:v>
      </x:c>
      <x:c r="C277" s="114" t="n">
        <x:v>1</x:v>
      </x:c>
      <x:c r="D277" s="168" t="n">
        <x:f>$I$5</x:f>
        <x:v>0</x:v>
      </x:c>
      <x:c r="E277" s="168" t="n">
        <x:f>$J$5</x:f>
        <x:v>0</x:v>
      </x:c>
      <x:c r="F277" s="168" t="n">
        <x:f>$K$5</x:f>
        <x:v>0</x:v>
      </x:c>
      <x:c r="G277" s="242" t="n">
        <x:f>AI276</x:f>
        <x:v>2.2067808096666024</x:v>
      </x:c>
      <x:c r="H277" s="242" t="n">
        <x:f>AJ276</x:f>
        <x:v>-2.6793407819127135</x:v>
      </x:c>
      <x:c r="I277" s="242" t="n">
        <x:f>AK276</x:f>
        <x:v>-1.4708055651186365</x:v>
      </x:c>
      <x:c r="J277" s="242" t="n">
        <x:f>AL276</x:f>
        <x:v>2.434279661415255</x:v>
      </x:c>
      <x:c r="K277" s="242" t="n">
        <x:f>AM276</x:f>
        <x:v>-2.3980916133669203</x:v>
      </x:c>
      <x:c r="L277" s="242" t="n">
        <x:f>AN276</x:f>
        <x:v>1.581156792021935</x:v>
      </x:c>
      <x:c r="M277" s="242" t="n">
        <x:f>AO276</x:f>
        <x:v>2.682185227248869</x:v>
      </x:c>
      <x:c r="N277" s="242" t="n">
        <x:f>AP276</x:f>
        <x:v>-2.5539947322442433</x:v>
      </x:c>
      <x:c r="O277" s="242" t="n">
        <x:f>AQ276</x:f>
        <x:v>1.1714056616936268</x:v>
      </x:c>
      <x:c r="P277" s="243" t="n">
        <x:f>D277*G277+E277*H277+I277</x:f>
        <x:v>-1.4708055651186365</x:v>
      </x:c>
      <x:c r="Q277" s="243" t="n">
        <x:f>1/(1+EXP(-P277))</x:f>
        <x:v>0.18682020291622356</x:v>
      </x:c>
      <x:c r="R277" s="243" t="n">
        <x:f>D277*J277+E277*K277+L277</x:f>
        <x:v>1.581156792021935</x:v>
      </x:c>
      <x:c r="S277" s="243" t="n">
        <x:f>1/(1+EXP(-R277))</x:f>
        <x:v>0.8293682855522818</x:v>
      </x:c>
      <x:c r="T277" s="243" t="n">
        <x:f>Q277*M277+S277*N277+O277</x:f>
        <x:v>-0.4457101822838092</x:v>
      </x:c>
      <x:c r="U277" s="243" t="n">
        <x:f>1/(1+EXP(-T277))</x:f>
        <x:v>0.39038119140078986</x:v>
      </x:c>
      <x:c r="V277" s="243" t="n">
        <x:f>0.5*(F277-U277)^2</x:f>
        <x:v>0.07619873729975006</x:v>
      </x:c>
      <x:c r="W277" s="244" t="n">
        <x:f>(U277-F277)*U277*(1-U277)</x:f>
        <x:v>0.09290436689887566</x:v>
      </x:c>
      <x:c r="X277" s="244" t="n">
        <x:f>W277*M277*Q277*(1-Q277)</x:f>
        <x:v>0.037856051533646067</x:v>
      </x:c>
      <x:c r="Y277" s="244" t="n">
        <x:f>W277*N277*S277*(1-S277)</x:f>
        <x:v>-0.03357865558800432</x:v>
      </x:c>
      <x:c r="Z277" s="245" t="n">
        <x:f>X277*D277</x:f>
        <x:v>0</x:v>
      </x:c>
      <x:c r="AA277" s="245" t="n">
        <x:f>X277*E277</x:f>
        <x:v>0</x:v>
      </x:c>
      <x:c r="AB277" s="245" t="n">
        <x:f>X277</x:f>
        <x:v>0.037856051533646067</x:v>
      </x:c>
      <x:c r="AC277" s="245" t="n">
        <x:f>Y277*D277</x:f>
        <x:v>0</x:v>
      </x:c>
      <x:c r="AD277" s="245" t="n">
        <x:f>Y277*E277</x:f>
        <x:v>0</x:v>
      </x:c>
      <x:c r="AE277" s="245" t="n">
        <x:f>Y277</x:f>
        <x:v>-0.03357865558800432</x:v>
      </x:c>
      <x:c r="AF277" s="245" t="n">
        <x:f>W277*Q277</x:f>
        <x:v>0.017356412675851234</x:v>
      </x:c>
      <x:c r="AG277" s="245" t="n">
        <x:f>W277*S277</x:f>
        <x:v>0.07705193549524067</x:v>
      </x:c>
      <x:c r="AH277" s="245" t="n">
        <x:f>W277</x:f>
        <x:v>0.09290436689887566</x:v>
      </x:c>
      <x:c r="AI277" s="246" t="n">
        <x:f>G277-$B$4*Z277</x:f>
        <x:v>2.2067808096666024</x:v>
      </x:c>
      <x:c r="AJ277" s="246" t="n">
        <x:f>H277-$B$4*AA277</x:f>
        <x:v>-2.6793407819127135</x:v>
      </x:c>
      <x:c r="AK277" s="246" t="n">
        <x:f>I277-$B$4*AB277</x:f>
        <x:v>-1.5086616166522826</x:v>
      </x:c>
      <x:c r="AL277" s="246" t="n">
        <x:f>J277-$B$4*AC277</x:f>
        <x:v>2.434279661415255</x:v>
      </x:c>
      <x:c r="AM277" s="246" t="n">
        <x:f>K277-$B$4*AD277</x:f>
        <x:v>-2.3980916133669203</x:v>
      </x:c>
      <x:c r="AN277" s="246" t="n">
        <x:f>L277-$B$4*AE277</x:f>
        <x:v>1.6147354476099391</x:v>
      </x:c>
      <x:c r="AO277" s="246" t="n">
        <x:f>M277-$B$4*AF277</x:f>
        <x:v>2.664828814573018</x:v>
      </x:c>
      <x:c r="AP277" s="246" t="n">
        <x:f>N277-$B$4*AG277</x:f>
        <x:v>-2.631046667739484</x:v>
      </x:c>
      <x:c r="AQ277" s="246" t="n">
        <x:f>O277-$B$4*AH277</x:f>
        <x:v>1.0785012947947512</x:v>
      </x:c>
      <x:c r="AR277" s="182" t="n">
        <x:f>IF(U277&gt;=$B$5,1,0)</x:f>
        <x:v>0</x:v>
      </x:c>
      <x:c r="AS277" s="182" t="n">
        <x:f>IF(AR277=F277,1,0)</x:f>
        <x:v>1</x:v>
      </x:c>
      <x:c r="AT277" s="252" t="n">
        <x:f>ABS(F277-U277)</x:f>
        <x:v>0.39038119140078986</x:v>
      </x:c>
    </x:row>
    <x:row r="278">
      <x:c r="A278" s="114" t="n">
        <x:v>262</x:v>
      </x:c>
      <x:c r="B278" s="114" t="n">
        <x:v>66</x:v>
      </x:c>
      <x:c r="C278" s="114" t="n">
        <x:v>2</x:v>
      </x:c>
      <x:c r="D278" s="168" t="n">
        <x:f>$I$6</x:f>
        <x:v>0</x:v>
      </x:c>
      <x:c r="E278" s="168" t="n">
        <x:f>$J$6</x:f>
        <x:v>1</x:v>
      </x:c>
      <x:c r="F278" s="168" t="n">
        <x:f>$K$6</x:f>
        <x:v>1</x:v>
      </x:c>
      <x:c r="G278" s="242" t="n">
        <x:f>AI277</x:f>
        <x:v>2.2067808096666024</x:v>
      </x:c>
      <x:c r="H278" s="242" t="n">
        <x:f>AJ277</x:f>
        <x:v>-2.6793407819127135</x:v>
      </x:c>
      <x:c r="I278" s="242" t="n">
        <x:f>AK277</x:f>
        <x:v>-1.5086616166522826</x:v>
      </x:c>
      <x:c r="J278" s="242" t="n">
        <x:f>AL277</x:f>
        <x:v>2.434279661415255</x:v>
      </x:c>
      <x:c r="K278" s="242" t="n">
        <x:f>AM277</x:f>
        <x:v>-2.3980916133669203</x:v>
      </x:c>
      <x:c r="L278" s="242" t="n">
        <x:f>AN277</x:f>
        <x:v>1.6147354476099391</x:v>
      </x:c>
      <x:c r="M278" s="242" t="n">
        <x:f>AO277</x:f>
        <x:v>2.664828814573018</x:v>
      </x:c>
      <x:c r="N278" s="242" t="n">
        <x:f>AP277</x:f>
        <x:v>-2.631046667739484</x:v>
      </x:c>
      <x:c r="O278" s="242" t="n">
        <x:f>AQ277</x:f>
        <x:v>1.0785012947947512</x:v>
      </x:c>
      <x:c r="P278" s="243" t="n">
        <x:f>D278*G278+E278*H278+I278</x:f>
        <x:v>-4.188002398564996</x:v>
      </x:c>
      <x:c r="Q278" s="243" t="n">
        <x:f>1/(1+EXP(-P278))</x:f>
        <x:v>0.014949686371600003</x:v>
      </x:c>
      <x:c r="R278" s="243" t="n">
        <x:f>D278*J278+E278*K278+L278</x:f>
        <x:v>-0.7833561657569812</x:v>
      </x:c>
      <x:c r="S278" s="243" t="n">
        <x:f>1/(1+EXP(-R278))</x:f>
        <x:v>0.31359700665836915</x:v>
      </x:c>
      <x:c r="T278" s="243" t="n">
        <x:f>Q278*M278+S278*N278+O278</x:f>
        <x:v>0.2932512904250415</x:v>
      </x:c>
      <x:c r="U278" s="243" t="n">
        <x:f>1/(1+EXP(-T278))</x:f>
        <x:v>0.5727919156805682</x:v>
      </x:c>
      <x:c r="V278" s="243" t="n">
        <x:f>0.5*(F278-U278)^2</x:f>
        <x:v>0.09125337365393937</x:v>
      </x:c>
      <x:c r="W278" s="244" t="n">
        <x:f>(U278-F278)*U278*(1-U278)</x:f>
        <x:v>-0.10453838941510926</x:v>
      </x:c>
      <x:c r="X278" s="244" t="n">
        <x:f>W278*M278*Q278*(1-Q278)</x:f>
        <x:v>-0.004102377445861914</x:v>
      </x:c>
      <x:c r="Y278" s="244" t="n">
        <x:f>W278*N278*S278*(1-S278)</x:f>
        <x:v>0.059204597584628496</x:v>
      </x:c>
      <x:c r="Z278" s="245" t="n">
        <x:f>X278*D278</x:f>
        <x:v>0</x:v>
      </x:c>
      <x:c r="AA278" s="245" t="n">
        <x:f>X278*E278</x:f>
        <x:v>-0.004102377445861914</x:v>
      </x:c>
      <x:c r="AB278" s="245" t="n">
        <x:f>X278</x:f>
        <x:v>-0.004102377445861914</x:v>
      </x:c>
      <x:c r="AC278" s="245" t="n">
        <x:f>Y278*D278</x:f>
        <x:v>0</x:v>
      </x:c>
      <x:c r="AD278" s="245" t="n">
        <x:f>Y278*E278</x:f>
        <x:v>0.059204597584628496</x:v>
      </x:c>
      <x:c r="AE278" s="245" t="n">
        <x:f>Y278</x:f>
        <x:v>0.059204597584628496</x:v>
      </x:c>
      <x:c r="AF278" s="245" t="n">
        <x:f>W278*Q278</x:f>
        <x:v>-0.0015628161355480728</x:v>
      </x:c>
      <x:c r="AG278" s="245" t="n">
        <x:f>W278*S278</x:f>
        <x:v>-0.03278292600146521</x:v>
      </x:c>
      <x:c r="AH278" s="245" t="n">
        <x:f>W278</x:f>
        <x:v>-0.10453838941510926</x:v>
      </x:c>
      <x:c r="AI278" s="246" t="n">
        <x:f>G278-$B$4*Z278</x:f>
        <x:v>2.2067808096666024</x:v>
      </x:c>
      <x:c r="AJ278" s="246" t="n">
        <x:f>H278-$B$4*AA278</x:f>
        <x:v>-2.675238404466852</x:v>
      </x:c>
      <x:c r="AK278" s="246" t="n">
        <x:f>I278-$B$4*AB278</x:f>
        <x:v>-1.5045592392064207</x:v>
      </x:c>
      <x:c r="AL278" s="246" t="n">
        <x:f>J278-$B$4*AC278</x:f>
        <x:v>2.434279661415255</x:v>
      </x:c>
      <x:c r="AM278" s="246" t="n">
        <x:f>K278-$B$4*AD278</x:f>
        <x:v>-2.457296210951549</x:v>
      </x:c>
      <x:c r="AN278" s="246" t="n">
        <x:f>L278-$B$4*AE278</x:f>
        <x:v>1.5555308500253107</x:v>
      </x:c>
      <x:c r="AO278" s="246" t="n">
        <x:f>M278-$B$4*AF278</x:f>
        <x:v>2.6663916307085658</x:v>
      </x:c>
      <x:c r="AP278" s="246" t="n">
        <x:f>N278-$B$4*AG278</x:f>
        <x:v>-2.5982637417380188</x:v>
      </x:c>
      <x:c r="AQ278" s="246" t="n">
        <x:f>O278-$B$4*AH278</x:f>
        <x:v>1.1830396842098605</x:v>
      </x:c>
      <x:c r="AR278" s="182" t="n">
        <x:f>IF(U278&gt;=$B$5,1,0)</x:f>
        <x:v>1</x:v>
      </x:c>
      <x:c r="AS278" s="182" t="n">
        <x:f>IF(AR278=F278,1,0)</x:f>
        <x:v>1</x:v>
      </x:c>
      <x:c r="AT278" s="252" t="n">
        <x:f>ABS(F278-U278)</x:f>
        <x:v>0.4272080843194318</x:v>
      </x:c>
    </x:row>
    <x:row r="279">
      <x:c r="A279" s="114" t="n">
        <x:v>263</x:v>
      </x:c>
      <x:c r="B279" s="114" t="n">
        <x:v>66</x:v>
      </x:c>
      <x:c r="C279" s="114" t="n">
        <x:v>3</x:v>
      </x:c>
      <x:c r="D279" s="168" t="n">
        <x:f>$I$7</x:f>
        <x:v>1</x:v>
      </x:c>
      <x:c r="E279" s="168" t="n">
        <x:f>$J$7</x:f>
        <x:v>0</x:v>
      </x:c>
      <x:c r="F279" s="168" t="n">
        <x:f>$K$7</x:f>
        <x:v>1</x:v>
      </x:c>
      <x:c r="G279" s="242" t="n">
        <x:f>AI278</x:f>
        <x:v>2.2067808096666024</x:v>
      </x:c>
      <x:c r="H279" s="242" t="n">
        <x:f>AJ278</x:f>
        <x:v>-2.675238404466852</x:v>
      </x:c>
      <x:c r="I279" s="242" t="n">
        <x:f>AK278</x:f>
        <x:v>-1.5045592392064207</x:v>
      </x:c>
      <x:c r="J279" s="242" t="n">
        <x:f>AL278</x:f>
        <x:v>2.434279661415255</x:v>
      </x:c>
      <x:c r="K279" s="242" t="n">
        <x:f>AM278</x:f>
        <x:v>-2.457296210951549</x:v>
      </x:c>
      <x:c r="L279" s="242" t="n">
        <x:f>AN278</x:f>
        <x:v>1.5555308500253107</x:v>
      </x:c>
      <x:c r="M279" s="242" t="n">
        <x:f>AO278</x:f>
        <x:v>2.6663916307085658</x:v>
      </x:c>
      <x:c r="N279" s="242" t="n">
        <x:f>AP278</x:f>
        <x:v>-2.5982637417380188</x:v>
      </x:c>
      <x:c r="O279" s="242" t="n">
        <x:f>AQ278</x:f>
        <x:v>1.1830396842098605</x:v>
      </x:c>
      <x:c r="P279" s="243" t="n">
        <x:f>D279*G279+E279*H279+I279</x:f>
        <x:v>0.7022215704601817</x:v>
      </x:c>
      <x:c r="Q279" s="243" t="n">
        <x:f>1/(1+EXP(-P279))</x:f>
        <x:v>0.6686801387672732</x:v>
      </x:c>
      <x:c r="R279" s="243" t="n">
        <x:f>D279*J279+E279*K279+L279</x:f>
        <x:v>3.9898105114405658</x:v>
      </x:c>
      <x:c r="S279" s="243" t="n">
        <x:f>1/(1+EXP(-R279))</x:f>
        <x:v>0.9818329293673678</x:v>
      </x:c>
      <x:c r="T279" s="243" t="n">
        <x:f>Q279*M279+S279*N279+O279</x:f>
        <x:v>0.41494190902030326</x:v>
      </x:c>
      <x:c r="U279" s="243" t="n">
        <x:f>1/(1+EXP(-T279))</x:f>
        <x:v>0.6022722618356952</x:v>
      </x:c>
      <x:c r="V279" s="243" t="n">
        <x:f>0.5*(F279-U279)^2</x:f>
        <x:v>0.07909367685264691</x:v>
      </x:c>
      <x:c r="W279" s="244" t="n">
        <x:f>(U279-F279)*U279*(1-U279)</x:f>
        <x:v>-0.09527185530989045</x:v>
      </x:c>
      <x:c r="X279" s="244" t="n">
        <x:f>W279*M279*Q279*(1-Q279)</x:f>
        <x:v>-0.05628004744484206</x:v>
      </x:c>
      <x:c r="Y279" s="244" t="n">
        <x:f>W279*N279*S279*(1-S279)</x:f>
        <x:v>0.004415403056331923</x:v>
      </x:c>
      <x:c r="Z279" s="245" t="n">
        <x:f>X279*D279</x:f>
        <x:v>-0.05628004744484206</x:v>
      </x:c>
      <x:c r="AA279" s="245" t="n">
        <x:f>X279*E279</x:f>
        <x:v>0</x:v>
      </x:c>
      <x:c r="AB279" s="245" t="n">
        <x:f>X279</x:f>
        <x:v>-0.05628004744484206</x:v>
      </x:c>
      <x:c r="AC279" s="245" t="n">
        <x:f>Y279*D279</x:f>
        <x:v>0.004415403056331923</x:v>
      </x:c>
      <x:c r="AD279" s="245" t="n">
        <x:f>Y279*E279</x:f>
        <x:v>0</x:v>
      </x:c>
      <x:c r="AE279" s="245" t="n">
        <x:f>Y279</x:f>
        <x:v>0.004415403056331923</x:v>
      </x:c>
      <x:c r="AF279" s="245" t="n">
        <x:f>W279*Q279</x:f>
        <x:v>-0.06370639742923312</x:v>
      </x:c>
      <x:c r="AG279" s="245" t="n">
        <x:f>W279*S279</x:f>
        <x:v>-0.09354104478517375</x:v>
      </x:c>
      <x:c r="AH279" s="245" t="n">
        <x:f>W279</x:f>
        <x:v>-0.09527185530989045</x:v>
      </x:c>
      <x:c r="AI279" s="246" t="n">
        <x:f>G279-$B$4*Z279</x:f>
        <x:v>2.2630608571114443</x:v>
      </x:c>
      <x:c r="AJ279" s="246" t="n">
        <x:f>H279-$B$4*AA279</x:f>
        <x:v>-2.675238404466852</x:v>
      </x:c>
      <x:c r="AK279" s="246" t="n">
        <x:f>I279-$B$4*AB279</x:f>
        <x:v>-1.4482791917615785</x:v>
      </x:c>
      <x:c r="AL279" s="246" t="n">
        <x:f>J279-$B$4*AC279</x:f>
        <x:v>2.4298642583589234</x:v>
      </x:c>
      <x:c r="AM279" s="246" t="n">
        <x:f>K279-$B$4*AD279</x:f>
        <x:v>-2.457296210951549</x:v>
      </x:c>
      <x:c r="AN279" s="246" t="n">
        <x:f>L279-$B$4*AE279</x:f>
        <x:v>1.5511154469689787</x:v>
      </x:c>
      <x:c r="AO279" s="246" t="n">
        <x:f>M279-$B$4*AF279</x:f>
        <x:v>2.7300980281377987</x:v>
      </x:c>
      <x:c r="AP279" s="246" t="n">
        <x:f>N279-$B$4*AG279</x:f>
        <x:v>-2.504722696952845</x:v>
      </x:c>
      <x:c r="AQ279" s="246" t="n">
        <x:f>O279-$B$4*AH279</x:f>
        <x:v>1.2783115395197509</x:v>
      </x:c>
      <x:c r="AR279" s="182" t="n">
        <x:f>IF(U279&gt;=$B$5,1,0)</x:f>
        <x:v>1</x:v>
      </x:c>
      <x:c r="AS279" s="182" t="n">
        <x:f>IF(AR279=F279,1,0)</x:f>
        <x:v>1</x:v>
      </x:c>
      <x:c r="AT279" s="252" t="n">
        <x:f>ABS(F279-U279)</x:f>
        <x:v>0.39772773816430484</x:v>
      </x:c>
    </x:row>
    <x:row r="280">
      <x:c r="A280" s="114" t="n">
        <x:v>264</x:v>
      </x:c>
      <x:c r="B280" s="114" t="n">
        <x:v>66</x:v>
      </x:c>
      <x:c r="C280" s="114" t="n">
        <x:v>4</x:v>
      </x:c>
      <x:c r="D280" s="168" t="n">
        <x:f>$I$8</x:f>
        <x:v>1</x:v>
      </x:c>
      <x:c r="E280" s="168" t="n">
        <x:f>$J$8</x:f>
        <x:v>1</x:v>
      </x:c>
      <x:c r="F280" s="168" t="n">
        <x:f>$K$8</x:f>
        <x:v>0</x:v>
      </x:c>
      <x:c r="G280" s="242" t="n">
        <x:f>AI279</x:f>
        <x:v>2.2630608571114443</x:v>
      </x:c>
      <x:c r="H280" s="242" t="n">
        <x:f>AJ279</x:f>
        <x:v>-2.675238404466852</x:v>
      </x:c>
      <x:c r="I280" s="242" t="n">
        <x:f>AK279</x:f>
        <x:v>-1.4482791917615785</x:v>
      </x:c>
      <x:c r="J280" s="242" t="n">
        <x:f>AL279</x:f>
        <x:v>2.4298642583589234</x:v>
      </x:c>
      <x:c r="K280" s="242" t="n">
        <x:f>AM279</x:f>
        <x:v>-2.457296210951549</x:v>
      </x:c>
      <x:c r="L280" s="242" t="n">
        <x:f>AN279</x:f>
        <x:v>1.5511154469689787</x:v>
      </x:c>
      <x:c r="M280" s="242" t="n">
        <x:f>AO279</x:f>
        <x:v>2.7300980281377987</x:v>
      </x:c>
      <x:c r="N280" s="242" t="n">
        <x:f>AP279</x:f>
        <x:v>-2.504722696952845</x:v>
      </x:c>
      <x:c r="O280" s="242" t="n">
        <x:f>AQ279</x:f>
        <x:v>1.2783115395197509</x:v>
      </x:c>
      <x:c r="P280" s="243" t="n">
        <x:f>D280*G280+E280*H280+I280</x:f>
        <x:v>-1.860456739116986</x:v>
      </x:c>
      <x:c r="Q280" s="243" t="n">
        <x:f>1/(1+EXP(-P280))</x:f>
        <x:v>0.1346498241719385</x:v>
      </x:c>
      <x:c r="R280" s="243" t="n">
        <x:f>D280*J280+E280*K280+L280</x:f>
        <x:v>1.523683494376353</x:v>
      </x:c>
      <x:c r="S280" s="243" t="n">
        <x:f>1/(1+EXP(-R280))</x:f>
        <x:v>0.8210802535759538</x:v>
      </x:c>
      <x:c r="T280" s="243" t="n">
        <x:f>Q280*M280+S280*N280+O280</x:f>
        <x:v>-0.4106595881708275</x:v>
      </x:c>
      <x:c r="U280" s="243" t="n">
        <x:f>1/(1+EXP(-T280))</x:f>
        <x:v>0.39875397483200115</x:v>
      </x:c>
      <x:c r="V280" s="243" t="n">
        <x:f>0.5*(F280-U280)^2</x:f>
        <x:v>0.0795023662221601</x:v>
      </x:c>
      <x:c r="W280" s="244" t="n">
        <x:f>(U280-F280)*U280*(1-U280)</x:f>
        <x:v>0.09560096336504867</x:v>
      </x:c>
      <x:c r="X280" s="244" t="n">
        <x:f>W280*M280*Q280*(1-Q280)</x:f>
        <x:v>0.030411524177898542</x:v>
      </x:c>
      <x:c r="Y280" s="244" t="n">
        <x:f>W280*N280*S280*(1-S280)</x:f>
        <x:v>-0.035177567223498275</x:v>
      </x:c>
      <x:c r="Z280" s="245" t="n">
        <x:f>X280*D280</x:f>
        <x:v>0.030411524177898542</x:v>
      </x:c>
      <x:c r="AA280" s="245" t="n">
        <x:f>X280*E280</x:f>
        <x:v>0.030411524177898542</x:v>
      </x:c>
      <x:c r="AB280" s="245" t="n">
        <x:f>X280</x:f>
        <x:v>0.030411524177898542</x:v>
      </x:c>
      <x:c r="AC280" s="245" t="n">
        <x:f>Y280*D280</x:f>
        <x:v>-0.035177567223498275</x:v>
      </x:c>
      <x:c r="AD280" s="245" t="n">
        <x:f>Y280*E280</x:f>
        <x:v>-0.035177567223498275</x:v>
      </x:c>
      <x:c r="AE280" s="245" t="n">
        <x:f>Y280</x:f>
        <x:v>-0.035177567223498275</x:v>
      </x:c>
      <x:c r="AF280" s="245" t="n">
        <x:f>W280*Q280</x:f>
        <x:v>0.012872652907771736</x:v>
      </x:c>
      <x:c r="AG280" s="245" t="n">
        <x:f>W280*S280</x:f>
        <x:v>0.07849606324187963</x:v>
      </x:c>
      <x:c r="AH280" s="245" t="n">
        <x:f>W280</x:f>
        <x:v>0.09560096336504867</x:v>
      </x:c>
      <x:c r="AI280" s="246" t="n">
        <x:f>G280-$B$4*Z280</x:f>
        <x:v>2.232649332933546</x:v>
      </x:c>
      <x:c r="AJ280" s="246" t="n">
        <x:f>H280-$B$4*AA280</x:f>
        <x:v>-2.70564992864475</x:v>
      </x:c>
      <x:c r="AK280" s="246" t="n">
        <x:f>I280-$B$4*AB280</x:f>
        <x:v>-1.478690715939477</x:v>
      </x:c>
      <x:c r="AL280" s="246" t="n">
        <x:f>J280-$B$4*AC280</x:f>
        <x:v>2.465041825582422</x:v>
      </x:c>
      <x:c r="AM280" s="246" t="n">
        <x:f>K280-$B$4*AD280</x:f>
        <x:v>-2.4221186437280506</x:v>
      </x:c>
      <x:c r="AN280" s="246" t="n">
        <x:f>L280-$B$4*AE280</x:f>
        <x:v>1.586293014192477</x:v>
      </x:c>
      <x:c r="AO280" s="246" t="n">
        <x:f>M280-$B$4*AF280</x:f>
        <x:v>2.717225375230027</x:v>
      </x:c>
      <x:c r="AP280" s="246" t="n">
        <x:f>N280-$B$4*AG280</x:f>
        <x:v>-2.5832187601947245</x:v>
      </x:c>
      <x:c r="AQ280" s="246" t="n">
        <x:f>O280-$B$4*AH280</x:f>
        <x:v>1.182710576154702</x:v>
      </x:c>
      <x:c r="AR280" s="182" t="n">
        <x:f>IF(U280&gt;=$B$5,1,0)</x:f>
        <x:v>0</x:v>
      </x:c>
      <x:c r="AS280" s="182" t="n">
        <x:f>IF(AR280=F280,1,0)</x:f>
        <x:v>1</x:v>
      </x:c>
      <x:c r="AT280" s="252" t="n">
        <x:f>ABS(F280-U280)</x:f>
        <x:v>0.39875397483200115</x:v>
      </x:c>
    </x:row>
    <x:row r="281">
      <x:c r="A281" s="114" t="n">
        <x:v>265</x:v>
      </x:c>
      <x:c r="B281" s="114" t="n">
        <x:v>67</x:v>
      </x:c>
      <x:c r="C281" s="114" t="n">
        <x:v>1</x:v>
      </x:c>
      <x:c r="D281" s="168" t="n">
        <x:f>$I$5</x:f>
        <x:v>0</x:v>
      </x:c>
      <x:c r="E281" s="168" t="n">
        <x:f>$J$5</x:f>
        <x:v>0</x:v>
      </x:c>
      <x:c r="F281" s="168" t="n">
        <x:f>$K$5</x:f>
        <x:v>0</x:v>
      </x:c>
      <x:c r="G281" s="242" t="n">
        <x:f>AI280</x:f>
        <x:v>2.232649332933546</x:v>
      </x:c>
      <x:c r="H281" s="242" t="n">
        <x:f>AJ280</x:f>
        <x:v>-2.70564992864475</x:v>
      </x:c>
      <x:c r="I281" s="242" t="n">
        <x:f>AK280</x:f>
        <x:v>-1.478690715939477</x:v>
      </x:c>
      <x:c r="J281" s="242" t="n">
        <x:f>AL280</x:f>
        <x:v>2.465041825582422</x:v>
      </x:c>
      <x:c r="K281" s="242" t="n">
        <x:f>AM280</x:f>
        <x:v>-2.4221186437280506</x:v>
      </x:c>
      <x:c r="L281" s="242" t="n">
        <x:f>AN280</x:f>
        <x:v>1.586293014192477</x:v>
      </x:c>
      <x:c r="M281" s="242" t="n">
        <x:f>AO280</x:f>
        <x:v>2.717225375230027</x:v>
      </x:c>
      <x:c r="N281" s="242" t="n">
        <x:f>AP280</x:f>
        <x:v>-2.5832187601947245</x:v>
      </x:c>
      <x:c r="O281" s="242" t="n">
        <x:f>AQ280</x:f>
        <x:v>1.182710576154702</x:v>
      </x:c>
      <x:c r="P281" s="243" t="n">
        <x:f>D281*G281+E281*H281+I281</x:f>
        <x:v>-1.478690715939477</x:v>
      </x:c>
      <x:c r="Q281" s="243" t="n">
        <x:f>1/(1+EXP(-P281))</x:f>
        <x:v>0.18562526036990318</x:v>
      </x:c>
      <x:c r="R281" s="243" t="n">
        <x:f>D281*J281+E281*K281+L281</x:f>
        <x:v>1.586293014192477</x:v>
      </x:c>
      <x:c r="S281" s="243" t="n">
        <x:f>1/(1+EXP(-R281))</x:f>
        <x:v>0.8300939167520321</x:v>
      </x:c>
      <x:c r="T281" s="243" t="n">
        <x:f>Q281*M281+S281*N281+O281</x:f>
        <x:v>-0.4572179345618834</x:v>
      </x:c>
      <x:c r="U281" s="243" t="n">
        <x:f>1/(1+EXP(-T281))</x:f>
        <x:v>0.38764601425937045</x:v>
      </x:c>
      <x:c r="V281" s="243" t="n">
        <x:f>0.5*(F281-U281)^2</x:f>
        <x:v>0.07513471618558802</x:v>
      </x:c>
      <x:c r="W281" s="244" t="n">
        <x:f>(U281-F281)*U281*(1-U281)</x:f>
        <x:v>0.09201808584747162</x:v>
      </x:c>
      <x:c r="X281" s="244" t="n">
        <x:f>W281*M281*Q281*(1-Q281)</x:f>
        <x:v>0.037797252034397634</x:v>
      </x:c>
      <x:c r="Y281" s="244" t="n">
        <x:f>W281*N281*S281*(1-S281)</x:f>
        <x:v>-0.03352513539867471</x:v>
      </x:c>
      <x:c r="Z281" s="245" t="n">
        <x:f>X281*D281</x:f>
        <x:v>0</x:v>
      </x:c>
      <x:c r="AA281" s="245" t="n">
        <x:f>X281*E281</x:f>
        <x:v>0</x:v>
      </x:c>
      <x:c r="AB281" s="245" t="n">
        <x:f>X281</x:f>
        <x:v>0.037797252034397634</x:v>
      </x:c>
      <x:c r="AC281" s="245" t="n">
        <x:f>Y281*D281</x:f>
        <x:v>0</x:v>
      </x:c>
      <x:c r="AD281" s="245" t="n">
        <x:f>Y281*E281</x:f>
        <x:v>0</x:v>
      </x:c>
      <x:c r="AE281" s="245" t="n">
        <x:f>Y281</x:f>
        <x:v>-0.03352513539867471</x:v>
      </x:c>
      <x:c r="AF281" s="245" t="n">
        <x:f>W281*Q281</x:f>
        <x:v>0.017080881144177024</x:v>
      </x:c>
      <x:c r="AG281" s="245" t="n">
        <x:f>W281*S281</x:f>
        <x:v>0.07638365329315246</x:v>
      </x:c>
      <x:c r="AH281" s="245" t="n">
        <x:f>W281</x:f>
        <x:v>0.09201808584747162</x:v>
      </x:c>
      <x:c r="AI281" s="246" t="n">
        <x:f>G281-$B$4*Z281</x:f>
        <x:v>2.232649332933546</x:v>
      </x:c>
      <x:c r="AJ281" s="246" t="n">
        <x:f>H281-$B$4*AA281</x:f>
        <x:v>-2.70564992864475</x:v>
      </x:c>
      <x:c r="AK281" s="246" t="n">
        <x:f>I281-$B$4*AB281</x:f>
        <x:v>-1.5164879679738748</x:v>
      </x:c>
      <x:c r="AL281" s="246" t="n">
        <x:f>J281-$B$4*AC281</x:f>
        <x:v>2.465041825582422</x:v>
      </x:c>
      <x:c r="AM281" s="246" t="n">
        <x:f>K281-$B$4*AD281</x:f>
        <x:v>-2.4221186437280506</x:v>
      </x:c>
      <x:c r="AN281" s="246" t="n">
        <x:f>L281-$B$4*AE281</x:f>
        <x:v>1.6198181495911517</x:v>
      </x:c>
      <x:c r="AO281" s="246" t="n">
        <x:f>M281-$B$4*AF281</x:f>
        <x:v>2.70014449408585</x:v>
      </x:c>
      <x:c r="AP281" s="246" t="n">
        <x:f>N281-$B$4*AG281</x:f>
        <x:v>-2.659602413487877</x:v>
      </x:c>
      <x:c r="AQ281" s="246" t="n">
        <x:f>O281-$B$4*AH281</x:f>
        <x:v>1.0906924903072306</x:v>
      </x:c>
      <x:c r="AR281" s="182" t="n">
        <x:f>IF(U281&gt;=$B$5,1,0)</x:f>
        <x:v>0</x:v>
      </x:c>
      <x:c r="AS281" s="182" t="n">
        <x:f>IF(AR281=F281,1,0)</x:f>
        <x:v>1</x:v>
      </x:c>
      <x:c r="AT281" s="252" t="n">
        <x:f>ABS(F281-U281)</x:f>
        <x:v>0.38764601425937045</x:v>
      </x:c>
    </x:row>
    <x:row r="282">
      <x:c r="A282" s="114" t="n">
        <x:v>266</x:v>
      </x:c>
      <x:c r="B282" s="114" t="n">
        <x:v>67</x:v>
      </x:c>
      <x:c r="C282" s="114" t="n">
        <x:v>2</x:v>
      </x:c>
      <x:c r="D282" s="168" t="n">
        <x:f>$I$6</x:f>
        <x:v>0</x:v>
      </x:c>
      <x:c r="E282" s="168" t="n">
        <x:f>$J$6</x:f>
        <x:v>1</x:v>
      </x:c>
      <x:c r="F282" s="168" t="n">
        <x:f>$K$6</x:f>
        <x:v>1</x:v>
      </x:c>
      <x:c r="G282" s="242" t="n">
        <x:f>AI281</x:f>
        <x:v>2.232649332933546</x:v>
      </x:c>
      <x:c r="H282" s="242" t="n">
        <x:f>AJ281</x:f>
        <x:v>-2.70564992864475</x:v>
      </x:c>
      <x:c r="I282" s="242" t="n">
        <x:f>AK281</x:f>
        <x:v>-1.5164879679738748</x:v>
      </x:c>
      <x:c r="J282" s="242" t="n">
        <x:f>AL281</x:f>
        <x:v>2.465041825582422</x:v>
      </x:c>
      <x:c r="K282" s="242" t="n">
        <x:f>AM281</x:f>
        <x:v>-2.4221186437280506</x:v>
      </x:c>
      <x:c r="L282" s="242" t="n">
        <x:f>AN281</x:f>
        <x:v>1.6198181495911517</x:v>
      </x:c>
      <x:c r="M282" s="242" t="n">
        <x:f>AO281</x:f>
        <x:v>2.70014449408585</x:v>
      </x:c>
      <x:c r="N282" s="242" t="n">
        <x:f>AP281</x:f>
        <x:v>-2.659602413487877</x:v>
      </x:c>
      <x:c r="O282" s="242" t="n">
        <x:f>AQ281</x:f>
        <x:v>1.0906924903072306</x:v>
      </x:c>
      <x:c r="P282" s="243" t="n">
        <x:f>D282*G282+E282*H282+I282</x:f>
        <x:v>-4.222137896618625</x:v>
      </x:c>
      <x:c r="Q282" s="243" t="n">
        <x:f>1/(1+EXP(-P282))</x:f>
        <x:v>0.014455235283483773</x:v>
      </x:c>
      <x:c r="R282" s="243" t="n">
        <x:f>D282*J282+E282*K282+L282</x:f>
        <x:v>-0.802300494136899</x:v>
      </x:c>
      <x:c r="S282" s="243" t="n">
        <x:f>1/(1+EXP(-R282))</x:f>
        <x:v>0.30953363605674317</x:v>
      </x:c>
      <x:c r="T282" s="243" t="n">
        <x:f>Q282*M282+S282*N282+O282</x:f>
        <x:v>0.3064873087564526</x:v>
      </x:c>
      <x:c r="U282" s="243" t="n">
        <x:f>1/(1+EXP(-T282))</x:f>
        <x:v>0.5760276223010456</x:v>
      </x:c>
      <x:c r="V282" s="243" t="n">
        <x:f>0.5*(F282-U282)^2</x:f>
        <x:v>0.0898762885258524</x:v>
      </x:c>
      <x:c r="W282" s="244" t="n">
        <x:f>(U282-F282)*U282*(1-U282)</x:f>
        <x:v>-0.10354244956157901</x:v>
      </x:c>
      <x:c r="X282" s="244" t="n">
        <x:f>W282*M282*Q282*(1-Q282)</x:f>
        <x:v>-0.003982969316157581</x:v>
      </x:c>
      <x:c r="Y282" s="244" t="n">
        <x:f>W282*N282*S282*(1-S282)</x:f>
        <x:v>0.058855293478964815</x:v>
      </x:c>
      <x:c r="Z282" s="245" t="n">
        <x:f>X282*D282</x:f>
        <x:v>0</x:v>
      </x:c>
      <x:c r="AA282" s="245" t="n">
        <x:f>X282*E282</x:f>
        <x:v>-0.003982969316157581</x:v>
      </x:c>
      <x:c r="AB282" s="245" t="n">
        <x:f>X282</x:f>
        <x:v>-0.003982969316157581</x:v>
      </x:c>
      <x:c r="AC282" s="245" t="n">
        <x:f>Y282*D282</x:f>
        <x:v>0</x:v>
      </x:c>
      <x:c r="AD282" s="245" t="n">
        <x:f>Y282*E282</x:f>
        <x:v>0.058855293478964815</x:v>
      </x:c>
      <x:c r="AE282" s="245" t="n">
        <x:f>Y282</x:f>
        <x:v>0.058855293478964815</x:v>
      </x:c>
      <x:c r="AF282" s="245" t="n">
        <x:f>W282*Q282</x:f>
        <x:v>-0.001496730470240876</x:v>
      </x:c>
      <x:c r="AG282" s="245" t="n">
        <x:f>W282*S282</x:f>
        <x:v>-0.03204987089901749</x:v>
      </x:c>
      <x:c r="AH282" s="245" t="n">
        <x:f>W282</x:f>
        <x:v>-0.10354244956157901</x:v>
      </x:c>
      <x:c r="AI282" s="246" t="n">
        <x:f>G282-$B$4*Z282</x:f>
        <x:v>2.232649332933546</x:v>
      </x:c>
      <x:c r="AJ282" s="246" t="n">
        <x:f>H282-$B$4*AA282</x:f>
        <x:v>-2.7016669593285925</x:v>
      </x:c>
      <x:c r="AK282" s="246" t="n">
        <x:f>I282-$B$4*AB282</x:f>
        <x:v>-1.5125049986577173</x:v>
      </x:c>
      <x:c r="AL282" s="246" t="n">
        <x:f>J282-$B$4*AC282</x:f>
        <x:v>2.465041825582422</x:v>
      </x:c>
      <x:c r="AM282" s="246" t="n">
        <x:f>K282-$B$4*AD282</x:f>
        <x:v>-2.4809739372070156</x:v>
      </x:c>
      <x:c r="AN282" s="246" t="n">
        <x:f>L282-$B$4*AE282</x:f>
        <x:v>1.5609628561121869</x:v>
      </x:c>
      <x:c r="AO282" s="246" t="n">
        <x:f>M282-$B$4*AF282</x:f>
        <x:v>2.7016412245560906</x:v>
      </x:c>
      <x:c r="AP282" s="246" t="n">
        <x:f>N282-$B$4*AG282</x:f>
        <x:v>-2.6275525425888593</x:v>
      </x:c>
      <x:c r="AQ282" s="246" t="n">
        <x:f>O282-$B$4*AH282</x:f>
        <x:v>1.1942349398688097</x:v>
      </x:c>
      <x:c r="AR282" s="182" t="n">
        <x:f>IF(U282&gt;=$B$5,1,0)</x:f>
        <x:v>1</x:v>
      </x:c>
      <x:c r="AS282" s="182" t="n">
        <x:f>IF(AR282=F282,1,0)</x:f>
        <x:v>1</x:v>
      </x:c>
      <x:c r="AT282" s="252" t="n">
        <x:f>ABS(F282-U282)</x:f>
        <x:v>0.42397237769895435</x:v>
      </x:c>
    </x:row>
    <x:row r="283">
      <x:c r="A283" s="114" t="n">
        <x:v>267</x:v>
      </x:c>
      <x:c r="B283" s="114" t="n">
        <x:v>67</x:v>
      </x:c>
      <x:c r="C283" s="114" t="n">
        <x:v>3</x:v>
      </x:c>
      <x:c r="D283" s="168" t="n">
        <x:f>$I$7</x:f>
        <x:v>1</x:v>
      </x:c>
      <x:c r="E283" s="168" t="n">
        <x:f>$J$7</x:f>
        <x:v>0</x:v>
      </x:c>
      <x:c r="F283" s="168" t="n">
        <x:f>$K$7</x:f>
        <x:v>1</x:v>
      </x:c>
      <x:c r="G283" s="242" t="n">
        <x:f>AI282</x:f>
        <x:v>2.232649332933546</x:v>
      </x:c>
      <x:c r="H283" s="242" t="n">
        <x:f>AJ282</x:f>
        <x:v>-2.7016669593285925</x:v>
      </x:c>
      <x:c r="I283" s="242" t="n">
        <x:f>AK282</x:f>
        <x:v>-1.5125049986577173</x:v>
      </x:c>
      <x:c r="J283" s="242" t="n">
        <x:f>AL282</x:f>
        <x:v>2.465041825582422</x:v>
      </x:c>
      <x:c r="K283" s="242" t="n">
        <x:f>AM282</x:f>
        <x:v>-2.4809739372070156</x:v>
      </x:c>
      <x:c r="L283" s="242" t="n">
        <x:f>AN282</x:f>
        <x:v>1.5609628561121869</x:v>
      </x:c>
      <x:c r="M283" s="242" t="n">
        <x:f>AO282</x:f>
        <x:v>2.7016412245560906</x:v>
      </x:c>
      <x:c r="N283" s="242" t="n">
        <x:f>AP282</x:f>
        <x:v>-2.6275525425888593</x:v>
      </x:c>
      <x:c r="O283" s="242" t="n">
        <x:f>AQ282</x:f>
        <x:v>1.1942349398688097</x:v>
      </x:c>
      <x:c r="P283" s="243" t="n">
        <x:f>D283*G283+E283*H283+I283</x:f>
        <x:v>0.7201443342758287</x:v>
      </x:c>
      <x:c r="Q283" s="243" t="n">
        <x:f>1/(1+EXP(-P283))</x:f>
        <x:v>0.6726387996674612</x:v>
      </x:c>
      <x:c r="R283" s="243" t="n">
        <x:f>D283*J283+E283*K283+L283</x:f>
        <x:v>4.026004681694609</x:v>
      </x:c>
      <x:c r="S283" s="243" t="n">
        <x:f>1/(1+EXP(-R283))</x:f>
        <x:v>0.9824673918054339</x:v>
      </x:c>
      <x:c r="T283" s="243" t="n">
        <x:f>Q283*M283+S283*N283+O283</x:f>
        <x:v>0.429978956937336</x:v>
      </x:c>
      <x:c r="U283" s="243" t="n">
        <x:f>1/(1+EXP(-T283))</x:f>
        <x:v>0.6058686435315063</x:v>
      </x:c>
      <x:c r="V283" s="243" t="n">
        <x:f>0.5*(F283-U283)^2</x:f>
        <x:v>0.07766976307584744</x:v>
      </x:c>
      <x:c r="W283" s="244" t="n">
        <x:f>(U283-F283)*U283*(1-U283)</x:f>
        <x:v>-0.09411534799635432</x:v>
      </x:c>
      <x:c r="X283" s="244" t="n">
        <x:f>W283*M283*Q283*(1-Q283)</x:f>
        <x:v>-0.055988295549959446</x:v>
      </x:c>
      <x:c r="Y283" s="244" t="n">
        <x:f>W283*N283*S283*(1-S283)</x:f>
        <x:v>0.004259675679478024</x:v>
      </x:c>
      <x:c r="Z283" s="245" t="n">
        <x:f>X283*D283</x:f>
        <x:v>-0.055988295549959446</x:v>
      </x:c>
      <x:c r="AA283" s="245" t="n">
        <x:f>X283*E283</x:f>
        <x:v>0</x:v>
      </x:c>
      <x:c r="AB283" s="245" t="n">
        <x:f>X283</x:f>
        <x:v>-0.055988295549959446</x:v>
      </x:c>
      <x:c r="AC283" s="245" t="n">
        <x:f>Y283*D283</x:f>
        <x:v>0.004259675679478024</x:v>
      </x:c>
      <x:c r="AD283" s="245" t="n">
        <x:f>Y283*E283</x:f>
        <x:v>0</x:v>
      </x:c>
      <x:c r="AE283" s="245" t="n">
        <x:f>Y283</x:f>
        <x:v>0.004259675679478024</x:v>
      </x:c>
      <x:c r="AF283" s="245" t="n">
        <x:f>W283*Q283</x:f>
        <x:v>-0.06330563470655318</x:v>
      </x:c>
      <x:c r="AG283" s="245" t="n">
        <x:f>W283*S283</x:f>
        <x:v>-0.092465260474839</x:v>
      </x:c>
      <x:c r="AH283" s="245" t="n">
        <x:f>W283</x:f>
        <x:v>-0.09411534799635432</x:v>
      </x:c>
      <x:c r="AI283" s="246" t="n">
        <x:f>G283-$B$4*Z283</x:f>
        <x:v>2.2886376284835053</x:v>
      </x:c>
      <x:c r="AJ283" s="246" t="n">
        <x:f>H283-$B$4*AA283</x:f>
        <x:v>-2.7016669593285925</x:v>
      </x:c>
      <x:c r="AK283" s="246" t="n">
        <x:f>I283-$B$4*AB283</x:f>
        <x:v>-1.4565167031077577</x:v>
      </x:c>
      <x:c r="AL283" s="246" t="n">
        <x:f>J283-$B$4*AC283</x:f>
        <x:v>2.460782149902944</x:v>
      </x:c>
      <x:c r="AM283" s="246" t="n">
        <x:f>K283-$B$4*AD283</x:f>
        <x:v>-2.4809739372070156</x:v>
      </x:c>
      <x:c r="AN283" s="246" t="n">
        <x:f>L283-$B$4*AE283</x:f>
        <x:v>1.556703180432709</x:v>
      </x:c>
      <x:c r="AO283" s="246" t="n">
        <x:f>M283-$B$4*AF283</x:f>
        <x:v>2.764946859262644</x:v>
      </x:c>
      <x:c r="AP283" s="246" t="n">
        <x:f>N283-$B$4*AG283</x:f>
        <x:v>-2.5350872821140205</x:v>
      </x:c>
      <x:c r="AQ283" s="246" t="n">
        <x:f>O283-$B$4*AH283</x:f>
        <x:v>1.288350287865164</x:v>
      </x:c>
      <x:c r="AR283" s="182" t="n">
        <x:f>IF(U283&gt;=$B$5,1,0)</x:f>
        <x:v>1</x:v>
      </x:c>
      <x:c r="AS283" s="182" t="n">
        <x:f>IF(AR283=F283,1,0)</x:f>
        <x:v>1</x:v>
      </x:c>
      <x:c r="AT283" s="252" t="n">
        <x:f>ABS(F283-U283)</x:f>
        <x:v>0.39413135646849373</x:v>
      </x:c>
    </x:row>
    <x:row r="284">
      <x:c r="A284" s="114" t="n">
        <x:v>268</x:v>
      </x:c>
      <x:c r="B284" s="114" t="n">
        <x:v>67</x:v>
      </x:c>
      <x:c r="C284" s="114" t="n">
        <x:v>4</x:v>
      </x:c>
      <x:c r="D284" s="168" t="n">
        <x:f>$I$8</x:f>
        <x:v>1</x:v>
      </x:c>
      <x:c r="E284" s="168" t="n">
        <x:f>$J$8</x:f>
        <x:v>1</x:v>
      </x:c>
      <x:c r="F284" s="168" t="n">
        <x:f>$K$8</x:f>
        <x:v>0</x:v>
      </x:c>
      <x:c r="G284" s="242" t="n">
        <x:f>AI283</x:f>
        <x:v>2.2886376284835053</x:v>
      </x:c>
      <x:c r="H284" s="242" t="n">
        <x:f>AJ283</x:f>
        <x:v>-2.7016669593285925</x:v>
      </x:c>
      <x:c r="I284" s="242" t="n">
        <x:f>AK283</x:f>
        <x:v>-1.4565167031077577</x:v>
      </x:c>
      <x:c r="J284" s="242" t="n">
        <x:f>AL283</x:f>
        <x:v>2.460782149902944</x:v>
      </x:c>
      <x:c r="K284" s="242" t="n">
        <x:f>AM283</x:f>
        <x:v>-2.4809739372070156</x:v>
      </x:c>
      <x:c r="L284" s="242" t="n">
        <x:f>AN283</x:f>
        <x:v>1.556703180432709</x:v>
      </x:c>
      <x:c r="M284" s="242" t="n">
        <x:f>AO283</x:f>
        <x:v>2.764946859262644</x:v>
      </x:c>
      <x:c r="N284" s="242" t="n">
        <x:f>AP283</x:f>
        <x:v>-2.5350872821140205</x:v>
      </x:c>
      <x:c r="O284" s="242" t="n">
        <x:f>AQ283</x:f>
        <x:v>1.288350287865164</x:v>
      </x:c>
      <x:c r="P284" s="243" t="n">
        <x:f>D284*G284+E284*H284+I284</x:f>
        <x:v>-1.869546033952845</x:v>
      </x:c>
      <x:c r="Q284" s="243" t="n">
        <x:f>1/(1+EXP(-P284))</x:f>
        <x:v>0.133594258925835</x:v>
      </x:c>
      <x:c r="R284" s="243" t="n">
        <x:f>D284*J284+E284*K284+L284</x:f>
        <x:v>1.5365113931286372</x:v>
      </x:c>
      <x:c r="S284" s="243" t="n">
        <x:f>1/(1+EXP(-R284))</x:f>
        <x:v>0.8229570120365374</x:v>
      </x:c>
      <x:c r="T284" s="243" t="n">
        <x:f>Q284*M284+S284*N284+O284</x:f>
        <x:v>-0.4285365404427086</x:v>
      </x:c>
      <x:c r="U284" s="243" t="n">
        <x:f>1/(1+EXP(-T284))</x:f>
        <x:v>0.3944758462894932</x:v>
      </x:c>
      <x:c r="V284" s="243" t="n">
        <x:f>0.5*(F284-U284)^2</x:f>
        <x:v>0.07780559665290594</x:v>
      </x:c>
      <x:c r="W284" s="244" t="n">
        <x:f>(U284-F284)*U284*(1-U284)</x:f>
        <x:v>0.0942263361343838</x:v>
      </x:c>
      <x:c r="X284" s="244" t="n">
        <x:f>W284*M284*Q284*(1-Q284)</x:f>
        <x:v>0.030155616381814795</x:v>
      </x:c>
      <x:c r="Y284" s="244" t="n">
        <x:f>W284*N284*S284*(1-S284)</x:f>
        <x:v>-0.03480335421439313</x:v>
      </x:c>
      <x:c r="Z284" s="245" t="n">
        <x:f>X284*D284</x:f>
        <x:v>0.030155616381814795</x:v>
      </x:c>
      <x:c r="AA284" s="245" t="n">
        <x:f>X284*E284</x:f>
        <x:v>0.030155616381814795</x:v>
      </x:c>
      <x:c r="AB284" s="245" t="n">
        <x:f>X284</x:f>
        <x:v>0.030155616381814795</x:v>
      </x:c>
      <x:c r="AC284" s="245" t="n">
        <x:f>Y284*D284</x:f>
        <x:v>-0.03480335421439313</x:v>
      </x:c>
      <x:c r="AD284" s="245" t="n">
        <x:f>Y284*E284</x:f>
        <x:v>-0.03480335421439313</x:v>
      </x:c>
      <x:c r="AE284" s="245" t="n">
        <x:f>Y284</x:f>
        <x:v>-0.03480335421439313</x:v>
      </x:c>
      <x:c r="AF284" s="245" t="n">
        <x:f>W284*Q284</x:f>
        <x:v>0.012588097547169634</x:v>
      </x:c>
      <x:c r="AG284" s="245" t="n">
        <x:f>W284*S284</x:f>
        <x:v>0.07754422404030291</x:v>
      </x:c>
      <x:c r="AH284" s="245" t="n">
        <x:f>W284</x:f>
        <x:v>0.0942263361343838</x:v>
      </x:c>
      <x:c r="AI284" s="246" t="n">
        <x:f>G284-$B$4*Z284</x:f>
        <x:v>2.2584820121016906</x:v>
      </x:c>
      <x:c r="AJ284" s="246" t="n">
        <x:f>H284-$B$4*AA284</x:f>
        <x:v>-2.731822575710407</x:v>
      </x:c>
      <x:c r="AK284" s="246" t="n">
        <x:f>I284-$B$4*AB284</x:f>
        <x:v>-1.4866723194895726</x:v>
      </x:c>
      <x:c r="AL284" s="246" t="n">
        <x:f>J284-$B$4*AC284</x:f>
        <x:v>2.495585504117337</x:v>
      </x:c>
      <x:c r="AM284" s="246" t="n">
        <x:f>K284-$B$4*AD284</x:f>
        <x:v>-2.4461705829926226</x:v>
      </x:c>
      <x:c r="AN284" s="246" t="n">
        <x:f>L284-$B$4*AE284</x:f>
        <x:v>1.591506534647102</x:v>
      </x:c>
      <x:c r="AO284" s="246" t="n">
        <x:f>M284-$B$4*AF284</x:f>
        <x:v>2.7523587617154743</x:v>
      </x:c>
      <x:c r="AP284" s="246" t="n">
        <x:f>N284-$B$4*AG284</x:f>
        <x:v>-2.6126315061543233</x:v>
      </x:c>
      <x:c r="AQ284" s="246" t="n">
        <x:f>O284-$B$4*AH284</x:f>
        <x:v>1.1941239517307802</x:v>
      </x:c>
      <x:c r="AR284" s="182" t="n">
        <x:f>IF(U284&gt;=$B$5,1,0)</x:f>
        <x:v>0</x:v>
      </x:c>
      <x:c r="AS284" s="182" t="n">
        <x:f>IF(AR284=F284,1,0)</x:f>
        <x:v>1</x:v>
      </x:c>
      <x:c r="AT284" s="252" t="n">
        <x:f>ABS(F284-U284)</x:f>
        <x:v>0.3944758462894932</x:v>
      </x:c>
    </x:row>
    <x:row r="285">
      <x:c r="A285" s="114" t="n">
        <x:v>269</x:v>
      </x:c>
      <x:c r="B285" s="114" t="n">
        <x:v>68</x:v>
      </x:c>
      <x:c r="C285" s="114" t="n">
        <x:v>1</x:v>
      </x:c>
      <x:c r="D285" s="168" t="n">
        <x:f>$I$5</x:f>
        <x:v>0</x:v>
      </x:c>
      <x:c r="E285" s="168" t="n">
        <x:f>$J$5</x:f>
        <x:v>0</x:v>
      </x:c>
      <x:c r="F285" s="168" t="n">
        <x:f>$K$5</x:f>
        <x:v>0</x:v>
      </x:c>
      <x:c r="G285" s="242" t="n">
        <x:f>AI284</x:f>
        <x:v>2.2584820121016906</x:v>
      </x:c>
      <x:c r="H285" s="242" t="n">
        <x:f>AJ284</x:f>
        <x:v>-2.731822575710407</x:v>
      </x:c>
      <x:c r="I285" s="242" t="n">
        <x:f>AK284</x:f>
        <x:v>-1.4866723194895726</x:v>
      </x:c>
      <x:c r="J285" s="242" t="n">
        <x:f>AL284</x:f>
        <x:v>2.495585504117337</x:v>
      </x:c>
      <x:c r="K285" s="242" t="n">
        <x:f>AM284</x:f>
        <x:v>-2.4461705829926226</x:v>
      </x:c>
      <x:c r="L285" s="242" t="n">
        <x:f>AN284</x:f>
        <x:v>1.591506534647102</x:v>
      </x:c>
      <x:c r="M285" s="242" t="n">
        <x:f>AO284</x:f>
        <x:v>2.7523587617154743</x:v>
      </x:c>
      <x:c r="N285" s="242" t="n">
        <x:f>AP284</x:f>
        <x:v>-2.6126315061543233</x:v>
      </x:c>
      <x:c r="O285" s="242" t="n">
        <x:f>AQ284</x:f>
        <x:v>1.1941239517307802</x:v>
      </x:c>
      <x:c r="P285" s="243" t="n">
        <x:f>D285*G285+E285*H285+I285</x:f>
        <x:v>-1.4866723194895726</x:v>
      </x:c>
      <x:c r="Q285" s="243" t="n">
        <x:f>1/(1+EXP(-P285))</x:f>
        <x:v>0.184421719481091</x:v>
      </x:c>
      <x:c r="R285" s="243" t="n">
        <x:f>D285*J285+E285*K285+L285</x:f>
        <x:v>1.591506534647102</x:v>
      </x:c>
      <x:c r="S285" s="243" t="n">
        <x:f>1/(1+EXP(-R285))</x:f>
        <x:v>0.8308279563726847</x:v>
      </x:c>
      <x:c r="T285" s="243" t="n">
        <x:f>Q285*M285+S285*N285+O285</x:f>
        <x:v>-0.46892860781789114</x:v>
      </x:c>
      <x:c r="U285" s="243" t="n">
        <x:f>1/(1+EXP(-T285))</x:f>
        <x:v>0.38486985909763133</x:v>
      </x:c>
      <x:c r="V285" s="243" t="n">
        <x:f>0.5*(F285-U285)^2</x:f>
        <x:v>0.0740624042209153</x:v>
      </x:c>
      <x:c r="W285" s="244" t="n">
        <x:f>(U285-F285)*U285*(1-U285)</x:f>
        <x:v>0.09111603428795961</x:v>
      </x:c>
      <x:c r="X285" s="244" t="n">
        <x:f>W285*M285*Q285*(1-Q285)</x:f>
        <x:v>0.03772051123175761</x:v>
      </x:c>
      <x:c r="Y285" s="244" t="n">
        <x:f>W285*N285*S285*(1-S285)</x:f>
        <x:v>-0.03345897761941396</x:v>
      </x:c>
      <x:c r="Z285" s="245" t="n">
        <x:f>X285*D285</x:f>
        <x:v>0</x:v>
      </x:c>
      <x:c r="AA285" s="245" t="n">
        <x:f>X285*E285</x:f>
        <x:v>0</x:v>
      </x:c>
      <x:c r="AB285" s="245" t="n">
        <x:f>X285</x:f>
        <x:v>0.03772051123175761</x:v>
      </x:c>
      <x:c r="AC285" s="245" t="n">
        <x:f>Y285*D285</x:f>
        <x:v>0</x:v>
      </x:c>
      <x:c r="AD285" s="245" t="n">
        <x:f>Y285*E285</x:f>
        <x:v>0</x:v>
      </x:c>
      <x:c r="AE285" s="245" t="n">
        <x:f>Y285</x:f>
        <x:v>-0.03345897761941396</x:v>
      </x:c>
      <x:c r="AF285" s="245" t="n">
        <x:f>W285*Q285</x:f>
        <x:v>0.016803775715683558</x:v>
      </x:c>
      <x:c r="AG285" s="245" t="n">
        <x:f>W285*S285</x:f>
        <x:v>0.07570174856024896</x:v>
      </x:c>
      <x:c r="AH285" s="245" t="n">
        <x:f>W285</x:f>
        <x:v>0.09111603428795961</x:v>
      </x:c>
      <x:c r="AI285" s="246" t="n">
        <x:f>G285-$B$4*Z285</x:f>
        <x:v>2.2584820121016906</x:v>
      </x:c>
      <x:c r="AJ285" s="246" t="n">
        <x:f>H285-$B$4*AA285</x:f>
        <x:v>-2.731822575710407</x:v>
      </x:c>
      <x:c r="AK285" s="246" t="n">
        <x:f>I285-$B$4*AB285</x:f>
        <x:v>-1.5243928307213301</x:v>
      </x:c>
      <x:c r="AL285" s="246" t="n">
        <x:f>J285-$B$4*AC285</x:f>
        <x:v>2.495585504117337</x:v>
      </x:c>
      <x:c r="AM285" s="246" t="n">
        <x:f>K285-$B$4*AD285</x:f>
        <x:v>-2.4461705829926226</x:v>
      </x:c>
      <x:c r="AN285" s="246" t="n">
        <x:f>L285-$B$4*AE285</x:f>
        <x:v>1.6249655122665159</x:v>
      </x:c>
      <x:c r="AO285" s="246" t="n">
        <x:f>M285-$B$4*AF285</x:f>
        <x:v>2.7355549859997907</x:v>
      </x:c>
      <x:c r="AP285" s="246" t="n">
        <x:f>N285-$B$4*AG285</x:f>
        <x:v>-2.688333254714572</x:v>
      </x:c>
      <x:c r="AQ285" s="246" t="n">
        <x:f>O285-$B$4*AH285</x:f>
        <x:v>1.1030079174428207</x:v>
      </x:c>
      <x:c r="AR285" s="182" t="n">
        <x:f>IF(U285&gt;=$B$5,1,0)</x:f>
        <x:v>0</x:v>
      </x:c>
      <x:c r="AS285" s="182" t="n">
        <x:f>IF(AR285=F285,1,0)</x:f>
        <x:v>1</x:v>
      </x:c>
      <x:c r="AT285" s="252" t="n">
        <x:f>ABS(F285-U285)</x:f>
        <x:v>0.38486985909763133</x:v>
      </x:c>
    </x:row>
    <x:row r="286">
      <x:c r="A286" s="114" t="n">
        <x:v>270</x:v>
      </x:c>
      <x:c r="B286" s="114" t="n">
        <x:v>68</x:v>
      </x:c>
      <x:c r="C286" s="114" t="n">
        <x:v>2</x:v>
      </x:c>
      <x:c r="D286" s="168" t="n">
        <x:f>$I$6</x:f>
        <x:v>0</x:v>
      </x:c>
      <x:c r="E286" s="168" t="n">
        <x:f>$J$6</x:f>
        <x:v>1</x:v>
      </x:c>
      <x:c r="F286" s="168" t="n">
        <x:f>$K$6</x:f>
        <x:v>1</x:v>
      </x:c>
      <x:c r="G286" s="242" t="n">
        <x:f>AI285</x:f>
        <x:v>2.2584820121016906</x:v>
      </x:c>
      <x:c r="H286" s="242" t="n">
        <x:f>AJ285</x:f>
        <x:v>-2.731822575710407</x:v>
      </x:c>
      <x:c r="I286" s="242" t="n">
        <x:f>AK285</x:f>
        <x:v>-1.5243928307213301</x:v>
      </x:c>
      <x:c r="J286" s="242" t="n">
        <x:f>AL285</x:f>
        <x:v>2.495585504117337</x:v>
      </x:c>
      <x:c r="K286" s="242" t="n">
        <x:f>AM285</x:f>
        <x:v>-2.4461705829926226</x:v>
      </x:c>
      <x:c r="L286" s="242" t="n">
        <x:f>AN285</x:f>
        <x:v>1.6249655122665159</x:v>
      </x:c>
      <x:c r="M286" s="242" t="n">
        <x:f>AO285</x:f>
        <x:v>2.7355549859997907</x:v>
      </x:c>
      <x:c r="N286" s="242" t="n">
        <x:f>AP285</x:f>
        <x:v>-2.688333254714572</x:v>
      </x:c>
      <x:c r="O286" s="242" t="n">
        <x:f>AQ285</x:f>
        <x:v>1.1030079174428207</x:v>
      </x:c>
      <x:c r="P286" s="243" t="n">
        <x:f>D286*G286+E286*H286+I286</x:f>
        <x:v>-4.256215406431737</x:v>
      </x:c>
      <x:c r="Q286" s="243" t="n">
        <x:f>1/(1+EXP(-P286))</x:f>
        <x:v>0.013977704989495472</x:v>
      </x:c>
      <x:c r="R286" s="243" t="n">
        <x:f>D286*J286+E286*K286+L286</x:f>
        <x:v>-0.8212050707261067</x:v>
      </x:c>
      <x:c r="S286" s="243" t="n">
        <x:f>1/(1+EXP(-R286))</x:f>
        <x:v>0.30550791671691896</x:v>
      </x:c>
      <x:c r="T286" s="243" t="n">
        <x:f>Q286*M286+S286*N286+O286</x:f>
        <x:v>0.31993760593100606</x:v>
      </x:c>
      <x:c r="U286" s="243" t="n">
        <x:f>1/(1+EXP(-T286))</x:f>
        <x:v>0.5793090461607536</x:v>
      </x:c>
      <x:c r="V286" s="243" t="n">
        <x:f>0.5*(F286-U286)^2</x:f>
        <x:v>0.08849043932108747</x:v>
      </x:c>
      <x:c r="W286" s="244" t="n">
        <x:f>(U286-F286)*U286*(1-U286)</x:f>
        <x:v>-0.10252662399489045</x:v>
      </x:c>
      <x:c r="X286" s="244" t="n">
        <x:f>W286*M286*Q286*(1-Q286)</x:f>
        <x:v>-0.0038654913954906858</x:v>
      </x:c>
      <x:c r="Y286" s="244" t="n">
        <x:f>W286*N286*S286*(1-S286)</x:f>
        <x:v>0.05848029161783061</x:v>
      </x:c>
      <x:c r="Z286" s="245" t="n">
        <x:f>X286*D286</x:f>
        <x:v>0</x:v>
      </x:c>
      <x:c r="AA286" s="245" t="n">
        <x:f>X286*E286</x:f>
        <x:v>-0.0038654913954906858</x:v>
      </x:c>
      <x:c r="AB286" s="245" t="n">
        <x:f>X286</x:f>
        <x:v>-0.0038654913954906858</x:v>
      </x:c>
      <x:c r="AC286" s="245" t="n">
        <x:f>Y286*D286</x:f>
        <x:v>0</x:v>
      </x:c>
      <x:c r="AD286" s="245" t="n">
        <x:f>Y286*E286</x:f>
        <x:v>0.05848029161783061</x:v>
      </x:c>
      <x:c r="AE286" s="245" t="n">
        <x:f>Y286</x:f>
        <x:v>0.05848029161783061</x:v>
      </x:c>
      <x:c r="AF286" s="245" t="n">
        <x:f>W286*Q286</x:f>
        <x:v>-0.0014330869037695064</x:v>
      </x:c>
      <x:c r="AG286" s="245" t="n">
        <x:f>W286*S286</x:f>
        <x:v>-0.031322695304697855</x:v>
      </x:c>
      <x:c r="AH286" s="245" t="n">
        <x:f>W286</x:f>
        <x:v>-0.10252662399489045</x:v>
      </x:c>
      <x:c r="AI286" s="246" t="n">
        <x:f>G286-$B$4*Z286</x:f>
        <x:v>2.2584820121016906</x:v>
      </x:c>
      <x:c r="AJ286" s="246" t="n">
        <x:f>H286-$B$4*AA286</x:f>
        <x:v>-2.7279570843149163</x:v>
      </x:c>
      <x:c r="AK286" s="246" t="n">
        <x:f>I286-$B$4*AB286</x:f>
        <x:v>-1.5205273393258394</x:v>
      </x:c>
      <x:c r="AL286" s="246" t="n">
        <x:f>J286-$B$4*AC286</x:f>
        <x:v>2.495585504117337</x:v>
      </x:c>
      <x:c r="AM286" s="246" t="n">
        <x:f>K286-$B$4*AD286</x:f>
        <x:v>-2.504650874610453</x:v>
      </x:c>
      <x:c r="AN286" s="246" t="n">
        <x:f>L286-$B$4*AE286</x:f>
        <x:v>1.5664852206486852</x:v>
      </x:c>
      <x:c r="AO286" s="246" t="n">
        <x:f>M286-$B$4*AF286</x:f>
        <x:v>2.7369880729035603</x:v>
      </x:c>
      <x:c r="AP286" s="246" t="n">
        <x:f>N286-$B$4*AG286</x:f>
        <x:v>-2.6570105594098745</x:v>
      </x:c>
      <x:c r="AQ286" s="246" t="n">
        <x:f>O286-$B$4*AH286</x:f>
        <x:v>1.2055345414377112</x:v>
      </x:c>
      <x:c r="AR286" s="182" t="n">
        <x:f>IF(U286&gt;=$B$5,1,0)</x:f>
        <x:v>1</x:v>
      </x:c>
      <x:c r="AS286" s="182" t="n">
        <x:f>IF(AR286=F286,1,0)</x:f>
        <x:v>1</x:v>
      </x:c>
      <x:c r="AT286" s="252" t="n">
        <x:f>ABS(F286-U286)</x:f>
        <x:v>0.4206909538392464</x:v>
      </x:c>
    </x:row>
    <x:row r="287">
      <x:c r="A287" s="114" t="n">
        <x:v>271</x:v>
      </x:c>
      <x:c r="B287" s="114" t="n">
        <x:v>68</x:v>
      </x:c>
      <x:c r="C287" s="114" t="n">
        <x:v>3</x:v>
      </x:c>
      <x:c r="D287" s="168" t="n">
        <x:f>$I$7</x:f>
        <x:v>1</x:v>
      </x:c>
      <x:c r="E287" s="168" t="n">
        <x:f>$J$7</x:f>
        <x:v>0</x:v>
      </x:c>
      <x:c r="F287" s="168" t="n">
        <x:f>$K$7</x:f>
        <x:v>1</x:v>
      </x:c>
      <x:c r="G287" s="242" t="n">
        <x:f>AI286</x:f>
        <x:v>2.2584820121016906</x:v>
      </x:c>
      <x:c r="H287" s="242" t="n">
        <x:f>AJ286</x:f>
        <x:v>-2.7279570843149163</x:v>
      </x:c>
      <x:c r="I287" s="242" t="n">
        <x:f>AK286</x:f>
        <x:v>-1.5205273393258394</x:v>
      </x:c>
      <x:c r="J287" s="242" t="n">
        <x:f>AL286</x:f>
        <x:v>2.495585504117337</x:v>
      </x:c>
      <x:c r="K287" s="242" t="n">
        <x:f>AM286</x:f>
        <x:v>-2.504650874610453</x:v>
      </x:c>
      <x:c r="L287" s="242" t="n">
        <x:f>AN286</x:f>
        <x:v>1.5664852206486852</x:v>
      </x:c>
      <x:c r="M287" s="242" t="n">
        <x:f>AO286</x:f>
        <x:v>2.7369880729035603</x:v>
      </x:c>
      <x:c r="N287" s="242" t="n">
        <x:f>AP286</x:f>
        <x:v>-2.6570105594098745</x:v>
      </x:c>
      <x:c r="O287" s="242" t="n">
        <x:f>AQ286</x:f>
        <x:v>1.2055345414377112</x:v>
      </x:c>
      <x:c r="P287" s="243" t="n">
        <x:f>D287*G287+E287*H287+I287</x:f>
        <x:v>0.7379546727758513</x:v>
      </x:c>
      <x:c r="Q287" s="243" t="n">
        <x:f>1/(1+EXP(-P287))</x:f>
        <x:v>0.6765484376728463</x:v>
      </x:c>
      <x:c r="R287" s="243" t="n">
        <x:f>D287*J287+E287*K287+L287</x:f>
        <x:v>4.062070724766022</x:v>
      </x:c>
      <x:c r="S287" s="243" t="n">
        <x:f>1/(1+EXP(-R287))</x:f>
        <x:v>0.9830779469211829</x:v>
      </x:c>
      <x:c r="T287" s="243" t="n">
        <x:f>Q287*M287+S287*N287+O287</x:f>
        <x:v>0.4451910603972662</x:v>
      </x:c>
      <x:c r="U287" s="243" t="n">
        <x:f>1/(1+EXP(-T287))</x:f>
        <x:v>0.6094952590152988</x:v>
      </x:c>
      <x:c r="V287" s="243" t="n">
        <x:f>0.5*(F287-U287)^2</x:f>
        <x:v>0.0762469763657643</x:v>
      </x:c>
      <x:c r="W287" s="244" t="n">
        <x:f>(U287-F287)*U287*(1-U287)</x:f>
        <x:v>-0.09294434121836974</x:v>
      </x:c>
      <x:c r="X287" s="244" t="n">
        <x:f>W287*M287*Q287*(1-Q287)</x:f>
        <x:v>-0.055667793438475666</x:v>
      </x:c>
      <x:c r="Y287" s="244" t="n">
        <x:f>W287*N287*S287*(1-S287)</x:f>
        <x:v>0.004108253563872618</x:v>
      </x:c>
      <x:c r="Z287" s="245" t="n">
        <x:f>X287*D287</x:f>
        <x:v>-0.055667793438475666</x:v>
      </x:c>
      <x:c r="AA287" s="245" t="n">
        <x:f>X287*E287</x:f>
        <x:v>0</x:v>
      </x:c>
      <x:c r="AB287" s="245" t="n">
        <x:f>X287</x:f>
        <x:v>-0.055667793438475666</x:v>
      </x:c>
      <x:c r="AC287" s="245" t="n">
        <x:f>Y287*D287</x:f>
        <x:v>0.004108253563872618</x:v>
      </x:c>
      <x:c r="AD287" s="245" t="n">
        <x:f>Y287*E287</x:f>
        <x:v>0</x:v>
      </x:c>
      <x:c r="AE287" s="245" t="n">
        <x:f>Y287</x:f>
        <x:v>0.004108253563872618</x:v>
      </x:c>
      <x:c r="AF287" s="245" t="n">
        <x:f>W287*Q287</x:f>
        <x:v>-0.06288134884181998</x:v>
      </x:c>
      <x:c r="AG287" s="245" t="n">
        <x:f>W287*S287</x:f>
        <x:v>-0.0913715321428968</x:v>
      </x:c>
      <x:c r="AH287" s="245" t="n">
        <x:f>W287</x:f>
        <x:v>-0.09294434121836974</x:v>
      </x:c>
      <x:c r="AI287" s="246" t="n">
        <x:f>G287-$B$4*Z287</x:f>
        <x:v>2.314149805540166</x:v>
      </x:c>
      <x:c r="AJ287" s="246" t="n">
        <x:f>H287-$B$4*AA287</x:f>
        <x:v>-2.7279570843149163</x:v>
      </x:c>
      <x:c r="AK287" s="246" t="n">
        <x:f>I287-$B$4*AB287</x:f>
        <x:v>-1.4648595458873637</x:v>
      </x:c>
      <x:c r="AL287" s="246" t="n">
        <x:f>J287-$B$4*AC287</x:f>
        <x:v>2.4914772505534644</x:v>
      </x:c>
      <x:c r="AM287" s="246" t="n">
        <x:f>K287-$B$4*AD287</x:f>
        <x:v>-2.504650874610453</x:v>
      </x:c>
      <x:c r="AN287" s="246" t="n">
        <x:f>L287-$B$4*AE287</x:f>
        <x:v>1.5623769670848127</x:v>
      </x:c>
      <x:c r="AO287" s="246" t="n">
        <x:f>M287-$B$4*AF287</x:f>
        <x:v>2.79986942174538</x:v>
      </x:c>
      <x:c r="AP287" s="246" t="n">
        <x:f>N287-$B$4*AG287</x:f>
        <x:v>-2.5656390272669776</x:v>
      </x:c>
      <x:c r="AQ287" s="246" t="n">
        <x:f>O287-$B$4*AH287</x:f>
        <x:v>1.298478882656081</x:v>
      </x:c>
      <x:c r="AR287" s="182" t="n">
        <x:f>IF(U287&gt;=$B$5,1,0)</x:f>
        <x:v>1</x:v>
      </x:c>
      <x:c r="AS287" s="182" t="n">
        <x:f>IF(AR287=F287,1,0)</x:f>
        <x:v>1</x:v>
      </x:c>
      <x:c r="AT287" s="252" t="n">
        <x:f>ABS(F287-U287)</x:f>
        <x:v>0.3905047409847012</x:v>
      </x:c>
    </x:row>
    <x:row r="288">
      <x:c r="A288" s="114" t="n">
        <x:v>272</x:v>
      </x:c>
      <x:c r="B288" s="114" t="n">
        <x:v>68</x:v>
      </x:c>
      <x:c r="C288" s="114" t="n">
        <x:v>4</x:v>
      </x:c>
      <x:c r="D288" s="168" t="n">
        <x:f>$I$8</x:f>
        <x:v>1</x:v>
      </x:c>
      <x:c r="E288" s="168" t="n">
        <x:f>$J$8</x:f>
        <x:v>1</x:v>
      </x:c>
      <x:c r="F288" s="168" t="n">
        <x:f>$K$8</x:f>
        <x:v>0</x:v>
      </x:c>
      <x:c r="G288" s="242" t="n">
        <x:f>AI287</x:f>
        <x:v>2.314149805540166</x:v>
      </x:c>
      <x:c r="H288" s="242" t="n">
        <x:f>AJ287</x:f>
        <x:v>-2.7279570843149163</x:v>
      </x:c>
      <x:c r="I288" s="242" t="n">
        <x:f>AK287</x:f>
        <x:v>-1.4648595458873637</x:v>
      </x:c>
      <x:c r="J288" s="242" t="n">
        <x:f>AL287</x:f>
        <x:v>2.4914772505534644</x:v>
      </x:c>
      <x:c r="K288" s="242" t="n">
        <x:f>AM287</x:f>
        <x:v>-2.504650874610453</x:v>
      </x:c>
      <x:c r="L288" s="242" t="n">
        <x:f>AN287</x:f>
        <x:v>1.5623769670848127</x:v>
      </x:c>
      <x:c r="M288" s="242" t="n">
        <x:f>AO287</x:f>
        <x:v>2.79986942174538</x:v>
      </x:c>
      <x:c r="N288" s="242" t="n">
        <x:f>AP287</x:f>
        <x:v>-2.5656390272669776</x:v>
      </x:c>
      <x:c r="O288" s="242" t="n">
        <x:f>AQ287</x:f>
        <x:v>1.298478882656081</x:v>
      </x:c>
      <x:c r="P288" s="243" t="n">
        <x:f>D288*G288+E288*H288+I288</x:f>
        <x:v>-1.8786668246621139</x:v>
      </x:c>
      <x:c r="Q288" s="243" t="n">
        <x:f>1/(1+EXP(-P288))</x:f>
        <x:v>0.13254207986953262</x:v>
      </x:c>
      <x:c r="R288" s="243" t="n">
        <x:f>D288*J288+E288*K288+L288</x:f>
        <x:v>1.5492033430278238</x:v>
      </x:c>
      <x:c r="S288" s="243" t="n">
        <x:f>1/(1+EXP(-R288))</x:f>
        <x:v>0.8247986400347177</x:v>
      </x:c>
      <x:c r="T288" s="243" t="n">
        <x:f>Q288*M288+S288*N288+O288</x:f>
        <x:v>-0.4465561813324801</x:v>
      </x:c>
      <x:c r="U288" s="243" t="n">
        <x:f>1/(1+EXP(-T288))</x:f>
        <x:v>0.3901798760842445</x:v>
      </x:c>
      <x:c r="V288" s="243" t="n">
        <x:f>0.5*(F288-U288)^2</x:f>
        <x:v>0.0761201678505582</x:v>
      </x:c>
      <x:c r="W288" s="244" t="n">
        <x:f>(U288-F288)*U288*(1-U288)</x:f>
        <x:v>0.09283922038223101</x:v>
      </x:c>
      <x:c r="X288" s="244" t="n">
        <x:f>W288*M288*Q288*(1-Q288)</x:f>
        <x:v>0.029886252423445638</x:v>
      </x:c>
      <x:c r="Y288" s="244" t="n">
        <x:f>W288*N288*S288*(1-S288)</x:f>
        <x:v>-0.034420125320381474</x:v>
      </x:c>
      <x:c r="Z288" s="245" t="n">
        <x:f>X288*D288</x:f>
        <x:v>0.029886252423445638</x:v>
      </x:c>
      <x:c r="AA288" s="245" t="n">
        <x:f>X288*E288</x:f>
        <x:v>0.029886252423445638</x:v>
      </x:c>
      <x:c r="AB288" s="245" t="n">
        <x:f>X288</x:f>
        <x:v>0.029886252423445638</x:v>
      </x:c>
      <x:c r="AC288" s="245" t="n">
        <x:f>Y288*D288</x:f>
        <x:v>-0.034420125320381474</x:v>
      </x:c>
      <x:c r="AD288" s="245" t="n">
        <x:f>Y288*E288</x:f>
        <x:v>-0.034420125320381474</x:v>
      </x:c>
      <x:c r="AE288" s="245" t="n">
        <x:f>Y288</x:f>
        <x:v>-0.034420125320381474</x:v>
      </x:c>
      <x:c r="AF288" s="245" t="n">
        <x:f>W288*Q288</x:f>
        <x:v>0.012305103362926803</x:v>
      </x:c>
      <x:c r="AG288" s="245" t="n">
        <x:f>W288*S288</x:f>
        <x:v>0.07657366271314758</x:v>
      </x:c>
      <x:c r="AH288" s="245" t="n">
        <x:f>W288</x:f>
        <x:v>0.09283922038223101</x:v>
      </x:c>
      <x:c r="AI288" s="246" t="n">
        <x:f>G288-$B$4*Z288</x:f>
        <x:v>2.2842635531167206</x:v>
      </x:c>
      <x:c r="AJ288" s="246" t="n">
        <x:f>H288-$B$4*AA288</x:f>
        <x:v>-2.757843336738362</x:v>
      </x:c>
      <x:c r="AK288" s="246" t="n">
        <x:f>I288-$B$4*AB288</x:f>
        <x:v>-1.4947457983108092</x:v>
      </x:c>
      <x:c r="AL288" s="246" t="n">
        <x:f>J288-$B$4*AC288</x:f>
        <x:v>2.525897375873846</x:v>
      </x:c>
      <x:c r="AM288" s="246" t="n">
        <x:f>K288-$B$4*AD288</x:f>
        <x:v>-2.4702307492900717</x:v>
      </x:c>
      <x:c r="AN288" s="246" t="n">
        <x:f>L288-$B$4*AE288</x:f>
        <x:v>1.5967970924051942</x:v>
      </x:c>
      <x:c r="AO288" s="246" t="n">
        <x:f>M288-$B$4*AF288</x:f>
        <x:v>2.7875643183824534</x:v>
      </x:c>
      <x:c r="AP288" s="246" t="n">
        <x:f>N288-$B$4*AG288</x:f>
        <x:v>-2.6422126899801253</x:v>
      </x:c>
      <x:c r="AQ288" s="246" t="n">
        <x:f>O288-$B$4*AH288</x:f>
        <x:v>1.2056396622738499</x:v>
      </x:c>
      <x:c r="AR288" s="182" t="n">
        <x:f>IF(U288&gt;=$B$5,1,0)</x:f>
        <x:v>0</x:v>
      </x:c>
      <x:c r="AS288" s="182" t="n">
        <x:f>IF(AR288=F288,1,0)</x:f>
        <x:v>1</x:v>
      </x:c>
      <x:c r="AT288" s="252" t="n">
        <x:f>ABS(F288-U288)</x:f>
        <x:v>0.3901798760842445</x:v>
      </x:c>
    </x:row>
    <x:row r="289">
      <x:c r="A289" s="114" t="n">
        <x:v>273</x:v>
      </x:c>
      <x:c r="B289" s="114" t="n">
        <x:v>69</x:v>
      </x:c>
      <x:c r="C289" s="114" t="n">
        <x:v>1</x:v>
      </x:c>
      <x:c r="D289" s="168" t="n">
        <x:f>$I$5</x:f>
        <x:v>0</x:v>
      </x:c>
      <x:c r="E289" s="168" t="n">
        <x:f>$J$5</x:f>
        <x:v>0</x:v>
      </x:c>
      <x:c r="F289" s="168" t="n">
        <x:f>$K$5</x:f>
        <x:v>0</x:v>
      </x:c>
      <x:c r="G289" s="242" t="n">
        <x:f>AI288</x:f>
        <x:v>2.2842635531167206</x:v>
      </x:c>
      <x:c r="H289" s="242" t="n">
        <x:f>AJ288</x:f>
        <x:v>-2.757843336738362</x:v>
      </x:c>
      <x:c r="I289" s="242" t="n">
        <x:f>AK288</x:f>
        <x:v>-1.4947457983108092</x:v>
      </x:c>
      <x:c r="J289" s="242" t="n">
        <x:f>AL288</x:f>
        <x:v>2.525897375873846</x:v>
      </x:c>
      <x:c r="K289" s="242" t="n">
        <x:f>AM288</x:f>
        <x:v>-2.4702307492900717</x:v>
      </x:c>
      <x:c r="L289" s="242" t="n">
        <x:f>AN288</x:f>
        <x:v>1.5967970924051942</x:v>
      </x:c>
      <x:c r="M289" s="242" t="n">
        <x:f>AO288</x:f>
        <x:v>2.7875643183824534</x:v>
      </x:c>
      <x:c r="N289" s="242" t="n">
        <x:f>AP288</x:f>
        <x:v>-2.6422126899801253</x:v>
      </x:c>
      <x:c r="O289" s="242" t="n">
        <x:f>AQ288</x:f>
        <x:v>1.2056396622738499</x:v>
      </x:c>
      <x:c r="P289" s="243" t="n">
        <x:f>D289*G289+E289*H289+I289</x:f>
        <x:v>-1.4947457983108092</x:v>
      </x:c>
      <x:c r="Q289" s="243" t="n">
        <x:f>1/(1+EXP(-P289))</x:f>
        <x:v>0.18321047731463289</x:v>
      </x:c>
      <x:c r="R289" s="243" t="n">
        <x:f>D289*J289+E289*K289+L289</x:f>
        <x:v>1.5967970924051942</x:v>
      </x:c>
      <x:c r="S289" s="243" t="n">
        <x:f>1/(1+EXP(-R289))</x:f>
        <x:v>0.8315702584576042</x:v>
      </x:c>
      <x:c r="T289" s="243" t="n">
        <x:f>Q289*M289+S289*N289+O289</x:f>
        <x:v>-0.48083483791679593</x:v>
      </x:c>
      <x:c r="U289" s="243" t="n">
        <x:f>1/(1+EXP(-T289))</x:f>
        <x:v>0.38205500980159207</x:v>
      </x:c>
      <x:c r="V289" s="243" t="n">
        <x:f>0.5*(F289-U289)^2</x:f>
        <x:v>0.0729830152572473</x:v>
      </x:c>
      <x:c r="W289" s="244" t="n">
        <x:f>(U289-F289)*U289*(1-U289)</x:f>
        <x:v>0.0901989772955799</x:v>
      </x:c>
      <x:c r="X289" s="244" t="n">
        <x:f>W289*M289*Q289*(1-Q289)</x:f>
        <x:v>0.037625906730084244</x:v>
      </x:c>
      <x:c r="Y289" s="244" t="n">
        <x:f>W289*N289*S289*(1-S289)</x:f>
        <x:v>-0.033380060373832315</x:v>
      </x:c>
      <x:c r="Z289" s="245" t="n">
        <x:f>X289*D289</x:f>
        <x:v>0</x:v>
      </x:c>
      <x:c r="AA289" s="245" t="n">
        <x:f>X289*E289</x:f>
        <x:v>0</x:v>
      </x:c>
      <x:c r="AB289" s="245" t="n">
        <x:f>X289</x:f>
        <x:v>0.037625906730084244</x:v>
      </x:c>
      <x:c r="AC289" s="245" t="n">
        <x:f>Y289*D289</x:f>
        <x:v>0</x:v>
      </x:c>
      <x:c r="AD289" s="245" t="n">
        <x:f>Y289*E289</x:f>
        <x:v>0</x:v>
      </x:c>
      <x:c r="AE289" s="245" t="n">
        <x:f>Y289</x:f>
        <x:v>-0.033380060373832315</x:v>
      </x:c>
      <x:c r="AF289" s="245" t="n">
        <x:f>W289*Q289</x:f>
        <x:v>0.016525397683614926</x:v>
      </x:c>
      <x:c r="AG289" s="245" t="n">
        <x:f>W289*S289</x:f>
        <x:v>0.07500678686229695</x:v>
      </x:c>
      <x:c r="AH289" s="245" t="n">
        <x:f>W289</x:f>
        <x:v>0.0901989772955799</x:v>
      </x:c>
      <x:c r="AI289" s="246" t="n">
        <x:f>G289-$B$4*Z289</x:f>
        <x:v>2.2842635531167206</x:v>
      </x:c>
      <x:c r="AJ289" s="246" t="n">
        <x:f>H289-$B$4*AA289</x:f>
        <x:v>-2.757843336738362</x:v>
      </x:c>
      <x:c r="AK289" s="246" t="n">
        <x:f>I289-$B$4*AB289</x:f>
        <x:v>-1.5323717050408934</x:v>
      </x:c>
      <x:c r="AL289" s="246" t="n">
        <x:f>J289-$B$4*AC289</x:f>
        <x:v>2.525897375873846</x:v>
      </x:c>
      <x:c r="AM289" s="246" t="n">
        <x:f>K289-$B$4*AD289</x:f>
        <x:v>-2.4702307492900717</x:v>
      </x:c>
      <x:c r="AN289" s="246" t="n">
        <x:f>L289-$B$4*AE289</x:f>
        <x:v>1.6301771527790265</x:v>
      </x:c>
      <x:c r="AO289" s="246" t="n">
        <x:f>M289-$B$4*AF289</x:f>
        <x:v>2.7710389206988384</x:v>
      </x:c>
      <x:c r="AP289" s="246" t="n">
        <x:f>N289-$B$4*AG289</x:f>
        <x:v>-2.717219476842422</x:v>
      </x:c>
      <x:c r="AQ289" s="246" t="n">
        <x:f>O289-$B$4*AH289</x:f>
        <x:v>1.11544068497827</x:v>
      </x:c>
      <x:c r="AR289" s="182" t="n">
        <x:f>IF(U289&gt;=$B$5,1,0)</x:f>
        <x:v>0</x:v>
      </x:c>
      <x:c r="AS289" s="182" t="n">
        <x:f>IF(AR289=F289,1,0)</x:f>
        <x:v>1</x:v>
      </x:c>
      <x:c r="AT289" s="252" t="n">
        <x:f>ABS(F289-U289)</x:f>
        <x:v>0.38205500980159207</x:v>
      </x:c>
    </x:row>
    <x:row r="290">
      <x:c r="A290" s="114" t="n">
        <x:v>274</x:v>
      </x:c>
      <x:c r="B290" s="114" t="n">
        <x:v>69</x:v>
      </x:c>
      <x:c r="C290" s="114" t="n">
        <x:v>2</x:v>
      </x:c>
      <x:c r="D290" s="168" t="n">
        <x:f>$I$6</x:f>
        <x:v>0</x:v>
      </x:c>
      <x:c r="E290" s="168" t="n">
        <x:f>$J$6</x:f>
        <x:v>1</x:v>
      </x:c>
      <x:c r="F290" s="168" t="n">
        <x:f>$K$6</x:f>
        <x:v>1</x:v>
      </x:c>
      <x:c r="G290" s="242" t="n">
        <x:f>AI289</x:f>
        <x:v>2.2842635531167206</x:v>
      </x:c>
      <x:c r="H290" s="242" t="n">
        <x:f>AJ289</x:f>
        <x:v>-2.757843336738362</x:v>
      </x:c>
      <x:c r="I290" s="242" t="n">
        <x:f>AK289</x:f>
        <x:v>-1.5323717050408934</x:v>
      </x:c>
      <x:c r="J290" s="242" t="n">
        <x:f>AL289</x:f>
        <x:v>2.525897375873846</x:v>
      </x:c>
      <x:c r="K290" s="242" t="n">
        <x:f>AM289</x:f>
        <x:v>-2.4702307492900717</x:v>
      </x:c>
      <x:c r="L290" s="242" t="n">
        <x:f>AN289</x:f>
        <x:v>1.6301771527790265</x:v>
      </x:c>
      <x:c r="M290" s="242" t="n">
        <x:f>AO289</x:f>
        <x:v>2.7710389206988384</x:v>
      </x:c>
      <x:c r="N290" s="242" t="n">
        <x:f>AP289</x:f>
        <x:v>-2.717219476842422</x:v>
      </x:c>
      <x:c r="O290" s="242" t="n">
        <x:f>AQ289</x:f>
        <x:v>1.11544068497827</x:v>
      </x:c>
      <x:c r="P290" s="243" t="n">
        <x:f>D290*G290+E290*H290+I290</x:f>
        <x:v>-4.2902150417792555</x:v>
      </x:c>
      <x:c r="Q290" s="243" t="n">
        <x:f>1/(1+EXP(-P290))</x:f>
        <x:v>0.01351677196409237</x:v>
      </x:c>
      <x:c r="R290" s="243" t="n">
        <x:f>D290*J290+E290*K290+L290</x:f>
        <x:v>-0.8400535965110452</x:v>
      </x:c>
      <x:c r="S290" s="243" t="n">
        <x:f>1/(1+EXP(-R290))</x:f>
        <x:v>0.3015234960728375</x:v>
      </x:c>
      <x:c r="T290" s="243" t="n">
        <x:f>Q290*M290+S290*N290+O290</x:f>
        <x:v>0.33359066991824726</x:v>
      </x:c>
      <x:c r="U290" s="243" t="n">
        <x:f>1/(1+EXP(-T290))</x:f>
        <x:v>0.5826327847991088</x:v>
      </x:c>
      <x:c r="V290" s="243" t="n">
        <x:f>0.5*(F290-U290)^2</x:f>
        <x:v>0.08709769616227349</x:v>
      </x:c>
      <x:c r="W290" s="244" t="n">
        <x:f>(U290-F290)*U290*(1-U290)</x:f>
        <x:v>-0.10149194652922412</x:v>
      </x:c>
      <x:c r="X290" s="244" t="n">
        <x:f>W290*M290*Q290*(1-Q290)</x:f>
        <x:v>-0.0037500486387220355</x:v>
      </x:c>
      <x:c r="Y290" s="244" t="n">
        <x:f>W290*N290*S290*(1-S290)</x:f>
        <x:v>0.058080355018437724</x:v>
      </x:c>
      <x:c r="Z290" s="245" t="n">
        <x:f>X290*D290</x:f>
        <x:v>0</x:v>
      </x:c>
      <x:c r="AA290" s="245" t="n">
        <x:f>X290*E290</x:f>
        <x:v>-0.0037500486387220355</x:v>
      </x:c>
      <x:c r="AB290" s="245" t="n">
        <x:f>X290</x:f>
        <x:v>-0.0037500486387220355</x:v>
      </x:c>
      <x:c r="AC290" s="245" t="n">
        <x:f>Y290*D290</x:f>
        <x:v>0</x:v>
      </x:c>
      <x:c r="AD290" s="245" t="n">
        <x:f>Y290*E290</x:f>
        <x:v>0.058080355018437724</x:v>
      </x:c>
      <x:c r="AE290" s="245" t="n">
        <x:f>Y290</x:f>
        <x:v>0.058080355018437724</x:v>
      </x:c>
      <x:c r="AF290" s="245" t="n">
        <x:f>W290*Q290</x:f>
        <x:v>-0.0013718434974273786</x:v>
      </x:c>
      <x:c r="AG290" s="245" t="n">
        <x:f>W290*S290</x:f>
        <x:v>-0.030602206540729145</x:v>
      </x:c>
      <x:c r="AH290" s="245" t="n">
        <x:f>W290</x:f>
        <x:v>-0.10149194652922412</x:v>
      </x:c>
      <x:c r="AI290" s="246" t="n">
        <x:f>G290-$B$4*Z290</x:f>
        <x:v>2.2842635531167206</x:v>
      </x:c>
      <x:c r="AJ290" s="246" t="n">
        <x:f>H290-$B$4*AA290</x:f>
        <x:v>-2.75409328809964</x:v>
      </x:c>
      <x:c r="AK290" s="246" t="n">
        <x:f>I290-$B$4*AB290</x:f>
        <x:v>-1.5286216564021713</x:v>
      </x:c>
      <x:c r="AL290" s="246" t="n">
        <x:f>J290-$B$4*AC290</x:f>
        <x:v>2.525897375873846</x:v>
      </x:c>
      <x:c r="AM290" s="246" t="n">
        <x:f>K290-$B$4*AD290</x:f>
        <x:v>-2.5283111043085094</x:v>
      </x:c>
      <x:c r="AN290" s="246" t="n">
        <x:f>L290-$B$4*AE290</x:f>
        <x:v>1.5720967977605889</x:v>
      </x:c>
      <x:c r="AO290" s="246" t="n">
        <x:f>M290-$B$4*AF290</x:f>
        <x:v>2.7724107641962656</x:v>
      </x:c>
      <x:c r="AP290" s="246" t="n">
        <x:f>N290-$B$4*AG290</x:f>
        <x:v>-2.686617270301693</x:v>
      </x:c>
      <x:c r="AQ290" s="246" t="n">
        <x:f>O290-$B$4*AH290</x:f>
        <x:v>1.2169326315074942</x:v>
      </x:c>
      <x:c r="AR290" s="182" t="n">
        <x:f>IF(U290&gt;=$B$5,1,0)</x:f>
        <x:v>1</x:v>
      </x:c>
      <x:c r="AS290" s="182" t="n">
        <x:f>IF(AR290=F290,1,0)</x:f>
        <x:v>1</x:v>
      </x:c>
      <x:c r="AT290" s="252" t="n">
        <x:f>ABS(F290-U290)</x:f>
        <x:v>0.41736721520089115</x:v>
      </x:c>
    </x:row>
    <x:row r="291">
      <x:c r="A291" s="114" t="n">
        <x:v>275</x:v>
      </x:c>
      <x:c r="B291" s="114" t="n">
        <x:v>69</x:v>
      </x:c>
      <x:c r="C291" s="114" t="n">
        <x:v>3</x:v>
      </x:c>
      <x:c r="D291" s="168" t="n">
        <x:f>$I$7</x:f>
        <x:v>1</x:v>
      </x:c>
      <x:c r="E291" s="168" t="n">
        <x:f>$J$7</x:f>
        <x:v>0</x:v>
      </x:c>
      <x:c r="F291" s="168" t="n">
        <x:f>$K$7</x:f>
        <x:v>1</x:v>
      </x:c>
      <x:c r="G291" s="242" t="n">
        <x:f>AI290</x:f>
        <x:v>2.2842635531167206</x:v>
      </x:c>
      <x:c r="H291" s="242" t="n">
        <x:f>AJ290</x:f>
        <x:v>-2.75409328809964</x:v>
      </x:c>
      <x:c r="I291" s="242" t="n">
        <x:f>AK290</x:f>
        <x:v>-1.5286216564021713</x:v>
      </x:c>
      <x:c r="J291" s="242" t="n">
        <x:f>AL290</x:f>
        <x:v>2.525897375873846</x:v>
      </x:c>
      <x:c r="K291" s="242" t="n">
        <x:f>AM290</x:f>
        <x:v>-2.5283111043085094</x:v>
      </x:c>
      <x:c r="L291" s="242" t="n">
        <x:f>AN290</x:f>
        <x:v>1.5720967977605889</x:v>
      </x:c>
      <x:c r="M291" s="242" t="n">
        <x:f>AO290</x:f>
        <x:v>2.7724107641962656</x:v>
      </x:c>
      <x:c r="N291" s="242" t="n">
        <x:f>AP290</x:f>
        <x:v>-2.686617270301693</x:v>
      </x:c>
      <x:c r="O291" s="242" t="n">
        <x:f>AQ290</x:f>
        <x:v>1.2169326315074942</x:v>
      </x:c>
      <x:c r="P291" s="243" t="n">
        <x:f>D291*G291+E291*H291+I291</x:f>
        <x:v>0.7556418967145493</x:v>
      </x:c>
      <x:c r="Q291" s="243" t="n">
        <x:f>1/(1+EXP(-P291))</x:f>
        <x:v>0.6804067954751654</x:v>
      </x:c>
      <x:c r="R291" s="243" t="n">
        <x:f>D291*J291+E291*K291+L291</x:f>
        <x:v>4.097994173634435</x:v>
      </x:c>
      <x:c r="S291" s="243" t="n">
        <x:f>1/(1+EXP(-R291))</x:f>
        <x:v>0.983665302508703</x:v>
      </x:c>
      <x:c r="T291" s="243" t="n">
        <x:f>Q291*M291+S291*N291+O291</x:f>
        <x:v>0.4605675653987087</x:v>
      </x:c>
      <x:c r="U291" s="243" t="n">
        <x:f>1/(1+EXP(-T291))</x:f>
        <x:v>0.6131488097885405</x:v>
      </x:c>
      <x:c r="V291" s="243" t="n">
        <x:f>0.5*(F291-U291)^2</x:f>
        <x:v>0.07482692168401142</x:v>
      </x:c>
      <x:c r="W291" s="244" t="n">
        <x:f>(U291-F291)*U291*(1-U291)</x:f>
        <x:v>-0.09176007594138387</x:v>
      </x:c>
      <x:c r="X291" s="244" t="n">
        <x:f>W291*M291*Q291*(1-Q291)</x:f>
        <x:v>-0.05531940744416278</x:v>
      </x:c>
      <x:c r="Y291" s="244" t="n">
        <x:f>W291*N291*S291*(1-S291)</x:f>
        <x:v>0.003961120143143101</x:v>
      </x:c>
      <x:c r="Z291" s="245" t="n">
        <x:f>X291*D291</x:f>
        <x:v>-0.05531940744416278</x:v>
      </x:c>
      <x:c r="AA291" s="245" t="n">
        <x:f>X291*E291</x:f>
        <x:v>0</x:v>
      </x:c>
      <x:c r="AB291" s="245" t="n">
        <x:f>X291</x:f>
        <x:v>-0.05531940744416278</x:v>
      </x:c>
      <x:c r="AC291" s="245" t="n">
        <x:f>Y291*D291</x:f>
        <x:v>0.003961120143143101</x:v>
      </x:c>
      <x:c r="AD291" s="245" t="n">
        <x:f>Y291*E291</x:f>
        <x:v>0</x:v>
      </x:c>
      <x:c r="AE291" s="245" t="n">
        <x:f>Y291</x:f>
        <x:v>0.003961120143143101</x:v>
      </x:c>
      <x:c r="AF291" s="245" t="n">
        <x:f>W291*Q291</x:f>
        <x:v>-0.06243417922383482</x:v>
      </x:c>
      <x:c r="AG291" s="245" t="n">
        <x:f>W291*S291</x:f>
        <x:v>-0.09026120285910293</x:v>
      </x:c>
      <x:c r="AH291" s="245" t="n">
        <x:f>W291</x:f>
        <x:v>-0.09176007594138387</x:v>
      </x:c>
      <x:c r="AI291" s="246" t="n">
        <x:f>G291-$B$4*Z291</x:f>
        <x:v>2.3395829605608833</x:v>
      </x:c>
      <x:c r="AJ291" s="246" t="n">
        <x:f>H291-$B$4*AA291</x:f>
        <x:v>-2.75409328809964</x:v>
      </x:c>
      <x:c r="AK291" s="246" t="n">
        <x:f>I291-$B$4*AB291</x:f>
        <x:v>-1.4733022489580085</x:v>
      </x:c>
      <x:c r="AL291" s="246" t="n">
        <x:f>J291-$B$4*AC291</x:f>
        <x:v>2.5219362557307026</x:v>
      </x:c>
      <x:c r="AM291" s="246" t="n">
        <x:f>K291-$B$4*AD291</x:f>
        <x:v>-2.5283111043085094</x:v>
      </x:c>
      <x:c r="AN291" s="246" t="n">
        <x:f>L291-$B$4*AE291</x:f>
        <x:v>1.5681356776174458</x:v>
      </x:c>
      <x:c r="AO291" s="246" t="n">
        <x:f>M291-$B$4*AF291</x:f>
        <x:v>2.8348449434201006</x:v>
      </x:c>
      <x:c r="AP291" s="246" t="n">
        <x:f>N291-$B$4*AG291</x:f>
        <x:v>-2.5963560674425903</x:v>
      </x:c>
      <x:c r="AQ291" s="246" t="n">
        <x:f>O291-$B$4*AH291</x:f>
        <x:v>1.3086927074488781</x:v>
      </x:c>
      <x:c r="AR291" s="182" t="n">
        <x:f>IF(U291&gt;=$B$5,1,0)</x:f>
        <x:v>1</x:v>
      </x:c>
      <x:c r="AS291" s="182" t="n">
        <x:f>IF(AR291=F291,1,0)</x:f>
        <x:v>1</x:v>
      </x:c>
      <x:c r="AT291" s="252" t="n">
        <x:f>ABS(F291-U291)</x:f>
        <x:v>0.38685119021145953</x:v>
      </x:c>
    </x:row>
    <x:row r="292">
      <x:c r="A292" s="114" t="n">
        <x:v>276</x:v>
      </x:c>
      <x:c r="B292" s="114" t="n">
        <x:v>69</x:v>
      </x:c>
      <x:c r="C292" s="114" t="n">
        <x:v>4</x:v>
      </x:c>
      <x:c r="D292" s="168" t="n">
        <x:f>$I$8</x:f>
        <x:v>1</x:v>
      </x:c>
      <x:c r="E292" s="168" t="n">
        <x:f>$J$8</x:f>
        <x:v>1</x:v>
      </x:c>
      <x:c r="F292" s="168" t="n">
        <x:f>$K$8</x:f>
        <x:v>0</x:v>
      </x:c>
      <x:c r="G292" s="242" t="n">
        <x:f>AI291</x:f>
        <x:v>2.3395829605608833</x:v>
      </x:c>
      <x:c r="H292" s="242" t="n">
        <x:f>AJ291</x:f>
        <x:v>-2.75409328809964</x:v>
      </x:c>
      <x:c r="I292" s="242" t="n">
        <x:f>AK291</x:f>
        <x:v>-1.4733022489580085</x:v>
      </x:c>
      <x:c r="J292" s="242" t="n">
        <x:f>AL291</x:f>
        <x:v>2.5219362557307026</x:v>
      </x:c>
      <x:c r="K292" s="242" t="n">
        <x:f>AM291</x:f>
        <x:v>-2.5283111043085094</x:v>
      </x:c>
      <x:c r="L292" s="242" t="n">
        <x:f>AN291</x:f>
        <x:v>1.5681356776174458</x:v>
      </x:c>
      <x:c r="M292" s="242" t="n">
        <x:f>AO291</x:f>
        <x:v>2.8348449434201006</x:v>
      </x:c>
      <x:c r="N292" s="242" t="n">
        <x:f>AP291</x:f>
        <x:v>-2.5963560674425903</x:v>
      </x:c>
      <x:c r="O292" s="242" t="n">
        <x:f>AQ291</x:f>
        <x:v>1.3086927074488781</x:v>
      </x:c>
      <x:c r="P292" s="243" t="n">
        <x:f>D292*G292+E292*H292+I292</x:f>
        <x:v>-1.887812576496765</x:v>
      </x:c>
      <x:c r="Q292" s="243" t="n">
        <x:f>1/(1+EXP(-P292))</x:f>
        <x:v>0.13149407930543394</x:v>
      </x:c>
      <x:c r="R292" s="243" t="n">
        <x:f>D292*J292+E292*K292+L292</x:f>
        <x:v>1.561760829039639</x:v>
      </x:c>
      <x:c r="S292" s="243" t="n">
        <x:f>1/(1+EXP(-R292))</x:f>
        <x:v>0.8266058753056007</x:v>
      </x:c>
      <x:c r="T292" s="243" t="n">
        <x:f>Q292*M292+S292*N292+O292</x:f>
        <x:v>-0.4647051464758203</x:v>
      </x:c>
      <x:c r="U292" s="243" t="n">
        <x:f>1/(1+EXP(-T292))</x:f>
        <x:v>0.38587022760687273</x:v>
      </x:c>
      <x:c r="V292" s="243" t="n">
        <x:f>0.5*(F292-U292)^2</x:f>
        <x:v>0.07444791627668988</x:v>
      </x:c>
      <x:c r="W292" s="244" t="n">
        <x:f>(U292-F292)*U292*(1-U292)</x:f>
        <x:v>0.0914413637562923</x:v>
      </x:c>
      <x:c r="X292" s="244" t="n">
        <x:f>W292*M292*Q292*(1-Q292)</x:f>
        <x:v>0.029604040244285174</x:v>
      </x:c>
      <x:c r="Y292" s="244" t="n">
        <x:f>W292*N292*S292*(1-S292)</x:f>
        <x:v>-0.03402826544142539</x:v>
      </x:c>
      <x:c r="Z292" s="245" t="n">
        <x:f>X292*D292</x:f>
        <x:v>0.029604040244285174</x:v>
      </x:c>
      <x:c r="AA292" s="245" t="n">
        <x:f>X292*E292</x:f>
        <x:v>0.029604040244285174</x:v>
      </x:c>
      <x:c r="AB292" s="245" t="n">
        <x:f>X292</x:f>
        <x:v>0.029604040244285174</x:v>
      </x:c>
      <x:c r="AC292" s="245" t="n">
        <x:f>Y292*D292</x:f>
        <x:v>-0.03402826544142539</x:v>
      </x:c>
      <x:c r="AD292" s="245" t="n">
        <x:f>Y292*E292</x:f>
        <x:v>-0.03402826544142539</x:v>
      </x:c>
      <x:c r="AE292" s="245" t="n">
        <x:f>Y292</x:f>
        <x:v>-0.03402826544142539</x:v>
      </x:c>
      <x:c r="AF292" s="245" t="n">
        <x:f>W292*Q292</x:f>
        <x:v>0.012023997937566934</x:v>
      </x:c>
      <x:c r="AG292" s="245" t="n">
        <x:f>W292*S292</x:f>
        <x:v>0.07558596852690783</x:v>
      </x:c>
      <x:c r="AH292" s="245" t="n">
        <x:f>W292</x:f>
        <x:v>0.0914413637562923</x:v>
      </x:c>
      <x:c r="AI292" s="246" t="n">
        <x:f>G292-$B$4*Z292</x:f>
        <x:v>2.309978920316598</x:v>
      </x:c>
      <x:c r="AJ292" s="246" t="n">
        <x:f>H292-$B$4*AA292</x:f>
        <x:v>-2.783697328343925</x:v>
      </x:c>
      <x:c r="AK292" s="246" t="n">
        <x:f>I292-$B$4*AB292</x:f>
        <x:v>-1.5029062892022937</x:v>
      </x:c>
      <x:c r="AL292" s="246" t="n">
        <x:f>J292-$B$4*AC292</x:f>
        <x:v>2.555964521172128</x:v>
      </x:c>
      <x:c r="AM292" s="246" t="n">
        <x:f>K292-$B$4*AD292</x:f>
        <x:v>-2.494282838867084</x:v>
      </x:c>
      <x:c r="AN292" s="246" t="n">
        <x:f>L292-$B$4*AE292</x:f>
        <x:v>1.6021639430588712</x:v>
      </x:c>
      <x:c r="AO292" s="246" t="n">
        <x:f>M292-$B$4*AF292</x:f>
        <x:v>2.8228209454825337</x:v>
      </x:c>
      <x:c r="AP292" s="246" t="n">
        <x:f>N292-$B$4*AG292</x:f>
        <x:v>-2.671942035969498</x:v>
      </x:c>
      <x:c r="AQ292" s="246" t="n">
        <x:f>O292-$B$4*AH292</x:f>
        <x:v>1.2172513436925858</x:v>
      </x:c>
      <x:c r="AR292" s="182" t="n">
        <x:f>IF(U292&gt;=$B$5,1,0)</x:f>
        <x:v>0</x:v>
      </x:c>
      <x:c r="AS292" s="182" t="n">
        <x:f>IF(AR292=F292,1,0)</x:f>
        <x:v>1</x:v>
      </x:c>
      <x:c r="AT292" s="252" t="n">
        <x:f>ABS(F292-U292)</x:f>
        <x:v>0.38587022760687273</x:v>
      </x:c>
    </x:row>
    <x:row r="293">
      <x:c r="A293" s="114" t="n">
        <x:v>277</x:v>
      </x:c>
      <x:c r="B293" s="114" t="n">
        <x:v>70</x:v>
      </x:c>
      <x:c r="C293" s="114" t="n">
        <x:v>1</x:v>
      </x:c>
      <x:c r="D293" s="168" t="n">
        <x:f>$I$5</x:f>
        <x:v>0</x:v>
      </x:c>
      <x:c r="E293" s="168" t="n">
        <x:f>$J$5</x:f>
        <x:v>0</x:v>
      </x:c>
      <x:c r="F293" s="168" t="n">
        <x:f>$K$5</x:f>
        <x:v>0</x:v>
      </x:c>
      <x:c r="G293" s="242" t="n">
        <x:f>AI292</x:f>
        <x:v>2.309978920316598</x:v>
      </x:c>
      <x:c r="H293" s="242" t="n">
        <x:f>AJ292</x:f>
        <x:v>-2.783697328343925</x:v>
      </x:c>
      <x:c r="I293" s="242" t="n">
        <x:f>AK292</x:f>
        <x:v>-1.5029062892022937</x:v>
      </x:c>
      <x:c r="J293" s="242" t="n">
        <x:f>AL292</x:f>
        <x:v>2.555964521172128</x:v>
      </x:c>
      <x:c r="K293" s="242" t="n">
        <x:f>AM292</x:f>
        <x:v>-2.494282838867084</x:v>
      </x:c>
      <x:c r="L293" s="242" t="n">
        <x:f>AN292</x:f>
        <x:v>1.6021639430588712</x:v>
      </x:c>
      <x:c r="M293" s="242" t="n">
        <x:f>AO292</x:f>
        <x:v>2.8228209454825337</x:v>
      </x:c>
      <x:c r="N293" s="242" t="n">
        <x:f>AP292</x:f>
        <x:v>-2.671942035969498</x:v>
      </x:c>
      <x:c r="O293" s="242" t="n">
        <x:f>AQ292</x:f>
        <x:v>1.2172513436925858</x:v>
      </x:c>
      <x:c r="P293" s="243" t="n">
        <x:f>D293*G293+E293*H293+I293</x:f>
        <x:v>-1.5029062892022937</x:v>
      </x:c>
      <x:c r="Q293" s="243" t="n">
        <x:f>1/(1+EXP(-P293))</x:f>
        <x:v>0.18199246108894876</x:v>
      </x:c>
      <x:c r="R293" s="243" t="n">
        <x:f>D293*J293+E293*K293+L293</x:f>
        <x:v>1.6021639430588712</x:v>
      </x:c>
      <x:c r="S293" s="243" t="n">
        <x:f>1/(1+EXP(-R293))</x:f>
        <x:v>0.8323206087651518</x:v>
      </x:c>
      <x:c r="T293" s="243" t="n">
        <x:f>Q293*M293+S293*N293+O293</x:f>
        <x:v>-0.4929289471889462</x:v>
      </x:c>
      <x:c r="U293" s="243" t="n">
        <x:f>1/(1+EXP(-T293))</x:f>
        <x:v>0.37920382568295063</x:v>
      </x:c>
      <x:c r="V293" s="243" t="n">
        <x:f>0.5*(F293-U293)^2</x:f>
        <x:v>0.0718977707062928</x:v>
      </x:c>
      <x:c r="W293" s="244" t="n">
        <x:f>(U293-F293)*U293*(1-U293)</x:f>
        <x:v>0.08926772199278199</x:v>
      </x:c>
      <x:c r="X293" s="244" t="n">
        <x:f>W293*M293*Q293*(1-Q293)</x:f>
        <x:v>0.03751357792412362</x:v>
      </x:c>
      <x:c r="Y293" s="244" t="n">
        <x:f>W293*N293*S293*(1-S293)</x:f>
        <x:v>-0.0332883156928703</x:v>
      </x:c>
      <x:c r="Z293" s="245" t="n">
        <x:f>X293*D293</x:f>
        <x:v>0</x:v>
      </x:c>
      <x:c r="AA293" s="245" t="n">
        <x:f>X293*E293</x:f>
        <x:v>0</x:v>
      </x:c>
      <x:c r="AB293" s="245" t="n">
        <x:f>X293</x:f>
        <x:v>0.03751357792412362</x:v>
      </x:c>
      <x:c r="AC293" s="245" t="n">
        <x:f>Y293*D293</x:f>
        <x:v>0</x:v>
      </x:c>
      <x:c r="AD293" s="245" t="n">
        <x:f>Y293*E293</x:f>
        <x:v>0</x:v>
      </x:c>
      <x:c r="AE293" s="245" t="n">
        <x:f>Y293</x:f>
        <x:v>-0.0332883156928703</x:v>
      </x:c>
      <x:c r="AF293" s="245" t="n">
        <x:f>W293*Q293</x:f>
        <x:v>0.01624605242127047</x:v>
      </x:c>
      <x:c r="AG293" s="245" t="n">
        <x:f>W293*S293</x:f>
        <x:v>0.07429936471211064</x:v>
      </x:c>
      <x:c r="AH293" s="245" t="n">
        <x:f>W293</x:f>
        <x:v>0.08926772199278199</x:v>
      </x:c>
      <x:c r="AI293" s="246" t="n">
        <x:f>G293-$B$4*Z293</x:f>
        <x:v>2.309978920316598</x:v>
      </x:c>
      <x:c r="AJ293" s="246" t="n">
        <x:f>H293-$B$4*AA293</x:f>
        <x:v>-2.783697328343925</x:v>
      </x:c>
      <x:c r="AK293" s="246" t="n">
        <x:f>I293-$B$4*AB293</x:f>
        <x:v>-1.5404198671264173</x:v>
      </x:c>
      <x:c r="AL293" s="246" t="n">
        <x:f>J293-$B$4*AC293</x:f>
        <x:v>2.555964521172128</x:v>
      </x:c>
      <x:c r="AM293" s="246" t="n">
        <x:f>K293-$B$4*AD293</x:f>
        <x:v>-2.494282838867084</x:v>
      </x:c>
      <x:c r="AN293" s="246" t="n">
        <x:f>L293-$B$4*AE293</x:f>
        <x:v>1.6354522587517415</x:v>
      </x:c>
      <x:c r="AO293" s="246" t="n">
        <x:f>M293-$B$4*AF293</x:f>
        <x:v>2.806574893061263</x:v>
      </x:c>
      <x:c r="AP293" s="246" t="n">
        <x:f>N293-$B$4*AG293</x:f>
        <x:v>-2.7462414006816087</x:v>
      </x:c>
      <x:c r="AQ293" s="246" t="n">
        <x:f>O293-$B$4*AH293</x:f>
        <x:v>1.1279836216998038</x:v>
      </x:c>
      <x:c r="AR293" s="182" t="n">
        <x:f>IF(U293&gt;=$B$5,1,0)</x:f>
        <x:v>0</x:v>
      </x:c>
      <x:c r="AS293" s="182" t="n">
        <x:f>IF(AR293=F293,1,0)</x:f>
        <x:v>1</x:v>
      </x:c>
      <x:c r="AT293" s="252" t="n">
        <x:f>ABS(F293-U293)</x:f>
        <x:v>0.37920382568295063</x:v>
      </x:c>
    </x:row>
    <x:row r="294">
      <x:c r="A294" s="114" t="n">
        <x:v>278</x:v>
      </x:c>
      <x:c r="B294" s="114" t="n">
        <x:v>70</x:v>
      </x:c>
      <x:c r="C294" s="114" t="n">
        <x:v>2</x:v>
      </x:c>
      <x:c r="D294" s="168" t="n">
        <x:f>$I$6</x:f>
        <x:v>0</x:v>
      </x:c>
      <x:c r="E294" s="168" t="n">
        <x:f>$J$6</x:f>
        <x:v>1</x:v>
      </x:c>
      <x:c r="F294" s="168" t="n">
        <x:f>$K$6</x:f>
        <x:v>1</x:v>
      </x:c>
      <x:c r="G294" s="242" t="n">
        <x:f>AI293</x:f>
        <x:v>2.309978920316598</x:v>
      </x:c>
      <x:c r="H294" s="242" t="n">
        <x:f>AJ293</x:f>
        <x:v>-2.783697328343925</x:v>
      </x:c>
      <x:c r="I294" s="242" t="n">
        <x:f>AK293</x:f>
        <x:v>-1.5404198671264173</x:v>
      </x:c>
      <x:c r="J294" s="242" t="n">
        <x:f>AL293</x:f>
        <x:v>2.555964521172128</x:v>
      </x:c>
      <x:c r="K294" s="242" t="n">
        <x:f>AM293</x:f>
        <x:v>-2.494282838867084</x:v>
      </x:c>
      <x:c r="L294" s="242" t="n">
        <x:f>AN293</x:f>
        <x:v>1.6354522587517415</x:v>
      </x:c>
      <x:c r="M294" s="242" t="n">
        <x:f>AO293</x:f>
        <x:v>2.806574893061263</x:v>
      </x:c>
      <x:c r="N294" s="242" t="n">
        <x:f>AP293</x:f>
        <x:v>-2.7462414006816087</x:v>
      </x:c>
      <x:c r="O294" s="242" t="n">
        <x:f>AQ293</x:f>
        <x:v>1.1279836216998038</x:v>
      </x:c>
      <x:c r="P294" s="243" t="n">
        <x:f>D294*G294+E294*H294+I294</x:f>
        <x:v>-4.324117195470342</x:v>
      </x:c>
      <x:c r="Q294" s="243" t="n">
        <x:f>1/(1+EXP(-P294))</x:f>
        <x:v>0.013072094886245085</x:v>
      </x:c>
      <x:c r="R294" s="243" t="n">
        <x:f>D294*J294+E294*K294+L294</x:f>
        <x:v>-0.8588305801153424</x:v>
      </x:c>
      <x:c r="S294" s="243" t="n">
        <x:f>1/(1+EXP(-R294))</x:f>
        <x:v>0.2975837288736371</x:v>
      </x:c>
      <x:c r="T294" s="243" t="n">
        <x:f>Q294*M294+S294*N294+O294</x:f>
        <x:v>0.34743467860526056</x:v>
      </x:c>
      <x:c r="U294" s="243" t="n">
        <x:f>1/(1+EXP(-T294))</x:f>
        <x:v>0.5859953572440848</x:v>
      </x:c>
      <x:c r="V294" s="243" t="n">
        <x:f>0.5*(F294-U294)^2</x:f>
        <x:v>0.08569992211172649</x:v>
      </x:c>
      <x:c r="W294" s="244" t="n">
        <x:f>(U294-F294)*U294*(1-U294)</x:f>
        <x:v>-0.1004395129473028</x:v>
      </x:c>
      <x:c r="X294" s="244" t="n">
        <x:f>W294*M294*Q294*(1-Q294)</x:f>
        <x:v>-0.003636736657519645</x:v>
      </x:c>
      <x:c r="Y294" s="244" t="n">
        <x:f>W294*N294*S294*(1-S294)</x:f>
        <x:v>0.05765633769183256</x:v>
      </x:c>
      <x:c r="Z294" s="245" t="n">
        <x:f>X294*D294</x:f>
        <x:v>0</x:v>
      </x:c>
      <x:c r="AA294" s="245" t="n">
        <x:f>X294*E294</x:f>
        <x:v>-0.003636736657519645</x:v>
      </x:c>
      <x:c r="AB294" s="245" t="n">
        <x:f>X294</x:f>
        <x:v>-0.003636736657519645</x:v>
      </x:c>
      <x:c r="AC294" s="245" t="n">
        <x:f>Y294*D294</x:f>
        <x:v>0</x:v>
      </x:c>
      <x:c r="AD294" s="245" t="n">
        <x:f>Y294*E294</x:f>
        <x:v>0.05765633769183256</x:v>
      </x:c>
      <x:c r="AE294" s="245" t="n">
        <x:f>Y294</x:f>
        <x:v>0.05765633769183256</x:v>
      </x:c>
      <x:c r="AF294" s="245" t="n">
        <x:f>W294*Q294</x:f>
        <x:v>-0.0013129548435753839</x:v>
      </x:c>
      <x:c r="AG294" s="245" t="n">
        <x:f>W294*S294</x:f>
        <x:v>-0.029889164789110318</x:v>
      </x:c>
      <x:c r="AH294" s="245" t="n">
        <x:f>W294</x:f>
        <x:v>-0.1004395129473028</x:v>
      </x:c>
      <x:c r="AI294" s="246" t="n">
        <x:f>G294-$B$4*Z294</x:f>
        <x:v>2.309978920316598</x:v>
      </x:c>
      <x:c r="AJ294" s="246" t="n">
        <x:f>H294-$B$4*AA294</x:f>
        <x:v>-2.7800605916864054</x:v>
      </x:c>
      <x:c r="AK294" s="246" t="n">
        <x:f>I294-$B$4*AB294</x:f>
        <x:v>-1.5367831304688977</x:v>
      </x:c>
      <x:c r="AL294" s="246" t="n">
        <x:f>J294-$B$4*AC294</x:f>
        <x:v>2.555964521172128</x:v>
      </x:c>
      <x:c r="AM294" s="246" t="n">
        <x:f>K294-$B$4*AD294</x:f>
        <x:v>-2.5519391765589163</x:v>
      </x:c>
      <x:c r="AN294" s="246" t="n">
        <x:f>L294-$B$4*AE294</x:f>
        <x:v>1.5777959210599088</x:v>
      </x:c>
      <x:c r="AO294" s="246" t="n">
        <x:f>M294-$B$4*AF294</x:f>
        <x:v>2.8078878479048384</x:v>
      </x:c>
      <x:c r="AP294" s="246" t="n">
        <x:f>N294-$B$4*AG294</x:f>
        <x:v>-2.7163522358924985</x:v>
      </x:c>
      <x:c r="AQ294" s="246" t="n">
        <x:f>O294-$B$4*AH294</x:f>
        <x:v>1.2284231346471066</x:v>
      </x:c>
      <x:c r="AR294" s="182" t="n">
        <x:f>IF(U294&gt;=$B$5,1,0)</x:f>
        <x:v>1</x:v>
      </x:c>
      <x:c r="AS294" s="182" t="n">
        <x:f>IF(AR294=F294,1,0)</x:f>
        <x:v>1</x:v>
      </x:c>
      <x:c r="AT294" s="252" t="n">
        <x:f>ABS(F294-U294)</x:f>
        <x:v>0.4140046427559152</x:v>
      </x:c>
    </x:row>
    <x:row r="295">
      <x:c r="A295" s="114" t="n">
        <x:v>279</x:v>
      </x:c>
      <x:c r="B295" s="114" t="n">
        <x:v>70</x:v>
      </x:c>
      <x:c r="C295" s="114" t="n">
        <x:v>3</x:v>
      </x:c>
      <x:c r="D295" s="168" t="n">
        <x:f>$I$7</x:f>
        <x:v>1</x:v>
      </x:c>
      <x:c r="E295" s="168" t="n">
        <x:f>$J$7</x:f>
        <x:v>0</x:v>
      </x:c>
      <x:c r="F295" s="168" t="n">
        <x:f>$K$7</x:f>
        <x:v>1</x:v>
      </x:c>
      <x:c r="G295" s="242" t="n">
        <x:f>AI294</x:f>
        <x:v>2.309978920316598</x:v>
      </x:c>
      <x:c r="H295" s="242" t="n">
        <x:f>AJ294</x:f>
        <x:v>-2.7800605916864054</x:v>
      </x:c>
      <x:c r="I295" s="242" t="n">
        <x:f>AK294</x:f>
        <x:v>-1.5367831304688977</x:v>
      </x:c>
      <x:c r="J295" s="242" t="n">
        <x:f>AL294</x:f>
        <x:v>2.555964521172128</x:v>
      </x:c>
      <x:c r="K295" s="242" t="n">
        <x:f>AM294</x:f>
        <x:v>-2.5519391765589163</x:v>
      </x:c>
      <x:c r="L295" s="242" t="n">
        <x:f>AN294</x:f>
        <x:v>1.5777959210599088</x:v>
      </x:c>
      <x:c r="M295" s="242" t="n">
        <x:f>AO294</x:f>
        <x:v>2.8078878479048384</x:v>
      </x:c>
      <x:c r="N295" s="242" t="n">
        <x:f>AP294</x:f>
        <x:v>-2.7163522358924985</x:v>
      </x:c>
      <x:c r="O295" s="242" t="n">
        <x:f>AQ294</x:f>
        <x:v>1.2284231346471066</x:v>
      </x:c>
      <x:c r="P295" s="243" t="n">
        <x:f>D295*G295+E295*H295+I295</x:f>
        <x:v>0.7731957898477004</x:v>
      </x:c>
      <x:c r="Q295" s="243" t="n">
        <x:f>1/(1+EXP(-P295))</x:f>
        <x:v>0.6842118014554255</x:v>
      </x:c>
      <x:c r="R295" s="243" t="n">
        <x:f>D295*J295+E295*K295+L295</x:f>
        <x:v>4.133760442232036</x:v>
      </x:c>
      <x:c r="S295" s="243" t="n">
        <x:f>1/(1+EXP(-R295))</x:f>
        <x:v>0.9842301588385305</x:v>
      </x:c>
      <x:c r="T295" s="243" t="n">
        <x:f>Q295*M295+S295*N295+O295</x:f>
        <x:v>0.4760973447530028</x:v>
      </x:c>
      <x:c r="U295" s="243" t="n">
        <x:f>1/(1+EXP(-T295))</x:f>
        <x:v>0.6168258970575551</x:v>
      </x:c>
      <x:c r="V295" s="243" t="n">
        <x:f>0.5*(F295-U295)^2</x:f>
        <x:v>0.07341119658287369</x:v>
      </x:c>
      <x:c r="W295" s="244" t="n">
        <x:f>(U295-F295)*U295*(1-U295)</x:f>
        <x:v>-0.09056385437259916</x:v>
      </x:c>
      <x:c r="X295" s="244" t="n">
        <x:f>W295*M295*Q295*(1-Q295)</x:f>
        <x:v>-0.05494410602006351</x:v>
      </x:c>
      <x:c r="Y295" s="244" t="n">
        <x:f>W295*N295*S295*(1-S295)</x:f>
        <x:v>0.0038182553640216206</x:v>
      </x:c>
      <x:c r="Z295" s="245" t="n">
        <x:f>X295*D295</x:f>
        <x:v>-0.05494410602006351</x:v>
      </x:c>
      <x:c r="AA295" s="245" t="n">
        <x:f>X295*E295</x:f>
        <x:v>0</x:v>
      </x:c>
      <x:c r="AB295" s="245" t="n">
        <x:f>X295</x:f>
        <x:v>-0.05494410602006351</x:v>
      </x:c>
      <x:c r="AC295" s="245" t="n">
        <x:f>Y295*D295</x:f>
        <x:v>0.0038182553640216206</x:v>
      </x:c>
      <x:c r="AD295" s="245" t="n">
        <x:f>Y295*E295</x:f>
        <x:v>0</x:v>
      </x:c>
      <x:c r="AE295" s="245" t="n">
        <x:f>Y295</x:f>
        <x:v>0.0038182553640216206</x:v>
      </x:c>
      <x:c r="AF295" s="245" t="n">
        <x:f>W295*Q295</x:f>
        <x:v>-0.06196485794702288</x:v>
      </x:c>
      <x:c r="AG295" s="245" t="n">
        <x:f>W295*S295</x:f>
        <x:v>-0.08913567677417282</x:v>
      </x:c>
      <x:c r="AH295" s="245" t="n">
        <x:f>W295</x:f>
        <x:v>-0.09056385437259916</x:v>
      </x:c>
      <x:c r="AI295" s="246" t="n">
        <x:f>G295-$B$4*Z295</x:f>
        <x:v>2.364923026336662</x:v>
      </x:c>
      <x:c r="AJ295" s="246" t="n">
        <x:f>H295-$B$4*AA295</x:f>
        <x:v>-2.7800605916864054</x:v>
      </x:c>
      <x:c r="AK295" s="246" t="n">
        <x:f>I295-$B$4*AB295</x:f>
        <x:v>-1.4818390244488342</x:v>
      </x:c>
      <x:c r="AL295" s="246" t="n">
        <x:f>J295-$B$4*AC295</x:f>
        <x:v>2.552146265808106</x:v>
      </x:c>
      <x:c r="AM295" s="246" t="n">
        <x:f>K295-$B$4*AD295</x:f>
        <x:v>-2.5519391765589163</x:v>
      </x:c>
      <x:c r="AN295" s="246" t="n">
        <x:f>L295-$B$4*AE295</x:f>
        <x:v>1.5739776656958873</x:v>
      </x:c>
      <x:c r="AO295" s="246" t="n">
        <x:f>M295-$B$4*AF295</x:f>
        <x:v>2.8698527058518613</x:v>
      </x:c>
      <x:c r="AP295" s="246" t="n">
        <x:f>N295-$B$4*AG295</x:f>
        <x:v>-2.6272165591183256</x:v>
      </x:c>
      <x:c r="AQ295" s="246" t="n">
        <x:f>O295-$B$4*AH295</x:f>
        <x:v>1.3189869890197057</x:v>
      </x:c>
      <x:c r="AR295" s="182" t="n">
        <x:f>IF(U295&gt;=$B$5,1,0)</x:f>
        <x:v>1</x:v>
      </x:c>
      <x:c r="AS295" s="182" t="n">
        <x:f>IF(AR295=F295,1,0)</x:f>
        <x:v>1</x:v>
      </x:c>
      <x:c r="AT295" s="252" t="n">
        <x:f>ABS(F295-U295)</x:f>
        <x:v>0.3831741029424449</x:v>
      </x:c>
    </x:row>
    <x:row r="296">
      <x:c r="A296" s="114" t="n">
        <x:v>280</x:v>
      </x:c>
      <x:c r="B296" s="114" t="n">
        <x:v>70</x:v>
      </x:c>
      <x:c r="C296" s="114" t="n">
        <x:v>4</x:v>
      </x:c>
      <x:c r="D296" s="168" t="n">
        <x:f>$I$8</x:f>
        <x:v>1</x:v>
      </x:c>
      <x:c r="E296" s="168" t="n">
        <x:f>$J$8</x:f>
        <x:v>1</x:v>
      </x:c>
      <x:c r="F296" s="168" t="n">
        <x:f>$K$8</x:f>
        <x:v>0</x:v>
      </x:c>
      <x:c r="G296" s="242" t="n">
        <x:f>AI295</x:f>
        <x:v>2.364923026336662</x:v>
      </x:c>
      <x:c r="H296" s="242" t="n">
        <x:f>AJ295</x:f>
        <x:v>-2.7800605916864054</x:v>
      </x:c>
      <x:c r="I296" s="242" t="n">
        <x:f>AK295</x:f>
        <x:v>-1.4818390244488342</x:v>
      </x:c>
      <x:c r="J296" s="242" t="n">
        <x:f>AL295</x:f>
        <x:v>2.552146265808106</x:v>
      </x:c>
      <x:c r="K296" s="242" t="n">
        <x:f>AM295</x:f>
        <x:v>-2.5519391765589163</x:v>
      </x:c>
      <x:c r="L296" s="242" t="n">
        <x:f>AN295</x:f>
        <x:v>1.5739776656958873</x:v>
      </x:c>
      <x:c r="M296" s="242" t="n">
        <x:f>AO295</x:f>
        <x:v>2.8698527058518613</x:v>
      </x:c>
      <x:c r="N296" s="242" t="n">
        <x:f>AP295</x:f>
        <x:v>-2.6272165591183256</x:v>
      </x:c>
      <x:c r="O296" s="242" t="n">
        <x:f>AQ295</x:f>
        <x:v>1.3189869890197057</x:v>
      </x:c>
      <x:c r="P296" s="243" t="n">
        <x:f>D296*G296+E296*H296+I296</x:f>
        <x:v>-1.8969765897985778</x:v>
      </x:c>
      <x:c r="Q296" s="243" t="n">
        <x:f>1/(1+EXP(-P296))</x:f>
        <x:v>0.13045104756368806</x:v>
      </x:c>
      <x:c r="R296" s="243" t="n">
        <x:f>D296*J296+E296*K296+L296</x:f>
        <x:v>1.5741847549450771</x:v>
      </x:c>
      <x:c r="S296" s="243" t="n">
        <x:f>1/(1+EXP(-R296))</x:f>
        <x:v>0.8283793601101679</x:v>
      </x:c>
      <x:c r="T296" s="243" t="n">
        <x:f>Q296*M296+S296*N296+O296</x:f>
        <x:v>-0.48296969126170963</x:v>
      </x:c>
      <x:c r="U296" s="243" t="n">
        <x:f>1/(1+EXP(-T296))</x:f>
        <x:v>0.3815511215225191</x:v>
      </x:c>
      <x:c r="V296" s="243" t="n">
        <x:f>0.5*(F296-U296)^2</x:f>
        <x:v>0.07279062916754606</x:v>
      </x:c>
      <x:c r="W296" s="244" t="n">
        <x:f>(U296-F296)*U296*(1-U296)</x:f>
        <x:v>0.09003456594467812</x:v>
      </x:c>
      <x:c r="X296" s="244" t="n">
        <x:f>W296*M296*Q296*(1-Q296)</x:f>
        <x:v>0.029309640370891645</x:v>
      </x:c>
      <x:c r="Y296" s="244" t="n">
        <x:f>W296*N296*S296*(1-S296)</x:f>
        <x:v>-0.033628224210832905</x:v>
      </x:c>
      <x:c r="Z296" s="245" t="n">
        <x:f>X296*D296</x:f>
        <x:v>0.029309640370891645</x:v>
      </x:c>
      <x:c r="AA296" s="245" t="n">
        <x:f>X296*E296</x:f>
        <x:v>0.029309640370891645</x:v>
      </x:c>
      <x:c r="AB296" s="245" t="n">
        <x:f>X296</x:f>
        <x:v>0.029309640370891645</x:v>
      </x:c>
      <x:c r="AC296" s="245" t="n">
        <x:f>Y296*D296</x:f>
        <x:v>-0.033628224210832905</x:v>
      </x:c>
      <x:c r="AD296" s="245" t="n">
        <x:f>Y296*E296</x:f>
        <x:v>-0.033628224210832905</x:v>
      </x:c>
      <x:c r="AE296" s="245" t="n">
        <x:f>Y296</x:f>
        <x:v>-0.033628224210832905</x:v>
      </x:c>
      <x:c r="AF296" s="245" t="n">
        <x:f>W296*Q296</x:f>
        <x:v>0.011745103444425215</x:v>
      </x:c>
      <x:c r="AG296" s="245" t="n">
        <x:f>W296*S296</x:f>
        <x:v>0.07458277612504918</x:v>
      </x:c>
      <x:c r="AH296" s="245" t="n">
        <x:f>W296</x:f>
        <x:v>0.09003456594467812</x:v>
      </x:c>
      <x:c r="AI296" s="246" t="n">
        <x:f>G296-$B$4*Z296</x:f>
        <x:v>2.3356133859657704</x:v>
      </x:c>
      <x:c r="AJ296" s="246" t="n">
        <x:f>H296-$B$4*AA296</x:f>
        <x:v>-2.809370232057297</x:v>
      </x:c>
      <x:c r="AK296" s="246" t="n">
        <x:f>I296-$B$4*AB296</x:f>
        <x:v>-1.5111486648197259</x:v>
      </x:c>
      <x:c r="AL296" s="246" t="n">
        <x:f>J296-$B$4*AC296</x:f>
        <x:v>2.585774490018939</x:v>
      </x:c>
      <x:c r="AM296" s="246" t="n">
        <x:f>K296-$B$4*AD296</x:f>
        <x:v>-2.5183109523480836</x:v>
      </x:c>
      <x:c r="AN296" s="246" t="n">
        <x:f>L296-$B$4*AE296</x:f>
        <x:v>1.6076058899067203</x:v>
      </x:c>
      <x:c r="AO296" s="246" t="n">
        <x:f>M296-$B$4*AF296</x:f>
        <x:v>2.858107602407436</x:v>
      </x:c>
      <x:c r="AP296" s="246" t="n">
        <x:f>N296-$B$4*AG296</x:f>
        <x:v>-2.7017993352433747</x:v>
      </x:c>
      <x:c r="AQ296" s="246" t="n">
        <x:f>O296-$B$4*AH296</x:f>
        <x:v>1.2289524230750275</x:v>
      </x:c>
      <x:c r="AR296" s="182" t="n">
        <x:f>IF(U296&gt;=$B$5,1,0)</x:f>
        <x:v>0</x:v>
      </x:c>
      <x:c r="AS296" s="182" t="n">
        <x:f>IF(AR296=F296,1,0)</x:f>
        <x:v>1</x:v>
      </x:c>
      <x:c r="AT296" s="252" t="n">
        <x:f>ABS(F296-U296)</x:f>
        <x:v>0.3815511215225191</x:v>
      </x:c>
    </x:row>
    <x:row r="297">
      <x:c r="A297" s="114" t="n">
        <x:v>281</x:v>
      </x:c>
      <x:c r="B297" s="114" t="n">
        <x:v>71</x:v>
      </x:c>
      <x:c r="C297" s="114" t="n">
        <x:v>1</x:v>
      </x:c>
      <x:c r="D297" s="168" t="n">
        <x:f>$I$5</x:f>
        <x:v>0</x:v>
      </x:c>
      <x:c r="E297" s="168" t="n">
        <x:f>$J$5</x:f>
        <x:v>0</x:v>
      </x:c>
      <x:c r="F297" s="168" t="n">
        <x:f>$K$5</x:f>
        <x:v>0</x:v>
      </x:c>
      <x:c r="G297" s="242" t="n">
        <x:f>AI296</x:f>
        <x:v>2.3356133859657704</x:v>
      </x:c>
      <x:c r="H297" s="242" t="n">
        <x:f>AJ296</x:f>
        <x:v>-2.809370232057297</x:v>
      </x:c>
      <x:c r="I297" s="242" t="n">
        <x:f>AK296</x:f>
        <x:v>-1.5111486648197259</x:v>
      </x:c>
      <x:c r="J297" s="242" t="n">
        <x:f>AL296</x:f>
        <x:v>2.585774490018939</x:v>
      </x:c>
      <x:c r="K297" s="242" t="n">
        <x:f>AM296</x:f>
        <x:v>-2.5183109523480836</x:v>
      </x:c>
      <x:c r="L297" s="242" t="n">
        <x:f>AN296</x:f>
        <x:v>1.6076058899067203</x:v>
      </x:c>
      <x:c r="M297" s="242" t="n">
        <x:f>AO296</x:f>
        <x:v>2.858107602407436</x:v>
      </x:c>
      <x:c r="N297" s="242" t="n">
        <x:f>AP296</x:f>
        <x:v>-2.7017993352433747</x:v>
      </x:c>
      <x:c r="O297" s="242" t="n">
        <x:f>AQ296</x:f>
        <x:v>1.2289524230750275</x:v>
      </x:c>
      <x:c r="P297" s="243" t="n">
        <x:f>D297*G297+E297*H297+I297</x:f>
        <x:v>-1.5111486648197259</x:v>
      </x:c>
      <x:c r="Q297" s="243" t="n">
        <x:f>1/(1+EXP(-P297))</x:f>
        <x:v>0.18076862347250186</x:v>
      </x:c>
      <x:c r="R297" s="243" t="n">
        <x:f>D297*J297+E297*K297+L297</x:f>
        <x:v>1.6076058899067203</x:v>
      </x:c>
      <x:c r="S297" s="243" t="n">
        <x:f>1/(1+EXP(-R297))</x:f>
        <x:v>0.8330787303518307</x:v>
      </x:c>
      <x:c r="T297" s="243" t="n">
        <x:f>Q297*M297+S297*N297+O297</x:f>
        <x:v>-0.505202959771458</x:v>
      </x:c>
      <x:c r="U297" s="243" t="n">
        <x:f>1/(1+EXP(-T297))</x:f>
        <x:v>0.376318735250125</x:v>
      </x:c>
      <x:c r="V297" s="243" t="n">
        <x:f>0.5*(F297-U297)^2</x:f>
        <x:v>0.07080789525012683</x:v>
      </x:c>
      <x:c r="W297" s="244" t="n">
        <x:f>(U297-F297)*U297*(1-U297)</x:f>
        <x:v>0.08832311532775154</x:v>
      </x:c>
      <x:c r="X297" s="244" t="n">
        <x:f>W297*M297*Q297*(1-Q297)</x:f>
        <x:v>0.037383725797243104</x:v>
      </x:c>
      <x:c r="Y297" s="244" t="n">
        <x:f>W297*N297*S297*(1-S297)</x:f>
        <x:v>-0.033183729569505965</x:v>
      </x:c>
      <x:c r="Z297" s="245" t="n">
        <x:f>X297*D297</x:f>
        <x:v>0</x:v>
      </x:c>
      <x:c r="AA297" s="245" t="n">
        <x:f>X297*E297</x:f>
        <x:v>0</x:v>
      </x:c>
      <x:c r="AB297" s="245" t="n">
        <x:f>X297</x:f>
        <x:v>0.037383725797243104</x:v>
      </x:c>
      <x:c r="AC297" s="245" t="n">
        <x:f>Y297*D297</x:f>
        <x:v>0</x:v>
      </x:c>
      <x:c r="AD297" s="245" t="n">
        <x:f>Y297*E297</x:f>
        <x:v>0</x:v>
      </x:c>
      <x:c r="AE297" s="245" t="n">
        <x:f>Y297</x:f>
        <x:v>-0.033183729569505965</x:v>
      </x:c>
      <x:c r="AF297" s="245" t="n">
        <x:f>W297*Q297</x:f>
        <x:v>0.015966047978600677</x:v>
      </x:c>
      <x:c r="AG297" s="245" t="n">
        <x:f>W297*S297</x:f>
        <x:v>0.07358010877796158</x:v>
      </x:c>
      <x:c r="AH297" s="245" t="n">
        <x:f>W297</x:f>
        <x:v>0.08832311532775154</x:v>
      </x:c>
      <x:c r="AI297" s="246" t="n">
        <x:f>G297-$B$4*Z297</x:f>
        <x:v>2.3356133859657704</x:v>
      </x:c>
      <x:c r="AJ297" s="246" t="n">
        <x:f>H297-$B$4*AA297</x:f>
        <x:v>-2.809370232057297</x:v>
      </x:c>
      <x:c r="AK297" s="246" t="n">
        <x:f>I297-$B$4*AB297</x:f>
        <x:v>-1.548532390616969</x:v>
      </x:c>
      <x:c r="AL297" s="246" t="n">
        <x:f>J297-$B$4*AC297</x:f>
        <x:v>2.585774490018939</x:v>
      </x:c>
      <x:c r="AM297" s="246" t="n">
        <x:f>K297-$B$4*AD297</x:f>
        <x:v>-2.5183109523480836</x:v>
      </x:c>
      <x:c r="AN297" s="246" t="n">
        <x:f>L297-$B$4*AE297</x:f>
        <x:v>1.6407896194762261</x:v>
      </x:c>
      <x:c r="AO297" s="246" t="n">
        <x:f>M297-$B$4*AF297</x:f>
        <x:v>2.842141554428835</x:v>
      </x:c>
      <x:c r="AP297" s="246" t="n">
        <x:f>N297-$B$4*AG297</x:f>
        <x:v>-2.775379444021336</x:v>
      </x:c>
      <x:c r="AQ297" s="246" t="n">
        <x:f>O297-$B$4*AH297</x:f>
        <x:v>1.140629307747276</x:v>
      </x:c>
      <x:c r="AR297" s="182" t="n">
        <x:f>IF(U297&gt;=$B$5,1,0)</x:f>
        <x:v>0</x:v>
      </x:c>
      <x:c r="AS297" s="182" t="n">
        <x:f>IF(AR297=F297,1,0)</x:f>
        <x:v>1</x:v>
      </x:c>
      <x:c r="AT297" s="252" t="n">
        <x:f>ABS(F297-U297)</x:f>
        <x:v>0.376318735250125</x:v>
      </x:c>
    </x:row>
    <x:row r="298">
      <x:c r="A298" s="114" t="n">
        <x:v>282</x:v>
      </x:c>
      <x:c r="B298" s="114" t="n">
        <x:v>71</x:v>
      </x:c>
      <x:c r="C298" s="114" t="n">
        <x:v>2</x:v>
      </x:c>
      <x:c r="D298" s="168" t="n">
        <x:f>$I$6</x:f>
        <x:v>0</x:v>
      </x:c>
      <x:c r="E298" s="168" t="n">
        <x:f>$J$6</x:f>
        <x:v>1</x:v>
      </x:c>
      <x:c r="F298" s="168" t="n">
        <x:f>$K$6</x:f>
        <x:v>1</x:v>
      </x:c>
      <x:c r="G298" s="242" t="n">
        <x:f>AI297</x:f>
        <x:v>2.3356133859657704</x:v>
      </x:c>
      <x:c r="H298" s="242" t="n">
        <x:f>AJ297</x:f>
        <x:v>-2.809370232057297</x:v>
      </x:c>
      <x:c r="I298" s="242" t="n">
        <x:f>AK297</x:f>
        <x:v>-1.548532390616969</x:v>
      </x:c>
      <x:c r="J298" s="242" t="n">
        <x:f>AL297</x:f>
        <x:v>2.585774490018939</x:v>
      </x:c>
      <x:c r="K298" s="242" t="n">
        <x:f>AM297</x:f>
        <x:v>-2.5183109523480836</x:v>
      </x:c>
      <x:c r="L298" s="242" t="n">
        <x:f>AN297</x:f>
        <x:v>1.6407896194762261</x:v>
      </x:c>
      <x:c r="M298" s="242" t="n">
        <x:f>AO297</x:f>
        <x:v>2.842141554428835</x:v>
      </x:c>
      <x:c r="N298" s="242" t="n">
        <x:f>AP297</x:f>
        <x:v>-2.775379444021336</x:v>
      </x:c>
      <x:c r="O298" s="242" t="n">
        <x:f>AQ297</x:f>
        <x:v>1.140629307747276</x:v>
      </x:c>
      <x:c r="P298" s="243" t="n">
        <x:f>D298*G298+E298*H298+I298</x:f>
        <x:v>-4.357902622674266</x:v>
      </x:c>
      <x:c r="Q298" s="243" t="n">
        <x:f>1/(1+EXP(-P298))</x:f>
        <x:v>0.01264331646634166</x:v>
      </x:c>
      <x:c r="R298" s="243" t="n">
        <x:f>D298*J298+E298*K298+L298</x:f>
        <x:v>-0.8775213328718574</x:v>
      </x:c>
      <x:c r="S298" s="243" t="n">
        <x:f>1/(1+EXP(-R298))</x:f>
        <x:v>0.2936916828197746</x:v>
      </x:c>
      <x:c r="T298" s="243" t="n">
        <x:f>Q298*M298+S298*N298+O298</x:f>
        <x:v>0.36145754348402337</x:v>
      </x:c>
      <x:c r="U298" s="243" t="n">
        <x:f>1/(1+EXP(-T298))</x:f>
        <x:v>0.5893932183881149</x:v>
      </x:c>
      <x:c r="V298" s="243" t="n">
        <x:f>0.5*(F298-U298)^2</x:f>
        <x:v>0.08429896455283517</x:v>
      </x:c>
      <x:c r="W298" s="244" t="n">
        <x:f>(U298-F298)*U298*(1-U298)</x:f>
        <x:v>-0.09937047604916226</x:v>
      </x:c>
      <x:c r="X298" s="244" t="n">
        <x:f>W298*M298*Q298*(1-Q298)</x:f>
        <x:v>-0.0035256415334895736</x:v>
      </x:c>
      <x:c r="Y298" s="244" t="n">
        <x:f>W298*N298*S298*(1-S298)</x:f>
        <x:v>0.05720917774509407</x:v>
      </x:c>
      <x:c r="Z298" s="245" t="n">
        <x:f>X298*D298</x:f>
        <x:v>0</x:v>
      </x:c>
      <x:c r="AA298" s="245" t="n">
        <x:f>X298*E298</x:f>
        <x:v>-0.0035256415334895736</x:v>
      </x:c>
      <x:c r="AB298" s="245" t="n">
        <x:f>X298</x:f>
        <x:v>-0.0035256415334895736</x:v>
      </x:c>
      <x:c r="AC298" s="245" t="n">
        <x:f>Y298*D298</x:f>
        <x:v>0</x:v>
      </x:c>
      <x:c r="AD298" s="245" t="n">
        <x:f>Y298*E298</x:f>
        <x:v>0.05720917774509407</x:v>
      </x:c>
      <x:c r="AE298" s="245" t="n">
        <x:f>Y298</x:f>
        <x:v>0.05720917774509407</x:v>
      </x:c>
      <x:c r="AF298" s="245" t="n">
        <x:f>W298*Q298</x:f>
        <x:v>-0.0012563723761005827</x:v>
      </x:c>
      <x:c r="AG298" s="245" t="n">
        <x:f>W298*S298</x:f>
        <x:v>-0.02918428233348057</x:v>
      </x:c>
      <x:c r="AH298" s="245" t="n">
        <x:f>W298</x:f>
        <x:v>-0.09937047604916226</x:v>
      </x:c>
      <x:c r="AI298" s="246" t="n">
        <x:f>G298-$B$4*Z298</x:f>
        <x:v>2.3356133859657704</x:v>
      </x:c>
      <x:c r="AJ298" s="246" t="n">
        <x:f>H298-$B$4*AA298</x:f>
        <x:v>-2.805844590523807</x:v>
      </x:c>
      <x:c r="AK298" s="246" t="n">
        <x:f>I298-$B$4*AB298</x:f>
        <x:v>-1.5450067490834793</x:v>
      </x:c>
      <x:c r="AL298" s="246" t="n">
        <x:f>J298-$B$4*AC298</x:f>
        <x:v>2.585774490018939</x:v>
      </x:c>
      <x:c r="AM298" s="246" t="n">
        <x:f>K298-$B$4*AD298</x:f>
        <x:v>-2.5755201300931776</x:v>
      </x:c>
      <x:c r="AN298" s="246" t="n">
        <x:f>L298-$B$4*AE298</x:f>
        <x:v>1.583580441731132</x:v>
      </x:c>
      <x:c r="AO298" s="246" t="n">
        <x:f>M298-$B$4*AF298</x:f>
        <x:v>2.843397926804936</x:v>
      </x:c>
      <x:c r="AP298" s="246" t="n">
        <x:f>N298-$B$4*AG298</x:f>
        <x:v>-2.7461951616878557</x:v>
      </x:c>
      <x:c r="AQ298" s="246" t="n">
        <x:f>O298-$B$4*AH298</x:f>
        <x:v>1.2399997837964383</x:v>
      </x:c>
      <x:c r="AR298" s="182" t="n">
        <x:f>IF(U298&gt;=$B$5,1,0)</x:f>
        <x:v>1</x:v>
      </x:c>
      <x:c r="AS298" s="182" t="n">
        <x:f>IF(AR298=F298,1,0)</x:f>
        <x:v>1</x:v>
      </x:c>
      <x:c r="AT298" s="252" t="n">
        <x:f>ABS(F298-U298)</x:f>
        <x:v>0.41060678161188513</x:v>
      </x:c>
    </x:row>
    <x:row r="299">
      <x:c r="A299" s="114" t="n">
        <x:v>283</x:v>
      </x:c>
      <x:c r="B299" s="114" t="n">
        <x:v>71</x:v>
      </x:c>
      <x:c r="C299" s="114" t="n">
        <x:v>3</x:v>
      </x:c>
      <x:c r="D299" s="168" t="n">
        <x:f>$I$7</x:f>
        <x:v>1</x:v>
      </x:c>
      <x:c r="E299" s="168" t="n">
        <x:f>$J$7</x:f>
        <x:v>0</x:v>
      </x:c>
      <x:c r="F299" s="168" t="n">
        <x:f>$K$7</x:f>
        <x:v>1</x:v>
      </x:c>
      <x:c r="G299" s="242" t="n">
        <x:f>AI298</x:f>
        <x:v>2.3356133859657704</x:v>
      </x:c>
      <x:c r="H299" s="242" t="n">
        <x:f>AJ298</x:f>
        <x:v>-2.805844590523807</x:v>
      </x:c>
      <x:c r="I299" s="242" t="n">
        <x:f>AK298</x:f>
        <x:v>-1.5450067490834793</x:v>
      </x:c>
      <x:c r="J299" s="242" t="n">
        <x:f>AL298</x:f>
        <x:v>2.585774490018939</x:v>
      </x:c>
      <x:c r="K299" s="242" t="n">
        <x:f>AM298</x:f>
        <x:v>-2.5755201300931776</x:v>
      </x:c>
      <x:c r="L299" s="242" t="n">
        <x:f>AN298</x:f>
        <x:v>1.583580441731132</x:v>
      </x:c>
      <x:c r="M299" s="242" t="n">
        <x:f>AO298</x:f>
        <x:v>2.843397926804936</x:v>
      </x:c>
      <x:c r="N299" s="242" t="n">
        <x:f>AP298</x:f>
        <x:v>-2.7461951616878557</x:v>
      </x:c>
      <x:c r="O299" s="242" t="n">
        <x:f>AQ298</x:f>
        <x:v>1.2399997837964383</x:v>
      </x:c>
      <x:c r="P299" s="243" t="n">
        <x:f>D299*G299+E299*H299+I299</x:f>
        <x:v>0.790606636882291</x:v>
      </x:c>
      <x:c r="Q299" s="243" t="n">
        <x:f>1/(1+EXP(-P299))</x:f>
        <x:v>0.6879615724404602</x:v>
      </x:c>
      <x:c r="R299" s="243" t="n">
        <x:f>D299*J299+E299*K299+L299</x:f>
        <x:v>4.169354931750071</x:v>
      </x:c>
      <x:c r="S299" s="243" t="n">
        <x:f>1/(1+EXP(-R299))</x:f>
        <x:v>0.9847732090585377</x:v>
      </x:c>
      <x:c r="T299" s="243" t="n">
        <x:f>Q299*M299+S299*N299+O299</x:f>
        <x:v>0.4917688705187271</x:v>
      </x:c>
      <x:c r="U299" s="243" t="n">
        <x:f>1/(1+EXP(-T299))</x:f>
        <x:v>0.6205230444146576</x:v>
      </x:c>
      <x:c r="V299" s="243" t="n">
        <x:f>0.5*(F299-U299)^2</x:f>
        <x:v>0.07200137991015998</x:v>
      </x:c>
      <x:c r="W299" s="244" t="n">
        <x:f>(U299-F299)*U299*(1-U299)</x:f>
        <x:v>-0.08935703092781767</x:v>
      </x:c>
      <x:c r="X299" s="244" t="n">
        <x:f>W299*M299*Q299*(1-Q299)</x:f>
        <x:v>-0.054542951282842075</x:v>
      </x:c>
      <x:c r="Y299" s="244" t="n">
        <x:f>W299*N299*S299*(1-S299)</x:f>
        <x:v>0.003679634971433169</x:v>
      </x:c>
      <x:c r="Z299" s="245" t="n">
        <x:f>X299*D299</x:f>
        <x:v>-0.054542951282842075</x:v>
      </x:c>
      <x:c r="AA299" s="245" t="n">
        <x:f>X299*E299</x:f>
        <x:v>0</x:v>
      </x:c>
      <x:c r="AB299" s="245" t="n">
        <x:f>X299</x:f>
        <x:v>-0.054542951282842075</x:v>
      </x:c>
      <x:c r="AC299" s="245" t="n">
        <x:f>Y299*D299</x:f>
        <x:v>0.003679634971433169</x:v>
      </x:c>
      <x:c r="AD299" s="245" t="n">
        <x:f>Y299*E299</x:f>
        <x:v>0</x:v>
      </x:c>
      <x:c r="AE299" s="245" t="n">
        <x:f>Y299</x:f>
        <x:v>0.003679634971433169</x:v>
      </x:c>
      <x:c r="AF299" s="245" t="n">
        <x:f>W299*Q299</x:f>
        <x:v>-0.06147420350571228</x:v>
      </x:c>
      <x:c r="AG299" s="245" t="n">
        <x:f>W299*S299</x:f>
        <x:v>-0.08799641009873001</x:v>
      </x:c>
      <x:c r="AH299" s="245" t="n">
        <x:f>W299</x:f>
        <x:v>-0.08935703092781767</x:v>
      </x:c>
      <x:c r="AI299" s="246" t="n">
        <x:f>G299-$B$4*Z299</x:f>
        <x:v>2.3901563372486123</x:v>
      </x:c>
      <x:c r="AJ299" s="246" t="n">
        <x:f>H299-$B$4*AA299</x:f>
        <x:v>-2.805844590523807</x:v>
      </x:c>
      <x:c r="AK299" s="246" t="n">
        <x:f>I299-$B$4*AB299</x:f>
        <x:v>-1.4904637978006372</x:v>
      </x:c>
      <x:c r="AL299" s="246" t="n">
        <x:f>J299-$B$4*AC299</x:f>
        <x:v>2.582094855047506</x:v>
      </x:c>
      <x:c r="AM299" s="246" t="n">
        <x:f>K299-$B$4*AD299</x:f>
        <x:v>-2.5755201300931776</x:v>
      </x:c>
      <x:c r="AN299" s="246" t="n">
        <x:f>L299-$B$4*AE299</x:f>
        <x:v>1.579900806759699</x:v>
      </x:c>
      <x:c r="AO299" s="246" t="n">
        <x:f>M299-$B$4*AF299</x:f>
        <x:v>2.904872130310648</x:v>
      </x:c>
      <x:c r="AP299" s="246" t="n">
        <x:f>N299-$B$4*AG299</x:f>
        <x:v>-2.6581987515891257</x:v>
      </x:c>
      <x:c r="AQ299" s="246" t="n">
        <x:f>O299-$B$4*AH299</x:f>
        <x:v>1.329356814724256</x:v>
      </x:c>
      <x:c r="AR299" s="182" t="n">
        <x:f>IF(U299&gt;=$B$5,1,0)</x:f>
        <x:v>1</x:v>
      </x:c>
      <x:c r="AS299" s="182" t="n">
        <x:f>IF(AR299=F299,1,0)</x:f>
        <x:v>1</x:v>
      </x:c>
      <x:c r="AT299" s="252" t="n">
        <x:f>ABS(F299-U299)</x:f>
        <x:v>0.37947695558534245</x:v>
      </x:c>
    </x:row>
    <x:row r="300">
      <x:c r="A300" s="114" t="n">
        <x:v>284</x:v>
      </x:c>
      <x:c r="B300" s="114" t="n">
        <x:v>71</x:v>
      </x:c>
      <x:c r="C300" s="114" t="n">
        <x:v>4</x:v>
      </x:c>
      <x:c r="D300" s="168" t="n">
        <x:f>$I$8</x:f>
        <x:v>1</x:v>
      </x:c>
      <x:c r="E300" s="168" t="n">
        <x:f>$J$8</x:f>
        <x:v>1</x:v>
      </x:c>
      <x:c r="F300" s="168" t="n">
        <x:f>$K$8</x:f>
        <x:v>0</x:v>
      </x:c>
      <x:c r="G300" s="242" t="n">
        <x:f>AI299</x:f>
        <x:v>2.3901563372486123</x:v>
      </x:c>
      <x:c r="H300" s="242" t="n">
        <x:f>AJ299</x:f>
        <x:v>-2.805844590523807</x:v>
      </x:c>
      <x:c r="I300" s="242" t="n">
        <x:f>AK299</x:f>
        <x:v>-1.4904637978006372</x:v>
      </x:c>
      <x:c r="J300" s="242" t="n">
        <x:f>AL299</x:f>
        <x:v>2.582094855047506</x:v>
      </x:c>
      <x:c r="K300" s="242" t="n">
        <x:f>AM299</x:f>
        <x:v>-2.5755201300931776</x:v>
      </x:c>
      <x:c r="L300" s="242" t="n">
        <x:f>AN299</x:f>
        <x:v>1.579900806759699</x:v>
      </x:c>
      <x:c r="M300" s="242" t="n">
        <x:f>AO299</x:f>
        <x:v>2.904872130310648</x:v>
      </x:c>
      <x:c r="N300" s="242" t="n">
        <x:f>AP299</x:f>
        <x:v>-2.6581987515891257</x:v>
      </x:c>
      <x:c r="O300" s="242" t="n">
        <x:f>AQ299</x:f>
        <x:v>1.329356814724256</x:v>
      </x:c>
      <x:c r="P300" s="243" t="n">
        <x:f>D300*G300+E300*H300+I300</x:f>
        <x:v>-1.906152051075832</x:v>
      </x:c>
      <x:c r="Q300" s="243" t="n">
        <x:f>1/(1+EXP(-P300))</x:f>
        <x:v>0.12941376668925147</x:v>
      </x:c>
      <x:c r="R300" s="243" t="n">
        <x:f>D300*J300+E300*K300+L300</x:f>
        <x:v>1.586475531714027</x:v>
      </x:c>
      <x:c r="S300" s="243" t="n">
        <x:f>1/(1+EXP(-R300))</x:f>
        <x:v>0.8301196571084796</x:v>
      </x:c>
      <x:c r="T300" s="243" t="n">
        <x:f>Q300*M300+S300*N300+O300</x:f>
        <x:v>-0.5013357773369662</x:v>
      </x:c>
      <x:c r="U300" s="243" t="n">
        <x:f>1/(1+EXP(-T300))</x:f>
        <x:v>0.3772268075528723</x:v>
      </x:c>
      <x:c r="V300" s="243" t="n">
        <x:f>0.5*(F300-U300)^2</x:f>
        <x:v>0.07115003216826588</x:v>
      </x:c>
      <x:c r="W300" s="244" t="n">
        <x:f>(U300-F300)*U300*(1-U300)</x:f>
        <x:v>0.08862066535229354</x:v>
      </x:c>
      <x:c r="X300" s="244" t="n">
        <x:f>W300*M300*Q300*(1-Q300)</x:f>
        <x:v>0.029003759777816118</x:v>
      </x:c>
      <x:c r="Y300" s="244" t="n">
        <x:f>W300*N300*S300*(1-S300)</x:f>
        <x:v>-0.033220509045448564</x:v>
      </x:c>
      <x:c r="Z300" s="245" t="n">
        <x:f>X300*D300</x:f>
        <x:v>0.029003759777816118</x:v>
      </x:c>
      <x:c r="AA300" s="245" t="n">
        <x:f>X300*E300</x:f>
        <x:v>0.029003759777816118</x:v>
      </x:c>
      <x:c r="AB300" s="245" t="n">
        <x:f>X300</x:f>
        <x:v>0.029003759777816118</x:v>
      </x:c>
      <x:c r="AC300" s="245" t="n">
        <x:f>Y300*D300</x:f>
        <x:v>-0.033220509045448564</x:v>
      </x:c>
      <x:c r="AD300" s="245" t="n">
        <x:f>Y300*E300</x:f>
        <x:v>-0.033220509045448564</x:v>
      </x:c>
      <x:c r="AE300" s="245" t="n">
        <x:f>Y300</x:f>
        <x:v>-0.033220509045448564</x:v>
      </x:c>
      <x:c r="AF300" s="245" t="n">
        <x:f>W300*Q300</x:f>
        <x:v>0.011468734109747948</x:v>
      </x:c>
      <x:c r="AG300" s="245" t="n">
        <x:f>W300*S300</x:f>
        <x:v>0.07356575633497123</x:v>
      </x:c>
      <x:c r="AH300" s="245" t="n">
        <x:f>W300</x:f>
        <x:v>0.08862066535229354</x:v>
      </x:c>
      <x:c r="AI300" s="246" t="n">
        <x:f>G300-$B$4*Z300</x:f>
        <x:v>2.361152577470796</x:v>
      </x:c>
      <x:c r="AJ300" s="246" t="n">
        <x:f>H300-$B$4*AA300</x:f>
        <x:v>-2.8348483503016233</x:v>
      </x:c>
      <x:c r="AK300" s="246" t="n">
        <x:f>I300-$B$4*AB300</x:f>
        <x:v>-1.5194675575784533</x:v>
      </x:c>
      <x:c r="AL300" s="246" t="n">
        <x:f>J300-$B$4*AC300</x:f>
        <x:v>2.6153153640929543</x:v>
      </x:c>
      <x:c r="AM300" s="246" t="n">
        <x:f>K300-$B$4*AD300</x:f>
        <x:v>-2.542299621047729</x:v>
      </x:c>
      <x:c r="AN300" s="246" t="n">
        <x:f>L300-$B$4*AE300</x:f>
        <x:v>1.6131213158051474</x:v>
      </x:c>
      <x:c r="AO300" s="246" t="n">
        <x:f>M300-$B$4*AF300</x:f>
        <x:v>2.8934033962009003</x:v>
      </x:c>
      <x:c r="AP300" s="246" t="n">
        <x:f>N300-$B$4*AG300</x:f>
        <x:v>-2.731764507924097</x:v>
      </x:c>
      <x:c r="AQ300" s="246" t="n">
        <x:f>O300-$B$4*AH300</x:f>
        <x:v>1.2407361493719624</x:v>
      </x:c>
      <x:c r="AR300" s="182" t="n">
        <x:f>IF(U300&gt;=$B$5,1,0)</x:f>
        <x:v>0</x:v>
      </x:c>
      <x:c r="AS300" s="182" t="n">
        <x:f>IF(AR300=F300,1,0)</x:f>
        <x:v>1</x:v>
      </x:c>
      <x:c r="AT300" s="252" t="n">
        <x:f>ABS(F300-U300)</x:f>
        <x:v>0.3772268075528723</x:v>
      </x:c>
    </x:row>
    <x:row r="301">
      <x:c r="A301" s="114" t="n">
        <x:v>285</x:v>
      </x:c>
      <x:c r="B301" s="114" t="n">
        <x:v>72</x:v>
      </x:c>
      <x:c r="C301" s="114" t="n">
        <x:v>1</x:v>
      </x:c>
      <x:c r="D301" s="168" t="n">
        <x:f>$I$5</x:f>
        <x:v>0</x:v>
      </x:c>
      <x:c r="E301" s="168" t="n">
        <x:f>$J$5</x:f>
        <x:v>0</x:v>
      </x:c>
      <x:c r="F301" s="168" t="n">
        <x:f>$K$5</x:f>
        <x:v>0</x:v>
      </x:c>
      <x:c r="G301" s="242" t="n">
        <x:f>AI300</x:f>
        <x:v>2.361152577470796</x:v>
      </x:c>
      <x:c r="H301" s="242" t="n">
        <x:f>AJ300</x:f>
        <x:v>-2.8348483503016233</x:v>
      </x:c>
      <x:c r="I301" s="242" t="n">
        <x:f>AK300</x:f>
        <x:v>-1.5194675575784533</x:v>
      </x:c>
      <x:c r="J301" s="242" t="n">
        <x:f>AL300</x:f>
        <x:v>2.6153153640929543</x:v>
      </x:c>
      <x:c r="K301" s="242" t="n">
        <x:f>AM300</x:f>
        <x:v>-2.542299621047729</x:v>
      </x:c>
      <x:c r="L301" s="242" t="n">
        <x:f>AN300</x:f>
        <x:v>1.6131213158051474</x:v>
      </x:c>
      <x:c r="M301" s="242" t="n">
        <x:f>AO300</x:f>
        <x:v>2.8934033962009003</x:v>
      </x:c>
      <x:c r="N301" s="242" t="n">
        <x:f>AP300</x:f>
        <x:v>-2.731764507924097</x:v>
      </x:c>
      <x:c r="O301" s="242" t="n">
        <x:f>AQ300</x:f>
        <x:v>1.2407361493719624</x:v>
      </x:c>
      <x:c r="P301" s="243" t="n">
        <x:f>D301*G301+E301*H301+I301</x:f>
        <x:v>-1.5194675575784533</x:v>
      </x:c>
      <x:c r="Q301" s="243" t="n">
        <x:f>1/(1+EXP(-P301))</x:f>
        <x:v>0.17953993764166945</x:v>
      </x:c>
      <x:c r="R301" s="243" t="n">
        <x:f>D301*J301+E301*K301+L301</x:f>
        <x:v>1.6131213158051474</x:v>
      </x:c>
      <x:c r="S301" s="243" t="n">
        <x:f>1/(1+EXP(-R301))</x:f>
        <x:v>0.8338442892049766</x:v>
      </x:c>
      <x:c r="T301" s="243" t="n">
        <x:f>Q301*M301+S301*N301+O301</x:f>
        <x:v>-0.5176486196872845</x:v>
      </x:c>
      <x:c r="U301" s="243" t="n">
        <x:f>1/(1+EXP(-T301))</x:f>
        <x:v>0.37340222922733</x:v>
      </x:c>
      <x:c r="V301" s="243" t="n">
        <x:f>0.5*(F301-U301)^2</x:f>
        <x:v>0.06971461239596975</x:v>
      </x:c>
      <x:c r="W301" s="244" t="n">
        <x:f>(U301-F301)*U301*(1-U301)</x:f>
        <x:v>0.08736604143519078</x:v>
      </x:c>
      <x:c r="X301" s="244" t="n">
        <x:f>W301*M301*Q301*(1-Q301)</x:f>
        <x:v>0.03723661211226366</x:v>
      </x:c>
      <x:c r="Y301" s="244" t="n">
        <x:f>W301*N301*S301*(1-S301)</x:f>
        <x:v>-0.03306634158380244</x:v>
      </x:c>
      <x:c r="Z301" s="245" t="n">
        <x:f>X301*D301</x:f>
        <x:v>0</x:v>
      </x:c>
      <x:c r="AA301" s="245" t="n">
        <x:f>X301*E301</x:f>
        <x:v>0</x:v>
      </x:c>
      <x:c r="AB301" s="245" t="n">
        <x:f>X301</x:f>
        <x:v>0.03723661211226366</x:v>
      </x:c>
      <x:c r="AC301" s="245" t="n">
        <x:f>Y301*D301</x:f>
        <x:v>0</x:v>
      </x:c>
      <x:c r="AD301" s="245" t="n">
        <x:f>Y301*E301</x:f>
        <x:v>0</x:v>
      </x:c>
      <x:c r="AE301" s="245" t="n">
        <x:f>Y301</x:f>
        <x:v>-0.03306634158380244</x:v>
      </x:c>
      <x:c r="AF301" s="245" t="n">
        <x:f>W301*Q301</x:f>
        <x:v>0.015685693631273662</x:v>
      </x:c>
      <x:c r="AG301" s="245" t="n">
        <x:f>W301*S301</x:f>
        <x:v>0.07284967472117919</x:v>
      </x:c>
      <x:c r="AH301" s="245" t="n">
        <x:f>W301</x:f>
        <x:v>0.08736604143519078</x:v>
      </x:c>
      <x:c r="AI301" s="246" t="n">
        <x:f>G301-$B$4*Z301</x:f>
        <x:v>2.361152577470796</x:v>
      </x:c>
      <x:c r="AJ301" s="246" t="n">
        <x:f>H301-$B$4*AA301</x:f>
        <x:v>-2.8348483503016233</x:v>
      </x:c>
      <x:c r="AK301" s="246" t="n">
        <x:f>I301-$B$4*AB301</x:f>
        <x:v>-1.556704169690717</x:v>
      </x:c>
      <x:c r="AL301" s="246" t="n">
        <x:f>J301-$B$4*AC301</x:f>
        <x:v>2.6153153640929543</x:v>
      </x:c>
      <x:c r="AM301" s="246" t="n">
        <x:f>K301-$B$4*AD301</x:f>
        <x:v>-2.542299621047729</x:v>
      </x:c>
      <x:c r="AN301" s="246" t="n">
        <x:f>L301-$B$4*AE301</x:f>
        <x:v>1.6461876573889498</x:v>
      </x:c>
      <x:c r="AO301" s="246" t="n">
        <x:f>M301-$B$4*AF301</x:f>
        <x:v>2.8777177025696266</x:v>
      </x:c>
      <x:c r="AP301" s="246" t="n">
        <x:f>N301-$B$4*AG301</x:f>
        <x:v>-2.804614182645276</x:v>
      </x:c>
      <x:c r="AQ301" s="246" t="n">
        <x:f>O301-$B$4*AH301</x:f>
        <x:v>1.1533701079367717</x:v>
      </x:c>
      <x:c r="AR301" s="182" t="n">
        <x:f>IF(U301&gt;=$B$5,1,0)</x:f>
        <x:v>0</x:v>
      </x:c>
      <x:c r="AS301" s="182" t="n">
        <x:f>IF(AR301=F301,1,0)</x:f>
        <x:v>1</x:v>
      </x:c>
      <x:c r="AT301" s="252" t="n">
        <x:f>ABS(F301-U301)</x:f>
        <x:v>0.37340222922733</x:v>
      </x:c>
    </x:row>
    <x:row r="302">
      <x:c r="A302" s="114" t="n">
        <x:v>286</x:v>
      </x:c>
      <x:c r="B302" s="114" t="n">
        <x:v>72</x:v>
      </x:c>
      <x:c r="C302" s="114" t="n">
        <x:v>2</x:v>
      </x:c>
      <x:c r="D302" s="168" t="n">
        <x:f>$I$6</x:f>
        <x:v>0</x:v>
      </x:c>
      <x:c r="E302" s="168" t="n">
        <x:f>$J$6</x:f>
        <x:v>1</x:v>
      </x:c>
      <x:c r="F302" s="168" t="n">
        <x:f>$K$6</x:f>
        <x:v>1</x:v>
      </x:c>
      <x:c r="G302" s="242" t="n">
        <x:f>AI301</x:f>
        <x:v>2.361152577470796</x:v>
      </x:c>
      <x:c r="H302" s="242" t="n">
        <x:f>AJ301</x:f>
        <x:v>-2.8348483503016233</x:v>
      </x:c>
      <x:c r="I302" s="242" t="n">
        <x:f>AK301</x:f>
        <x:v>-1.556704169690717</x:v>
      </x:c>
      <x:c r="J302" s="242" t="n">
        <x:f>AL301</x:f>
        <x:v>2.6153153640929543</x:v>
      </x:c>
      <x:c r="K302" s="242" t="n">
        <x:f>AM301</x:f>
        <x:v>-2.542299621047729</x:v>
      </x:c>
      <x:c r="L302" s="242" t="n">
        <x:f>AN301</x:f>
        <x:v>1.6461876573889498</x:v>
      </x:c>
      <x:c r="M302" s="242" t="n">
        <x:f>AO301</x:f>
        <x:v>2.8777177025696266</x:v>
      </x:c>
      <x:c r="N302" s="242" t="n">
        <x:f>AP301</x:f>
        <x:v>-2.804614182645276</x:v>
      </x:c>
      <x:c r="O302" s="242" t="n">
        <x:f>AQ301</x:f>
        <x:v>1.1533701079367717</x:v>
      </x:c>
      <x:c r="P302" s="243" t="n">
        <x:f>D302*G302+E302*H302+I302</x:f>
        <x:v>-4.39155251999234</x:v>
      </x:c>
      <x:c r="Q302" s="243" t="n">
        <x:f>1/(1+EXP(-P302))</x:f>
        <x:v>0.012230065324279242</x:v>
      </x:c>
      <x:c r="R302" s="243" t="n">
        <x:f>D302*J302+E302*K302+L302</x:f>
        <x:v>-0.8961119636587793</x:v>
      </x:c>
      <x:c r="S302" s="243" t="n">
        <x:f>1/(1+EXP(-R302))</x:f>
        <x:v>0.2898501448850916</x:v>
      </x:c>
      <x:c r="T302" s="243" t="n">
        <x:f>Q302*M302+S302*N302+O302</x:f>
        <x:v>0.375646956237517</x:v>
      </x:c>
      <x:c r="U302" s="243" t="n">
        <x:f>1/(1+EXP(-T302))</x:f>
        <x:v>0.5928227741680682</x:v>
      </x:c>
      <x:c r="V302" s="243" t="n">
        <x:f>0.5*(F302-U302)^2</x:f>
        <x:v>0.08289664661809401</x:v>
      </x:c>
      <x:c r="W302" s="244" t="n">
        <x:f>(U302-F302)*U302*(1-U302)</x:f>
        <x:v>-0.09828604003473698</x:v>
      </x:c>
      <x:c r="X302" s="244" t="n">
        <x:f>W302*M302*Q302*(1-Q302)</x:f>
        <x:v>-0.003416839711161654</x:v>
      </x:c>
      <x:c r="Y302" s="244" t="n">
        <x:f>W302*N302*S302*(1-S302)</x:f>
        <x:v>0.0567398898115602</x:v>
      </x:c>
      <x:c r="Z302" s="245" t="n">
        <x:f>X302*D302</x:f>
        <x:v>0</x:v>
      </x:c>
      <x:c r="AA302" s="245" t="n">
        <x:f>X302*E302</x:f>
        <x:v>-0.003416839711161654</x:v>
      </x:c>
      <x:c r="AB302" s="245" t="n">
        <x:f>X302</x:f>
        <x:v>-0.003416839711161654</x:v>
      </x:c>
      <x:c r="AC302" s="245" t="n">
        <x:f>Y302*D302</x:f>
        <x:v>0</x:v>
      </x:c>
      <x:c r="AD302" s="245" t="n">
        <x:f>Y302*E302</x:f>
        <x:v>0.0567398898115602</x:v>
      </x:c>
      <x:c r="AE302" s="245" t="n">
        <x:f>Y302</x:f>
        <x:v>0.0567398898115602</x:v>
      </x:c>
      <x:c r="AF302" s="245" t="n">
        <x:f>W302*Q302</x:f>
        <x:v>-0.0012020446900895582</x:v>
      </x:c>
      <x:c r="AG302" s="245" t="n">
        <x:f>W302*S302</x:f>
        <x:v>-0.028488222944250425</x:v>
      </x:c>
      <x:c r="AH302" s="245" t="n">
        <x:f>W302</x:f>
        <x:v>-0.09828604003473698</x:v>
      </x:c>
      <x:c r="AI302" s="246" t="n">
        <x:f>G302-$B$4*Z302</x:f>
        <x:v>2.361152577470796</x:v>
      </x:c>
      <x:c r="AJ302" s="246" t="n">
        <x:f>H302-$B$4*AA302</x:f>
        <x:v>-2.8314315105904617</x:v>
      </x:c>
      <x:c r="AK302" s="246" t="n">
        <x:f>I302-$B$4*AB302</x:f>
        <x:v>-1.5532873299795553</x:v>
      </x:c>
      <x:c r="AL302" s="246" t="n">
        <x:f>J302-$B$4*AC302</x:f>
        <x:v>2.6153153640929543</x:v>
      </x:c>
      <x:c r="AM302" s="246" t="n">
        <x:f>K302-$B$4*AD302</x:f>
        <x:v>-2.5990395108592894</x:v>
      </x:c>
      <x:c r="AN302" s="246" t="n">
        <x:f>L302-$B$4*AE302</x:f>
        <x:v>1.5894477675773895</x:v>
      </x:c>
      <x:c r="AO302" s="246" t="n">
        <x:f>M302-$B$4*AF302</x:f>
        <x:v>2.878919747259716</x:v>
      </x:c>
      <x:c r="AP302" s="246" t="n">
        <x:f>N302-$B$4*AG302</x:f>
        <x:v>-2.7761259597010257</x:v>
      </x:c>
      <x:c r="AQ302" s="246" t="n">
        <x:f>O302-$B$4*AH302</x:f>
        <x:v>1.2516561479715087</x:v>
      </x:c>
      <x:c r="AR302" s="182" t="n">
        <x:f>IF(U302&gt;=$B$5,1,0)</x:f>
        <x:v>1</x:v>
      </x:c>
      <x:c r="AS302" s="182" t="n">
        <x:f>IF(AR302=F302,1,0)</x:f>
        <x:v>1</x:v>
      </x:c>
      <x:c r="AT302" s="252" t="n">
        <x:f>ABS(F302-U302)</x:f>
        <x:v>0.40717722583193183</x:v>
      </x:c>
    </x:row>
    <x:row r="303">
      <x:c r="A303" s="114" t="n">
        <x:v>287</x:v>
      </x:c>
      <x:c r="B303" s="114" t="n">
        <x:v>72</x:v>
      </x:c>
      <x:c r="C303" s="114" t="n">
        <x:v>3</x:v>
      </x:c>
      <x:c r="D303" s="168" t="n">
        <x:f>$I$7</x:f>
        <x:v>1</x:v>
      </x:c>
      <x:c r="E303" s="168" t="n">
        <x:f>$J$7</x:f>
        <x:v>0</x:v>
      </x:c>
      <x:c r="F303" s="168" t="n">
        <x:f>$K$7</x:f>
        <x:v>1</x:v>
      </x:c>
      <x:c r="G303" s="242" t="n">
        <x:f>AI302</x:f>
        <x:v>2.361152577470796</x:v>
      </x:c>
      <x:c r="H303" s="242" t="n">
        <x:f>AJ302</x:f>
        <x:v>-2.8314315105904617</x:v>
      </x:c>
      <x:c r="I303" s="242" t="n">
        <x:f>AK302</x:f>
        <x:v>-1.5532873299795553</x:v>
      </x:c>
      <x:c r="J303" s="242" t="n">
        <x:f>AL302</x:f>
        <x:v>2.6153153640929543</x:v>
      </x:c>
      <x:c r="K303" s="242" t="n">
        <x:f>AM302</x:f>
        <x:v>-2.5990395108592894</x:v>
      </x:c>
      <x:c r="L303" s="242" t="n">
        <x:f>AN302</x:f>
        <x:v>1.5894477675773895</x:v>
      </x:c>
      <x:c r="M303" s="242" t="n">
        <x:f>AO302</x:f>
        <x:v>2.878919747259716</x:v>
      </x:c>
      <x:c r="N303" s="242" t="n">
        <x:f>AP302</x:f>
        <x:v>-2.7761259597010257</x:v>
      </x:c>
      <x:c r="O303" s="242" t="n">
        <x:f>AQ302</x:f>
        <x:v>1.2516561479715087</x:v>
      </x:c>
      <x:c r="P303" s="243" t="n">
        <x:f>D303*G303+E303*H303+I303</x:f>
        <x:v>0.8078652474912409</x:v>
      </x:c>
      <x:c r="Q303" s="243" t="n">
        <x:f>1/(1+EXP(-P303))</x:f>
        <x:v>0.6916544150201489</x:v>
      </x:c>
      <x:c r="R303" s="243" t="n">
        <x:f>D303*J303+E303*K303+L303</x:f>
        <x:v>4.204763131670344</x:v>
      </x:c>
      <x:c r="S303" s="243" t="n">
        <x:f>1/(1+EXP(-R303))</x:f>
        <x:v>0.9852951393081877</x:v>
      </x:c>
      <x:c r="T303" s="243" t="n">
        <x:f>Q303*M303+S303*N303+O303</x:f>
        <x:v>0.5075702874516843</x:v>
      </x:c>
      <x:c r="U303" s="243" t="n">
        <x:f>1/(1+EXP(-T303))</x:f>
        <x:v>0.6242367206340075</x:v>
      </x:c>
      <x:c r="V303" s="243" t="n">
        <x:f>0.5*(F303-U303)^2</x:f>
        <x:v>0.07059902105994247</x:v>
      </x:c>
      <x:c r="W303" s="244" t="n">
        <x:f>(U303-F303)*U303*(1-U303)</x:f>
        <x:v>-0.08814100277285944</x:v>
      </x:c>
      <x:c r="X303" s="244" t="n">
        <x:f>W303*M303*Q303*(1-Q303)</x:f>
        <x:v>-0.054117089769673214</x:v>
      </x:c>
      <x:c r="Y303" s="244" t="n">
        <x:f>W303*N303*S303*(1-S303)</x:f>
        <x:v>0.0035452299472761776</x:v>
      </x:c>
      <x:c r="Z303" s="245" t="n">
        <x:f>X303*D303</x:f>
        <x:v>-0.054117089769673214</x:v>
      </x:c>
      <x:c r="AA303" s="245" t="n">
        <x:f>X303*E303</x:f>
        <x:v>0</x:v>
      </x:c>
      <x:c r="AB303" s="245" t="n">
        <x:f>X303</x:f>
        <x:v>-0.054117089769673214</x:v>
      </x:c>
      <x:c r="AC303" s="245" t="n">
        <x:f>Y303*D303</x:f>
        <x:v>0.0035452299472761776</x:v>
      </x:c>
      <x:c r="AD303" s="245" t="n">
        <x:f>Y303*E303</x:f>
        <x:v>0</x:v>
      </x:c>
      <x:c r="AE303" s="245" t="n">
        <x:f>Y303</x:f>
        <x:v>0.0035452299472761776</x:v>
      </x:c>
      <x:c r="AF303" s="245" t="n">
        <x:f>W303*Q303</x:f>
        <x:v>-0.06096311371215142</x:v>
      </x:c>
      <x:c r="AG303" s="245" t="n">
        <x:f>W303*S303</x:f>
        <x:v>-0.0868449016058479</x:v>
      </x:c>
      <x:c r="AH303" s="245" t="n">
        <x:f>W303</x:f>
        <x:v>-0.08814100277285944</x:v>
      </x:c>
      <x:c r="AI303" s="246" t="n">
        <x:f>G303-$B$4*Z303</x:f>
        <x:v>2.4152696672404694</x:v>
      </x:c>
      <x:c r="AJ303" s="246" t="n">
        <x:f>H303-$B$4*AA303</x:f>
        <x:v>-2.8314315105904617</x:v>
      </x:c>
      <x:c r="AK303" s="246" t="n">
        <x:f>I303-$B$4*AB303</x:f>
        <x:v>-1.499170240209882</x:v>
      </x:c>
      <x:c r="AL303" s="246" t="n">
        <x:f>J303-$B$4*AC303</x:f>
        <x:v>2.611770134145678</x:v>
      </x:c>
      <x:c r="AM303" s="246" t="n">
        <x:f>K303-$B$4*AD303</x:f>
        <x:v>-2.5990395108592894</x:v>
      </x:c>
      <x:c r="AN303" s="246" t="n">
        <x:f>L303-$B$4*AE303</x:f>
        <x:v>1.5859025376301132</x:v>
      </x:c>
      <x:c r="AO303" s="246" t="n">
        <x:f>M303-$B$4*AF303</x:f>
        <x:v>2.9398828609718675</x:v>
      </x:c>
      <x:c r="AP303" s="246" t="n">
        <x:f>N303-$B$4*AG303</x:f>
        <x:v>-2.689281058095178</x:v>
      </x:c>
      <x:c r="AQ303" s="246" t="n">
        <x:f>O303-$B$4*AH303</x:f>
        <x:v>1.3397971507443682</x:v>
      </x:c>
      <x:c r="AR303" s="182" t="n">
        <x:f>IF(U303&gt;=$B$5,1,0)</x:f>
        <x:v>1</x:v>
      </x:c>
      <x:c r="AS303" s="182" t="n">
        <x:f>IF(AR303=F303,1,0)</x:f>
        <x:v>1</x:v>
      </x:c>
      <x:c r="AT303" s="252" t="n">
        <x:f>ABS(F303-U303)</x:f>
        <x:v>0.3757632793659925</x:v>
      </x:c>
    </x:row>
    <x:row r="304">
      <x:c r="A304" s="114" t="n">
        <x:v>288</x:v>
      </x:c>
      <x:c r="B304" s="114" t="n">
        <x:v>72</x:v>
      </x:c>
      <x:c r="C304" s="114" t="n">
        <x:v>4</x:v>
      </x:c>
      <x:c r="D304" s="168" t="n">
        <x:f>$I$8</x:f>
        <x:v>1</x:v>
      </x:c>
      <x:c r="E304" s="168" t="n">
        <x:f>$J$8</x:f>
        <x:v>1</x:v>
      </x:c>
      <x:c r="F304" s="168" t="n">
        <x:f>$K$8</x:f>
        <x:v>0</x:v>
      </x:c>
      <x:c r="G304" s="242" t="n">
        <x:f>AI303</x:f>
        <x:v>2.4152696672404694</x:v>
      </x:c>
      <x:c r="H304" s="242" t="n">
        <x:f>AJ303</x:f>
        <x:v>-2.8314315105904617</x:v>
      </x:c>
      <x:c r="I304" s="242" t="n">
        <x:f>AK303</x:f>
        <x:v>-1.499170240209882</x:v>
      </x:c>
      <x:c r="J304" s="242" t="n">
        <x:f>AL303</x:f>
        <x:v>2.611770134145678</x:v>
      </x:c>
      <x:c r="K304" s="242" t="n">
        <x:f>AM303</x:f>
        <x:v>-2.5990395108592894</x:v>
      </x:c>
      <x:c r="L304" s="242" t="n">
        <x:f>AN303</x:f>
        <x:v>1.5859025376301132</x:v>
      </x:c>
      <x:c r="M304" s="242" t="n">
        <x:f>AO303</x:f>
        <x:v>2.9398828609718675</x:v>
      </x:c>
      <x:c r="N304" s="242" t="n">
        <x:f>AP303</x:f>
        <x:v>-2.689281058095178</x:v>
      </x:c>
      <x:c r="O304" s="242" t="n">
        <x:f>AQ303</x:f>
        <x:v>1.3397971507443682</x:v>
      </x:c>
      <x:c r="P304" s="243" t="n">
        <x:f>D304*G304+E304*H304+I304</x:f>
        <x:v>-1.9153320835598744</x:v>
      </x:c>
      <x:c r="Q304" s="243" t="n">
        <x:f>1/(1+EXP(-P304))</x:f>
        <x:v>0.1283830044697326</x:v>
      </x:c>
      <x:c r="R304" s="243" t="n">
        <x:f>D304*J304+E304*K304+L304</x:f>
        <x:v>1.5986331609165019</x:v>
      </x:c>
      <x:c r="S304" s="243" t="n">
        <x:f>1/(1+EXP(-R304))</x:f>
        <x:v>0.8318272638165521</x:v>
      </x:c>
      <x:c r="T304" s="243" t="n">
        <x:f>Q304*M304+S304*N304+O304</x:f>
        <x:v>-0.519789158963984</x:v>
      </x:c>
      <x:c r="U304" s="243" t="n">
        <x:f>1/(1+EXP(-T304))</x:f>
        <x:v>0.37290153669424414</x:v>
      </x:c>
      <x:c r="V304" s="243" t="n">
        <x:f>0.5*(F304-U304)^2</x:f>
        <x:v>0.06952777803446436</x:v>
      </x:c>
      <x:c r="W304" s="244" t="n">
        <x:f>(U304-F304)*U304*(1-U304)</x:f>
        <x:v>0.08720152552495258</x:v>
      </x:c>
      <x:c r="X304" s="244" t="n">
        <x:f>W304*M304*Q304*(1-Q304)</x:f>
        <x:v>0.02868714535421008</x:v>
      </x:c>
      <x:c r="Y304" s="244" t="n">
        <x:f>W304*N304*S304*(1-S304)</x:f>
        <x:v>-0.03280567789615237</x:v>
      </x:c>
      <x:c r="Z304" s="245" t="n">
        <x:f>X304*D304</x:f>
        <x:v>0.02868714535421008</x:v>
      </x:c>
      <x:c r="AA304" s="245" t="n">
        <x:f>X304*E304</x:f>
        <x:v>0.02868714535421008</x:v>
      </x:c>
      <x:c r="AB304" s="245" t="n">
        <x:f>X304</x:f>
        <x:v>0.02868714535421008</x:v>
      </x:c>
      <x:c r="AC304" s="245" t="n">
        <x:f>Y304*D304</x:f>
        <x:v>-0.03280567789615237</x:v>
      </x:c>
      <x:c r="AD304" s="245" t="n">
        <x:f>Y304*E304</x:f>
        <x:v>-0.03280567789615237</x:v>
      </x:c>
      <x:c r="AE304" s="245" t="n">
        <x:f>Y304</x:f>
        <x:v>-0.03280567789615237</x:v>
      </x:c>
      <x:c r="AF304" s="245" t="n">
        <x:f>W304*Q304</x:f>
        <x:v>0.01119519384123749</x:v>
      </x:c>
      <x:c r="AG304" s="245" t="n">
        <x:f>W304*S304</x:f>
        <x:v>0.07253660637805054</x:v>
      </x:c>
      <x:c r="AH304" s="245" t="n">
        <x:f>W304</x:f>
        <x:v>0.08720152552495258</x:v>
      </x:c>
      <x:c r="AI304" s="246" t="n">
        <x:f>G304-$B$4*Z304</x:f>
        <x:v>2.3865825218862593</x:v>
      </x:c>
      <x:c r="AJ304" s="246" t="n">
        <x:f>H304-$B$4*AA304</x:f>
        <x:v>-2.860118655944672</x:v>
      </x:c>
      <x:c r="AK304" s="246" t="n">
        <x:f>I304-$B$4*AB304</x:f>
        <x:v>-1.5278573855640922</x:v>
      </x:c>
      <x:c r="AL304" s="246" t="n">
        <x:f>J304-$B$4*AC304</x:f>
        <x:v>2.6445758120418303</x:v>
      </x:c>
      <x:c r="AM304" s="246" t="n">
        <x:f>K304-$B$4*AD304</x:f>
        <x:v>-2.566233832963137</x:v>
      </x:c>
      <x:c r="AN304" s="246" t="n">
        <x:f>L304-$B$4*AE304</x:f>
        <x:v>1.6187082155262655</x:v>
      </x:c>
      <x:c r="AO304" s="246" t="n">
        <x:f>M304-$B$4*AF304</x:f>
        <x:v>2.92868766713063</x:v>
      </x:c>
      <x:c r="AP304" s="246" t="n">
        <x:f>N304-$B$4*AG304</x:f>
        <x:v>-2.761817664473228</x:v>
      </x:c>
      <x:c r="AQ304" s="246" t="n">
        <x:f>O304-$B$4*AH304</x:f>
        <x:v>1.2525956252194157</x:v>
      </x:c>
      <x:c r="AR304" s="182" t="n">
        <x:f>IF(U304&gt;=$B$5,1,0)</x:f>
        <x:v>0</x:v>
      </x:c>
      <x:c r="AS304" s="182" t="n">
        <x:f>IF(AR304=F304,1,0)</x:f>
        <x:v>1</x:v>
      </x:c>
      <x:c r="AT304" s="252" t="n">
        <x:f>ABS(F304-U304)</x:f>
        <x:v>0.37290153669424414</x:v>
      </x:c>
    </x:row>
    <x:row r="305">
      <x:c r="A305" s="114" t="n">
        <x:v>289</x:v>
      </x:c>
      <x:c r="B305" s="114" t="n">
        <x:v>73</x:v>
      </x:c>
      <x:c r="C305" s="114" t="n">
        <x:v>1</x:v>
      </x:c>
      <x:c r="D305" s="168" t="n">
        <x:f>$I$5</x:f>
        <x:v>0</x:v>
      </x:c>
      <x:c r="E305" s="168" t="n">
        <x:f>$J$5</x:f>
        <x:v>0</x:v>
      </x:c>
      <x:c r="F305" s="168" t="n">
        <x:f>$K$5</x:f>
        <x:v>0</x:v>
      </x:c>
      <x:c r="G305" s="242" t="n">
        <x:f>AI304</x:f>
        <x:v>2.3865825218862593</x:v>
      </x:c>
      <x:c r="H305" s="242" t="n">
        <x:f>AJ304</x:f>
        <x:v>-2.860118655944672</x:v>
      </x:c>
      <x:c r="I305" s="242" t="n">
        <x:f>AK304</x:f>
        <x:v>-1.5278573855640922</x:v>
      </x:c>
      <x:c r="J305" s="242" t="n">
        <x:f>AL304</x:f>
        <x:v>2.6445758120418303</x:v>
      </x:c>
      <x:c r="K305" s="242" t="n">
        <x:f>AM304</x:f>
        <x:v>-2.566233832963137</x:v>
      </x:c>
      <x:c r="L305" s="242" t="n">
        <x:f>AN304</x:f>
        <x:v>1.6187082155262655</x:v>
      </x:c>
      <x:c r="M305" s="242" t="n">
        <x:f>AO304</x:f>
        <x:v>2.92868766713063</x:v>
      </x:c>
      <x:c r="N305" s="242" t="n">
        <x:f>AP304</x:f>
        <x:v>-2.761817664473228</x:v>
      </x:c>
      <x:c r="O305" s="242" t="n">
        <x:f>AQ304</x:f>
        <x:v>1.2525956252194157</x:v>
      </x:c>
      <x:c r="P305" s="243" t="n">
        <x:f>D305*G305+E305*H305+I305</x:f>
        <x:v>-1.5278573855640922</x:v>
      </x:c>
      <x:c r="Q305" s="243" t="n">
        <x:f>1/(1+EXP(-P305))</x:f>
        <x:v>0.1783073921644522</x:v>
      </x:c>
      <x:c r="R305" s="243" t="n">
        <x:f>D305*J305+E305*K305+L305</x:f>
        <x:v>1.6187082155262655</x:v>
      </x:c>
      <x:c r="S305" s="243" t="n">
        <x:f>1/(1+EXP(-R305))</x:f>
        <x:v>0.8346168998868332</x:v>
      </x:c>
      <x:c r="T305" s="243" t="n">
        <x:f>Q305*M305+S305*N305+O305</x:f>
        <x:v>-0.530257411565668</x:v>
      </x:c>
      <x:c r="U305" s="243" t="n">
        <x:f>1/(1+EXP(-T305))</x:f>
        <x:v>0.3704568528729828</x:v>
      </x:c>
      <x:c r="V305" s="243" t="n">
        <x:f>0.5*(F305-U305)^2</x:f>
        <x:v>0.0686191399202774</x:v>
      </x:c>
      <x:c r="W305" s="244" t="n">
        <x:f>(U305-F305)*U305*(1-U305)</x:f>
        <x:v>0.08639741859712116</x:v>
      </x:c>
      <x:c r="X305" s="244" t="n">
        <x:f>W305*M305*Q305*(1-Q305)</x:f>
        <x:v>0.03707255800227026</x:v>
      </x:c>
      <x:c r="Y305" s="244" t="n">
        <x:f>W305*N305*S305*(1-S305)</x:f>
        <x:v>-0.03293624409560387</x:v>
      </x:c>
      <x:c r="Z305" s="245" t="n">
        <x:f>X305*D305</x:f>
        <x:v>0</x:v>
      </x:c>
      <x:c r="AA305" s="245" t="n">
        <x:f>X305*E305</x:f>
        <x:v>0</x:v>
      </x:c>
      <x:c r="AB305" s="245" t="n">
        <x:f>X305</x:f>
        <x:v>0.03707255800227026</x:v>
      </x:c>
      <x:c r="AC305" s="245" t="n">
        <x:f>Y305*D305</x:f>
        <x:v>0</x:v>
      </x:c>
      <x:c r="AD305" s="245" t="n">
        <x:f>Y305*E305</x:f>
        <x:v>0</x:v>
      </x:c>
      <x:c r="AE305" s="245" t="n">
        <x:f>Y305</x:f>
        <x:v>-0.03293624409560387</x:v>
      </x:c>
      <x:c r="AF305" s="245" t="n">
        <x:f>W305*Q305</x:f>
        <x:v>0.015405298399793219</x:v>
      </x:c>
      <x:c r="AG305" s="245" t="n">
        <x:f>W305*S305</x:f>
        <x:v>0.0721087456677543</x:v>
      </x:c>
      <x:c r="AH305" s="245" t="n">
        <x:f>W305</x:f>
        <x:v>0.08639741859712116</x:v>
      </x:c>
      <x:c r="AI305" s="246" t="n">
        <x:f>G305-$B$4*Z305</x:f>
        <x:v>2.3865825218862593</x:v>
      </x:c>
      <x:c r="AJ305" s="246" t="n">
        <x:f>H305-$B$4*AA305</x:f>
        <x:v>-2.860118655944672</x:v>
      </x:c>
      <x:c r="AK305" s="246" t="n">
        <x:f>I305-$B$4*AB305</x:f>
        <x:v>-1.5649299435663624</x:v>
      </x:c>
      <x:c r="AL305" s="246" t="n">
        <x:f>J305-$B$4*AC305</x:f>
        <x:v>2.6445758120418303</x:v>
      </x:c>
      <x:c r="AM305" s="246" t="n">
        <x:f>K305-$B$4*AD305</x:f>
        <x:v>-2.566233832963137</x:v>
      </x:c>
      <x:c r="AN305" s="246" t="n">
        <x:f>L305-$B$4*AE305</x:f>
        <x:v>1.6516444596218693</x:v>
      </x:c>
      <x:c r="AO305" s="246" t="n">
        <x:f>M305-$B$4*AF305</x:f>
        <x:v>2.9132823687308367</x:v>
      </x:c>
      <x:c r="AP305" s="246" t="n">
        <x:f>N305-$B$4*AG305</x:f>
        <x:v>-2.8339264101409825</x:v>
      </x:c>
      <x:c r="AQ305" s="246" t="n">
        <x:f>O305-$B$4*AH305</x:f>
        <x:v>1.1661982066222945</x:v>
      </x:c>
      <x:c r="AR305" s="182" t="n">
        <x:f>IF(U305&gt;=$B$5,1,0)</x:f>
        <x:v>0</x:v>
      </x:c>
      <x:c r="AS305" s="182" t="n">
        <x:f>IF(AR305=F305,1,0)</x:f>
        <x:v>1</x:v>
      </x:c>
      <x:c r="AT305" s="252" t="n">
        <x:f>ABS(F305-U305)</x:f>
        <x:v>0.3704568528729828</x:v>
      </x:c>
    </x:row>
    <x:row r="306">
      <x:c r="A306" s="114" t="n">
        <x:v>290</x:v>
      </x:c>
      <x:c r="B306" s="114" t="n">
        <x:v>73</x:v>
      </x:c>
      <x:c r="C306" s="114" t="n">
        <x:v>2</x:v>
      </x:c>
      <x:c r="D306" s="168" t="n">
        <x:f>$I$6</x:f>
        <x:v>0</x:v>
      </x:c>
      <x:c r="E306" s="168" t="n">
        <x:f>$J$6</x:f>
        <x:v>1</x:v>
      </x:c>
      <x:c r="F306" s="168" t="n">
        <x:f>$K$6</x:f>
        <x:v>1</x:v>
      </x:c>
      <x:c r="G306" s="242" t="n">
        <x:f>AI305</x:f>
        <x:v>2.3865825218862593</x:v>
      </x:c>
      <x:c r="H306" s="242" t="n">
        <x:f>AJ305</x:f>
        <x:v>-2.860118655944672</x:v>
      </x:c>
      <x:c r="I306" s="242" t="n">
        <x:f>AK305</x:f>
        <x:v>-1.5649299435663624</x:v>
      </x:c>
      <x:c r="J306" s="242" t="n">
        <x:f>AL305</x:f>
        <x:v>2.6445758120418303</x:v>
      </x:c>
      <x:c r="K306" s="242" t="n">
        <x:f>AM305</x:f>
        <x:v>-2.566233832963137</x:v>
      </x:c>
      <x:c r="L306" s="242" t="n">
        <x:f>AN305</x:f>
        <x:v>1.6516444596218693</x:v>
      </x:c>
      <x:c r="M306" s="242" t="n">
        <x:f>AO305</x:f>
        <x:v>2.9132823687308367</x:v>
      </x:c>
      <x:c r="N306" s="242" t="n">
        <x:f>AP305</x:f>
        <x:v>-2.8339264101409825</x:v>
      </x:c>
      <x:c r="O306" s="242" t="n">
        <x:f>AQ305</x:f>
        <x:v>1.1661982066222945</x:v>
      </x:c>
      <x:c r="P306" s="243" t="n">
        <x:f>D306*G306+E306*H306+I306</x:f>
        <x:v>-4.425048599511034</x:v>
      </x:c>
      <x:c r="Q306" s="243" t="n">
        <x:f>1/(1+EXP(-P306))</x:f>
        <x:v>0.011831957895518915</x:v>
      </x:c>
      <x:c r="R306" s="243" t="n">
        <x:f>D306*J306+E306*K306+L306</x:f>
        <x:v>-0.9145893733412678</x:v>
      </x:c>
      <x:c r="S306" s="243" t="n">
        <x:f>1/(1+EXP(-R306))</x:f>
        <x:v>0.28606162829067505</x:v>
      </x:c>
      <x:c r="T306" s="243" t="n">
        <x:f>Q306*M306+S306*N306+O306</x:f>
        <x:v>0.3899904376059984</x:v>
      </x:c>
      <x:c r="U306" s="243" t="n">
        <x:f>1/(1+EXP(-T306))</x:f>
        <x:v>0.5962803973429855</x:v>
      </x:c>
      <x:c r="V306" s="243" t="n">
        <x:f>0.5*(F306-U306)^2</x:f>
        <x:v>0.08149475878476882</x:v>
      </x:c>
      <x:c r="W306" s="244" t="n">
        <x:f>(U306-F306)*U306*(1-U306)</x:f>
        <x:v>-0.09718745429910541</x:v>
      </x:c>
      <x:c r="X306" s="244" t="n">
        <x:f>W306*M306*Q306*(1-Q306)</x:f>
        <x:v>-0.0033103979697473107</x:v>
      </x:c>
      <x:c r="Y306" s="244" t="n">
        <x:f>W306*N306*S306*(1-S306)</x:f>
        <x:v>0.05624955691274723</x:v>
      </x:c>
      <x:c r="Z306" s="245" t="n">
        <x:f>X306*D306</x:f>
        <x:v>0</x:v>
      </x:c>
      <x:c r="AA306" s="245" t="n">
        <x:f>X306*E306</x:f>
        <x:v>-0.0033103979697473107</x:v>
      </x:c>
      <x:c r="AB306" s="245" t="n">
        <x:f>X306</x:f>
        <x:v>-0.0033103979697473107</x:v>
      </x:c>
      <x:c r="AC306" s="245" t="n">
        <x:f>Y306*D306</x:f>
        <x:v>0</x:v>
      </x:c>
      <x:c r="AD306" s="245" t="n">
        <x:f>Y306*E306</x:f>
        <x:v>0.05624955691274723</x:v>
      </x:c>
      <x:c r="AE306" s="245" t="n">
        <x:f>Y306</x:f>
        <x:v>0.05624955691274723</x:v>
      </x:c>
      <x:c r="AF306" s="245" t="n">
        <x:f>W306*Q306</x:f>
        <x:v>-0.001149917867239684</x:v>
      </x:c>
      <x:c r="AG306" s="245" t="n">
        <x:f>W306*S306</x:f>
        <x:v>-0.027801601426227663</x:v>
      </x:c>
      <x:c r="AH306" s="245" t="n">
        <x:f>W306</x:f>
        <x:v>-0.09718745429910541</x:v>
      </x:c>
      <x:c r="AI306" s="246" t="n">
        <x:f>G306-$B$4*Z306</x:f>
        <x:v>2.3865825218862593</x:v>
      </x:c>
      <x:c r="AJ306" s="246" t="n">
        <x:f>H306-$B$4*AA306</x:f>
        <x:v>-2.8568082579749245</x:v>
      </x:c>
      <x:c r="AK306" s="246" t="n">
        <x:f>I306-$B$4*AB306</x:f>
        <x:v>-1.561619545596615</x:v>
      </x:c>
      <x:c r="AL306" s="246" t="n">
        <x:f>J306-$B$4*AC306</x:f>
        <x:v>2.6445758120418303</x:v>
      </x:c>
      <x:c r="AM306" s="246" t="n">
        <x:f>K306-$B$4*AD306</x:f>
        <x:v>-2.6224833898758844</x:v>
      </x:c>
      <x:c r="AN306" s="246" t="n">
        <x:f>L306-$B$4*AE306</x:f>
        <x:v>1.595394902709122</x:v>
      </x:c>
      <x:c r="AO306" s="246" t="n">
        <x:f>M306-$B$4*AF306</x:f>
        <x:v>2.9144322865980765</x:v>
      </x:c>
      <x:c r="AP306" s="246" t="n">
        <x:f>N306-$B$4*AG306</x:f>
        <x:v>-2.806124808714755</x:v>
      </x:c>
      <x:c r="AQ306" s="246" t="n">
        <x:f>O306-$B$4*AH306</x:f>
        <x:v>1.2633856609213998</x:v>
      </x:c>
      <x:c r="AR306" s="182" t="n">
        <x:f>IF(U306&gt;=$B$5,1,0)</x:f>
        <x:v>1</x:v>
      </x:c>
      <x:c r="AS306" s="182" t="n">
        <x:f>IF(AR306=F306,1,0)</x:f>
        <x:v>1</x:v>
      </x:c>
      <x:c r="AT306" s="252" t="n">
        <x:f>ABS(F306-U306)</x:f>
        <x:v>0.40371960265701445</x:v>
      </x:c>
    </x:row>
    <x:row r="307">
      <x:c r="A307" s="114" t="n">
        <x:v>291</x:v>
      </x:c>
      <x:c r="B307" s="114" t="n">
        <x:v>73</x:v>
      </x:c>
      <x:c r="C307" s="114" t="n">
        <x:v>3</x:v>
      </x:c>
      <x:c r="D307" s="168" t="n">
        <x:f>$I$7</x:f>
        <x:v>1</x:v>
      </x:c>
      <x:c r="E307" s="168" t="n">
        <x:f>$J$7</x:f>
        <x:v>0</x:v>
      </x:c>
      <x:c r="F307" s="168" t="n">
        <x:f>$K$7</x:f>
        <x:v>1</x:v>
      </x:c>
      <x:c r="G307" s="242" t="n">
        <x:f>AI306</x:f>
        <x:v>2.3865825218862593</x:v>
      </x:c>
      <x:c r="H307" s="242" t="n">
        <x:f>AJ306</x:f>
        <x:v>-2.8568082579749245</x:v>
      </x:c>
      <x:c r="I307" s="242" t="n">
        <x:f>AK306</x:f>
        <x:v>-1.561619545596615</x:v>
      </x:c>
      <x:c r="J307" s="242" t="n">
        <x:f>AL306</x:f>
        <x:v>2.6445758120418303</x:v>
      </x:c>
      <x:c r="K307" s="242" t="n">
        <x:f>AM306</x:f>
        <x:v>-2.6224833898758844</x:v>
      </x:c>
      <x:c r="L307" s="242" t="n">
        <x:f>AN306</x:f>
        <x:v>1.595394902709122</x:v>
      </x:c>
      <x:c r="M307" s="242" t="n">
        <x:f>AO306</x:f>
        <x:v>2.9144322865980765</x:v>
      </x:c>
      <x:c r="N307" s="242" t="n">
        <x:f>AP306</x:f>
        <x:v>-2.806124808714755</x:v>
      </x:c>
      <x:c r="O307" s="242" t="n">
        <x:f>AQ306</x:f>
        <x:v>1.2633856609213998</x:v>
      </x:c>
      <x:c r="P307" s="243" t="n">
        <x:f>D307*G307+E307*H307+I307</x:f>
        <x:v>0.8249629762896442</x:v>
      </x:c>
      <x:c r="Q307" s="243" t="n">
        <x:f>1/(1+EXP(-P307))</x:f>
        <x:v>0.6952888254767883</x:v>
      </x:c>
      <x:c r="R307" s="243" t="n">
        <x:f>D307*J307+E307*K307+L307</x:f>
        <x:v>4.239970714750952</x:v>
      </x:c>
      <x:c r="S307" s="243" t="n">
        <x:f>1/(1+EXP(-R307))</x:f>
        <x:v>0.9857966285917552</x:v>
      </x:c>
      <x:c r="T307" s="243" t="n">
        <x:f>Q307*M307+S307*N307+O307</x:f>
        <x:v>0.5234894865631174</x:v>
      </x:c>
      <x:c r="U307" s="243" t="n">
        <x:f>1/(1+EXP(-T307))</x:f>
        <x:v>0.6279633622877913</x:v>
      </x:c>
      <x:c r="V307" s="243" t="n">
        <x:f>0.5*(F307-U307)^2</x:f>
        <x:v>0.06920562990010264</x:v>
      </x:c>
      <x:c r="W307" s="244" t="n">
        <x:f>(U307-F307)*U307*(1-U307)</x:f>
        <x:v>-0.08691720008262589</x:v>
      </x:c>
      <x:c r="X307" s="244" t="n">
        <x:f>W307*M307*Q307*(1-Q307)</x:f>
        <x:v>-0.053667742565107854</x:v>
      </x:c>
      <x:c r="Y307" s="244" t="n">
        <x:f>W307*N307*S307*(1-S307)</x:f>
        <x:v>0.003415006095981759</x:v>
      </x:c>
      <x:c r="Z307" s="245" t="n">
        <x:f>X307*D307</x:f>
        <x:v>-0.053667742565107854</x:v>
      </x:c>
      <x:c r="AA307" s="245" t="n">
        <x:f>X307*E307</x:f>
        <x:v>0</x:v>
      </x:c>
      <x:c r="AB307" s="245" t="n">
        <x:f>X307</x:f>
        <x:v>-0.053667742565107854</x:v>
      </x:c>
      <x:c r="AC307" s="245" t="n">
        <x:f>Y307*D307</x:f>
        <x:v>0.003415006095981759</x:v>
      </x:c>
      <x:c r="AD307" s="245" t="n">
        <x:f>Y307*E307</x:f>
        <x:v>0</x:v>
      </x:c>
      <x:c r="AE307" s="245" t="n">
        <x:f>Y307</x:f>
        <x:v>0.003415006095981759</x:v>
      </x:c>
      <x:c r="AF307" s="245" t="n">
        <x:f>W307*Q307</x:f>
        <x:v>-0.06043255795917996</x:v>
      </x:c>
      <x:c r="AG307" s="245" t="n">
        <x:f>W307*S307</x:f>
        <x:v>-0.08568268280808763</x:v>
      </x:c>
      <x:c r="AH307" s="245" t="n">
        <x:f>W307</x:f>
        <x:v>-0.08691720008262589</x:v>
      </x:c>
      <x:c r="AI307" s="246" t="n">
        <x:f>G307-$B$4*Z307</x:f>
        <x:v>2.4402502644513673</x:v>
      </x:c>
      <x:c r="AJ307" s="246" t="n">
        <x:f>H307-$B$4*AA307</x:f>
        <x:v>-2.8568082579749245</x:v>
      </x:c>
      <x:c r="AK307" s="246" t="n">
        <x:f>I307-$B$4*AB307</x:f>
        <x:v>-1.5079518030315073</x:v>
      </x:c>
      <x:c r="AL307" s="246" t="n">
        <x:f>J307-$B$4*AC307</x:f>
        <x:v>2.6411608059458485</x:v>
      </x:c>
      <x:c r="AM307" s="246" t="n">
        <x:f>K307-$B$4*AD307</x:f>
        <x:v>-2.6224833898758844</x:v>
      </x:c>
      <x:c r="AN307" s="246" t="n">
        <x:f>L307-$B$4*AE307</x:f>
        <x:v>1.5919798966131404</x:v>
      </x:c>
      <x:c r="AO307" s="246" t="n">
        <x:f>M307-$B$4*AF307</x:f>
        <x:v>2.9748648445572563</x:v>
      </x:c>
      <x:c r="AP307" s="246" t="n">
        <x:f>N307-$B$4*AG307</x:f>
        <x:v>-2.720442125906667</x:v>
      </x:c>
      <x:c r="AQ307" s="246" t="n">
        <x:f>O307-$B$4*AH307</x:f>
        <x:v>1.3503028610040257</x:v>
      </x:c>
      <x:c r="AR307" s="182" t="n">
        <x:f>IF(U307&gt;=$B$5,1,0)</x:f>
        <x:v>1</x:v>
      </x:c>
      <x:c r="AS307" s="182" t="n">
        <x:f>IF(AR307=F307,1,0)</x:f>
        <x:v>1</x:v>
      </x:c>
      <x:c r="AT307" s="252" t="n">
        <x:f>ABS(F307-U307)</x:f>
        <x:v>0.37203663771220874</x:v>
      </x:c>
    </x:row>
    <x:row r="308">
      <x:c r="A308" s="114" t="n">
        <x:v>292</x:v>
      </x:c>
      <x:c r="B308" s="114" t="n">
        <x:v>73</x:v>
      </x:c>
      <x:c r="C308" s="114" t="n">
        <x:v>4</x:v>
      </x:c>
      <x:c r="D308" s="168" t="n">
        <x:f>$I$8</x:f>
        <x:v>1</x:v>
      </x:c>
      <x:c r="E308" s="168" t="n">
        <x:f>$J$8</x:f>
        <x:v>1</x:v>
      </x:c>
      <x:c r="F308" s="168" t="n">
        <x:f>$K$8</x:f>
        <x:v>0</x:v>
      </x:c>
      <x:c r="G308" s="242" t="n">
        <x:f>AI307</x:f>
        <x:v>2.4402502644513673</x:v>
      </x:c>
      <x:c r="H308" s="242" t="n">
        <x:f>AJ307</x:f>
        <x:v>-2.8568082579749245</x:v>
      </x:c>
      <x:c r="I308" s="242" t="n">
        <x:f>AK307</x:f>
        <x:v>-1.5079518030315073</x:v>
      </x:c>
      <x:c r="J308" s="242" t="n">
        <x:f>AL307</x:f>
        <x:v>2.6411608059458485</x:v>
      </x:c>
      <x:c r="K308" s="242" t="n">
        <x:f>AM307</x:f>
        <x:v>-2.6224833898758844</x:v>
      </x:c>
      <x:c r="L308" s="242" t="n">
        <x:f>AN307</x:f>
        <x:v>1.5919798966131404</x:v>
      </x:c>
      <x:c r="M308" s="242" t="n">
        <x:f>AO307</x:f>
        <x:v>2.9748648445572563</x:v>
      </x:c>
      <x:c r="N308" s="242" t="n">
        <x:f>AP307</x:f>
        <x:v>-2.720442125906667</x:v>
      </x:c>
      <x:c r="O308" s="242" t="n">
        <x:f>AQ307</x:f>
        <x:v>1.3503028610040257</x:v>
      </x:c>
      <x:c r="P308" s="243" t="n">
        <x:f>D308*G308+E308*H308+I308</x:f>
        <x:v>-1.9245097965550646</x:v>
      </x:c>
      <x:c r="Q308" s="243" t="n">
        <x:f>1/(1+EXP(-P308))</x:f>
        <x:v>0.1273595088763422</x:v>
      </x:c>
      <x:c r="R308" s="243" t="n">
        <x:f>D308*J308+E308*K308+L308</x:f>
        <x:v>1.6106573126831045</x:v>
      </x:c>
      <x:c r="S308" s="243" t="n">
        <x:f>1/(1+EXP(-R308))</x:f>
        <x:v>0.8335026256463549</x:v>
      </x:c>
      <x:c r="T308" s="243" t="n">
        <x:f>Q308*M308+S308*N308+O308</x:f>
        <x:v>-0.5383154682818245</x:v>
      </x:c>
      <x:c r="U308" s="243" t="n">
        <x:f>1/(1+EXP(-T308))</x:f>
        <x:v>0.36857953421160217</x:v>
      </x:c>
      <x:c r="V308" s="243" t="n">
        <x:f>0.5*(F308-U308)^2</x:f>
        <x:v>0.0679254365198208</x:v>
      </x:c>
      <x:c r="W308" s="244" t="n">
        <x:f>(U308-F308)*U308*(1-U308)</x:f>
        <x:v>0.085779021532451</x:v>
      </x:c>
      <x:c r="X308" s="244" t="n">
        <x:f>W308*M308*Q308*(1-Q308)</x:f>
        <x:v>0.028360577092561793</x:v>
      </x:c>
      <x:c r="Y308" s="244" t="n">
        <x:f>W308*N308*S308*(1-S308)</x:f>
        <x:v>-0.03238433180986651</x:v>
      </x:c>
      <x:c r="Z308" s="245" t="n">
        <x:f>X308*D308</x:f>
        <x:v>0.028360577092561793</x:v>
      </x:c>
      <x:c r="AA308" s="245" t="n">
        <x:f>X308*E308</x:f>
        <x:v>0.028360577092561793</x:v>
      </x:c>
      <x:c r="AB308" s="245" t="n">
        <x:f>X308</x:f>
        <x:v>0.028360577092561793</x:v>
      </x:c>
      <x:c r="AC308" s="245" t="n">
        <x:f>Y308*D308</x:f>
        <x:v>-0.03238433180986651</x:v>
      </x:c>
      <x:c r="AD308" s="245" t="n">
        <x:f>Y308*E308</x:f>
        <x:v>-0.03238433180986651</x:v>
      </x:c>
      <x:c r="AE308" s="245" t="n">
        <x:f>Y308</x:f>
        <x:v>-0.03238433180986651</x:v>
      </x:c>
      <x:c r="AF308" s="245" t="n">
        <x:f>W308*Q308</x:f>
        <x:v>0.010924774054266142</x:v>
      </x:c>
      <x:c r="AG308" s="245" t="n">
        <x:f>W308*S308</x:f>
        <x:v>0.07149703967267312</x:v>
      </x:c>
      <x:c r="AH308" s="245" t="n">
        <x:f>W308</x:f>
        <x:v>0.085779021532451</x:v>
      </x:c>
      <x:c r="AI308" s="246" t="n">
        <x:f>G308-$B$4*Z308</x:f>
        <x:v>2.4118896873588054</x:v>
      </x:c>
      <x:c r="AJ308" s="246" t="n">
        <x:f>H308-$B$4*AA308</x:f>
        <x:v>-2.8851688350674864</x:v>
      </x:c>
      <x:c r="AK308" s="246" t="n">
        <x:f>I308-$B$4*AB308</x:f>
        <x:v>-1.5363123801240692</x:v>
      </x:c>
      <x:c r="AL308" s="246" t="n">
        <x:f>J308-$B$4*AC308</x:f>
        <x:v>2.673545137755715</x:v>
      </x:c>
      <x:c r="AM308" s="246" t="n">
        <x:f>K308-$B$4*AD308</x:f>
        <x:v>-2.5900990580660177</x:v>
      </x:c>
      <x:c r="AN308" s="246" t="n">
        <x:f>L308-$B$4*AE308</x:f>
        <x:v>1.6243642284230069</x:v>
      </x:c>
      <x:c r="AO308" s="246" t="n">
        <x:f>M308-$B$4*AF308</x:f>
        <x:v>2.96394007050299</x:v>
      </x:c>
      <x:c r="AP308" s="246" t="n">
        <x:f>N308-$B$4*AG308</x:f>
        <x:v>-2.79193916557934</x:v>
      </x:c>
      <x:c r="AQ308" s="246" t="n">
        <x:f>O308-$B$4*AH308</x:f>
        <x:v>1.2645238394715748</x:v>
      </x:c>
      <x:c r="AR308" s="182" t="n">
        <x:f>IF(U308&gt;=$B$5,1,0)</x:f>
        <x:v>0</x:v>
      </x:c>
      <x:c r="AS308" s="182" t="n">
        <x:f>IF(AR308=F308,1,0)</x:f>
        <x:v>1</x:v>
      </x:c>
      <x:c r="AT308" s="252" t="n">
        <x:f>ABS(F308-U308)</x:f>
        <x:v>0.36857953421160217</x:v>
      </x:c>
    </x:row>
    <x:row r="309">
      <x:c r="A309" s="114" t="n">
        <x:v>293</x:v>
      </x:c>
      <x:c r="B309" s="114" t="n">
        <x:v>74</x:v>
      </x:c>
      <x:c r="C309" s="114" t="n">
        <x:v>1</x:v>
      </x:c>
      <x:c r="D309" s="168" t="n">
        <x:f>$I$5</x:f>
        <x:v>0</x:v>
      </x:c>
      <x:c r="E309" s="168" t="n">
        <x:f>$J$5</x:f>
        <x:v>0</x:v>
      </x:c>
      <x:c r="F309" s="168" t="n">
        <x:f>$K$5</x:f>
        <x:v>0</x:v>
      </x:c>
      <x:c r="G309" s="242" t="n">
        <x:f>AI308</x:f>
        <x:v>2.4118896873588054</x:v>
      </x:c>
      <x:c r="H309" s="242" t="n">
        <x:f>AJ308</x:f>
        <x:v>-2.8851688350674864</x:v>
      </x:c>
      <x:c r="I309" s="242" t="n">
        <x:f>AK308</x:f>
        <x:v>-1.5363123801240692</x:v>
      </x:c>
      <x:c r="J309" s="242" t="n">
        <x:f>AL308</x:f>
        <x:v>2.673545137755715</x:v>
      </x:c>
      <x:c r="K309" s="242" t="n">
        <x:f>AM308</x:f>
        <x:v>-2.5900990580660177</x:v>
      </x:c>
      <x:c r="L309" s="242" t="n">
        <x:f>AN308</x:f>
        <x:v>1.6243642284230069</x:v>
      </x:c>
      <x:c r="M309" s="242" t="n">
        <x:f>AO308</x:f>
        <x:v>2.96394007050299</x:v>
      </x:c>
      <x:c r="N309" s="242" t="n">
        <x:f>AP308</x:f>
        <x:v>-2.79193916557934</x:v>
      </x:c>
      <x:c r="O309" s="242" t="n">
        <x:f>AQ308</x:f>
        <x:v>1.2645238394715748</x:v>
      </x:c>
      <x:c r="P309" s="243" t="n">
        <x:f>D309*G309+E309*H309+I309</x:f>
        <x:v>-1.5363123801240692</x:v>
      </x:c>
      <x:c r="Q309" s="243" t="n">
        <x:f>1/(1+EXP(-P309))</x:f>
        <x:v>0.1770719857767896</x:v>
      </x:c>
      <x:c r="R309" s="243" t="n">
        <x:f>D309*J309+E309*K309+L309</x:f>
        <x:v>1.6243642284230069</x:v>
      </x:c>
      <x:c r="S309" s="243" t="n">
        <x:f>1/(1+EXP(-R309))</x:f>
        <x:v>0.8353961311539443</x:v>
      </x:c>
      <x:c r="T309" s="243" t="n">
        <x:f>Q309*M309+S309*N309+O309</x:f>
        <x:v>-0.5430205838632154</x:v>
      </x:c>
      <x:c r="U309" s="243" t="n">
        <x:f>1/(1+EXP(-T309))</x:f>
        <x:v>0.36748519766190735</x:v>
      </x:c>
      <x:c r="V309" s="243" t="n">
        <x:f>0.5*(F309-U309)^2</x:f>
        <x:v>0.06752268525030555</x:v>
      </x:c>
      <x:c r="W309" s="244" t="n">
        <x:f>(U309-F309)*U309*(1-U309)</x:f>
        <x:v>0.08541819582886852</x:v>
      </x:c>
      <x:c r="X309" s="244" t="n">
        <x:f>W309*M309*Q309*(1-Q309)</x:f>
        <x:v>0.03689194197978263</x:v>
      </x:c>
      <x:c r="Y309" s="244" t="n">
        <x:f>W309*N309*S309*(1-S309)</x:f>
        <x:v>-0.03279358100917685</x:v>
      </x:c>
      <x:c r="Z309" s="245" t="n">
        <x:f>X309*D309</x:f>
        <x:v>0</x:v>
      </x:c>
      <x:c r="AA309" s="245" t="n">
        <x:f>X309*E309</x:f>
        <x:v>0</x:v>
      </x:c>
      <x:c r="AB309" s="245" t="n">
        <x:f>X309</x:f>
        <x:v>0.03689194197978263</x:v>
      </x:c>
      <x:c r="AC309" s="245" t="n">
        <x:f>Y309*D309</x:f>
        <x:v>0</x:v>
      </x:c>
      <x:c r="AD309" s="245" t="n">
        <x:f>Y309*E309</x:f>
        <x:v>0</x:v>
      </x:c>
      <x:c r="AE309" s="245" t="n">
        <x:f>Y309</x:f>
        <x:v>-0.03279358100917685</x:v>
      </x:c>
      <x:c r="AF309" s="245" t="n">
        <x:f>W309*Q309</x:f>
        <x:v>0.015125169556888434</x:v>
      </x:c>
      <x:c r="AG309" s="245" t="n">
        <x:f>W309*S309</x:f>
        <x:v>0.07135803032558674</x:v>
      </x:c>
      <x:c r="AH309" s="245" t="n">
        <x:f>W309</x:f>
        <x:v>0.08541819582886852</x:v>
      </x:c>
      <x:c r="AI309" s="246" t="n">
        <x:f>G309-$B$4*Z309</x:f>
        <x:v>2.4118896873588054</x:v>
      </x:c>
      <x:c r="AJ309" s="246" t="n">
        <x:f>H309-$B$4*AA309</x:f>
        <x:v>-2.8851688350674864</x:v>
      </x:c>
      <x:c r="AK309" s="246" t="n">
        <x:f>I309-$B$4*AB309</x:f>
        <x:v>-1.5732043221038519</x:v>
      </x:c>
      <x:c r="AL309" s="246" t="n">
        <x:f>J309-$B$4*AC309</x:f>
        <x:v>2.673545137755715</x:v>
      </x:c>
      <x:c r="AM309" s="246" t="n">
        <x:f>K309-$B$4*AD309</x:f>
        <x:v>-2.5900990580660177</x:v>
      </x:c>
      <x:c r="AN309" s="246" t="n">
        <x:f>L309-$B$4*AE309</x:f>
        <x:v>1.6571578094321837</x:v>
      </x:c>
      <x:c r="AO309" s="246" t="n">
        <x:f>M309-$B$4*AF309</x:f>
        <x:v>2.9488149009461018</x:v>
      </x:c>
      <x:c r="AP309" s="246" t="n">
        <x:f>N309-$B$4*AG309</x:f>
        <x:v>-2.863297195904927</x:v>
      </x:c>
      <x:c r="AQ309" s="246" t="n">
        <x:f>O309-$B$4*AH309</x:f>
        <x:v>1.1791056436427063</x:v>
      </x:c>
      <x:c r="AR309" s="182" t="n">
        <x:f>IF(U309&gt;=$B$5,1,0)</x:f>
        <x:v>0</x:v>
      </x:c>
      <x:c r="AS309" s="182" t="n">
        <x:f>IF(AR309=F309,1,0)</x:f>
        <x:v>1</x:v>
      </x:c>
      <x:c r="AT309" s="252" t="n">
        <x:f>ABS(F309-U309)</x:f>
        <x:v>0.36748519766190735</x:v>
      </x:c>
    </x:row>
    <x:row r="310">
      <x:c r="A310" s="114" t="n">
        <x:v>294</x:v>
      </x:c>
      <x:c r="B310" s="114" t="n">
        <x:v>74</x:v>
      </x:c>
      <x:c r="C310" s="114" t="n">
        <x:v>2</x:v>
      </x:c>
      <x:c r="D310" s="168" t="n">
        <x:f>$I$6</x:f>
        <x:v>0</x:v>
      </x:c>
      <x:c r="E310" s="168" t="n">
        <x:f>$J$6</x:f>
        <x:v>1</x:v>
      </x:c>
      <x:c r="F310" s="168" t="n">
        <x:f>$K$6</x:f>
        <x:v>1</x:v>
      </x:c>
      <x:c r="G310" s="242" t="n">
        <x:f>AI309</x:f>
        <x:v>2.4118896873588054</x:v>
      </x:c>
      <x:c r="H310" s="242" t="n">
        <x:f>AJ309</x:f>
        <x:v>-2.8851688350674864</x:v>
      </x:c>
      <x:c r="I310" s="242" t="n">
        <x:f>AK309</x:f>
        <x:v>-1.5732043221038519</x:v>
      </x:c>
      <x:c r="J310" s="242" t="n">
        <x:f>AL309</x:f>
        <x:v>2.673545137755715</x:v>
      </x:c>
      <x:c r="K310" s="242" t="n">
        <x:f>AM309</x:f>
        <x:v>-2.5900990580660177</x:v>
      </x:c>
      <x:c r="L310" s="242" t="n">
        <x:f>AN309</x:f>
        <x:v>1.6571578094321837</x:v>
      </x:c>
      <x:c r="M310" s="242" t="n">
        <x:f>AO309</x:f>
        <x:v>2.9488149009461018</x:v>
      </x:c>
      <x:c r="N310" s="242" t="n">
        <x:f>AP309</x:f>
        <x:v>-2.863297195904927</x:v>
      </x:c>
      <x:c r="O310" s="242" t="n">
        <x:f>AQ309</x:f>
        <x:v>1.1791056436427063</x:v>
      </x:c>
      <x:c r="P310" s="243" t="n">
        <x:f>D310*G310+E310*H310+I310</x:f>
        <x:v>-4.458373157171338</x:v>
      </x:c>
      <x:c r="Q310" s="243" t="n">
        <x:f>1/(1+EXP(-P310))</x:f>
        <x:v>0.011448600342717481</x:v>
      </x:c>
      <x:c r="R310" s="243" t="n">
        <x:f>D310*J310+E310*K310+L310</x:f>
        <x:v>-0.932941248633834</x:v>
      </x:c>
      <x:c r="S310" s="243" t="n">
        <x:f>1/(1+EXP(-R310))</x:f>
        <x:v>0.28232838009719224</x:v>
      </x:c>
      <x:c r="T310" s="243" t="n">
        <x:f>Q310*M310+S310*N310+O310</x:f>
        <x:v>0.4044753878716172</x:v>
      </x:c>
      <x:c r="U310" s="243" t="n">
        <x:f>1/(1+EXP(-T310))</x:f>
        <x:v>0.5997624436511876</x:v>
      </x:c>
      <x:c r="V310" s="243" t="n">
        <x:f>0.5*(F310-U310)^2</x:f>
        <x:v>0.0800950507560344</x:v>
      </x:c>
      <x:c r="W310" s="244" t="n">
        <x:f>(U310-F310)*U310*(1-U310)</x:f>
        <x:v>-0.09607600673161018</x:v>
      </x:c>
      <x:c r="X310" s="244" t="n">
        <x:f>W310*M310*Q310*(1-Q310)</x:f>
        <x:v>-0.003206373471367291</x:v>
      </x:c>
      <x:c r="Y310" s="244" t="n">
        <x:f>W310*N310*S310*(1-S310)</x:f>
        <x:v>0.055739321866111136</x:v>
      </x:c>
      <x:c r="Z310" s="245" t="n">
        <x:f>X310*D310</x:f>
        <x:v>0</x:v>
      </x:c>
      <x:c r="AA310" s="245" t="n">
        <x:f>X310*E310</x:f>
        <x:v>-0.003206373471367291</x:v>
      </x:c>
      <x:c r="AB310" s="245" t="n">
        <x:f>X310</x:f>
        <x:v>-0.003206373471367291</x:v>
      </x:c>
      <x:c r="AC310" s="245" t="n">
        <x:f>Y310*D310</x:f>
        <x:v>0</x:v>
      </x:c>
      <x:c r="AD310" s="245" t="n">
        <x:f>Y310*E310</x:f>
        <x:v>0.055739321866111136</x:v>
      </x:c>
      <x:c r="AE310" s="245" t="n">
        <x:f>Y310</x:f>
        <x:v>0.055739321866111136</x:v>
      </x:c>
      <x:c r="AF310" s="245" t="n">
        <x:f>W310*Q310</x:f>
        <x:v>-0.0010999358035944393</x:v>
      </x:c>
      <x:c r="AG310" s="245" t="n">
        <x:f>W310*S310</x:f>
        <x:v>-0.02712498334674244</x:v>
      </x:c>
      <x:c r="AH310" s="245" t="n">
        <x:f>W310</x:f>
        <x:v>-0.09607600673161018</x:v>
      </x:c>
      <x:c r="AI310" s="246" t="n">
        <x:f>G310-$B$4*Z310</x:f>
        <x:v>2.4118896873588054</x:v>
      </x:c>
      <x:c r="AJ310" s="246" t="n">
        <x:f>H310-$B$4*AA310</x:f>
        <x:v>-2.8819624615961192</x:v>
      </x:c>
      <x:c r="AK310" s="246" t="n">
        <x:f>I310-$B$4*AB310</x:f>
        <x:v>-1.5699979486324847</x:v>
      </x:c>
      <x:c r="AL310" s="246" t="n">
        <x:f>J310-$B$4*AC310</x:f>
        <x:v>2.673545137755715</x:v>
      </x:c>
      <x:c r="AM310" s="246" t="n">
        <x:f>K310-$B$4*AD310</x:f>
        <x:v>-2.645838379932129</x:v>
      </x:c>
      <x:c r="AN310" s="246" t="n">
        <x:f>L310-$B$4*AE310</x:f>
        <x:v>1.6014184875660726</x:v>
      </x:c>
      <x:c r="AO310" s="246" t="n">
        <x:f>M310-$B$4*AF310</x:f>
        <x:v>2.9499148367496963</x:v>
      </x:c>
      <x:c r="AP310" s="246" t="n">
        <x:f>N310-$B$4*AG310</x:f>
        <x:v>-2.8361722125581847</x:v>
      </x:c>
      <x:c r="AQ310" s="246" t="n">
        <x:f>O310-$B$4*AH310</x:f>
        <x:v>1.2751816503743165</x:v>
      </x:c>
      <x:c r="AR310" s="182" t="n">
        <x:f>IF(U310&gt;=$B$5,1,0)</x:f>
        <x:v>1</x:v>
      </x:c>
      <x:c r="AS310" s="182" t="n">
        <x:f>IF(AR310=F310,1,0)</x:f>
        <x:v>1</x:v>
      </x:c>
      <x:c r="AT310" s="252" t="n">
        <x:f>ABS(F310-U310)</x:f>
        <x:v>0.4002375563488124</x:v>
      </x:c>
    </x:row>
    <x:row r="311">
      <x:c r="A311" s="114" t="n">
        <x:v>295</x:v>
      </x:c>
      <x:c r="B311" s="114" t="n">
        <x:v>74</x:v>
      </x:c>
      <x:c r="C311" s="114" t="n">
        <x:v>3</x:v>
      </x:c>
      <x:c r="D311" s="168" t="n">
        <x:f>$I$7</x:f>
        <x:v>1</x:v>
      </x:c>
      <x:c r="E311" s="168" t="n">
        <x:f>$J$7</x:f>
        <x:v>0</x:v>
      </x:c>
      <x:c r="F311" s="168" t="n">
        <x:f>$K$7</x:f>
        <x:v>1</x:v>
      </x:c>
      <x:c r="G311" s="242" t="n">
        <x:f>AI310</x:f>
        <x:v>2.4118896873588054</x:v>
      </x:c>
      <x:c r="H311" s="242" t="n">
        <x:f>AJ310</x:f>
        <x:v>-2.8819624615961192</x:v>
      </x:c>
      <x:c r="I311" s="242" t="n">
        <x:f>AK310</x:f>
        <x:v>-1.5699979486324847</x:v>
      </x:c>
      <x:c r="J311" s="242" t="n">
        <x:f>AL310</x:f>
        <x:v>2.673545137755715</x:v>
      </x:c>
      <x:c r="K311" s="242" t="n">
        <x:f>AM310</x:f>
        <x:v>-2.645838379932129</x:v>
      </x:c>
      <x:c r="L311" s="242" t="n">
        <x:f>AN310</x:f>
        <x:v>1.6014184875660726</x:v>
      </x:c>
      <x:c r="M311" s="242" t="n">
        <x:f>AO310</x:f>
        <x:v>2.9499148367496963</x:v>
      </x:c>
      <x:c r="N311" s="242" t="n">
        <x:f>AP310</x:f>
        <x:v>-2.8361722125581847</x:v>
      </x:c>
      <x:c r="O311" s="242" t="n">
        <x:f>AQ310</x:f>
        <x:v>1.2751816503743165</x:v>
      </x:c>
      <x:c r="P311" s="243" t="n">
        <x:f>D311*G311+E311*H311+I311</x:f>
        <x:v>0.8418917387263207</x:v>
      </x:c>
      <x:c r="Q311" s="243" t="n">
        <x:f>1/(1+EXP(-P311))</x:f>
        <x:v>0.6988634883952006</x:v>
      </x:c>
      <x:c r="R311" s="243" t="n">
        <x:f>D311*J311+E311*K311+L311</x:f>
        <x:v>4.274963625321788</x:v>
      </x:c>
      <x:c r="S311" s="243" t="n">
        <x:f>1/(1+EXP(-R311))</x:f>
        <x:v>0.9862783484542886</x:v>
      </x:c>
      <x:c r="T311" s="243" t="n">
        <x:f>Q311*M311+S311*N311+O311</x:f>
        <x:v>0.539514177920136</x:v>
      </x:c>
      <x:c r="U311" s="243" t="n">
        <x:f>1/(1+EXP(-T311))</x:f>
        <x:v>0.6316993959030066</x:v>
      </x:c>
      <x:c r="V311" s="243" t="n">
        <x:f>0.5*(F311-U311)^2</x:f>
        <x:v>0.06782266748910513</x:v>
      </x:c>
      <x:c r="W311" s="244" t="n">
        <x:f>(U311-F311)*U311*(1-U311)</x:f>
        <x:v>-0.08568707616279639</x:v>
      </x:c>
      <x:c r="X311" s="244" t="n">
        <x:f>W311*M311*Q311*(1-Q311)</x:f>
        <x:v>-0.053196194962137115</x:v>
      </x:c>
      <x:c r="Y311" s="244" t="n">
        <x:f>W311*N311*S311*(1-S311)</x:f>
        <x:v>0.0032889237682288937</x:v>
      </x:c>
      <x:c r="Z311" s="245" t="n">
        <x:f>X311*D311</x:f>
        <x:v>-0.053196194962137115</x:v>
      </x:c>
      <x:c r="AA311" s="245" t="n">
        <x:f>X311*E311</x:f>
        <x:v>0</x:v>
      </x:c>
      <x:c r="AB311" s="245" t="n">
        <x:f>X311</x:f>
        <x:v>-0.053196194962137115</x:v>
      </x:c>
      <x:c r="AC311" s="245" t="n">
        <x:f>Y311*D311</x:f>
        <x:v>0.0032889237682288937</x:v>
      </x:c>
      <x:c r="AD311" s="245" t="n">
        <x:f>Y311*E311</x:f>
        <x:v>0</x:v>
      </x:c>
      <x:c r="AE311" s="245" t="n">
        <x:f>Y311</x:f>
        <x:v>0.0032889237682288937</x:v>
      </x:c>
      <x:c r="AF311" s="245" t="n">
        <x:f>W311*Q311</x:f>
        <x:v>-0.059883568957517126</x:v>
      </x:c>
      <x:c r="AG311" s="245" t="n">
        <x:f>W311*S311</x:f>
        <x:v>-0.08451130796171967</x:v>
      </x:c>
      <x:c r="AH311" s="245" t="n">
        <x:f>W311</x:f>
        <x:v>-0.08568707616279639</x:v>
      </x:c>
      <x:c r="AI311" s="246" t="n">
        <x:f>G311-$B$4*Z311</x:f>
        <x:v>2.4650858823209423</x:v>
      </x:c>
      <x:c r="AJ311" s="246" t="n">
        <x:f>H311-$B$4*AA311</x:f>
        <x:v>-2.8819624615961192</x:v>
      </x:c>
      <x:c r="AK311" s="246" t="n">
        <x:f>I311-$B$4*AB311</x:f>
        <x:v>-1.5168017536703475</x:v>
      </x:c>
      <x:c r="AL311" s="246" t="n">
        <x:f>J311-$B$4*AC311</x:f>
        <x:v>2.670256213987486</x:v>
      </x:c>
      <x:c r="AM311" s="246" t="n">
        <x:f>K311-$B$4*AD311</x:f>
        <x:v>-2.645838379932129</x:v>
      </x:c>
      <x:c r="AN311" s="246" t="n">
        <x:f>L311-$B$4*AE311</x:f>
        <x:v>1.5981295637978437</x:v>
      </x:c>
      <x:c r="AO311" s="246" t="n">
        <x:f>M311-$B$4*AF311</x:f>
        <x:v>3.0097984057072136</x:v>
      </x:c>
      <x:c r="AP311" s="246" t="n">
        <x:f>N311-$B$4*AG311</x:f>
        <x:v>-2.751660904596465</x:v>
      </x:c>
      <x:c r="AQ311" s="246" t="n">
        <x:f>O311-$B$4*AH311</x:f>
        <x:v>1.3608687265371129</x:v>
      </x:c>
      <x:c r="AR311" s="182" t="n">
        <x:f>IF(U311&gt;=$B$5,1,0)</x:f>
        <x:v>1</x:v>
      </x:c>
      <x:c r="AS311" s="182" t="n">
        <x:f>IF(AR311=F311,1,0)</x:f>
        <x:v>1</x:v>
      </x:c>
      <x:c r="AT311" s="252" t="n">
        <x:f>ABS(F311-U311)</x:f>
        <x:v>0.3683006040969934</x:v>
      </x:c>
    </x:row>
    <x:row r="312">
      <x:c r="A312" s="114" t="n">
        <x:v>296</x:v>
      </x:c>
      <x:c r="B312" s="114" t="n">
        <x:v>74</x:v>
      </x:c>
      <x:c r="C312" s="114" t="n">
        <x:v>4</x:v>
      </x:c>
      <x:c r="D312" s="168" t="n">
        <x:f>$I$8</x:f>
        <x:v>1</x:v>
      </x:c>
      <x:c r="E312" s="168" t="n">
        <x:f>$J$8</x:f>
        <x:v>1</x:v>
      </x:c>
      <x:c r="F312" s="168" t="n">
        <x:f>$K$8</x:f>
        <x:v>0</x:v>
      </x:c>
      <x:c r="G312" s="242" t="n">
        <x:f>AI311</x:f>
        <x:v>2.4650858823209423</x:v>
      </x:c>
      <x:c r="H312" s="242" t="n">
        <x:f>AJ311</x:f>
        <x:v>-2.8819624615961192</x:v>
      </x:c>
      <x:c r="I312" s="242" t="n">
        <x:f>AK311</x:f>
        <x:v>-1.5168017536703475</x:v>
      </x:c>
      <x:c r="J312" s="242" t="n">
        <x:f>AL311</x:f>
        <x:v>2.670256213987486</x:v>
      </x:c>
      <x:c r="K312" s="242" t="n">
        <x:f>AM311</x:f>
        <x:v>-2.645838379932129</x:v>
      </x:c>
      <x:c r="L312" s="242" t="n">
        <x:f>AN311</x:f>
        <x:v>1.5981295637978437</x:v>
      </x:c>
      <x:c r="M312" s="242" t="n">
        <x:f>AO311</x:f>
        <x:v>3.0097984057072136</x:v>
      </x:c>
      <x:c r="N312" s="242" t="n">
        <x:f>AP311</x:f>
        <x:v>-2.751660904596465</x:v>
      </x:c>
      <x:c r="O312" s="242" t="n">
        <x:f>AQ311</x:f>
        <x:v>1.3608687265371129</x:v>
      </x:c>
      <x:c r="P312" s="243" t="n">
        <x:f>D312*G312+E312*H312+I312</x:f>
        <x:v>-1.9336783329455245</x:v>
      </x:c>
      <x:c r="Q312" s="243" t="n">
        <x:f>1/(1+EXP(-P312))</x:f>
        <x:v>0.1263440029788555</x:v>
      </x:c>
      <x:c r="R312" s="243" t="n">
        <x:f>D312*J312+E312*K312+L312</x:f>
        <x:v>1.622547397853201</x:v>
      </x:c>
      <x:c r="S312" s="243" t="n">
        <x:f>1/(1+EXP(-R312))</x:f>
        <x:v>0.8351461475476909</x:v>
      </x:c>
      <x:c r="T312" s="243" t="n">
        <x:f>Q312*M312+S312*N312+O312</x:f>
        <x:v>-0.5569002985577922</x:v>
      </x:c>
      <x:c r="U312" s="243" t="n">
        <x:f>1/(1+EXP(-T312))</x:f>
        <x:v>0.3642649737278582</x:v>
      </x:c>
      <x:c r="V312" s="243" t="n">
        <x:f>0.5*(F312-U312)^2</x:f>
        <x:v>0.06634448554247861</x:v>
      </x:c>
      <x:c r="W312" s="244" t="n">
        <x:f>(U312-F312)*U312*(1-U312)</x:f>
        <x:v>0.08435502651871873</x:v>
      </x:c>
      <x:c r="X312" s="244" t="n">
        <x:f>W312*M312*Q312*(1-Q312)</x:f>
        <x:v>0.02802486111997117</x:v>
      </x:c>
      <x:c r="Y312" s="244" t="n">
        <x:f>W312*N312*S312*(1-S312)</x:f>
        <x:v>-0.03195710741413473</x:v>
      </x:c>
      <x:c r="Z312" s="245" t="n">
        <x:f>X312*D312</x:f>
        <x:v>0.02802486111997117</x:v>
      </x:c>
      <x:c r="AA312" s="245" t="n">
        <x:f>X312*E312</x:f>
        <x:v>0.02802486111997117</x:v>
      </x:c>
      <x:c r="AB312" s="245" t="n">
        <x:f>X312</x:f>
        <x:v>0.02802486111997117</x:v>
      </x:c>
      <x:c r="AC312" s="245" t="n">
        <x:f>Y312*D312</x:f>
        <x:v>-0.03195710741413473</x:v>
      </x:c>
      <x:c r="AD312" s="245" t="n">
        <x:f>Y312*E312</x:f>
        <x:v>-0.03195710741413473</x:v>
      </x:c>
      <x:c r="AE312" s="245" t="n">
        <x:f>Y312</x:f>
        <x:v>-0.03195710741413473</x:v>
      </x:c>
      <x:c r="AF312" s="245" t="n">
        <x:f>W312*Q312</x:f>
        <x:v>0.010657751721762435</x:v>
      </x:c>
      <x:c r="AG312" s="245" t="n">
        <x:f>W312*S312</x:f>
        <x:v>0.07044877542339126</x:v>
      </x:c>
      <x:c r="AH312" s="245" t="n">
        <x:f>W312</x:f>
        <x:v>0.08435502651871873</x:v>
      </x:c>
      <x:c r="AI312" s="246" t="n">
        <x:f>G312-$B$4*Z312</x:f>
        <x:v>2.437061021200971</x:v>
      </x:c>
      <x:c r="AJ312" s="246" t="n">
        <x:f>H312-$B$4*AA312</x:f>
        <x:v>-2.9099873227160904</x:v>
      </x:c>
      <x:c r="AK312" s="246" t="n">
        <x:f>I312-$B$4*AB312</x:f>
        <x:v>-1.5448266147903187</x:v>
      </x:c>
      <x:c r="AL312" s="246" t="n">
        <x:f>J312-$B$4*AC312</x:f>
        <x:v>2.702213321401621</x:v>
      </x:c>
      <x:c r="AM312" s="246" t="n">
        <x:f>K312-$B$4*AD312</x:f>
        <x:v>-2.613881272517994</x:v>
      </x:c>
      <x:c r="AN312" s="246" t="n">
        <x:f>L312-$B$4*AE312</x:f>
        <x:v>1.6300866712119784</x:v>
      </x:c>
      <x:c r="AO312" s="246" t="n">
        <x:f>M312-$B$4*AF312</x:f>
        <x:v>2.9991406539854513</x:v>
      </x:c>
      <x:c r="AP312" s="246" t="n">
        <x:f>N312-$B$4*AG312</x:f>
        <x:v>-2.822109680019856</x:v>
      </x:c>
      <x:c r="AQ312" s="246" t="n">
        <x:f>O312-$B$4*AH312</x:f>
        <x:v>1.2765137000183941</x:v>
      </x:c>
      <x:c r="AR312" s="182" t="n">
        <x:f>IF(U312&gt;=$B$5,1,0)</x:f>
        <x:v>0</x:v>
      </x:c>
      <x:c r="AS312" s="182" t="n">
        <x:f>IF(AR312=F312,1,0)</x:f>
        <x:v>1</x:v>
      </x:c>
      <x:c r="AT312" s="252" t="n">
        <x:f>ABS(F312-U312)</x:f>
        <x:v>0.3642649737278582</x:v>
      </x:c>
    </x:row>
    <x:row r="313">
      <x:c r="A313" s="114" t="n">
        <x:v>297</x:v>
      </x:c>
      <x:c r="B313" s="114" t="n">
        <x:v>75</x:v>
      </x:c>
      <x:c r="C313" s="114" t="n">
        <x:v>1</x:v>
      </x:c>
      <x:c r="D313" s="168" t="n">
        <x:f>$I$5</x:f>
        <x:v>0</x:v>
      </x:c>
      <x:c r="E313" s="168" t="n">
        <x:f>$J$5</x:f>
        <x:v>0</x:v>
      </x:c>
      <x:c r="F313" s="168" t="n">
        <x:f>$K$5</x:f>
        <x:v>0</x:v>
      </x:c>
      <x:c r="G313" s="242" t="n">
        <x:f>AI312</x:f>
        <x:v>2.437061021200971</x:v>
      </x:c>
      <x:c r="H313" s="242" t="n">
        <x:f>AJ312</x:f>
        <x:v>-2.9099873227160904</x:v>
      </x:c>
      <x:c r="I313" s="242" t="n">
        <x:f>AK312</x:f>
        <x:v>-1.5448266147903187</x:v>
      </x:c>
      <x:c r="J313" s="242" t="n">
        <x:f>AL312</x:f>
        <x:v>2.702213321401621</x:v>
      </x:c>
      <x:c r="K313" s="242" t="n">
        <x:f>AM312</x:f>
        <x:v>-2.613881272517994</x:v>
      </x:c>
      <x:c r="L313" s="242" t="n">
        <x:f>AN312</x:f>
        <x:v>1.6300866712119784</x:v>
      </x:c>
      <x:c r="M313" s="242" t="n">
        <x:f>AO312</x:f>
        <x:v>2.9991406539854513</x:v>
      </x:c>
      <x:c r="N313" s="242" t="n">
        <x:f>AP312</x:f>
        <x:v>-2.822109680019856</x:v>
      </x:c>
      <x:c r="O313" s="242" t="n">
        <x:f>AQ312</x:f>
        <x:v>1.2765137000183941</x:v>
      </x:c>
      <x:c r="P313" s="243" t="n">
        <x:f>D313*G313+E313*H313+I313</x:f>
        <x:v>-1.5448266147903187</x:v>
      </x:c>
      <x:c r="Q313" s="243" t="n">
        <x:f>1/(1+EXP(-P313))</x:f>
        <x:v>0.175834722119047</x:v>
      </x:c>
      <x:c r="R313" s="243" t="n">
        <x:f>D313*J313+E313*K313+L313</x:f>
        <x:v>1.6300866712119784</x:v>
      </x:c>
      <x:c r="S313" s="243" t="n">
        <x:f>1/(1+EXP(-R313))</x:f>
        <x:v>0.8361815115177792</x:v>
      </x:c>
      <x:c r="T313" s="243" t="n">
        <x:f>Q313*M313+S313*N313+O313</x:f>
        <x:v>-0.5559291744000967</x:v>
      </x:c>
      <x:c r="U313" s="243" t="n">
        <x:f>1/(1+EXP(-T313))</x:f>
        <x:v>0.36448989240847346</x:v>
      </x:c>
      <x:c r="V313" s="243" t="n">
        <x:f>0.5*(F313-U313)^2</x:f>
        <x:v>0.06642644083397028</x:v>
      </x:c>
      <x:c r="W313" s="244" t="n">
        <x:f>(U313-F313)*U313*(1-U313)</x:f>
        <x:v>0.08442934912263726</x:v>
      </x:c>
      <x:c r="X313" s="244" t="n">
        <x:f>W313*M313*Q313*(1-Q313)</x:f>
        <x:v>0.03669519739331109</x:v>
      </x:c>
      <x:c r="Y313" s="244" t="n">
        <x:f>W313*N313*S313*(1-S313)</x:f>
        <x:v>-0.03263854612124195</x:v>
      </x:c>
      <x:c r="Z313" s="245" t="n">
        <x:f>X313*D313</x:f>
        <x:v>0</x:v>
      </x:c>
      <x:c r="AA313" s="245" t="n">
        <x:f>X313*E313</x:f>
        <x:v>0</x:v>
      </x:c>
      <x:c r="AB313" s="245" t="n">
        <x:f>X313</x:f>
        <x:v>0.03669519739331109</x:v>
      </x:c>
      <x:c r="AC313" s="245" t="n">
        <x:f>Y313*D313</x:f>
        <x:v>0</x:v>
      </x:c>
      <x:c r="AD313" s="245" t="n">
        <x:f>Y313*E313</x:f>
        <x:v>0</x:v>
      </x:c>
      <x:c r="AE313" s="245" t="n">
        <x:f>Y313</x:f>
        <x:v>-0.03263854612124195</x:v>
      </x:c>
      <x:c r="AF313" s="245" t="n">
        <x:f>W313*Q313</x:f>
        <x:v>0.014845611141670927</x:v>
      </x:c>
      <x:c r="AG313" s="245" t="n">
        <x:f>W313*S313</x:f>
        <x:v>0.0705982607658291</x:v>
      </x:c>
      <x:c r="AH313" s="245" t="n">
        <x:f>W313</x:f>
        <x:v>0.08442934912263726</x:v>
      </x:c>
      <x:c r="AI313" s="246" t="n">
        <x:f>G313-$B$4*Z313</x:f>
        <x:v>2.437061021200971</x:v>
      </x:c>
      <x:c r="AJ313" s="246" t="n">
        <x:f>H313-$B$4*AA313</x:f>
        <x:v>-2.9099873227160904</x:v>
      </x:c>
      <x:c r="AK313" s="246" t="n">
        <x:f>I313-$B$4*AB313</x:f>
        <x:v>-1.5815218121836299</x:v>
      </x:c>
      <x:c r="AL313" s="246" t="n">
        <x:f>J313-$B$4*AC313</x:f>
        <x:v>2.702213321401621</x:v>
      </x:c>
      <x:c r="AM313" s="246" t="n">
        <x:f>K313-$B$4*AD313</x:f>
        <x:v>-2.613881272517994</x:v>
      </x:c>
      <x:c r="AN313" s="246" t="n">
        <x:f>L313-$B$4*AE313</x:f>
        <x:v>1.6627252173332203</x:v>
      </x:c>
      <x:c r="AO313" s="246" t="n">
        <x:f>M313-$B$4*AF313</x:f>
        <x:v>2.9842950428437804</x:v>
      </x:c>
      <x:c r="AP313" s="246" t="n">
        <x:f>N313-$B$4*AG313</x:f>
        <x:v>-2.8927079407856855</x:v>
      </x:c>
      <x:c r="AQ313" s="246" t="n">
        <x:f>O313-$B$4*AH313</x:f>
        <x:v>1.1920843508957568</x:v>
      </x:c>
      <x:c r="AR313" s="182" t="n">
        <x:f>IF(U313&gt;=$B$5,1,0)</x:f>
        <x:v>0</x:v>
      </x:c>
      <x:c r="AS313" s="182" t="n">
        <x:f>IF(AR313=F313,1,0)</x:f>
        <x:v>1</x:v>
      </x:c>
      <x:c r="AT313" s="252" t="n">
        <x:f>ABS(F313-U313)</x:f>
        <x:v>0.36448989240847346</x:v>
      </x:c>
    </x:row>
    <x:row r="314">
      <x:c r="A314" s="114" t="n">
        <x:v>298</x:v>
      </x:c>
      <x:c r="B314" s="114" t="n">
        <x:v>75</x:v>
      </x:c>
      <x:c r="C314" s="114" t="n">
        <x:v>2</x:v>
      </x:c>
      <x:c r="D314" s="168" t="n">
        <x:f>$I$6</x:f>
        <x:v>0</x:v>
      </x:c>
      <x:c r="E314" s="168" t="n">
        <x:f>$J$6</x:f>
        <x:v>1</x:v>
      </x:c>
      <x:c r="F314" s="168" t="n">
        <x:f>$K$6</x:f>
        <x:v>1</x:v>
      </x:c>
      <x:c r="G314" s="242" t="n">
        <x:f>AI313</x:f>
        <x:v>2.437061021200971</x:v>
      </x:c>
      <x:c r="H314" s="242" t="n">
        <x:f>AJ313</x:f>
        <x:v>-2.9099873227160904</x:v>
      </x:c>
      <x:c r="I314" s="242" t="n">
        <x:f>AK313</x:f>
        <x:v>-1.5815218121836299</x:v>
      </x:c>
      <x:c r="J314" s="242" t="n">
        <x:f>AL313</x:f>
        <x:v>2.702213321401621</x:v>
      </x:c>
      <x:c r="K314" s="242" t="n">
        <x:f>AM313</x:f>
        <x:v>-2.613881272517994</x:v>
      </x:c>
      <x:c r="L314" s="242" t="n">
        <x:f>AN313</x:f>
        <x:v>1.6627252173332203</x:v>
      </x:c>
      <x:c r="M314" s="242" t="n">
        <x:f>AO313</x:f>
        <x:v>2.9842950428437804</x:v>
      </x:c>
      <x:c r="N314" s="242" t="n">
        <x:f>AP313</x:f>
        <x:v>-2.8927079407856855</x:v>
      </x:c>
      <x:c r="O314" s="242" t="n">
        <x:f>AQ313</x:f>
        <x:v>1.1920843508957568</x:v>
      </x:c>
      <x:c r="P314" s="243" t="n">
        <x:f>D314*G314+E314*H314+I314</x:f>
        <x:v>-4.4915091348997205</x:v>
      </x:c>
      <x:c r="Q314" s="243" t="n">
        <x:f>1/(1+EXP(-P314))</x:f>
        <x:v>0.011079590451780957</x:v>
      </x:c>
      <x:c r="R314" s="243" t="n">
        <x:f>D314*J314+E314*K314+L314</x:f>
        <x:v>-0.9511560551847738</x:v>
      </x:c>
      <x:c r="S314" s="243" t="n">
        <x:f>1/(1+EXP(-R314))</x:f>
        <x:v>0.2786523893814296</x:v>
      </x:c>
      <x:c r="T314" s="243" t="n">
        <x:f>Q314*M314+S314*N314+O314</x:f>
        <x:v>0.4190891382751798</x:v>
      </x:c>
      <x:c r="U314" s="243" t="n">
        <x:f>1/(1+EXP(-T314))</x:f>
        <x:v>0.6032652681224226</x:v>
      </x:c>
      <x:c r="V314" s="243" t="n">
        <x:f>0.5*(F314-U314)^2</x:f>
        <x:v>0.07869922373898659</x:v>
      </x:c>
      <x:c r="W314" s="244" t="n">
        <x:f>(U314-F314)*U314*(1-U314)</x:f>
        <x:v>-0.09495301661985256</x:v>
      </x:c>
      <x:c r="X314" s="244" t="n">
        <x:f>W314*M314*Q314*(1-Q314)</x:f>
        <x:v>-0.0031048138823155866</x:v>
      </x:c>
      <x:c r="Y314" s="244" t="n">
        <x:f>W314*N314*S314*(1-S314)</x:f>
        <x:v>0.055210378360339145</x:v>
      </x:c>
      <x:c r="Z314" s="245" t="n">
        <x:f>X314*D314</x:f>
        <x:v>0</x:v>
      </x:c>
      <x:c r="AA314" s="245" t="n">
        <x:f>X314*E314</x:f>
        <x:v>-0.0031048138823155866</x:v>
      </x:c>
      <x:c r="AB314" s="245" t="n">
        <x:f>X314</x:f>
        <x:v>-0.0031048138823155866</x:v>
      </x:c>
      <x:c r="AC314" s="245" t="n">
        <x:f>Y314*D314</x:f>
        <x:v>0</x:v>
      </x:c>
      <x:c r="AD314" s="245" t="n">
        <x:f>Y314*E314</x:f>
        <x:v>0.055210378360339145</x:v>
      </x:c>
      <x:c r="AE314" s="245" t="n">
        <x:f>Y314</x:f>
        <x:v>0.055210378360339145</x:v>
      </x:c>
      <x:c r="AF314" s="245" t="n">
        <x:f>W314*Q314</x:f>
        <x:v>-0.0010520405363091169</x:v>
      </x:c>
      <x:c r="AG314" s="245" t="n">
        <x:f>W314*S314</x:f>
        <x:v>-0.02645888496009651</x:v>
      </x:c>
      <x:c r="AH314" s="245" t="n">
        <x:f>W314</x:f>
        <x:v>-0.09495301661985256</x:v>
      </x:c>
      <x:c r="AI314" s="246" t="n">
        <x:f>G314-$B$4*Z314</x:f>
        <x:v>2.437061021200971</x:v>
      </x:c>
      <x:c r="AJ314" s="246" t="n">
        <x:f>H314-$B$4*AA314</x:f>
        <x:v>-2.9068825088337746</x:v>
      </x:c>
      <x:c r="AK314" s="246" t="n">
        <x:f>I314-$B$4*AB314</x:f>
        <x:v>-1.5784169983013143</x:v>
      </x:c>
      <x:c r="AL314" s="246" t="n">
        <x:f>J314-$B$4*AC314</x:f>
        <x:v>2.702213321401621</x:v>
      </x:c>
      <x:c r="AM314" s="246" t="n">
        <x:f>K314-$B$4*AD314</x:f>
        <x:v>-2.6690916508783333</x:v>
      </x:c>
      <x:c r="AN314" s="246" t="n">
        <x:f>L314-$B$4*AE314</x:f>
        <x:v>1.6075148389728813</x:v>
      </x:c>
      <x:c r="AO314" s="246" t="n">
        <x:f>M314-$B$4*AF314</x:f>
        <x:v>2.9853470833800895</x:v>
      </x:c>
      <x:c r="AP314" s="246" t="n">
        <x:f>N314-$B$4*AG314</x:f>
        <x:v>-2.866249055825589</x:v>
      </x:c>
      <x:c r="AQ314" s="246" t="n">
        <x:f>O314-$B$4*AH314</x:f>
        <x:v>1.2870373675156093</x:v>
      </x:c>
      <x:c r="AR314" s="182" t="n">
        <x:f>IF(U314&gt;=$B$5,1,0)</x:f>
        <x:v>1</x:v>
      </x:c>
      <x:c r="AS314" s="182" t="n">
        <x:f>IF(AR314=F314,1,0)</x:f>
        <x:v>1</x:v>
      </x:c>
      <x:c r="AT314" s="252" t="n">
        <x:f>ABS(F314-U314)</x:f>
        <x:v>0.39673473187757735</x:v>
      </x:c>
    </x:row>
    <x:row r="315">
      <x:c r="A315" s="114" t="n">
        <x:v>299</x:v>
      </x:c>
      <x:c r="B315" s="114" t="n">
        <x:v>75</x:v>
      </x:c>
      <x:c r="C315" s="114" t="n">
        <x:v>3</x:v>
      </x:c>
      <x:c r="D315" s="168" t="n">
        <x:f>$I$7</x:f>
        <x:v>1</x:v>
      </x:c>
      <x:c r="E315" s="168" t="n">
        <x:f>$J$7</x:f>
        <x:v>0</x:v>
      </x:c>
      <x:c r="F315" s="168" t="n">
        <x:f>$K$7</x:f>
        <x:v>1</x:v>
      </x:c>
      <x:c r="G315" s="242" t="n">
        <x:f>AI314</x:f>
        <x:v>2.437061021200971</x:v>
      </x:c>
      <x:c r="H315" s="242" t="n">
        <x:f>AJ314</x:f>
        <x:v>-2.9068825088337746</x:v>
      </x:c>
      <x:c r="I315" s="242" t="n">
        <x:f>AK314</x:f>
        <x:v>-1.5784169983013143</x:v>
      </x:c>
      <x:c r="J315" s="242" t="n">
        <x:f>AL314</x:f>
        <x:v>2.702213321401621</x:v>
      </x:c>
      <x:c r="K315" s="242" t="n">
        <x:f>AM314</x:f>
        <x:v>-2.6690916508783333</x:v>
      </x:c>
      <x:c r="L315" s="242" t="n">
        <x:f>AN314</x:f>
        <x:v>1.6075148389728813</x:v>
      </x:c>
      <x:c r="M315" s="242" t="n">
        <x:f>AO314</x:f>
        <x:v>2.9853470833800895</x:v>
      </x:c>
      <x:c r="N315" s="242" t="n">
        <x:f>AP314</x:f>
        <x:v>-2.866249055825589</x:v>
      </x:c>
      <x:c r="O315" s="242" t="n">
        <x:f>AQ314</x:f>
        <x:v>1.2870373675156093</x:v>
      </x:c>
      <x:c r="P315" s="243" t="n">
        <x:f>D315*G315+E315*H315+I315</x:f>
        <x:v>0.8586440228996568</x:v>
      </x:c>
      <x:c r="Q315" s="243" t="n">
        <x:f>1/(1+EXP(-P315))</x:f>
        <x:v>0.7023772740368803</x:v>
      </x:c>
      <x:c r="R315" s="243" t="n">
        <x:f>D315*J315+E315*K315+L315</x:f>
        <x:v>4.309728160374502</x:v>
      </x:c>
      <x:c r="S315" s="243" t="n">
        <x:f>1/(1+EXP(-R315))</x:f>
        <x:v>0.9867409625016288</x:v>
      </x:c>
      <x:c r="T315" s="243" t="n">
        <x:f>Q315*M315+S315*N315+O315</x:f>
        <x:v>0.5556319618793415</x:v>
      </x:c>
      <x:c r="U315" s="243" t="n">
        <x:f>1/(1+EXP(-T315))</x:f>
        <x:v>0.6354412593992893</x:v>
      </x:c>
      <x:c r="V315" s="243" t="n">
        <x:f>0.5*(F315-U315)^2</x:f>
        <x:v>0.06645153767418814</x:v>
      </x:c>
      <x:c r="W315" s="244" t="n">
        <x:f>(U315-F315)*U315*(1-U315)</x:f>
        <x:v>-0.08445209757741085</x:v>
      </x:c>
      <x:c r="X315" s="244" t="n">
        <x:f>W315*M315*Q315*(1-Q315)</x:f>
        <x:v>-0.05270378582411542</x:v>
      </x:c>
      <x:c r="Y315" s="244" t="n">
        <x:f>W315*N315*S315*(1-S315)</x:f>
        <x:v>0.0031669377127628573</x:v>
      </x:c>
      <x:c r="Z315" s="245" t="n">
        <x:f>X315*D315</x:f>
        <x:v>-0.05270378582411542</x:v>
      </x:c>
      <x:c r="AA315" s="245" t="n">
        <x:f>X315*E315</x:f>
        <x:v>0</x:v>
      </x:c>
      <x:c r="AB315" s="245" t="n">
        <x:f>X315</x:f>
        <x:v>-0.05270378582411542</x:v>
      </x:c>
      <x:c r="AC315" s="245" t="n">
        <x:f>Y315*D315</x:f>
        <x:v>0.0031669377127628573</x:v>
      </x:c>
      <x:c r="AD315" s="245" t="n">
        <x:f>Y315*E315</x:f>
        <x:v>0</x:v>
      </x:c>
      <x:c r="AE315" s="245" t="n">
        <x:f>Y315</x:f>
        <x:v>0.0031669377127628573</x:v>
      </x:c>
      <x:c r="AF315" s="245" t="n">
        <x:f>W315*Q315</x:f>
        <x:v>-0.05931723408311845</x:v>
      </x:c>
      <x:c r="AG315" s="245" t="n">
        <x:f>W315*S315</x:f>
        <x:v>-0.08333234404881586</x:v>
      </x:c>
      <x:c r="AH315" s="245" t="n">
        <x:f>W315</x:f>
        <x:v>-0.08445209757741085</x:v>
      </x:c>
      <x:c r="AI315" s="246" t="n">
        <x:f>G315-$B$4*Z315</x:f>
        <x:v>2.4897648070250864</x:v>
      </x:c>
      <x:c r="AJ315" s="246" t="n">
        <x:f>H315-$B$4*AA315</x:f>
        <x:v>-2.9068825088337746</x:v>
      </x:c>
      <x:c r="AK315" s="246" t="n">
        <x:f>I315-$B$4*AB315</x:f>
        <x:v>-1.5257132124771988</x:v>
      </x:c>
      <x:c r="AL315" s="246" t="n">
        <x:f>J315-$B$4*AC315</x:f>
        <x:v>2.699046383688858</x:v>
      </x:c>
      <x:c r="AM315" s="246" t="n">
        <x:f>K315-$B$4*AD315</x:f>
        <x:v>-2.6690916508783333</x:v>
      </x:c>
      <x:c r="AN315" s="246" t="n">
        <x:f>L315-$B$4*AE315</x:f>
        <x:v>1.6043479012601185</x:v>
      </x:c>
      <x:c r="AO315" s="246" t="n">
        <x:f>M315-$B$4*AF315</x:f>
        <x:v>3.0446643174632078</x:v>
      </x:c>
      <x:c r="AP315" s="246" t="n">
        <x:f>N315-$B$4*AG315</x:f>
        <x:v>-2.782916711776773</x:v>
      </x:c>
      <x:c r="AQ315" s="246" t="n">
        <x:f>O315-$B$4*AH315</x:f>
        <x:v>1.37148946509302</x:v>
      </x:c>
      <x:c r="AR315" s="182" t="n">
        <x:f>IF(U315&gt;=$B$5,1,0)</x:f>
        <x:v>1</x:v>
      </x:c>
      <x:c r="AS315" s="182" t="n">
        <x:f>IF(AR315=F315,1,0)</x:f>
        <x:v>1</x:v>
      </x:c>
      <x:c r="AT315" s="252" t="n">
        <x:f>ABS(F315-U315)</x:f>
        <x:v>0.3645587406007107</x:v>
      </x:c>
    </x:row>
    <x:row r="316">
      <x:c r="A316" s="114" t="n">
        <x:v>300</x:v>
      </x:c>
      <x:c r="B316" s="114" t="n">
        <x:v>75</x:v>
      </x:c>
      <x:c r="C316" s="114" t="n">
        <x:v>4</x:v>
      </x:c>
      <x:c r="D316" s="168" t="n">
        <x:f>$I$8</x:f>
        <x:v>1</x:v>
      </x:c>
      <x:c r="E316" s="168" t="n">
        <x:f>$J$8</x:f>
        <x:v>1</x:v>
      </x:c>
      <x:c r="F316" s="168" t="n">
        <x:f>$K$8</x:f>
        <x:v>0</x:v>
      </x:c>
      <x:c r="G316" s="242" t="n">
        <x:f>AI315</x:f>
        <x:v>2.4897648070250864</x:v>
      </x:c>
      <x:c r="H316" s="242" t="n">
        <x:f>AJ315</x:f>
        <x:v>-2.9068825088337746</x:v>
      </x:c>
      <x:c r="I316" s="242" t="n">
        <x:f>AK315</x:f>
        <x:v>-1.5257132124771988</x:v>
      </x:c>
      <x:c r="J316" s="242" t="n">
        <x:f>AL315</x:f>
        <x:v>2.699046383688858</x:v>
      </x:c>
      <x:c r="K316" s="242" t="n">
        <x:f>AM315</x:f>
        <x:v>-2.6690916508783333</x:v>
      </x:c>
      <x:c r="L316" s="242" t="n">
        <x:f>AN315</x:f>
        <x:v>1.6043479012601185</x:v>
      </x:c>
      <x:c r="M316" s="242" t="n">
        <x:f>AO315</x:f>
        <x:v>3.0446643174632078</x:v>
      </x:c>
      <x:c r="N316" s="242" t="n">
        <x:f>AP315</x:f>
        <x:v>-2.782916711776773</x:v>
      </x:c>
      <x:c r="O316" s="242" t="n">
        <x:f>AQ315</x:f>
        <x:v>1.37148946509302</x:v>
      </x:c>
      <x:c r="P316" s="243" t="n">
        <x:f>D316*G316+E316*H316+I316</x:f>
        <x:v>-1.942830914285887</x:v>
      </x:c>
      <x:c r="Q316" s="243" t="n">
        <x:f>1/(1+EXP(-P316))</x:f>
        <x:v>0.12533718038307082</x:v>
      </x:c>
      <x:c r="R316" s="243" t="n">
        <x:f>D316*J316+E316*K316+L316</x:f>
        <x:v>1.6343026340706432</x:v>
      </x:c>
      <x:c r="S316" s="243" t="n">
        <x:f>1/(1+EXP(-R316))</x:f>
        <x:v>0.8367582042880164</x:v>
      </x:c>
      <x:c r="T316" s="243" t="n">
        <x:f>Q316*M316+S316*N316+O316</x:f>
        <x:v>-0.5755292845726383</x:v>
      </x:c>
      <x:c r="U316" s="243" t="n">
        <x:f>1/(1+EXP(-T316))</x:f>
        <x:v>0.35996195269996784</x:v>
      </x:c>
      <x:c r="V316" s="243" t="n">
        <x:f>0.5*(F316-U316)^2</x:f>
        <x:v>0.06478630369578695</x:v>
      </x:c>
      <x:c r="W316" s="244" t="n">
        <x:f>(U316-F316)*U316*(1-U316)</x:f>
        <x:v>0.08293139861847668</x:v>
      </x:c>
      <x:c r="X316" s="244" t="n">
        <x:f>W316*M316*Q316*(1-Q316)</x:f>
        <x:v>0.027680822690865605</x:v>
      </x:c>
      <x:c r="Y316" s="244" t="n">
        <x:f>W316*N316*S316*(1-S316)</x:f>
        <x:v>-0.03152466943248179</x:v>
      </x:c>
      <x:c r="Z316" s="245" t="n">
        <x:f>X316*D316</x:f>
        <x:v>0.027680822690865605</x:v>
      </x:c>
      <x:c r="AA316" s="245" t="n">
        <x:f>X316*E316</x:f>
        <x:v>0.027680822690865605</x:v>
      </x:c>
      <x:c r="AB316" s="245" t="n">
        <x:f>X316</x:f>
        <x:v>0.027680822690865605</x:v>
      </x:c>
      <x:c r="AC316" s="245" t="n">
        <x:f>Y316*D316</x:f>
        <x:v>-0.03152466943248179</x:v>
      </x:c>
      <x:c r="AD316" s="245" t="n">
        <x:f>Y316*E316</x:f>
        <x:v>-0.03152466943248179</x:v>
      </x:c>
      <x:c r="AE316" s="245" t="n">
        <x:f>Y316</x:f>
        <x:v>-0.03152466943248179</x:v>
      </x:c>
      <x:c r="AF316" s="245" t="n">
        <x:f>W316*Q316</x:f>
        <x:v>0.01039438766806436</x:v>
      </x:c>
      <x:c r="AG316" s="245" t="n">
        <x:f>W316*S316</x:f>
        <x:v>0.06939352818709023</x:v>
      </x:c>
      <x:c r="AH316" s="245" t="n">
        <x:f>W316</x:f>
        <x:v>0.08293139861847668</x:v>
      </x:c>
      <x:c r="AI316" s="246" t="n">
        <x:f>G316-$B$4*Z316</x:f>
        <x:v>2.4620839843342206</x:v>
      </x:c>
      <x:c r="AJ316" s="246" t="n">
        <x:f>H316-$B$4*AA316</x:f>
        <x:v>-2.9345633315246404</x:v>
      </x:c>
      <x:c r="AK316" s="246" t="n">
        <x:f>I316-$B$4*AB316</x:f>
        <x:v>-1.5533940351680644</x:v>
      </x:c>
      <x:c r="AL316" s="246" t="n">
        <x:f>J316-$B$4*AC316</x:f>
        <x:v>2.73057105312134</x:v>
      </x:c>
      <x:c r="AM316" s="246" t="n">
        <x:f>K316-$B$4*AD316</x:f>
        <x:v>-2.6375669814458513</x:v>
      </x:c>
      <x:c r="AN316" s="246" t="n">
        <x:f>L316-$B$4*AE316</x:f>
        <x:v>1.6358725706926003</x:v>
      </x:c>
      <x:c r="AO316" s="246" t="n">
        <x:f>M316-$B$4*AF316</x:f>
        <x:v>3.034269929795143</x:v>
      </x:c>
      <x:c r="AP316" s="246" t="n">
        <x:f>N316-$B$4*AG316</x:f>
        <x:v>-2.852310239963863</x:v>
      </x:c>
      <x:c r="AQ316" s="246" t="n">
        <x:f>O316-$B$4*AH316</x:f>
        <x:v>1.2885580664745433</x:v>
      </x:c>
      <x:c r="AR316" s="182" t="n">
        <x:f>IF(U316&gt;=$B$5,1,0)</x:f>
        <x:v>0</x:v>
      </x:c>
      <x:c r="AS316" s="182" t="n">
        <x:f>IF(AR316=F316,1,0)</x:f>
        <x:v>1</x:v>
      </x:c>
      <x:c r="AT316" s="252" t="n">
        <x:f>ABS(F316-U316)</x:f>
        <x:v>0.35996195269996784</x:v>
      </x:c>
    </x:row>
    <x:row r="317">
      <x:c r="A317" s="114" t="n">
        <x:v>301</x:v>
      </x:c>
      <x:c r="B317" s="114" t="n">
        <x:v>76</x:v>
      </x:c>
      <x:c r="C317" s="114" t="n">
        <x:v>1</x:v>
      </x:c>
      <x:c r="D317" s="168" t="n">
        <x:f>$I$5</x:f>
        <x:v>0</x:v>
      </x:c>
      <x:c r="E317" s="168" t="n">
        <x:f>$J$5</x:f>
        <x:v>0</x:v>
      </x:c>
      <x:c r="F317" s="168" t="n">
        <x:f>$K$5</x:f>
        <x:v>0</x:v>
      </x:c>
      <x:c r="G317" s="242" t="n">
        <x:f>AI316</x:f>
        <x:v>2.4620839843342206</x:v>
      </x:c>
      <x:c r="H317" s="242" t="n">
        <x:f>AJ316</x:f>
        <x:v>-2.9345633315246404</x:v>
      </x:c>
      <x:c r="I317" s="242" t="n">
        <x:f>AK316</x:f>
        <x:v>-1.5533940351680644</x:v>
      </x:c>
      <x:c r="J317" s="242" t="n">
        <x:f>AL316</x:f>
        <x:v>2.73057105312134</x:v>
      </x:c>
      <x:c r="K317" s="242" t="n">
        <x:f>AM316</x:f>
        <x:v>-2.6375669814458513</x:v>
      </x:c>
      <x:c r="L317" s="242" t="n">
        <x:f>AN316</x:f>
        <x:v>1.6358725706926003</x:v>
      </x:c>
      <x:c r="M317" s="242" t="n">
        <x:f>AO316</x:f>
        <x:v>3.034269929795143</x:v>
      </x:c>
      <x:c r="N317" s="242" t="n">
        <x:f>AP316</x:f>
        <x:v>-2.852310239963863</x:v>
      </x:c>
      <x:c r="O317" s="242" t="n">
        <x:f>AQ316</x:f>
        <x:v>1.2885580664745433</x:v>
      </x:c>
      <x:c r="P317" s="243" t="n">
        <x:f>D317*G317+E317*H317+I317</x:f>
        <x:v>-1.5533940351680644</x:v>
      </x:c>
      <x:c r="Q317" s="243" t="n">
        <x:f>1/(1+EXP(-P317))</x:f>
        <x:v>0.17459660449952613</x:v>
      </x:c>
      <x:c r="R317" s="243" t="n">
        <x:f>D317*J317+E317*K317+L317</x:f>
        <x:v>1.6358725706926003</x:v>
      </x:c>
      <x:c r="S317" s="243" t="n">
        <x:f>1/(1+EXP(-R317))</x:f>
        <x:v>0.8369725347143894</x:v>
      </x:c>
      <x:c r="T317" s="243" t="n">
        <x:f>Q317*M317+S317*N317+O317</x:f>
        <x:v>-0.5689740379825716</x:v>
      </x:c>
      <x:c r="U317" s="243" t="n">
        <x:f>1/(1+EXP(-T317))</x:f>
        <x:v>0.3614735939194491</x:v>
      </x:c>
      <x:c r="V317" s="243" t="n">
        <x:f>0.5*(F317-U317)^2</x:f>
        <x:v>0.0653315795505214</x:v>
      </x:c>
      <x:c r="W317" s="244" t="n">
        <x:f>(U317-F317)*U317*(1-U317)</x:f>
        <x:v>0.08343187738792007</x:v>
      </x:c>
      <x:c r="X317" s="244" t="n">
        <x:f>W317*M317*Q317*(1-Q317)</x:f>
        <x:v>0.036482809370284884</x:v>
      </x:c>
      <x:c r="Y317" s="244" t="n">
        <x:f>W317*N317*S317*(1-S317)</x:f>
        <x:v>-0.03247138107093677</x:v>
      </x:c>
      <x:c r="Z317" s="245" t="n">
        <x:f>X317*D317</x:f>
        <x:v>0</x:v>
      </x:c>
      <x:c r="AA317" s="245" t="n">
        <x:f>X317*E317</x:f>
        <x:v>0</x:v>
      </x:c>
      <x:c r="AB317" s="245" t="n">
        <x:f>X317</x:f>
        <x:v>0.036482809370284884</x:v>
      </x:c>
      <x:c r="AC317" s="245" t="n">
        <x:f>Y317*D317</x:f>
        <x:v>0</x:v>
      </x:c>
      <x:c r="AD317" s="245" t="n">
        <x:f>Y317*E317</x:f>
        <x:v>0</x:v>
      </x:c>
      <x:c r="AE317" s="245" t="n">
        <x:f>Y317</x:f>
        <x:v>-0.03247138107093677</x:v>
      </x:c>
      <x:c r="AF317" s="245" t="n">
        <x:f>W317*Q317</x:f>
        <x:v>0.014566922498951638</x:v>
      </x:c>
      <x:c r="AG317" s="245" t="n">
        <x:f>W317*S317</x:f>
        <x:v>0.0698301898933476</x:v>
      </x:c>
      <x:c r="AH317" s="245" t="n">
        <x:f>W317</x:f>
        <x:v>0.08343187738792007</x:v>
      </x:c>
      <x:c r="AI317" s="246" t="n">
        <x:f>G317-$B$4*Z317</x:f>
        <x:v>2.4620839843342206</x:v>
      </x:c>
      <x:c r="AJ317" s="246" t="n">
        <x:f>H317-$B$4*AA317</x:f>
        <x:v>-2.9345633315246404</x:v>
      </x:c>
      <x:c r="AK317" s="246" t="n">
        <x:f>I317-$B$4*AB317</x:f>
        <x:v>-1.5898768445383493</x:v>
      </x:c>
      <x:c r="AL317" s="246" t="n">
        <x:f>J317-$B$4*AC317</x:f>
        <x:v>2.73057105312134</x:v>
      </x:c>
      <x:c r="AM317" s="246" t="n">
        <x:f>K317-$B$4*AD317</x:f>
        <x:v>-2.6375669814458513</x:v>
      </x:c>
      <x:c r="AN317" s="246" t="n">
        <x:f>L317-$B$4*AE317</x:f>
        <x:v>1.668343951763537</x:v>
      </x:c>
      <x:c r="AO317" s="246" t="n">
        <x:f>M317-$B$4*AF317</x:f>
        <x:v>3.0197030072961915</x:v>
      </x:c>
      <x:c r="AP317" s="246" t="n">
        <x:f>N317-$B$4*AG317</x:f>
        <x:v>-2.922140429857211</x:v>
      </x:c>
      <x:c r="AQ317" s="246" t="n">
        <x:f>O317-$B$4*AH317</x:f>
        <x:v>1.2051261890866232</x:v>
      </x:c>
      <x:c r="AR317" s="182" t="n">
        <x:f>IF(U317&gt;=$B$5,1,0)</x:f>
        <x:v>0</x:v>
      </x:c>
      <x:c r="AS317" s="182" t="n">
        <x:f>IF(AR317=F317,1,0)</x:f>
        <x:v>1</x:v>
      </x:c>
      <x:c r="AT317" s="252" t="n">
        <x:f>ABS(F317-U317)</x:f>
        <x:v>0.3614735939194491</x:v>
      </x:c>
    </x:row>
    <x:row r="318">
      <x:c r="A318" s="114" t="n">
        <x:v>302</x:v>
      </x:c>
      <x:c r="B318" s="114" t="n">
        <x:v>76</x:v>
      </x:c>
      <x:c r="C318" s="114" t="n">
        <x:v>2</x:v>
      </x:c>
      <x:c r="D318" s="168" t="n">
        <x:f>$I$6</x:f>
        <x:v>0</x:v>
      </x:c>
      <x:c r="E318" s="168" t="n">
        <x:f>$J$6</x:f>
        <x:v>1</x:v>
      </x:c>
      <x:c r="F318" s="168" t="n">
        <x:f>$K$6</x:f>
        <x:v>1</x:v>
      </x:c>
      <x:c r="G318" s="242" t="n">
        <x:f>AI317</x:f>
        <x:v>2.4620839843342206</x:v>
      </x:c>
      <x:c r="H318" s="242" t="n">
        <x:f>AJ317</x:f>
        <x:v>-2.9345633315246404</x:v>
      </x:c>
      <x:c r="I318" s="242" t="n">
        <x:f>AK317</x:f>
        <x:v>-1.5898768445383493</x:v>
      </x:c>
      <x:c r="J318" s="242" t="n">
        <x:f>AL317</x:f>
        <x:v>2.73057105312134</x:v>
      </x:c>
      <x:c r="K318" s="242" t="n">
        <x:f>AM317</x:f>
        <x:v>-2.6375669814458513</x:v>
      </x:c>
      <x:c r="L318" s="242" t="n">
        <x:f>AN317</x:f>
        <x:v>1.668343951763537</x:v>
      </x:c>
      <x:c r="M318" s="242" t="n">
        <x:f>AO317</x:f>
        <x:v>3.0197030072961915</x:v>
      </x:c>
      <x:c r="N318" s="242" t="n">
        <x:f>AP317</x:f>
        <x:v>-2.922140429857211</x:v>
      </x:c>
      <x:c r="O318" s="242" t="n">
        <x:f>AQ317</x:f>
        <x:v>1.2051261890866232</x:v>
      </x:c>
      <x:c r="P318" s="243" t="n">
        <x:f>D318*G318+E318*H318+I318</x:f>
        <x:v>-4.52444017606299</x:v>
      </x:c>
      <x:c r="Q318" s="243" t="n">
        <x:f>1/(1+EXP(-P318))</x:f>
        <x:v>0.010724519492755255</x:v>
      </x:c>
      <x:c r="R318" s="243" t="n">
        <x:f>D318*J318+E318*K318+L318</x:f>
        <x:v>-0.9692230296823143</x:v>
      </x:c>
      <x:c r="S318" s="243" t="n">
        <x:f>1/(1+EXP(-R318))</x:f>
        <x:v>0.275035395960219</x:v>
      </x:c>
      <x:c r="T318" s="243" t="n">
        <x:f>Q318*M318+S318*N318+O318</x:f>
        <x:v>0.4338190026735603</x:v>
      </x:c>
      <x:c r="U318" s="243" t="n">
        <x:f>1/(1+EXP(-T318))</x:f>
        <x:v>0.6067852413209551</x:v>
      </x:c>
      <x:c r="V318" s="243" t="n">
        <x:f>0.5*(F318-U318)^2</x:f>
        <x:v>0.07730892322150974</x:v>
      </x:c>
      <x:c r="W318" s="244" t="n">
        <x:f>(U318-F318)*U318*(1-U318)</x:f>
        <x:v>-0.09381982726645398</x:v>
      </x:c>
      <x:c r="X318" s="244" t="n">
        <x:f>W318*M318*Q318*(1-Q318)</x:f>
        <x:v>-0.003005757562909977</x:v>
      </x:c>
      <x:c r="Y318" s="244" t="n">
        <x:f>W318*N318*S318*(1-S318)</x:f>
        <x:v>0.05466396182418782</x:v>
      </x:c>
      <x:c r="Z318" s="245" t="n">
        <x:f>X318*D318</x:f>
        <x:v>0</x:v>
      </x:c>
      <x:c r="AA318" s="245" t="n">
        <x:f>X318*E318</x:f>
        <x:v>-0.003005757562909977</x:v>
      </x:c>
      <x:c r="AB318" s="245" t="n">
        <x:f>X318</x:f>
        <x:v>-0.003005757562909977</x:v>
      </x:c>
      <x:c r="AC318" s="245" t="n">
        <x:f>Y318*D318</x:f>
        <x:v>0</x:v>
      </x:c>
      <x:c r="AD318" s="245" t="n">
        <x:f>Y318*E318</x:f>
        <x:v>0.05466396182418782</x:v>
      </x:c>
      <x:c r="AE318" s="245" t="n">
        <x:f>Y318</x:f>
        <x:v>0.05466396182418782</x:v>
      </x:c>
      <x:c r="AF318" s="245" t="n">
        <x:f>W318*Q318</x:f>
        <x:v>-0.0010061725663260167</x:v>
      </x:c>
      <x:c r="AG318" s="245" t="n">
        <x:f>W318*S318</x:f>
        <x:v>-0.025803773341148518</x:v>
      </x:c>
      <x:c r="AH318" s="245" t="n">
        <x:f>W318</x:f>
        <x:v>-0.09381982726645398</x:v>
      </x:c>
      <x:c r="AI318" s="246" t="n">
        <x:f>G318-$B$4*Z318</x:f>
        <x:v>2.4620839843342206</x:v>
      </x:c>
      <x:c r="AJ318" s="246" t="n">
        <x:f>H318-$B$4*AA318</x:f>
        <x:v>-2.9315575739617303</x:v>
      </x:c>
      <x:c r="AK318" s="246" t="n">
        <x:f>I318-$B$4*AB318</x:f>
        <x:v>-1.5868710869754394</x:v>
      </x:c>
      <x:c r="AL318" s="246" t="n">
        <x:f>J318-$B$4*AC318</x:f>
        <x:v>2.73057105312134</x:v>
      </x:c>
      <x:c r="AM318" s="246" t="n">
        <x:f>K318-$B$4*AD318</x:f>
        <x:v>-2.6922309432700393</x:v>
      </x:c>
      <x:c r="AN318" s="246" t="n">
        <x:f>L318-$B$4*AE318</x:f>
        <x:v>1.6136799899393492</x:v>
      </x:c>
      <x:c r="AO318" s="246" t="n">
        <x:f>M318-$B$4*AF318</x:f>
        <x:v>3.0207091798625174</x:v>
      </x:c>
      <x:c r="AP318" s="246" t="n">
        <x:f>N318-$B$4*AG318</x:f>
        <x:v>-2.896336656516062</x:v>
      </x:c>
      <x:c r="AQ318" s="246" t="n">
        <x:f>O318-$B$4*AH318</x:f>
        <x:v>1.298946016353077</x:v>
      </x:c>
      <x:c r="AR318" s="182" t="n">
        <x:f>IF(U318&gt;=$B$5,1,0)</x:f>
        <x:v>1</x:v>
      </x:c>
      <x:c r="AS318" s="182" t="n">
        <x:f>IF(AR318=F318,1,0)</x:f>
        <x:v>1</x:v>
      </x:c>
      <x:c r="AT318" s="252" t="n">
        <x:f>ABS(F318-U318)</x:f>
        <x:v>0.3932147586790449</x:v>
      </x:c>
    </x:row>
    <x:row r="319">
      <x:c r="A319" s="114" t="n">
        <x:v>303</x:v>
      </x:c>
      <x:c r="B319" s="114" t="n">
        <x:v>76</x:v>
      </x:c>
      <x:c r="C319" s="114" t="n">
        <x:v>3</x:v>
      </x:c>
      <x:c r="D319" s="168" t="n">
        <x:f>$I$7</x:f>
        <x:v>1</x:v>
      </x:c>
      <x:c r="E319" s="168" t="n">
        <x:f>$J$7</x:f>
        <x:v>0</x:v>
      </x:c>
      <x:c r="F319" s="168" t="n">
        <x:f>$K$7</x:f>
        <x:v>1</x:v>
      </x:c>
      <x:c r="G319" s="242" t="n">
        <x:f>AI318</x:f>
        <x:v>2.4620839843342206</x:v>
      </x:c>
      <x:c r="H319" s="242" t="n">
        <x:f>AJ318</x:f>
        <x:v>-2.9315575739617303</x:v>
      </x:c>
      <x:c r="I319" s="242" t="n">
        <x:f>AK318</x:f>
        <x:v>-1.5868710869754394</x:v>
      </x:c>
      <x:c r="J319" s="242" t="n">
        <x:f>AL318</x:f>
        <x:v>2.73057105312134</x:v>
      </x:c>
      <x:c r="K319" s="242" t="n">
        <x:f>AM318</x:f>
        <x:v>-2.6922309432700393</x:v>
      </x:c>
      <x:c r="L319" s="242" t="n">
        <x:f>AN318</x:f>
        <x:v>1.6136799899393492</x:v>
      </x:c>
      <x:c r="M319" s="242" t="n">
        <x:f>AO318</x:f>
        <x:v>3.0207091798625174</x:v>
      </x:c>
      <x:c r="N319" s="242" t="n">
        <x:f>AP318</x:f>
        <x:v>-2.896336656516062</x:v>
      </x:c>
      <x:c r="O319" s="242" t="n">
        <x:f>AQ318</x:f>
        <x:v>1.298946016353077</x:v>
      </x:c>
      <x:c r="P319" s="243" t="n">
        <x:f>D319*G319+E319*H319+I319</x:f>
        <x:v>0.8752128973587812</x:v>
      </x:c>
      <x:c r="Q319" s="243" t="n">
        <x:f>1/(1+EXP(-P319))</x:f>
        <x:v>0.7058292345736447</x:v>
      </x:c>
      <x:c r="R319" s="243" t="n">
        <x:f>D319*J319+E319*K319+L319</x:f>
        <x:v>4.344251043060689</x:v>
      </x:c>
      <x:c r="S319" s="243" t="n">
        <x:f>1/(1+EXP(-R319))</x:f>
        <x:v>0.987185125802886</x:v>
      </x:c>
      <x:c r="T319" s="243" t="n">
        <x:f>Q319*M319+S319*N319+O319</x:f>
        <x:v>0.5718303980147006</x:v>
      </x:c>
      <x:c r="U319" s="243" t="n">
        <x:f>1/(1+EXP(-T319))</x:f>
        <x:v>0.639185422573004</x:v>
      </x:c>
      <x:c r="V319" s="243" t="n">
        <x:f>0.5*(F319-U319)^2</x:f>
        <x:v>0.06509357964191083</x:v>
      </x:c>
      <x:c r="W319" s="244" t="n">
        <x:f>(U319-F319)*U319*(1-U319)</x:f>
        <x:v>-0.08321373442040854</x:v>
      </x:c>
      <x:c r="X319" s="244" t="n">
        <x:f>W319*M319*Q319*(1-Q319)</x:f>
        <x:v>-0.052191896812433525</x:v>
      </x:c>
      <x:c r="Y319" s="244" t="n">
        <x:f>W319*N319*S319*(1-S319)</x:f>
        <x:v>0.0030489970451215644</x:v>
      </x:c>
      <x:c r="Z319" s="245" t="n">
        <x:f>X319*D319</x:f>
        <x:v>-0.052191896812433525</x:v>
      </x:c>
      <x:c r="AA319" s="245" t="n">
        <x:f>X319*E319</x:f>
        <x:v>0</x:v>
      </x:c>
      <x:c r="AB319" s="245" t="n">
        <x:f>X319</x:f>
        <x:v>-0.052191896812433525</x:v>
      </x:c>
      <x:c r="AC319" s="245" t="n">
        <x:f>Y319*D319</x:f>
        <x:v>0.0030489970451215644</x:v>
      </x:c>
      <x:c r="AD319" s="245" t="n">
        <x:f>Y319*E319</x:f>
        <x:v>0</x:v>
      </x:c>
      <x:c r="AE319" s="245" t="n">
        <x:f>Y319</x:f>
        <x:v>0.0030489970451215644</x:v>
      </x:c>
      <x:c r="AF319" s="245" t="n">
        <x:f>W319*Q319</x:f>
        <x:v>-0.058734686471971505</x:v>
      </x:c>
      <x:c r="AG319" s="245" t="n">
        <x:f>W319*S319</x:f>
        <x:v>-0.08214736088233894</x:v>
      </x:c>
      <x:c r="AH319" s="245" t="n">
        <x:f>W319</x:f>
        <x:v>-0.08321373442040854</x:v>
      </x:c>
      <x:c r="AI319" s="246" t="n">
        <x:f>G319-$B$4*Z319</x:f>
        <x:v>2.514275881146654</x:v>
      </x:c>
      <x:c r="AJ319" s="246" t="n">
        <x:f>H319-$B$4*AA319</x:f>
        <x:v>-2.9315575739617303</x:v>
      </x:c>
      <x:c r="AK319" s="246" t="n">
        <x:f>I319-$B$4*AB319</x:f>
        <x:v>-1.534679190163006</x:v>
      </x:c>
      <x:c r="AL319" s="246" t="n">
        <x:f>J319-$B$4*AC319</x:f>
        <x:v>2.7275220560762183</x:v>
      </x:c>
      <x:c r="AM319" s="246" t="n">
        <x:f>K319-$B$4*AD319</x:f>
        <x:v>-2.6922309432700393</x:v>
      </x:c>
      <x:c r="AN319" s="246" t="n">
        <x:f>L319-$B$4*AE319</x:f>
        <x:v>1.6106309928942277</x:v>
      </x:c>
      <x:c r="AO319" s="246" t="n">
        <x:f>M319-$B$4*AF319</x:f>
        <x:v>3.079443866334489</x:v>
      </x:c>
      <x:c r="AP319" s="246" t="n">
        <x:f>N319-$B$4*AG319</x:f>
        <x:v>-2.814189295633723</x:v>
      </x:c>
      <x:c r="AQ319" s="246" t="n">
        <x:f>O319-$B$4*AH319</x:f>
        <x:v>1.3821597507734855</x:v>
      </x:c>
      <x:c r="AR319" s="182" t="n">
        <x:f>IF(U319&gt;=$B$5,1,0)</x:f>
        <x:v>1</x:v>
      </x:c>
      <x:c r="AS319" s="182" t="n">
        <x:f>IF(AR319=F319,1,0)</x:f>
        <x:v>1</x:v>
      </x:c>
      <x:c r="AT319" s="252" t="n">
        <x:f>ABS(F319-U319)</x:f>
        <x:v>0.36081457742699596</x:v>
      </x:c>
    </x:row>
    <x:row r="320">
      <x:c r="A320" s="114" t="n">
        <x:v>304</x:v>
      </x:c>
      <x:c r="B320" s="114" t="n">
        <x:v>76</x:v>
      </x:c>
      <x:c r="C320" s="114" t="n">
        <x:v>4</x:v>
      </x:c>
      <x:c r="D320" s="168" t="n">
        <x:f>$I$8</x:f>
        <x:v>1</x:v>
      </x:c>
      <x:c r="E320" s="168" t="n">
        <x:f>$J$8</x:f>
        <x:v>1</x:v>
      </x:c>
      <x:c r="F320" s="168" t="n">
        <x:f>$K$8</x:f>
        <x:v>0</x:v>
      </x:c>
      <x:c r="G320" s="242" t="n">
        <x:f>AI319</x:f>
        <x:v>2.514275881146654</x:v>
      </x:c>
      <x:c r="H320" s="242" t="n">
        <x:f>AJ319</x:f>
        <x:v>-2.9315575739617303</x:v>
      </x:c>
      <x:c r="I320" s="242" t="n">
        <x:f>AK319</x:f>
        <x:v>-1.534679190163006</x:v>
      </x:c>
      <x:c r="J320" s="242" t="n">
        <x:f>AL319</x:f>
        <x:v>2.7275220560762183</x:v>
      </x:c>
      <x:c r="K320" s="242" t="n">
        <x:f>AM319</x:f>
        <x:v>-2.6922309432700393</x:v>
      </x:c>
      <x:c r="L320" s="242" t="n">
        <x:f>AN319</x:f>
        <x:v>1.6106309928942277</x:v>
      </x:c>
      <x:c r="M320" s="242" t="n">
        <x:f>AO319</x:f>
        <x:v>3.079443866334489</x:v>
      </x:c>
      <x:c r="N320" s="242" t="n">
        <x:f>AP319</x:f>
        <x:v>-2.814189295633723</x:v>
      </x:c>
      <x:c r="O320" s="242" t="n">
        <x:f>AQ319</x:f>
        <x:v>1.3821597507734855</x:v>
      </x:c>
      <x:c r="P320" s="243" t="n">
        <x:f>D320*G320+E320*H320+I320</x:f>
        <x:v>-1.9519608829780823</x:v>
      </x:c>
      <x:c r="Q320" s="243" t="n">
        <x:f>1/(1+EXP(-P320))</x:f>
        <x:v>0.12433970122630435</x:v>
      </x:c>
      <x:c r="R320" s="243" t="n">
        <x:f>D320*J320+E320*K320+L320</x:f>
        <x:v>1.6459221057004068</x:v>
      </x:c>
      <x:c r="S320" s="243" t="n">
        <x:f>1/(1+EXP(-R320))</x:f>
        <x:v>0.8383391494212502</x:v>
      </x:c>
      <x:c r="T320" s="243" t="n">
        <x:f>Q320*M320+S320*N320+O320</x:f>
        <x:v>-0.5941881793552712</x:v>
      </x:c>
      <x:c r="U320" s="243" t="n">
        <x:f>1/(1+EXP(-T320))</x:f>
        <x:v>0.35567446953963444</x:v>
      </x:c>
      <x:c r="V320" s="243" t="n">
        <x:f>0.5*(F320-U320)^2</x:f>
        <x:v>0.06325216414115017</x:v>
      </x:c>
      <x:c r="W320" s="244" t="n">
        <x:f>(U320-F320)*U320*(1-U320)</x:f>
        <x:v>0.0815099684260254</x:v>
      </x:c>
      <x:c r="X320" s="244" t="n">
        <x:f>W320*M320*Q320*(1-Q320)</x:f>
        <x:v>0.027329299255311756</x:v>
      </x:c>
      <x:c r="Y320" s="244" t="n">
        <x:f>W320*N320*S320*(1-S320)</x:f>
        <x:v>-0.03108770333337274</x:v>
      </x:c>
      <x:c r="Z320" s="245" t="n">
        <x:f>X320*D320</x:f>
        <x:v>0.027329299255311756</x:v>
      </x:c>
      <x:c r="AA320" s="245" t="n">
        <x:f>X320*E320</x:f>
        <x:v>0.027329299255311756</x:v>
      </x:c>
      <x:c r="AB320" s="245" t="n">
        <x:f>X320</x:f>
        <x:v>0.027329299255311756</x:v>
      </x:c>
      <x:c r="AC320" s="245" t="n">
        <x:f>Y320*D320</x:f>
        <x:v>-0.03108770333337274</x:v>
      </x:c>
      <x:c r="AD320" s="245" t="n">
        <x:f>Y320*E320</x:f>
        <x:v>-0.03108770333337274</x:v>
      </x:c>
      <x:c r="AE320" s="245" t="n">
        <x:f>Y320</x:f>
        <x:v>-0.03108770333337274</x:v>
      </x:c>
      <x:c r="AF320" s="245" t="n">
        <x:f>W320*Q320</x:f>
        <x:v>0.010134925121057499</x:v>
      </x:c>
      <x:c r="AG320" s="245" t="n">
        <x:f>W320*S320</x:f>
        <x:v>0.06833299759962709</x:v>
      </x:c>
      <x:c r="AH320" s="245" t="n">
        <x:f>W320</x:f>
        <x:v>0.0815099684260254</x:v>
      </x:c>
      <x:c r="AI320" s="246" t="n">
        <x:f>G320-$B$4*Z320</x:f>
        <x:v>2.4869465818913423</x:v>
      </x:c>
      <x:c r="AJ320" s="246" t="n">
        <x:f>H320-$B$4*AA320</x:f>
        <x:v>-2.958886873217042</x:v>
      </x:c>
      <x:c r="AK320" s="246" t="n">
        <x:f>I320-$B$4*AB320</x:f>
        <x:v>-1.5620084894183177</x:v>
      </x:c>
      <x:c r="AL320" s="246" t="n">
        <x:f>J320-$B$4*AC320</x:f>
        <x:v>2.758609759409591</x:v>
      </x:c>
      <x:c r="AM320" s="246" t="n">
        <x:f>K320-$B$4*AD320</x:f>
        <x:v>-2.6611432399366666</x:v>
      </x:c>
      <x:c r="AN320" s="246" t="n">
        <x:f>L320-$B$4*AE320</x:f>
        <x:v>1.6417186962276005</x:v>
      </x:c>
      <x:c r="AO320" s="246" t="n">
        <x:f>M320-$B$4*AF320</x:f>
        <x:v>3.0693089412134316</x:v>
      </x:c>
      <x:c r="AP320" s="246" t="n">
        <x:f>N320-$B$4*AG320</x:f>
        <x:v>-2.8825222932333503</x:v>
      </x:c>
      <x:c r="AQ320" s="246" t="n">
        <x:f>O320-$B$4*AH320</x:f>
        <x:v>1.30064978234746</x:v>
      </x:c>
      <x:c r="AR320" s="182" t="n">
        <x:f>IF(U320&gt;=$B$5,1,0)</x:f>
        <x:v>0</x:v>
      </x:c>
      <x:c r="AS320" s="182" t="n">
        <x:f>IF(AR320=F320,1,0)</x:f>
        <x:v>1</x:v>
      </x:c>
      <x:c r="AT320" s="252" t="n">
        <x:f>ABS(F320-U320)</x:f>
        <x:v>0.35567446953963444</x:v>
      </x:c>
    </x:row>
    <x:row r="321">
      <x:c r="A321" s="114" t="n">
        <x:v>305</x:v>
      </x:c>
      <x:c r="B321" s="114" t="n">
        <x:v>77</x:v>
      </x:c>
      <x:c r="C321" s="114" t="n">
        <x:v>1</x:v>
      </x:c>
      <x:c r="D321" s="168" t="n">
        <x:f>$I$5</x:f>
        <x:v>0</x:v>
      </x:c>
      <x:c r="E321" s="168" t="n">
        <x:f>$J$5</x:f>
        <x:v>0</x:v>
      </x:c>
      <x:c r="F321" s="168" t="n">
        <x:f>$K$5</x:f>
        <x:v>0</x:v>
      </x:c>
      <x:c r="G321" s="242" t="n">
        <x:f>AI320</x:f>
        <x:v>2.4869465818913423</x:v>
      </x:c>
      <x:c r="H321" s="242" t="n">
        <x:f>AJ320</x:f>
        <x:v>-2.958886873217042</x:v>
      </x:c>
      <x:c r="I321" s="242" t="n">
        <x:f>AK320</x:f>
        <x:v>-1.5620084894183177</x:v>
      </x:c>
      <x:c r="J321" s="242" t="n">
        <x:f>AL320</x:f>
        <x:v>2.758609759409591</x:v>
      </x:c>
      <x:c r="K321" s="242" t="n">
        <x:f>AM320</x:f>
        <x:v>-2.6611432399366666</x:v>
      </x:c>
      <x:c r="L321" s="242" t="n">
        <x:f>AN320</x:f>
        <x:v>1.6417186962276005</x:v>
      </x:c>
      <x:c r="M321" s="242" t="n">
        <x:f>AO320</x:f>
        <x:v>3.0693089412134316</x:v>
      </x:c>
      <x:c r="N321" s="242" t="n">
        <x:f>AP320</x:f>
        <x:v>-2.8825222932333503</x:v>
      </x:c>
      <x:c r="O321" s="242" t="n">
        <x:f>AQ320</x:f>
        <x:v>1.30064978234746</x:v>
      </x:c>
      <x:c r="P321" s="243" t="n">
        <x:f>D321*G321+E321*H321+I321</x:f>
        <x:v>-1.5620084894183177</x:v>
      </x:c>
      <x:c r="Q321" s="243" t="n">
        <x:f>1/(1+EXP(-P321))</x:f>
        <x:v>0.17335863074969105</x:v>
      </x:c>
      <x:c r="R321" s="243" t="n">
        <x:f>D321*J321+E321*K321+L321</x:f>
        <x:v>1.6417186962276005</x:v>
      </x:c>
      <x:c r="S321" s="243" t="n">
        <x:f>1/(1+EXP(-R321))</x:f>
        <x:v>0.8377686650527192</x:v>
      </x:c>
      <x:c r="T321" s="243" t="n">
        <x:f>Q321*M321+S321*N321+O321</x:f>
        <x:v>-0.582145875842802</x:v>
      </x:c>
      <x:c r="U321" s="243" t="n">
        <x:f>1/(1+EXP(-T321))</x:f>
        <x:v>0.35843897727551305</x:v>
      </x:c>
      <x:c r="V321" s="243" t="n">
        <x:f>0.5*(F321-U321)^2</x:f>
        <x:v>0.06423925021515788</x:v>
      </x:c>
      <x:c r="W321" s="244" t="n">
        <x:f>(U321-F321)*U321*(1-U321)</x:f>
        <x:v>0.08242679813418181</x:v>
      </x:c>
      <x:c r="X321" s="244" t="n">
        <x:f>W321*M321*Q321*(1-Q321)</x:f>
        <x:v>0.03625531129432988</x:v>
      </x:c>
      <x:c r="Y321" s="244" t="n">
        <x:f>W321*N321*S321*(1-S321)</x:f>
        <x:v>-0.03229237291708209</x:v>
      </x:c>
      <x:c r="Z321" s="245" t="n">
        <x:f>X321*D321</x:f>
        <x:v>0</x:v>
      </x:c>
      <x:c r="AA321" s="245" t="n">
        <x:f>X321*E321</x:f>
        <x:v>0</x:v>
      </x:c>
      <x:c r="AB321" s="245" t="n">
        <x:f>X321</x:f>
        <x:v>0.03625531129432988</x:v>
      </x:c>
      <x:c r="AC321" s="245" t="n">
        <x:f>Y321*D321</x:f>
        <x:v>0</x:v>
      </x:c>
      <x:c r="AD321" s="245" t="n">
        <x:f>Y321*E321</x:f>
        <x:v>0</x:v>
      </x:c>
      <x:c r="AE321" s="245" t="n">
        <x:f>Y321</x:f>
        <x:v>-0.03229237291708209</x:v>
      </x:c>
      <x:c r="AF321" s="245" t="n">
        <x:f>W321*Q321</x:f>
        <x:v>0.014289396861622948</x:v>
      </x:c>
      <x:c r="AG321" s="245" t="n">
        <x:f>W321*S321</x:f>
        <x:v>0.06905458863744346</x:v>
      </x:c>
      <x:c r="AH321" s="245" t="n">
        <x:f>W321</x:f>
        <x:v>0.08242679813418181</x:v>
      </x:c>
      <x:c r="AI321" s="246" t="n">
        <x:f>G321-$B$4*Z321</x:f>
        <x:v>2.4869465818913423</x:v>
      </x:c>
      <x:c r="AJ321" s="246" t="n">
        <x:f>H321-$B$4*AA321</x:f>
        <x:v>-2.958886873217042</x:v>
      </x:c>
      <x:c r="AK321" s="246" t="n">
        <x:f>I321-$B$4*AB321</x:f>
        <x:v>-1.5982638007126475</x:v>
      </x:c>
      <x:c r="AL321" s="246" t="n">
        <x:f>J321-$B$4*AC321</x:f>
        <x:v>2.758609759409591</x:v>
      </x:c>
      <x:c r="AM321" s="246" t="n">
        <x:f>K321-$B$4*AD321</x:f>
        <x:v>-2.6611432399366666</x:v>
      </x:c>
      <x:c r="AN321" s="246" t="n">
        <x:f>L321-$B$4*AE321</x:f>
        <x:v>1.6740110691446826</x:v>
      </x:c>
      <x:c r="AO321" s="246" t="n">
        <x:f>M321-$B$4*AF321</x:f>
        <x:v>3.0550195443518087</x:v>
      </x:c>
      <x:c r="AP321" s="246" t="n">
        <x:f>N321-$B$4*AG321</x:f>
        <x:v>-2.951576881870794</x:v>
      </x:c>
      <x:c r="AQ321" s="246" t="n">
        <x:f>O321-$B$4*AH321</x:f>
        <x:v>1.2182229842132783</x:v>
      </x:c>
      <x:c r="AR321" s="182" t="n">
        <x:f>IF(U321&gt;=$B$5,1,0)</x:f>
        <x:v>0</x:v>
      </x:c>
      <x:c r="AS321" s="182" t="n">
        <x:f>IF(AR321=F321,1,0)</x:f>
        <x:v>1</x:v>
      </x:c>
      <x:c r="AT321" s="252" t="n">
        <x:f>ABS(F321-U321)</x:f>
        <x:v>0.35843897727551305</x:v>
      </x:c>
    </x:row>
    <x:row r="322">
      <x:c r="A322" s="114" t="n">
        <x:v>306</x:v>
      </x:c>
      <x:c r="B322" s="114" t="n">
        <x:v>77</x:v>
      </x:c>
      <x:c r="C322" s="114" t="n">
        <x:v>2</x:v>
      </x:c>
      <x:c r="D322" s="168" t="n">
        <x:f>$I$6</x:f>
        <x:v>0</x:v>
      </x:c>
      <x:c r="E322" s="168" t="n">
        <x:f>$J$6</x:f>
        <x:v>1</x:v>
      </x:c>
      <x:c r="F322" s="168" t="n">
        <x:f>$K$6</x:f>
        <x:v>1</x:v>
      </x:c>
      <x:c r="G322" s="242" t="n">
        <x:f>AI321</x:f>
        <x:v>2.4869465818913423</x:v>
      </x:c>
      <x:c r="H322" s="242" t="n">
        <x:f>AJ321</x:f>
        <x:v>-2.958886873217042</x:v>
      </x:c>
      <x:c r="I322" s="242" t="n">
        <x:f>AK321</x:f>
        <x:v>-1.5982638007126475</x:v>
      </x:c>
      <x:c r="J322" s="242" t="n">
        <x:f>AL321</x:f>
        <x:v>2.758609759409591</x:v>
      </x:c>
      <x:c r="K322" s="242" t="n">
        <x:f>AM321</x:f>
        <x:v>-2.6611432399366666</x:v>
      </x:c>
      <x:c r="L322" s="242" t="n">
        <x:f>AN321</x:f>
        <x:v>1.6740110691446826</x:v>
      </x:c>
      <x:c r="M322" s="242" t="n">
        <x:f>AO321</x:f>
        <x:v>3.0550195443518087</x:v>
      </x:c>
      <x:c r="N322" s="242" t="n">
        <x:f>AP321</x:f>
        <x:v>-2.951576881870794</x:v>
      </x:c>
      <x:c r="O322" s="242" t="n">
        <x:f>AQ321</x:f>
        <x:v>1.2182229842132783</x:v>
      </x:c>
      <x:c r="P322" s="243" t="n">
        <x:f>D322*G322+E322*H322+I322</x:f>
        <x:v>-4.557150673929689</x:v>
      </x:c>
      <x:c r="Q322" s="243" t="n">
        <x:f>1/(1+EXP(-P322))</x:f>
        <x:v>0.010382974027814048</x:v>
      </x:c>
      <x:c r="R322" s="243" t="n">
        <x:f>D322*J322+E322*K322+L322</x:f>
        <x:v>-0.987132170791984</x:v>
      </x:c>
      <x:c r="S322" s="243" t="n">
        <x:f>1/(1+EXP(-R322))</x:f>
        <x:v>0.2714788996211029</x:v>
      </x:c>
      <x:c r="T322" s="243" t="n">
        <x:f>Q322*M322+S322*N322+O322</x:f>
        <x:v>0.4486523287593783</x:v>
      </x:c>
      <x:c r="U322" s="243" t="n">
        <x:f>1/(1+EXP(-T322))</x:f>
        <x:v>0.6103187653016748</x:v>
      </x:c>
      <x:c r="V322" s="243" t="n">
        <x:f>0.5*(F322-U322)^2</x:f>
        <x:v>0.07592573233800559</x:v>
      </x:c>
      <x:c r="W322" s="244" t="n">
        <x:f>(U322-F322)*U322*(1-U322)</x:f>
        <x:v>-0.09267779843031403</x:v>
      </x:c>
      <x:c r="X322" s="244" t="n">
        <x:f>W322*M322*Q322*(1-Q322)</x:f>
        <x:v>-0.0029092338206007785</x:v>
      </x:c>
      <x:c r="Y322" s="244" t="n">
        <x:f>W322*N322*S322*(1-S322)</x:f>
        <x:v>0.05410134021588959</x:v>
      </x:c>
      <x:c r="Z322" s="245" t="n">
        <x:f>X322*D322</x:f>
        <x:v>0</x:v>
      </x:c>
      <x:c r="AA322" s="245" t="n">
        <x:f>X322*E322</x:f>
        <x:v>-0.0029092338206007785</x:v>
      </x:c>
      <x:c r="AB322" s="245" t="n">
        <x:f>X322</x:f>
        <x:v>-0.0029092338206007785</x:v>
      </x:c>
      <x:c r="AC322" s="245" t="n">
        <x:f>Y322*D322</x:f>
        <x:v>0</x:v>
      </x:c>
      <x:c r="AD322" s="245" t="n">
        <x:f>Y322*E322</x:f>
        <x:v>0.05410134021588959</x:v>
      </x:c>
      <x:c r="AE322" s="245" t="n">
        <x:f>Y322</x:f>
        <x:v>0.05410134021588959</x:v>
      </x:c>
      <x:c r="AF322" s="245" t="n">
        <x:f>W322*Q322</x:f>
        <x:v>-0.0009622711740569361</x:v>
      </x:c>
      <x:c r="AG322" s="245" t="n">
        <x:f>W322*S322</x:f>
        <x:v>-0.02516006673716803</x:v>
      </x:c>
      <x:c r="AH322" s="245" t="n">
        <x:f>W322</x:f>
        <x:v>-0.09267779843031403</x:v>
      </x:c>
      <x:c r="AI322" s="246" t="n">
        <x:f>G322-$B$4*Z322</x:f>
        <x:v>2.4869465818913423</x:v>
      </x:c>
      <x:c r="AJ322" s="246" t="n">
        <x:f>H322-$B$4*AA322</x:f>
        <x:v>-2.955977639396441</x:v>
      </x:c>
      <x:c r="AK322" s="246" t="n">
        <x:f>I322-$B$4*AB322</x:f>
        <x:v>-1.5953545668920468</x:v>
      </x:c>
      <x:c r="AL322" s="246" t="n">
        <x:f>J322-$B$4*AC322</x:f>
        <x:v>2.758609759409591</x:v>
      </x:c>
      <x:c r="AM322" s="246" t="n">
        <x:f>K322-$B$4*AD322</x:f>
        <x:v>-2.715244580152556</x:v>
      </x:c>
      <x:c r="AN322" s="246" t="n">
        <x:f>L322-$B$4*AE322</x:f>
        <x:v>1.619909728928793</x:v>
      </x:c>
      <x:c r="AO322" s="246" t="n">
        <x:f>M322-$B$4*AF322</x:f>
        <x:v>3.0559818155258656</x:v>
      </x:c>
      <x:c r="AP322" s="246" t="n">
        <x:f>N322-$B$4*AG322</x:f>
        <x:v>-2.926416815133626</x:v>
      </x:c>
      <x:c r="AQ322" s="246" t="n">
        <x:f>O322-$B$4*AH322</x:f>
        <x:v>1.3109007826435923</x:v>
      </x:c>
      <x:c r="AR322" s="182" t="n">
        <x:f>IF(U322&gt;=$B$5,1,0)</x:f>
        <x:v>1</x:v>
      </x:c>
      <x:c r="AS322" s="182" t="n">
        <x:f>IF(AR322=F322,1,0)</x:f>
        <x:v>1</x:v>
      </x:c>
      <x:c r="AT322" s="252" t="n">
        <x:f>ABS(F322-U322)</x:f>
        <x:v>0.38968123469832516</x:v>
      </x:c>
    </x:row>
    <x:row r="323">
      <x:c r="A323" s="114" t="n">
        <x:v>307</x:v>
      </x:c>
      <x:c r="B323" s="114" t="n">
        <x:v>77</x:v>
      </x:c>
      <x:c r="C323" s="114" t="n">
        <x:v>3</x:v>
      </x:c>
      <x:c r="D323" s="168" t="n">
        <x:f>$I$7</x:f>
        <x:v>1</x:v>
      </x:c>
      <x:c r="E323" s="168" t="n">
        <x:f>$J$7</x:f>
        <x:v>0</x:v>
      </x:c>
      <x:c r="F323" s="168" t="n">
        <x:f>$K$7</x:f>
        <x:v>1</x:v>
      </x:c>
      <x:c r="G323" s="242" t="n">
        <x:f>AI322</x:f>
        <x:v>2.4869465818913423</x:v>
      </x:c>
      <x:c r="H323" s="242" t="n">
        <x:f>AJ322</x:f>
        <x:v>-2.955977639396441</x:v>
      </x:c>
      <x:c r="I323" s="242" t="n">
        <x:f>AK322</x:f>
        <x:v>-1.5953545668920468</x:v>
      </x:c>
      <x:c r="J323" s="242" t="n">
        <x:f>AL322</x:f>
        <x:v>2.758609759409591</x:v>
      </x:c>
      <x:c r="K323" s="242" t="n">
        <x:f>AM322</x:f>
        <x:v>-2.715244580152556</x:v>
      </x:c>
      <x:c r="L323" s="242" t="n">
        <x:f>AN322</x:f>
        <x:v>1.619909728928793</x:v>
      </x:c>
      <x:c r="M323" s="242" t="n">
        <x:f>AO322</x:f>
        <x:v>3.0559818155258656</x:v>
      </x:c>
      <x:c r="N323" s="242" t="n">
        <x:f>AP322</x:f>
        <x:v>-2.926416815133626</x:v>
      </x:c>
      <x:c r="O323" s="242" t="n">
        <x:f>AQ322</x:f>
        <x:v>1.3109007826435923</x:v>
      </x:c>
      <x:c r="P323" s="243" t="n">
        <x:f>D323*G323+E323*H323+I323</x:f>
        <x:v>0.8915920149992955</x:v>
      </x:c>
      <x:c r="Q323" s="243" t="n">
        <x:f>1/(1+EXP(-P323))</x:f>
        <x:v>0.7092185992858325</x:v>
      </x:c>
      <x:c r="R323" s="243" t="n">
        <x:f>D323*J323+E323*K323+L323</x:f>
        <x:v>4.378519488338384</x:v>
      </x:c>
      <x:c r="S323" s="243" t="n">
        <x:f>1/(1+EXP(-R323))</x:f>
        <x:v>0.9876114842104634</x:v>
      </x:c>
      <x:c r="T323" s="243" t="n">
        <x:f>Q323*M323+S323*N323+O323</x:f>
        <x:v>0.5880970710812443</x:v>
      </x:c>
      <x:c r="U323" s="243" t="n">
        <x:f>1/(1+EXP(-T323))</x:f>
        <x:v>0.6429284064212769</x:v>
      </x:c>
      <x:c r="V323" s="243" t="n">
        <x:f>0.5*(F323-U323)^2</x:f>
        <x:v>0.0637500614704244</x:v>
      </x:c>
      <x:c r="W323" s="244" t="n">
        <x:f>(U323-F323)*U323*(1-U323)</x:f>
        <x:v>-0.0819734508608768</x:v>
      </x:c>
      <x:c r="X323" s="244" t="n">
        <x:f>W323*M323*Q323*(1-Q323)</x:f>
        <x:v>-0.051661941639127525</x:v>
      </x:c>
      <x:c r="Y323" s="244" t="n">
        <x:f>W323*N323*S323*(1-S323)</x:f>
        <x:v>0.002935045321243126</x:v>
      </x:c>
      <x:c r="Z323" s="245" t="n">
        <x:f>X323*D323</x:f>
        <x:v>-0.051661941639127525</x:v>
      </x:c>
      <x:c r="AA323" s="245" t="n">
        <x:f>X323*E323</x:f>
        <x:v>0</x:v>
      </x:c>
      <x:c r="AB323" s="245" t="n">
        <x:f>X323</x:f>
        <x:v>-0.051661941639127525</x:v>
      </x:c>
      <x:c r="AC323" s="245" t="n">
        <x:f>Y323*D323</x:f>
        <x:v>0.002935045321243126</x:v>
      </x:c>
      <x:c r="AD323" s="245" t="n">
        <x:f>Y323*E323</x:f>
        <x:v>0</x:v>
      </x:c>
      <x:c r="AE323" s="245" t="n">
        <x:f>Y323</x:f>
        <x:v>0.002935045321243126</x:v>
      </x:c>
      <x:c r="AF323" s="245" t="n">
        <x:f>W323*Q323</x:f>
        <x:v>-0.05813709599817707</x:v>
      </x:c>
      <x:c r="AG323" s="245" t="n">
        <x:f>W323*S323</x:f>
        <x:v>-0.08095792147056403</x:v>
      </x:c>
      <x:c r="AH323" s="245" t="n">
        <x:f>W323</x:f>
        <x:v>-0.0819734508608768</x:v>
      </x:c>
      <x:c r="AI323" s="246" t="n">
        <x:f>G323-$B$4*Z323</x:f>
        <x:v>2.53860852353047</x:v>
      </x:c>
      <x:c r="AJ323" s="246" t="n">
        <x:f>H323-$B$4*AA323</x:f>
        <x:v>-2.955977639396441</x:v>
      </x:c>
      <x:c r="AK323" s="246" t="n">
        <x:f>I323-$B$4*AB323</x:f>
        <x:v>-1.5436926252529193</x:v>
      </x:c>
      <x:c r="AL323" s="246" t="n">
        <x:f>J323-$B$4*AC323</x:f>
        <x:v>2.755674714088348</x:v>
      </x:c>
      <x:c r="AM323" s="246" t="n">
        <x:f>K323-$B$4*AD323</x:f>
        <x:v>-2.715244580152556</x:v>
      </x:c>
      <x:c r="AN323" s="246" t="n">
        <x:f>L323-$B$4*AE323</x:f>
        <x:v>1.6169746836075498</x:v>
      </x:c>
      <x:c r="AO323" s="246" t="n">
        <x:f>M323-$B$4*AF323</x:f>
        <x:v>3.1141189115240424</x:v>
      </x:c>
      <x:c r="AP323" s="246" t="n">
        <x:f>N323-$B$4*AG323</x:f>
        <x:v>-2.845458893663062</x:v>
      </x:c>
      <x:c r="AQ323" s="246" t="n">
        <x:f>O323-$B$4*AH323</x:f>
        <x:v>1.392874233504469</x:v>
      </x:c>
      <x:c r="AR323" s="182" t="n">
        <x:f>IF(U323&gt;=$B$5,1,0)</x:f>
        <x:v>1</x:v>
      </x:c>
      <x:c r="AS323" s="182" t="n">
        <x:f>IF(AR323=F323,1,0)</x:f>
        <x:v>1</x:v>
      </x:c>
      <x:c r="AT323" s="252" t="n">
        <x:f>ABS(F323-U323)</x:f>
        <x:v>0.3570715935787231</x:v>
      </x:c>
    </x:row>
    <x:row r="324">
      <x:c r="A324" s="114" t="n">
        <x:v>308</x:v>
      </x:c>
      <x:c r="B324" s="114" t="n">
        <x:v>77</x:v>
      </x:c>
      <x:c r="C324" s="114" t="n">
        <x:v>4</x:v>
      </x:c>
      <x:c r="D324" s="168" t="n">
        <x:f>$I$8</x:f>
        <x:v>1</x:v>
      </x:c>
      <x:c r="E324" s="168" t="n">
        <x:f>$J$8</x:f>
        <x:v>1</x:v>
      </x:c>
      <x:c r="F324" s="168" t="n">
        <x:f>$K$8</x:f>
        <x:v>0</x:v>
      </x:c>
      <x:c r="G324" s="242" t="n">
        <x:f>AI323</x:f>
        <x:v>2.53860852353047</x:v>
      </x:c>
      <x:c r="H324" s="242" t="n">
        <x:f>AJ323</x:f>
        <x:v>-2.955977639396441</x:v>
      </x:c>
      <x:c r="I324" s="242" t="n">
        <x:f>AK323</x:f>
        <x:v>-1.5436926252529193</x:v>
      </x:c>
      <x:c r="J324" s="242" t="n">
        <x:f>AL323</x:f>
        <x:v>2.755674714088348</x:v>
      </x:c>
      <x:c r="K324" s="242" t="n">
        <x:f>AM323</x:f>
        <x:v>-2.715244580152556</x:v>
      </x:c>
      <x:c r="L324" s="242" t="n">
        <x:f>AN323</x:f>
        <x:v>1.6169746836075498</x:v>
      </x:c>
      <x:c r="M324" s="242" t="n">
        <x:f>AO323</x:f>
        <x:v>3.1141189115240424</x:v>
      </x:c>
      <x:c r="N324" s="242" t="n">
        <x:f>AP323</x:f>
        <x:v>-2.845458893663062</x:v>
      </x:c>
      <x:c r="O324" s="242" t="n">
        <x:f>AQ323</x:f>
        <x:v>1.392874233504469</x:v>
      </x:c>
      <x:c r="P324" s="243" t="n">
        <x:f>D324*G324+E324*H324+I324</x:f>
        <x:v>-1.9610617411188902</x:v>
      </x:c>
      <x:c r="Q324" s="243" t="n">
        <x:f>1/(1+EXP(-P324))</x:f>
        <x:v>0.12335218875345691</x:v>
      </x:c>
      <x:c r="R324" s="243" t="n">
        <x:f>D324*J324+E324*K324+L324</x:f>
        <x:v>1.6574048175433418</x:v>
      </x:c>
      <x:c r="S324" s="243" t="n">
        <x:f>1/(1+EXP(-R324))</x:f>
        <x:v>0.8398893230091773</x:v>
      </x:c>
      <x:c r="T324" s="243" t="n">
        <x:f>Q324*M324+S324*N324+O324</x:f>
        <x:v>-0.612862926569619</x:v>
      </x:c>
      <x:c r="U324" s="243" t="n">
        <x:f>1/(1+EXP(-T324))</x:f>
        <x:v>0.3514064025978803</x:v>
      </x:c>
      <x:c r="V324" s="243" t="n">
        <x:f>0.5*(F324-U324)^2</x:f>
        <x:v>0.06174322989339177</x:v>
      </x:c>
      <x:c r="W324" s="244" t="n">
        <x:f>(U324-F324)*U324*(1-U324)</x:f>
        <x:v>0.08009252718356213</x:v>
      </x:c>
      <x:c r="X324" s="244" t="n">
        <x:f>W324*M324*Q324*(1-Q324)</x:f>
        <x:v>0.0269711337094398</x:v>
      </x:c>
      <x:c r="Y324" s="244" t="n">
        <x:f>W324*N324*S324*(1-S324)</x:f>
        <x:v>-0.0306469082079492</x:v>
      </x:c>
      <x:c r="Z324" s="245" t="n">
        <x:f>X324*D324</x:f>
        <x:v>0.0269711337094398</x:v>
      </x:c>
      <x:c r="AA324" s="245" t="n">
        <x:f>X324*E324</x:f>
        <x:v>0.0269711337094398</x:v>
      </x:c>
      <x:c r="AB324" s="245" t="n">
        <x:f>X324</x:f>
        <x:v>0.0269711337094398</x:v>
      </x:c>
      <x:c r="AC324" s="245" t="n">
        <x:f>Y324*D324</x:f>
        <x:v>-0.0306469082079492</x:v>
      </x:c>
      <x:c r="AD324" s="245" t="n">
        <x:f>Y324*E324</x:f>
        <x:v>-0.0306469082079492</x:v>
      </x:c>
      <x:c r="AE324" s="245" t="n">
        <x:f>Y324</x:f>
        <x:v>-0.0306469082079492</x:v>
      </x:c>
      <x:c r="AF324" s="245" t="n">
        <x:f>W324*Q324</x:f>
        <x:v>0.009879588530888135</x:v>
      </x:c>
      <x:c r="AG324" s="245" t="n">
        <x:f>W324*S324</x:f>
        <x:v>0.06726885843429613</x:v>
      </x:c>
      <x:c r="AH324" s="245" t="n">
        <x:f>W324</x:f>
        <x:v>0.08009252718356213</x:v>
      </x:c>
      <x:c r="AI324" s="246" t="n">
        <x:f>G324-$B$4*Z324</x:f>
        <x:v>2.5116373898210305</x:v>
      </x:c>
      <x:c r="AJ324" s="246" t="n">
        <x:f>H324-$B$4*AA324</x:f>
        <x:v>-2.9829487731058806</x:v>
      </x:c>
      <x:c r="AK324" s="246" t="n">
        <x:f>I324-$B$4*AB324</x:f>
        <x:v>-1.570663758962359</x:v>
      </x:c>
      <x:c r="AL324" s="246" t="n">
        <x:f>J324-$B$4*AC324</x:f>
        <x:v>2.786321622296297</x:v>
      </x:c>
      <x:c r="AM324" s="246" t="n">
        <x:f>K324-$B$4*AD324</x:f>
        <x:v>-2.6845976719446067</x:v>
      </x:c>
      <x:c r="AN324" s="246" t="n">
        <x:f>L324-$B$4*AE324</x:f>
        <x:v>1.647621591815499</x:v>
      </x:c>
      <x:c r="AO324" s="246" t="n">
        <x:f>M324-$B$4*AF324</x:f>
        <x:v>3.104239322993154</x:v>
      </x:c>
      <x:c r="AP324" s="246" t="n">
        <x:f>N324-$B$4*AG324</x:f>
        <x:v>-2.912727752097358</x:v>
      </x:c>
      <x:c r="AQ324" s="246" t="n">
        <x:f>O324-$B$4*AH324</x:f>
        <x:v>1.3127817063209068</x:v>
      </x:c>
      <x:c r="AR324" s="182" t="n">
        <x:f>IF(U324&gt;=$B$5,1,0)</x:f>
        <x:v>0</x:v>
      </x:c>
      <x:c r="AS324" s="182" t="n">
        <x:f>IF(AR324=F324,1,0)</x:f>
        <x:v>1</x:v>
      </x:c>
      <x:c r="AT324" s="252" t="n">
        <x:f>ABS(F324-U324)</x:f>
        <x:v>0.3514064025978803</x:v>
      </x:c>
    </x:row>
    <x:row r="325">
      <x:c r="A325" s="114" t="n">
        <x:v>309</x:v>
      </x:c>
      <x:c r="B325" s="114" t="n">
        <x:v>78</x:v>
      </x:c>
      <x:c r="C325" s="114" t="n">
        <x:v>1</x:v>
      </x:c>
      <x:c r="D325" s="168" t="n">
        <x:f>$I$5</x:f>
        <x:v>0</x:v>
      </x:c>
      <x:c r="E325" s="168" t="n">
        <x:f>$J$5</x:f>
        <x:v>0</x:v>
      </x:c>
      <x:c r="F325" s="168" t="n">
        <x:f>$K$5</x:f>
        <x:v>0</x:v>
      </x:c>
      <x:c r="G325" s="242" t="n">
        <x:f>AI324</x:f>
        <x:v>2.5116373898210305</x:v>
      </x:c>
      <x:c r="H325" s="242" t="n">
        <x:f>AJ324</x:f>
        <x:v>-2.9829487731058806</x:v>
      </x:c>
      <x:c r="I325" s="242" t="n">
        <x:f>AK324</x:f>
        <x:v>-1.570663758962359</x:v>
      </x:c>
      <x:c r="J325" s="242" t="n">
        <x:f>AL324</x:f>
        <x:v>2.786321622296297</x:v>
      </x:c>
      <x:c r="K325" s="242" t="n">
        <x:f>AM324</x:f>
        <x:v>-2.6845976719446067</x:v>
      </x:c>
      <x:c r="L325" s="242" t="n">
        <x:f>AN324</x:f>
        <x:v>1.647621591815499</x:v>
      </x:c>
      <x:c r="M325" s="242" t="n">
        <x:f>AO324</x:f>
        <x:v>3.104239322993154</x:v>
      </x:c>
      <x:c r="N325" s="242" t="n">
        <x:f>AP324</x:f>
        <x:v>-2.912727752097358</x:v>
      </x:c>
      <x:c r="O325" s="242" t="n">
        <x:f>AQ324</x:f>
        <x:v>1.3127817063209068</x:v>
      </x:c>
      <x:c r="P325" s="243" t="n">
        <x:f>D325*G325+E325*H325+I325</x:f>
        <x:v>-1.570663758962359</x:v>
      </x:c>
      <x:c r="Q325" s="243" t="n">
        <x:f>1/(1+EXP(-P325))</x:f>
        <x:v>0.1721217882323059</x:v>
      </x:c>
      <x:c r="R325" s="243" t="n">
        <x:f>D325*J325+E325*K325+L325</x:f>
        <x:v>1.647621591815499</x:v>
      </x:c>
      <x:c r="S325" s="243" t="n">
        <x:f>1/(1+EXP(-R325))</x:f>
        <x:v>0.8385693426130044</x:v>
      </x:c>
      <x:c r="T325" s="243" t="n">
        <x:f>Q325*M325+S325*N325+O325</x:f>
        <x:v>-0.5954352665914047</x:v>
      </x:c>
      <x:c r="U325" s="243" t="n">
        <x:f>1/(1+EXP(-T325))</x:f>
        <x:v>0.3553887258486171</x:v>
      </x:c>
      <x:c r="V325" s="243" t="n">
        <x:f>0.5*(F325-U325)^2</x:f>
        <x:v>0.06315057323015176</x:v>
      </x:c>
      <x:c r="W325" s="244" t="n">
        <x:f>(U325-F325)*U325*(1-U325)</x:f>
        <x:v>0.08141514294655669</x:v>
      </x:c>
      <x:c r="X325" s="244" t="n">
        <x:f>W325*M325*Q325*(1-Q325)</x:f>
        <x:v>0.03601328087262268</x:v>
      </x:c>
      <x:c r="Y325" s="244" t="n">
        <x:f>W325*N325*S325*(1-S325)</x:f>
        <x:v>-0.032101851374468526</x:v>
      </x:c>
      <x:c r="Z325" s="245" t="n">
        <x:f>X325*D325</x:f>
        <x:v>0</x:v>
      </x:c>
      <x:c r="AA325" s="245" t="n">
        <x:f>X325*E325</x:f>
        <x:v>0</x:v>
      </x:c>
      <x:c r="AB325" s="245" t="n">
        <x:f>X325</x:f>
        <x:v>0.03601328087262268</x:v>
      </x:c>
      <x:c r="AC325" s="245" t="n">
        <x:f>Y325*D325</x:f>
        <x:v>0</x:v>
      </x:c>
      <x:c r="AD325" s="245" t="n">
        <x:f>Y325*E325</x:f>
        <x:v>0</x:v>
      </x:c>
      <x:c r="AE325" s="245" t="n">
        <x:f>Y325</x:f>
        <x:v>-0.032101851374468526</x:v>
      </x:c>
      <x:c r="AF325" s="245" t="n">
        <x:f>W325*Q325</x:f>
        <x:v>0.014013319993150143</x:v>
      </x:c>
      <x:c r="AG325" s="245" t="n">
        <x:f>W325*S325</x:f>
        <x:v>0.06827224289943783</x:v>
      </x:c>
      <x:c r="AH325" s="245" t="n">
        <x:f>W325</x:f>
        <x:v>0.08141514294655669</x:v>
      </x:c>
      <x:c r="AI325" s="246" t="n">
        <x:f>G325-$B$4*Z325</x:f>
        <x:v>2.5116373898210305</x:v>
      </x:c>
      <x:c r="AJ325" s="246" t="n">
        <x:f>H325-$B$4*AA325</x:f>
        <x:v>-2.9829487731058806</x:v>
      </x:c>
      <x:c r="AK325" s="246" t="n">
        <x:f>I325-$B$4*AB325</x:f>
        <x:v>-1.606677039834982</x:v>
      </x:c>
      <x:c r="AL325" s="246" t="n">
        <x:f>J325-$B$4*AC325</x:f>
        <x:v>2.786321622296297</x:v>
      </x:c>
      <x:c r="AM325" s="246" t="n">
        <x:f>K325-$B$4*AD325</x:f>
        <x:v>-2.6845976719446067</x:v>
      </x:c>
      <x:c r="AN325" s="246" t="n">
        <x:f>L325-$B$4*AE325</x:f>
        <x:v>1.6797234431899675</x:v>
      </x:c>
      <x:c r="AO325" s="246" t="n">
        <x:f>M325-$B$4*AF325</x:f>
        <x:v>3.090226003000004</x:v>
      </x:c>
      <x:c r="AP325" s="246" t="n">
        <x:f>N325-$B$4*AG325</x:f>
        <x:v>-2.980999994996796</x:v>
      </x:c>
      <x:c r="AQ325" s="246" t="n">
        <x:f>O325-$B$4*AH325</x:f>
        <x:v>1.2313665633743502</x:v>
      </x:c>
      <x:c r="AR325" s="182" t="n">
        <x:f>IF(U325&gt;=$B$5,1,0)</x:f>
        <x:v>0</x:v>
      </x:c>
      <x:c r="AS325" s="182" t="n">
        <x:f>IF(AR325=F325,1,0)</x:f>
        <x:v>1</x:v>
      </x:c>
      <x:c r="AT325" s="252" t="n">
        <x:f>ABS(F325-U325)</x:f>
        <x:v>0.3553887258486171</x:v>
      </x:c>
    </x:row>
    <x:row r="326">
      <x:c r="A326" s="114" t="n">
        <x:v>310</x:v>
      </x:c>
      <x:c r="B326" s="114" t="n">
        <x:v>78</x:v>
      </x:c>
      <x:c r="C326" s="114" t="n">
        <x:v>2</x:v>
      </x:c>
      <x:c r="D326" s="168" t="n">
        <x:f>$I$6</x:f>
        <x:v>0</x:v>
      </x:c>
      <x:c r="E326" s="168" t="n">
        <x:f>$J$6</x:f>
        <x:v>1</x:v>
      </x:c>
      <x:c r="F326" s="168" t="n">
        <x:f>$K$6</x:f>
        <x:v>1</x:v>
      </x:c>
      <x:c r="G326" s="242" t="n">
        <x:f>AI325</x:f>
        <x:v>2.5116373898210305</x:v>
      </x:c>
      <x:c r="H326" s="242" t="n">
        <x:f>AJ325</x:f>
        <x:v>-2.9829487731058806</x:v>
      </x:c>
      <x:c r="I326" s="242" t="n">
        <x:f>AK325</x:f>
        <x:v>-1.606677039834982</x:v>
      </x:c>
      <x:c r="J326" s="242" t="n">
        <x:f>AL325</x:f>
        <x:v>2.786321622296297</x:v>
      </x:c>
      <x:c r="K326" s="242" t="n">
        <x:f>AM325</x:f>
        <x:v>-2.6845976719446067</x:v>
      </x:c>
      <x:c r="L326" s="242" t="n">
        <x:f>AN325</x:f>
        <x:v>1.6797234431899675</x:v>
      </x:c>
      <x:c r="M326" s="242" t="n">
        <x:f>AO325</x:f>
        <x:v>3.090226003000004</x:v>
      </x:c>
      <x:c r="N326" s="242" t="n">
        <x:f>AP325</x:f>
        <x:v>-2.980999994996796</x:v>
      </x:c>
      <x:c r="O326" s="242" t="n">
        <x:f>AQ325</x:f>
        <x:v>1.2313665633743502</x:v>
      </x:c>
      <x:c r="P326" s="243" t="n">
        <x:f>D326*G326+E326*H326+I326</x:f>
        <x:v>-4.589625812940863</x:v>
      </x:c>
      <x:c r="Q326" s="243" t="n">
        <x:f>1/(1+EXP(-P326))</x:f>
        <x:v>0.010054537650657348</x:v>
      </x:c>
      <x:c r="R326" s="243" t="n">
        <x:f>D326*J326+E326*K326+L326</x:f>
        <x:v>-1.0048742287546393</x:v>
      </x:c>
      <x:c r="S326" s="243" t="n">
        <x:f>1/(1+EXP(-R326))</x:f>
        <x:v>0.2679841698143767</x:v>
      </x:c>
      <x:c r="T326" s="243" t="n">
        <x:f>Q326*M326+S326*N326+O326</x:f>
        <x:v>0.46357654819467664</x:v>
      </x:c>
      <x:c r="U326" s="243" t="n">
        <x:f>1/(1+EXP(-T326))</x:f>
        <x:v>0.6138622890729524</x:v>
      </x:c>
      <x:c r="V326" s="243" t="n">
        <x:f>0.5*(F326-U326)^2</x:f>
        <x:v>0.0745511658999901</x:v>
      </x:c>
      <x:c r="W326" s="244" t="n">
        <x:f>(U326-F326)*U326*(1-U326)</x:f>
        <x:v>-0.0915282987048507</x:v>
      </x:c>
      <x:c r="X326" s="244" t="n">
        <x:f>W326*M326*Q326*(1-Q326)</x:f>
        <x:v>-0.002815263220285323</x:v>
      </x:c>
      <x:c r="Y326" s="244" t="n">
        <x:f>W326*N326*S326*(1-S326)</x:f>
        <x:v>0.05352380485788271</x:v>
      </x:c>
      <x:c r="Z326" s="245" t="n">
        <x:f>X326*D326</x:f>
        <x:v>0</x:v>
      </x:c>
      <x:c r="AA326" s="245" t="n">
        <x:f>X326*E326</x:f>
        <x:v>-0.002815263220285323</x:v>
      </x:c>
      <x:c r="AB326" s="245" t="n">
        <x:f>X326</x:f>
        <x:v>-0.002815263220285323</x:v>
      </x:c>
      <x:c r="AC326" s="245" t="n">
        <x:f>Y326*D326</x:f>
        <x:v>0</x:v>
      </x:c>
      <x:c r="AD326" s="245" t="n">
        <x:f>Y326*E326</x:f>
        <x:v>0.05352380485788271</x:v>
      </x:c>
      <x:c r="AE326" s="245" t="n">
        <x:f>Y326</x:f>
        <x:v>0.05352380485788271</x:v>
      </x:c>
      <x:c r="AF326" s="245" t="n">
        <x:f>W326*Q326</x:f>
        <x:v>-0.0009202747254285335</x:v>
      </x:c>
      <x:c r="AG326" s="245" t="n">
        <x:f>W326*S326</x:f>
        <x:v>-0.024528135142941707</x:v>
      </x:c>
      <x:c r="AH326" s="245" t="n">
        <x:f>W326</x:f>
        <x:v>-0.0915282987048507</x:v>
      </x:c>
      <x:c r="AI326" s="246" t="n">
        <x:f>G326-$B$4*Z326</x:f>
        <x:v>2.5116373898210305</x:v>
      </x:c>
      <x:c r="AJ326" s="246" t="n">
        <x:f>H326-$B$4*AA326</x:f>
        <x:v>-2.9801335098855954</x:v>
      </x:c>
      <x:c r="AK326" s="246" t="n">
        <x:f>I326-$B$4*AB326</x:f>
        <x:v>-1.6038617766146965</x:v>
      </x:c>
      <x:c r="AL326" s="246" t="n">
        <x:f>J326-$B$4*AC326</x:f>
        <x:v>2.786321622296297</x:v>
      </x:c>
      <x:c r="AM326" s="246" t="n">
        <x:f>K326-$B$4*AD326</x:f>
        <x:v>-2.7381214768024895</x:v>
      </x:c>
      <x:c r="AN326" s="246" t="n">
        <x:f>L326-$B$4*AE326</x:f>
        <x:v>1.6261996383320847</x:v>
      </x:c>
      <x:c r="AO326" s="246" t="n">
        <x:f>M326-$B$4*AF326</x:f>
        <x:v>3.0911462777254326</x:v>
      </x:c>
      <x:c r="AP326" s="246" t="n">
        <x:f>N326-$B$4*AG326</x:f>
        <x:v>-2.956471859853854</x:v>
      </x:c>
      <x:c r="AQ326" s="246" t="n">
        <x:f>O326-$B$4*AH326</x:f>
        <x:v>1.322894862079201</x:v>
      </x:c>
      <x:c r="AR326" s="182" t="n">
        <x:f>IF(U326&gt;=$B$5,1,0)</x:f>
        <x:v>1</x:v>
      </x:c>
      <x:c r="AS326" s="182" t="n">
        <x:f>IF(AR326=F326,1,0)</x:f>
        <x:v>1</x:v>
      </x:c>
      <x:c r="AT326" s="252" t="n">
        <x:f>ABS(F326-U326)</x:f>
        <x:v>0.38613771092704763</x:v>
      </x:c>
    </x:row>
    <x:row r="327">
      <x:c r="A327" s="114" t="n">
        <x:v>311</x:v>
      </x:c>
      <x:c r="B327" s="114" t="n">
        <x:v>78</x:v>
      </x:c>
      <x:c r="C327" s="114" t="n">
        <x:v>3</x:v>
      </x:c>
      <x:c r="D327" s="168" t="n">
        <x:f>$I$7</x:f>
        <x:v>1</x:v>
      </x:c>
      <x:c r="E327" s="168" t="n">
        <x:f>$J$7</x:f>
        <x:v>0</x:v>
      </x:c>
      <x:c r="F327" s="168" t="n">
        <x:f>$K$7</x:f>
        <x:v>1</x:v>
      </x:c>
      <x:c r="G327" s="242" t="n">
        <x:f>AI326</x:f>
        <x:v>2.5116373898210305</x:v>
      </x:c>
      <x:c r="H327" s="242" t="n">
        <x:f>AJ326</x:f>
        <x:v>-2.9801335098855954</x:v>
      </x:c>
      <x:c r="I327" s="242" t="n">
        <x:f>AK326</x:f>
        <x:v>-1.6038617766146965</x:v>
      </x:c>
      <x:c r="J327" s="242" t="n">
        <x:f>AL326</x:f>
        <x:v>2.786321622296297</x:v>
      </x:c>
      <x:c r="K327" s="242" t="n">
        <x:f>AM326</x:f>
        <x:v>-2.7381214768024895</x:v>
      </x:c>
      <x:c r="L327" s="242" t="n">
        <x:f>AN326</x:f>
        <x:v>1.6261996383320847</x:v>
      </x:c>
      <x:c r="M327" s="242" t="n">
        <x:f>AO326</x:f>
        <x:v>3.0911462777254326</x:v>
      </x:c>
      <x:c r="N327" s="242" t="n">
        <x:f>AP326</x:f>
        <x:v>-2.956471859853854</x:v>
      </x:c>
      <x:c r="O327" s="242" t="n">
        <x:f>AQ326</x:f>
        <x:v>1.322894862079201</x:v>
      </x:c>
      <x:c r="P327" s="243" t="n">
        <x:f>D327*G327+E327*H327+I327</x:f>
        <x:v>0.9077756132063339</x:v>
      </x:c>
      <x:c r="Q327" s="243" t="n">
        <x:f>1/(1+EXP(-P327))</x:f>
        <x:v>0.7125447688370535</x:v>
      </x:c>
      <x:c r="R327" s="243" t="n">
        <x:f>D327*J327+E327*K327+L327</x:f>
        <x:v>4.412521260628382</x:v>
      </x:c>
      <x:c r="S327" s="243" t="n">
        <x:f>1/(1+EXP(-R327))</x:f>
        <x:v>0.9880206736291693</x:v>
      </x:c>
      <x:c r="T327" s="243" t="n">
        <x:f>Q327*M327+S327*N327+O327</x:f>
        <x:v>0.6044196534441</x:v>
      </x:c>
      <x:c r="U327" s="243" t="n">
        <x:f>1/(1+EXP(-T327))</x:f>
        <x:v>0.6466668011307299</x:v>
      </x:c>
      <x:c r="V327" s="243" t="n">
        <x:f>0.5*(F327-U327)^2</x:f>
        <x:v>0.06242217471159557</x:v>
      </x:c>
      <x:c r="W327" s="244" t="n">
        <x:f>(U327-F327)*U327*(1-U327)</x:f>
        <x:v>-0.08073269608074211</x:v>
      </x:c>
      <x:c r="X327" s="244" t="n">
        <x:f>W327*M327*Q327*(1-Q327)</x:f>
        <x:v>-0.051115355494387504</x:v>
      </x:c>
      <x:c r="Y327" s="244" t="n">
        <x:f>W327*N327*S327*(1-S327)</x:f>
        <x:v>0.0028250207033964888</x:v>
      </x:c>
      <x:c r="Z327" s="245" t="n">
        <x:f>X327*D327</x:f>
        <x:v>-0.051115355494387504</x:v>
      </x:c>
      <x:c r="AA327" s="245" t="n">
        <x:f>X327*E327</x:f>
        <x:v>0</x:v>
      </x:c>
      <x:c r="AB327" s="245" t="n">
        <x:f>X327</x:f>
        <x:v>-0.051115355494387504</x:v>
      </x:c>
      <x:c r="AC327" s="245" t="n">
        <x:f>Y327*D327</x:f>
        <x:v>0.0028250207033964888</x:v>
      </x:c>
      <x:c r="AD327" s="245" t="n">
        <x:f>Y327*E327</x:f>
        <x:v>0</x:v>
      </x:c>
      <x:c r="AE327" s="245" t="n">
        <x:f>Y327</x:f>
        <x:v>0.0028250207033964888</x:v>
      </x:c>
      <x:c r="AF327" s="245" t="n">
        <x:f>W327*Q327</x:f>
        <x:v>-0.05752566026644449</x:v>
      </x:c>
      <x:c r="AG327" s="245" t="n">
        <x:f>W327*S327</x:f>
        <x:v>-0.07976557276559382</x:v>
      </x:c>
      <x:c r="AH327" s="245" t="n">
        <x:f>W327</x:f>
        <x:v>-0.08073269608074211</x:v>
      </x:c>
      <x:c r="AI327" s="246" t="n">
        <x:f>G327-$B$4*Z327</x:f>
        <x:v>2.562752745315418</x:v>
      </x:c>
      <x:c r="AJ327" s="246" t="n">
        <x:f>H327-$B$4*AA327</x:f>
        <x:v>-2.9801335098855954</x:v>
      </x:c>
      <x:c r="AK327" s="246" t="n">
        <x:f>I327-$B$4*AB327</x:f>
        <x:v>-1.552746421120309</x:v>
      </x:c>
      <x:c r="AL327" s="246" t="n">
        <x:f>J327-$B$4*AC327</x:f>
        <x:v>2.783496601592901</x:v>
      </x:c>
      <x:c r="AM327" s="246" t="n">
        <x:f>K327-$B$4*AD327</x:f>
        <x:v>-2.7381214768024895</x:v>
      </x:c>
      <x:c r="AN327" s="246" t="n">
        <x:f>L327-$B$4*AE327</x:f>
        <x:v>1.6233746176286883</x:v>
      </x:c>
      <x:c r="AO327" s="246" t="n">
        <x:f>M327-$B$4*AF327</x:f>
        <x:v>3.1486719379918773</x:v>
      </x:c>
      <x:c r="AP327" s="246" t="n">
        <x:f>N327-$B$4*AG327</x:f>
        <x:v>-2.8767062870882603</x:v>
      </x:c>
      <x:c r="AQ327" s="246" t="n">
        <x:f>O327-$B$4*AH327</x:f>
        <x:v>1.4036275581599431</x:v>
      </x:c>
      <x:c r="AR327" s="182" t="n">
        <x:f>IF(U327&gt;=$B$5,1,0)</x:f>
        <x:v>1</x:v>
      </x:c>
      <x:c r="AS327" s="182" t="n">
        <x:f>IF(AR327=F327,1,0)</x:f>
        <x:v>1</x:v>
      </x:c>
      <x:c r="AT327" s="252" t="n">
        <x:f>ABS(F327-U327)</x:f>
        <x:v>0.35333319886927006</x:v>
      </x:c>
    </x:row>
    <x:row r="328">
      <x:c r="A328" s="114" t="n">
        <x:v>312</x:v>
      </x:c>
      <x:c r="B328" s="114" t="n">
        <x:v>78</x:v>
      </x:c>
      <x:c r="C328" s="114" t="n">
        <x:v>4</x:v>
      </x:c>
      <x:c r="D328" s="168" t="n">
        <x:f>$I$8</x:f>
        <x:v>1</x:v>
      </x:c>
      <x:c r="E328" s="168" t="n">
        <x:f>$J$8</x:f>
        <x:v>1</x:v>
      </x:c>
      <x:c r="F328" s="168" t="n">
        <x:f>$K$8</x:f>
        <x:v>0</x:v>
      </x:c>
      <x:c r="G328" s="242" t="n">
        <x:f>AI327</x:f>
        <x:v>2.562752745315418</x:v>
      </x:c>
      <x:c r="H328" s="242" t="n">
        <x:f>AJ327</x:f>
        <x:v>-2.9801335098855954</x:v>
      </x:c>
      <x:c r="I328" s="242" t="n">
        <x:f>AK327</x:f>
        <x:v>-1.552746421120309</x:v>
      </x:c>
      <x:c r="J328" s="242" t="n">
        <x:f>AL327</x:f>
        <x:v>2.783496601592901</x:v>
      </x:c>
      <x:c r="K328" s="242" t="n">
        <x:f>AM327</x:f>
        <x:v>-2.7381214768024895</x:v>
      </x:c>
      <x:c r="L328" s="242" t="n">
        <x:f>AN327</x:f>
        <x:v>1.6233746176286883</x:v>
      </x:c>
      <x:c r="M328" s="242" t="n">
        <x:f>AO327</x:f>
        <x:v>3.1486719379918773</x:v>
      </x:c>
      <x:c r="N328" s="242" t="n">
        <x:f>AP327</x:f>
        <x:v>-2.8767062870882603</x:v>
      </x:c>
      <x:c r="O328" s="242" t="n">
        <x:f>AQ327</x:f>
        <x:v>1.4036275581599431</x:v>
      </x:c>
      <x:c r="P328" s="243" t="n">
        <x:f>D328*G328+E328*H328+I328</x:f>
        <x:v>-1.9701271856904865</x:v>
      </x:c>
      <x:c r="Q328" s="243" t="n">
        <x:f>1/(1+EXP(-P328))</x:f>
        <x:v>0.12237522648354689</x:v>
      </x:c>
      <x:c r="R328" s="243" t="n">
        <x:f>D328*J328+E328*K328+L328</x:f>
        <x:v>1.6687497424190996</x:v>
      </x:c>
      <x:c r="S328" s="243" t="n">
        <x:f>1/(1+EXP(-R328))</x:f>
        <x:v>0.8414090581691166</x:v>
      </x:c>
      <x:c r="T328" s="243" t="n">
        <x:f>Q328*M328+S328*N328+O328</x:f>
        <x:v>-0.6315397279540218</x:v>
      </x:c>
      <x:c r="U328" s="243" t="n">
        <x:f>1/(1+EXP(-T328))</x:f>
        <x:v>0.3471614911908305</x:v>
      </x:c>
      <x:c r="V328" s="243" t="n">
        <x:f>0.5*(F328-U328)^2</x:f>
        <x:v>0.06026055048292055</x:v>
      </x:c>
      <x:c r="W328" s="244" t="n">
        <x:f>(U328-F328)*U328*(1-U328)</x:f>
        <x:v>0.07868081583457906</x:v>
      </x:c>
      <x:c r="X328" s="244" t="n">
        <x:f>W328*M328*Q328*(1-Q328)</x:f>
        <x:v>0.02660716792441333</x:v>
      </x:c>
      <x:c r="Y328" s="244" t="n">
        <x:f>W328*N328*S328*(1-S328)</x:f>
        <x:v>-0.03020298996217036</x:v>
      </x:c>
      <x:c r="Z328" s="245" t="n">
        <x:f>X328*D328</x:f>
        <x:v>0.02660716792441333</x:v>
      </x:c>
      <x:c r="AA328" s="245" t="n">
        <x:f>X328*E328</x:f>
        <x:v>0.02660716792441333</x:v>
      </x:c>
      <x:c r="AB328" s="245" t="n">
        <x:f>X328</x:f>
        <x:v>0.02660716792441333</x:v>
      </x:c>
      <x:c r="AC328" s="245" t="n">
        <x:f>Y328*D328</x:f>
        <x:v>-0.03020298996217036</x:v>
      </x:c>
      <x:c r="AD328" s="245" t="n">
        <x:f>Y328*E328</x:f>
        <x:v>-0.03020298996217036</x:v>
      </x:c>
      <x:c r="AE328" s="245" t="n">
        <x:f>Y328</x:f>
        <x:v>-0.03020298996217036</x:v>
      </x:c>
      <x:c r="AF328" s="245" t="n">
        <x:f>W328*Q328</x:f>
        <x:v>0.009628582657666855</x:v>
      </x:c>
      <x:c r="AG328" s="245" t="n">
        <x:f>W328*S328</x:f>
        <x:v>0.06620275114735089</x:v>
      </x:c>
      <x:c r="AH328" s="245" t="n">
        <x:f>W328</x:f>
        <x:v>0.07868081583457906</x:v>
      </x:c>
      <x:c r="AI328" s="246" t="n">
        <x:f>G328-$B$4*Z328</x:f>
        <x:v>2.5361455773910047</x:v>
      </x:c>
      <x:c r="AJ328" s="246" t="n">
        <x:f>H328-$B$4*AA328</x:f>
        <x:v>-3.0067406778100088</x:v>
      </x:c>
      <x:c r="AK328" s="246" t="n">
        <x:f>I328-$B$4*AB328</x:f>
        <x:v>-1.5793535890447223</x:v>
      </x:c>
      <x:c r="AL328" s="246" t="n">
        <x:f>J328-$B$4*AC328</x:f>
        <x:v>2.8136995915550713</x:v>
      </x:c>
      <x:c r="AM328" s="246" t="n">
        <x:f>K328-$B$4*AD328</x:f>
        <x:v>-2.707918486840319</x:v>
      </x:c>
      <x:c r="AN328" s="246" t="n">
        <x:f>L328-$B$4*AE328</x:f>
        <x:v>1.6535776075908586</x:v>
      </x:c>
      <x:c r="AO328" s="246" t="n">
        <x:f>M328-$B$4*AF328</x:f>
        <x:v>3.1390433553342105</x:v>
      </x:c>
      <x:c r="AP328" s="246" t="n">
        <x:f>N328-$B$4*AG328</x:f>
        <x:v>-2.9429090382356113</x:v>
      </x:c>
      <x:c r="AQ328" s="246" t="n">
        <x:f>O328-$B$4*AH328</x:f>
        <x:v>1.324946742325364</x:v>
      </x:c>
      <x:c r="AR328" s="182" t="n">
        <x:f>IF(U328&gt;=$B$5,1,0)</x:f>
        <x:v>0</x:v>
      </x:c>
      <x:c r="AS328" s="182" t="n">
        <x:f>IF(AR328=F328,1,0)</x:f>
        <x:v>1</x:v>
      </x:c>
      <x:c r="AT328" s="252" t="n">
        <x:f>ABS(F328-U328)</x:f>
        <x:v>0.3471614911908305</x:v>
      </x:c>
    </x:row>
    <x:row r="329">
      <x:c r="A329" s="114" t="n">
        <x:v>313</x:v>
      </x:c>
      <x:c r="B329" s="114" t="n">
        <x:v>79</x:v>
      </x:c>
      <x:c r="C329" s="114" t="n">
        <x:v>1</x:v>
      </x:c>
      <x:c r="D329" s="168" t="n">
        <x:f>$I$5</x:f>
        <x:v>0</x:v>
      </x:c>
      <x:c r="E329" s="168" t="n">
        <x:f>$J$5</x:f>
        <x:v>0</x:v>
      </x:c>
      <x:c r="F329" s="168" t="n">
        <x:f>$K$5</x:f>
        <x:v>0</x:v>
      </x:c>
      <x:c r="G329" s="242" t="n">
        <x:f>AI328</x:f>
        <x:v>2.5361455773910047</x:v>
      </x:c>
      <x:c r="H329" s="242" t="n">
        <x:f>AJ328</x:f>
        <x:v>-3.0067406778100088</x:v>
      </x:c>
      <x:c r="I329" s="242" t="n">
        <x:f>AK328</x:f>
        <x:v>-1.5793535890447223</x:v>
      </x:c>
      <x:c r="J329" s="242" t="n">
        <x:f>AL328</x:f>
        <x:v>2.8136995915550713</x:v>
      </x:c>
      <x:c r="K329" s="242" t="n">
        <x:f>AM328</x:f>
        <x:v>-2.707918486840319</x:v>
      </x:c>
      <x:c r="L329" s="242" t="n">
        <x:f>AN328</x:f>
        <x:v>1.6535776075908586</x:v>
      </x:c>
      <x:c r="M329" s="242" t="n">
        <x:f>AO328</x:f>
        <x:v>3.1390433553342105</x:v>
      </x:c>
      <x:c r="N329" s="242" t="n">
        <x:f>AP328</x:f>
        <x:v>-2.9429090382356113</x:v>
      </x:c>
      <x:c r="O329" s="242" t="n">
        <x:f>AQ328</x:f>
        <x:v>1.324946742325364</x:v>
      </x:c>
      <x:c r="P329" s="243" t="n">
        <x:f>D329*G329+E329*H329+I329</x:f>
        <x:v>-1.5793535890447223</x:v>
      </x:c>
      <x:c r="Q329" s="243" t="n">
        <x:f>1/(1+EXP(-P329))</x:f>
        <x:v>0.17088704905900054</x:v>
      </x:c>
      <x:c r="R329" s="243" t="n">
        <x:f>D329*J329+E329*K329+L329</x:f>
        <x:v>1.6535776075908586</x:v>
      </x:c>
      <x:c r="S329" s="243" t="n">
        <x:f>1/(1+EXP(-R329))</x:f>
        <x:v>0.8393739882685447</x:v>
      </x:c>
      <x:c r="T329" s="243" t="n">
        <x:f>Q329*M329+S329*N329+O329</x:f>
        <x:v>-0.6088326983486811</x:v>
      </x:c>
      <x:c r="U329" s="243" t="n">
        <x:f>1/(1+EXP(-T329))</x:f>
        <x:v>0.35232552116839155</x:v>
      </x:c>
      <x:c r="V329" s="243" t="n">
        <x:f>0.5*(F329-U329)^2</x:f>
        <x:v>0.062066636433289364</x:v>
      </x:c>
      <x:c r="W329" s="244" t="n">
        <x:f>(U329-F329)*U329*(1-U329)</x:f>
        <x:v>0.08039795280952322</x:v>
      </x:c>
      <x:c r="X329" s="244" t="n">
        <x:f>W329*M329*Q329*(1-Q329)</x:f>
        <x:v>0.03575733585535599</x:v>
      </x:c>
      <x:c r="Y329" s="244" t="n">
        <x:f>W329*N329*S329*(1-S329)</x:f>
        <x:v>-0.031900185746546926</x:v>
      </x:c>
      <x:c r="Z329" s="245" t="n">
        <x:f>X329*D329</x:f>
        <x:v>0</x:v>
      </x:c>
      <x:c r="AA329" s="245" t="n">
        <x:f>X329*E329</x:f>
        <x:v>0</x:v>
      </x:c>
      <x:c r="AB329" s="245" t="n">
        <x:f>X329</x:f>
        <x:v>0.03575733585535599</x:v>
      </x:c>
      <x:c r="AC329" s="245" t="n">
        <x:f>Y329*D329</x:f>
        <x:v>0</x:v>
      </x:c>
      <x:c r="AD329" s="245" t="n">
        <x:f>Y329*E329</x:f>
        <x:v>0</x:v>
      </x:c>
      <x:c r="AE329" s="245" t="n">
        <x:f>Y329</x:f>
        <x:v>-0.031900185746546926</x:v>
      </x:c>
      <x:c r="AF329" s="245" t="n">
        <x:f>W329*Q329</x:f>
        <x:v>0.013738968906004205</x:v>
      </x:c>
      <x:c r="AG329" s="245" t="n">
        <x:f>W329*S329</x:f>
        <x:v>0.06748395029835576</x:v>
      </x:c>
      <x:c r="AH329" s="245" t="n">
        <x:f>W329</x:f>
        <x:v>0.08039795280952322</x:v>
      </x:c>
      <x:c r="AI329" s="246" t="n">
        <x:f>G329-$B$4*Z329</x:f>
        <x:v>2.5361455773910047</x:v>
      </x:c>
      <x:c r="AJ329" s="246" t="n">
        <x:f>H329-$B$4*AA329</x:f>
        <x:v>-3.0067406778100088</x:v>
      </x:c>
      <x:c r="AK329" s="246" t="n">
        <x:f>I329-$B$4*AB329</x:f>
        <x:v>-1.6151109249000783</x:v>
      </x:c>
      <x:c r="AL329" s="246" t="n">
        <x:f>J329-$B$4*AC329</x:f>
        <x:v>2.8136995915550713</x:v>
      </x:c>
      <x:c r="AM329" s="246" t="n">
        <x:f>K329-$B$4*AD329</x:f>
        <x:v>-2.707918486840319</x:v>
      </x:c>
      <x:c r="AN329" s="246" t="n">
        <x:f>L329-$B$4*AE329</x:f>
        <x:v>1.6854777933374054</x:v>
      </x:c>
      <x:c r="AO329" s="246" t="n">
        <x:f>M329-$B$4*AF329</x:f>
        <x:v>3.125304386428206</x:v>
      </x:c>
      <x:c r="AP329" s="246" t="n">
        <x:f>N329-$B$4*AG329</x:f>
        <x:v>-3.010392988533967</x:v>
      </x:c>
      <x:c r="AQ329" s="246" t="n">
        <x:f>O329-$B$4*AH329</x:f>
        <x:v>1.2445487895158407</x:v>
      </x:c>
      <x:c r="AR329" s="182" t="n">
        <x:f>IF(U329&gt;=$B$5,1,0)</x:f>
        <x:v>0</x:v>
      </x:c>
      <x:c r="AS329" s="182" t="n">
        <x:f>IF(AR329=F329,1,0)</x:f>
        <x:v>1</x:v>
      </x:c>
      <x:c r="AT329" s="252" t="n">
        <x:f>ABS(F329-U329)</x:f>
        <x:v>0.35232552116839155</x:v>
      </x:c>
    </x:row>
    <x:row r="330">
      <x:c r="A330" s="114" t="n">
        <x:v>314</x:v>
      </x:c>
      <x:c r="B330" s="114" t="n">
        <x:v>79</x:v>
      </x:c>
      <x:c r="C330" s="114" t="n">
        <x:v>2</x:v>
      </x:c>
      <x:c r="D330" s="168" t="n">
        <x:f>$I$6</x:f>
        <x:v>0</x:v>
      </x:c>
      <x:c r="E330" s="168" t="n">
        <x:f>$J$6</x:f>
        <x:v>1</x:v>
      </x:c>
      <x:c r="F330" s="168" t="n">
        <x:f>$K$6</x:f>
        <x:v>1</x:v>
      </x:c>
      <x:c r="G330" s="242" t="n">
        <x:f>AI329</x:f>
        <x:v>2.5361455773910047</x:v>
      </x:c>
      <x:c r="H330" s="242" t="n">
        <x:f>AJ329</x:f>
        <x:v>-3.0067406778100088</x:v>
      </x:c>
      <x:c r="I330" s="242" t="n">
        <x:f>AK329</x:f>
        <x:v>-1.6151109249000783</x:v>
      </x:c>
      <x:c r="J330" s="242" t="n">
        <x:f>AL329</x:f>
        <x:v>2.8136995915550713</x:v>
      </x:c>
      <x:c r="K330" s="242" t="n">
        <x:f>AM329</x:f>
        <x:v>-2.707918486840319</x:v>
      </x:c>
      <x:c r="L330" s="242" t="n">
        <x:f>AN329</x:f>
        <x:v>1.6854777933374054</x:v>
      </x:c>
      <x:c r="M330" s="242" t="n">
        <x:f>AO329</x:f>
        <x:v>3.125304386428206</x:v>
      </x:c>
      <x:c r="N330" s="242" t="n">
        <x:f>AP329</x:f>
        <x:v>-3.010392988533967</x:v>
      </x:c>
      <x:c r="O330" s="242" t="n">
        <x:f>AQ329</x:f>
        <x:v>1.2445487895158407</x:v>
      </x:c>
      <x:c r="P330" s="243" t="n">
        <x:f>D330*G330+E330*H330+I330</x:f>
        <x:v>-4.6218516027100875</x:v>
      </x:c>
      <x:c r="Q330" s="243" t="n">
        <x:f>1/(1+EXP(-P330))</x:f>
        <x:v>0.009738792643827501</x:v>
      </x:c>
      <x:c r="R330" s="243" t="n">
        <x:f>D330*J330+E330*K330+L330</x:f>
        <x:v>-1.0224406935029136</x:v>
      </x:c>
      <x:c r="S330" s="243" t="n">
        <x:f>1/(1+EXP(-R330))</x:f>
        <x:v>0.26455225575596525</x:v>
      </x:c>
      <x:c r="T330" s="243" t="n">
        <x:f>Q330*M330+S330*N330+O330</x:f>
        <x:v>0.478579225055507</x:v>
      </x:c>
      <x:c r="U330" s="243" t="n">
        <x:f>1/(1+EXP(-T330))</x:f>
        <x:v>0.6174123233764187</x:v>
      </x:c>
      <x:c r="V330" s="243" t="n">
        <x:f>0.5*(F330-U330)^2</x:f>
        <x:v>0.073186665152115</x:v>
      </x:c>
      <x:c r="W330" s="244" t="n">
        <x:f>(U330-F330)*U330*(1-U330)</x:f>
        <x:v>-0.0903726979434786</x:v>
      </x:c>
      <x:c r="X330" s="244" t="n">
        <x:f>W330*M330*Q330*(1-Q330)</x:f>
        <x:v>-0.002723857945216542</x:v>
      </x:c>
      <x:c r="Y330" s="244" t="n">
        <x:f>W330*N330*S330*(1-S330)</x:f>
        <x:v>0.052932661436260325</x:v>
      </x:c>
      <x:c r="Z330" s="245" t="n">
        <x:f>X330*D330</x:f>
        <x:v>0</x:v>
      </x:c>
      <x:c r="AA330" s="245" t="n">
        <x:f>X330*E330</x:f>
        <x:v>-0.002723857945216542</x:v>
      </x:c>
      <x:c r="AB330" s="245" t="n">
        <x:f>X330</x:f>
        <x:v>-0.002723857945216542</x:v>
      </x:c>
      <x:c r="AC330" s="245" t="n">
        <x:f>Y330*D330</x:f>
        <x:v>0</x:v>
      </x:c>
      <x:c r="AD330" s="245" t="n">
        <x:f>Y330*E330</x:f>
        <x:v>0.052932661436260325</x:v>
      </x:c>
      <x:c r="AE330" s="245" t="n">
        <x:f>Y330</x:f>
        <x:v>0.052932661436260325</x:v>
      </x:c>
      <x:c r="AF330" s="245" t="n">
        <x:f>W330*Q330</x:f>
        <x:v>-0.0008801209659347941</x:v>
      </x:c>
      <x:c r="AG330" s="245" t="n">
        <x:f>W330*S330</x:f>
        <x:v>-0.023908301099699745</x:v>
      </x:c>
      <x:c r="AH330" s="245" t="n">
        <x:f>W330</x:f>
        <x:v>-0.0903726979434786</x:v>
      </x:c>
      <x:c r="AI330" s="246" t="n">
        <x:f>G330-$B$4*Z330</x:f>
        <x:v>2.5361455773910047</x:v>
      </x:c>
      <x:c r="AJ330" s="246" t="n">
        <x:f>H330-$B$4*AA330</x:f>
        <x:v>-3.004016819864792</x:v>
      </x:c>
      <x:c r="AK330" s="246" t="n">
        <x:f>I330-$B$4*AB330</x:f>
        <x:v>-1.612387066954862</x:v>
      </x:c>
      <x:c r="AL330" s="246" t="n">
        <x:f>J330-$B$4*AC330</x:f>
        <x:v>2.8136995915550713</x:v>
      </x:c>
      <x:c r="AM330" s="246" t="n">
        <x:f>K330-$B$4*AD330</x:f>
        <x:v>-2.760851148276579</x:v>
      </x:c>
      <x:c r="AN330" s="246" t="n">
        <x:f>L330-$B$4*AE330</x:f>
        <x:v>1.632545131901145</x:v>
      </x:c>
      <x:c r="AO330" s="246" t="n">
        <x:f>M330-$B$4*AF330</x:f>
        <x:v>3.1261845073941408</x:v>
      </x:c>
      <x:c r="AP330" s="246" t="n">
        <x:f>N330-$B$4*AG330</x:f>
        <x:v>-2.986484687434267</x:v>
      </x:c>
      <x:c r="AQ330" s="246" t="n">
        <x:f>O330-$B$4*AH330</x:f>
        <x:v>1.3349214874593194</x:v>
      </x:c>
      <x:c r="AR330" s="182" t="n">
        <x:f>IF(U330&gt;=$B$5,1,0)</x:f>
        <x:v>1</x:v>
      </x:c>
      <x:c r="AS330" s="182" t="n">
        <x:f>IF(AR330=F330,1,0)</x:f>
        <x:v>1</x:v>
      </x:c>
      <x:c r="AT330" s="252" t="n">
        <x:f>ABS(F330-U330)</x:f>
        <x:v>0.3825876766235813</x:v>
      </x:c>
    </x:row>
    <x:row r="331">
      <x:c r="A331" s="114" t="n">
        <x:v>315</x:v>
      </x:c>
      <x:c r="B331" s="114" t="n">
        <x:v>79</x:v>
      </x:c>
      <x:c r="C331" s="114" t="n">
        <x:v>3</x:v>
      </x:c>
      <x:c r="D331" s="168" t="n">
        <x:f>$I$7</x:f>
        <x:v>1</x:v>
      </x:c>
      <x:c r="E331" s="168" t="n">
        <x:f>$J$7</x:f>
        <x:v>0</x:v>
      </x:c>
      <x:c r="F331" s="168" t="n">
        <x:f>$K$7</x:f>
        <x:v>1</x:v>
      </x:c>
      <x:c r="G331" s="242" t="n">
        <x:f>AI330</x:f>
        <x:v>2.5361455773910047</x:v>
      </x:c>
      <x:c r="H331" s="242" t="n">
        <x:f>AJ330</x:f>
        <x:v>-3.004016819864792</x:v>
      </x:c>
      <x:c r="I331" s="242" t="n">
        <x:f>AK330</x:f>
        <x:v>-1.612387066954862</x:v>
      </x:c>
      <x:c r="J331" s="242" t="n">
        <x:f>AL330</x:f>
        <x:v>2.8136995915550713</x:v>
      </x:c>
      <x:c r="K331" s="242" t="n">
        <x:f>AM330</x:f>
        <x:v>-2.760851148276579</x:v>
      </x:c>
      <x:c r="L331" s="242" t="n">
        <x:f>AN330</x:f>
        <x:v>1.632545131901145</x:v>
      </x:c>
      <x:c r="M331" s="242" t="n">
        <x:f>AO330</x:f>
        <x:v>3.1261845073941408</x:v>
      </x:c>
      <x:c r="N331" s="242" t="n">
        <x:f>AP330</x:f>
        <x:v>-2.986484687434267</x:v>
      </x:c>
      <x:c r="O331" s="242" t="n">
        <x:f>AQ330</x:f>
        <x:v>1.3349214874593194</x:v>
      </x:c>
      <x:c r="P331" s="243" t="n">
        <x:f>D331*G331+E331*H331+I331</x:f>
        <x:v>0.9237585104361428</x:v>
      </x:c>
      <x:c r="Q331" s="243" t="n">
        <x:f>1/(1+EXP(-P331))</x:f>
        <x:v>0.7158073087419521</x:v>
      </x:c>
      <x:c r="R331" s="243" t="n">
        <x:f>D331*J331+E331*K331+L331</x:f>
        <x:v>4.446244723456216</x:v>
      </x:c>
      <x:c r="S331" s="243" t="n">
        <x:f>1/(1+EXP(-R331))</x:f>
        <x:v>0.9884133192622757</x:v>
      </x:c>
      <x:c r="T331" s="243" t="n">
        <x:f>Q331*M331+S331*N331+O331</x:f>
        <x:v>0.6207859634950401</x:v>
      </x:c>
      <x:c r="U331" s="243" t="n">
        <x:f>1/(1+EXP(-T331))</x:f>
        <x:v>0.6503972825883841</x:v>
      </x:c>
      <x:c r="V331" s="243" t="n">
        <x:f>0.5*(F331-U331)^2</x:f>
        <x:v>0.061111030010793065</x:v>
      </x:c>
      <x:c r="W331" s="244" t="n">
        <x:f>(U331-F331)*U331*(1-U331)</x:f>
        <x:v>-0.079492895710394</x:v>
      </x:c>
      <x:c r="X331" s="244" t="n">
        <x:f>W331*M331*Q331*(1-Q331)</x:f>
        <x:v>-0.05055358478669252</x:v>
      </x:c>
      <x:c r="Y331" s="244" t="n">
        <x:f>W331*N331*S331*(1-S331)</x:f>
        <x:v>0.002718856205637722</x:v>
      </x:c>
      <x:c r="Z331" s="245" t="n">
        <x:f>X331*D331</x:f>
        <x:v>-0.05055358478669252</x:v>
      </x:c>
      <x:c r="AA331" s="245" t="n">
        <x:f>X331*E331</x:f>
        <x:v>0</x:v>
      </x:c>
      <x:c r="AB331" s="245" t="n">
        <x:f>X331</x:f>
        <x:v>-0.05055358478669252</x:v>
      </x:c>
      <x:c r="AC331" s="245" t="n">
        <x:f>Y331*D331</x:f>
        <x:v>0.002718856205637722</x:v>
      </x:c>
      <x:c r="AD331" s="245" t="n">
        <x:f>Y331*E331</x:f>
        <x:v>0</x:v>
      </x:c>
      <x:c r="AE331" s="245" t="n">
        <x:f>Y331</x:f>
        <x:v>0.002718856205637722</x:v>
      </x:c>
      <x:c r="AF331" s="245" t="n">
        <x:f>W331*Q331</x:f>
        <x:v>-0.056901595742561796</x:v>
      </x:c>
      <x:c r="AG331" s="245" t="n">
        <x:f>W331*S331</x:f>
        <x:v>-0.07857183690688045</x:v>
      </x:c>
      <x:c r="AH331" s="245" t="n">
        <x:f>W331</x:f>
        <x:v>-0.079492895710394</x:v>
      </x:c>
      <x:c r="AI331" s="246" t="n">
        <x:f>G331-$B$4*Z331</x:f>
        <x:v>2.5866991621776974</x:v>
      </x:c>
      <x:c r="AJ331" s="246" t="n">
        <x:f>H331-$B$4*AA331</x:f>
        <x:v>-3.004016819864792</x:v>
      </x:c>
      <x:c r="AK331" s="246" t="n">
        <x:f>I331-$B$4*AB331</x:f>
        <x:v>-1.5618334821681694</x:v>
      </x:c>
      <x:c r="AL331" s="246" t="n">
        <x:f>J331-$B$4*AC331</x:f>
        <x:v>2.8109807353494336</x:v>
      </x:c>
      <x:c r="AM331" s="246" t="n">
        <x:f>K331-$B$4*AD331</x:f>
        <x:v>-2.760851148276579</x:v>
      </x:c>
      <x:c r="AN331" s="246" t="n">
        <x:f>L331-$B$4*AE331</x:f>
        <x:v>1.6298262756955073</x:v>
      </x:c>
      <x:c r="AO331" s="246" t="n">
        <x:f>M331-$B$4*AF331</x:f>
        <x:v>3.1830861031367026</x:v>
      </x:c>
      <x:c r="AP331" s="246" t="n">
        <x:f>N331-$B$4*AG331</x:f>
        <x:v>-2.907912850527387</x:v>
      </x:c>
      <x:c r="AQ331" s="246" t="n">
        <x:f>O331-$B$4*AH331</x:f>
        <x:v>1.4144143831697134</x:v>
      </x:c>
      <x:c r="AR331" s="182" t="n">
        <x:f>IF(U331&gt;=$B$5,1,0)</x:f>
        <x:v>1</x:v>
      </x:c>
      <x:c r="AS331" s="182" t="n">
        <x:f>IF(AR331=F331,1,0)</x:f>
        <x:v>1</x:v>
      </x:c>
      <x:c r="AT331" s="252" t="n">
        <x:f>ABS(F331-U331)</x:f>
        <x:v>0.34960271741161586</x:v>
      </x:c>
    </x:row>
    <x:row r="332">
      <x:c r="A332" s="114" t="n">
        <x:v>316</x:v>
      </x:c>
      <x:c r="B332" s="114" t="n">
        <x:v>79</x:v>
      </x:c>
      <x:c r="C332" s="114" t="n">
        <x:v>4</x:v>
      </x:c>
      <x:c r="D332" s="168" t="n">
        <x:f>$I$8</x:f>
        <x:v>1</x:v>
      </x:c>
      <x:c r="E332" s="168" t="n">
        <x:f>$J$8</x:f>
        <x:v>1</x:v>
      </x:c>
      <x:c r="F332" s="168" t="n">
        <x:f>$K$8</x:f>
        <x:v>0</x:v>
      </x:c>
      <x:c r="G332" s="242" t="n">
        <x:f>AI331</x:f>
        <x:v>2.5866991621776974</x:v>
      </x:c>
      <x:c r="H332" s="242" t="n">
        <x:f>AJ331</x:f>
        <x:v>-3.004016819864792</x:v>
      </x:c>
      <x:c r="I332" s="242" t="n">
        <x:f>AK331</x:f>
        <x:v>-1.5618334821681694</x:v>
      </x:c>
      <x:c r="J332" s="242" t="n">
        <x:f>AL331</x:f>
        <x:v>2.8109807353494336</x:v>
      </x:c>
      <x:c r="K332" s="242" t="n">
        <x:f>AM331</x:f>
        <x:v>-2.760851148276579</x:v>
      </x:c>
      <x:c r="L332" s="242" t="n">
        <x:f>AN331</x:f>
        <x:v>1.6298262756955073</x:v>
      </x:c>
      <x:c r="M332" s="242" t="n">
        <x:f>AO331</x:f>
        <x:v>3.1830861031367026</x:v>
      </x:c>
      <x:c r="N332" s="242" t="n">
        <x:f>AP331</x:f>
        <x:v>-2.907912850527387</x:v>
      </x:c>
      <x:c r="O332" s="242" t="n">
        <x:f>AQ331</x:f>
        <x:v>1.4144143831697134</x:v>
      </x:c>
      <x:c r="P332" s="243" t="n">
        <x:f>D332*G332+E332*H332+I332</x:f>
        <x:v>-1.9791511398552641</x:v>
      </x:c>
      <x:c r="Q332" s="243" t="n">
        <x:f>1/(1+EXP(-P332))</x:f>
        <x:v>0.12140935596471114</x:v>
      </x:c>
      <x:c r="R332" s="243" t="n">
        <x:f>D332*J332+E332*K332+L332</x:f>
        <x:v>1.6799558627683617</x:v>
      </x:c>
      <x:c r="S332" s="243" t="n">
        <x:f>1/(1+EXP(-R332))</x:f>
        <x:v>0.8428986865291286</x:v>
      </x:c>
      <x:c r="T332" s="243" t="n">
        <x:f>Q332*M332+S332*N332+O332</x:f>
        <x:v>-0.6502051053189459</x:v>
      </x:c>
      <x:c r="U332" s="243" t="n">
        <x:f>1/(1+EXP(-T332))</x:f>
        <x:v>0.34294331880019086</x:v>
      </x:c>
      <x:c r="V332" s="243" t="n">
        <x:f>0.5*(F332-U332)^2</x:f>
        <x:v>0.05880505995484467</x:v>
      </x:c>
      <x:c r="W332" s="244" t="n">
        <x:f>(U332-F332)*U332*(1-U332)</x:f>
        <x:v>0.07727651506337206</x:v>
      </x:c>
      <x:c r="X332" s="244" t="n">
        <x:f>W332*M332*Q332*(1-Q332)</x:f>
        <x:v>0.026238236638370858</x:v>
      </x:c>
      <x:c r="Y332" s="244" t="n">
        <x:f>W332*N332*S332*(1-S332)</x:f>
        <x:v>-0.02975665489793794</x:v>
      </x:c>
      <x:c r="Z332" s="245" t="n">
        <x:f>X332*D332</x:f>
        <x:v>0.026238236638370858</x:v>
      </x:c>
      <x:c r="AA332" s="245" t="n">
        <x:f>X332*E332</x:f>
        <x:v>0.026238236638370858</x:v>
      </x:c>
      <x:c r="AB332" s="245" t="n">
        <x:f>X332</x:f>
        <x:v>0.026238236638370858</x:v>
      </x:c>
      <x:c r="AC332" s="245" t="n">
        <x:f>Y332*D332</x:f>
        <x:v>-0.02975665489793794</x:v>
      </x:c>
      <x:c r="AD332" s="245" t="n">
        <x:f>Y332*E332</x:f>
        <x:v>-0.02975665489793794</x:v>
      </x:c>
      <x:c r="AE332" s="245" t="n">
        <x:f>Y332</x:f>
        <x:v>-0.02975665489793794</x:v>
      </x:c>
      <x:c r="AF332" s="245" t="n">
        <x:f>W332*Q332</x:f>
        <x:v>0.009382091925041301</x:v>
      </x:c>
      <x:c r="AG332" s="245" t="n">
        <x:f>W332*S332</x:f>
        <x:v>0.06513627304646473</x:v>
      </x:c>
      <x:c r="AH332" s="245" t="n">
        <x:f>W332</x:f>
        <x:v>0.07727651506337206</x:v>
      </x:c>
      <x:c r="AI332" s="246" t="n">
        <x:f>G332-$B$4*Z332</x:f>
        <x:v>2.5604609255393265</x:v>
      </x:c>
      <x:c r="AJ332" s="246" t="n">
        <x:f>H332-$B$4*AA332</x:f>
        <x:v>-3.030255056503163</x:v>
      </x:c>
      <x:c r="AK332" s="246" t="n">
        <x:f>I332-$B$4*AB332</x:f>
        <x:v>-1.5880717188065403</x:v>
      </x:c>
      <x:c r="AL332" s="246" t="n">
        <x:f>J332-$B$4*AC332</x:f>
        <x:v>2.8407373902473716</x:v>
      </x:c>
      <x:c r="AM332" s="246" t="n">
        <x:f>K332-$B$4*AD332</x:f>
        <x:v>-2.731094493378641</x:v>
      </x:c>
      <x:c r="AN332" s="246" t="n">
        <x:f>L332-$B$4*AE332</x:f>
        <x:v>1.6595829305934453</x:v>
      </x:c>
      <x:c r="AO332" s="246" t="n">
        <x:f>M332-$B$4*AF332</x:f>
        <x:v>3.1737040112116612</x:v>
      </x:c>
      <x:c r="AP332" s="246" t="n">
        <x:f>N332-$B$4*AG332</x:f>
        <x:v>-2.9730491235738516</x:v>
      </x:c>
      <x:c r="AQ332" s="246" t="n">
        <x:f>O332-$B$4*AH332</x:f>
        <x:v>1.3371378681063413</x:v>
      </x:c>
      <x:c r="AR332" s="182" t="n">
        <x:f>IF(U332&gt;=$B$5,1,0)</x:f>
        <x:v>0</x:v>
      </x:c>
      <x:c r="AS332" s="182" t="n">
        <x:f>IF(AR332=F332,1,0)</x:f>
        <x:v>1</x:v>
      </x:c>
      <x:c r="AT332" s="252" t="n">
        <x:f>ABS(F332-U332)</x:f>
        <x:v>0.34294331880019086</x:v>
      </x:c>
    </x:row>
    <x:row r="333">
      <x:c r="A333" s="114" t="n">
        <x:v>317</x:v>
      </x:c>
      <x:c r="B333" s="114" t="n">
        <x:v>80</x:v>
      </x:c>
      <x:c r="C333" s="114" t="n">
        <x:v>1</x:v>
      </x:c>
      <x:c r="D333" s="168" t="n">
        <x:f>$I$5</x:f>
        <x:v>0</x:v>
      </x:c>
      <x:c r="E333" s="168" t="n">
        <x:f>$J$5</x:f>
        <x:v>0</x:v>
      </x:c>
      <x:c r="F333" s="168" t="n">
        <x:f>$K$5</x:f>
        <x:v>0</x:v>
      </x:c>
      <x:c r="G333" s="242" t="n">
        <x:f>AI332</x:f>
        <x:v>2.5604609255393265</x:v>
      </x:c>
      <x:c r="H333" s="242" t="n">
        <x:f>AJ332</x:f>
        <x:v>-3.030255056503163</x:v>
      </x:c>
      <x:c r="I333" s="242" t="n">
        <x:f>AK332</x:f>
        <x:v>-1.5880717188065403</x:v>
      </x:c>
      <x:c r="J333" s="242" t="n">
        <x:f>AL332</x:f>
        <x:v>2.8407373902473716</x:v>
      </x:c>
      <x:c r="K333" s="242" t="n">
        <x:f>AM332</x:f>
        <x:v>-2.731094493378641</x:v>
      </x:c>
      <x:c r="L333" s="242" t="n">
        <x:f>AN332</x:f>
        <x:v>1.6595829305934453</x:v>
      </x:c>
      <x:c r="M333" s="242" t="n">
        <x:f>AO332</x:f>
        <x:v>3.1737040112116612</x:v>
      </x:c>
      <x:c r="N333" s="242" t="n">
        <x:f>AP332</x:f>
        <x:v>-2.9730491235738516</x:v>
      </x:c>
      <x:c r="O333" s="242" t="n">
        <x:f>AQ332</x:f>
        <x:v>1.3371378681063413</x:v>
      </x:c>
      <x:c r="P333" s="243" t="n">
        <x:f>D333*G333+E333*H333+I333</x:f>
        <x:v>-1.5880717188065403</x:v>
      </x:c>
      <x:c r="Q333" s="243" t="n">
        <x:f>1/(1+EXP(-P333))</x:f>
        <x:v>0.16965536556809102</x:v>
      </x:c>
      <x:c r="R333" s="243" t="n">
        <x:f>D333*J333+E333*K333+L333</x:f>
        <x:v>1.6595829305934453</x:v>
      </x:c>
      <x:c r="S333" s="243" t="n">
        <x:f>1/(1+EXP(-R333))</x:f>
        <x:v>0.8401820085061193</x:v>
      </x:c>
      <x:c r="T333" s="243" t="n">
        <x:f>Q333*M333+S333*N333+O333</x:f>
        <x:v>-0.6223286016982641</x:v>
      </x:c>
      <x:c r="U333" s="243" t="n">
        <x:f>1/(1+EXP(-T333))</x:f>
        <x:v>0.34925203275425065</x:v>
      </x:c>
      <x:c r="V333" s="243" t="n">
        <x:f>0.5*(F333-U333)^2</x:f>
        <x:v>0.06098849119148809</x:v>
      </x:c>
      <x:c r="W333" s="244" t="n">
        <x:f>(U333-F333)*U333*(1-U333)</x:f>
        <x:v>0.07937627333649233</x:v>
      </x:c>
      <x:c r="X333" s="244" t="n">
        <x:f>W333*M333*Q333*(1-Q333)</x:f>
        <x:v>0.035488129474047475</x:v>
      </x:c>
      <x:c r="Y333" s="244" t="n">
        <x:f>W333*N333*S333*(1-S333)</x:f>
        <x:v>-0.0316877815967022</x:v>
      </x:c>
      <x:c r="Z333" s="245" t="n">
        <x:f>X333*D333</x:f>
        <x:v>0</x:v>
      </x:c>
      <x:c r="AA333" s="245" t="n">
        <x:f>X333*E333</x:f>
        <x:v>0</x:v>
      </x:c>
      <x:c r="AB333" s="245" t="n">
        <x:f>X333</x:f>
        <x:v>0.035488129474047475</x:v>
      </x:c>
      <x:c r="AC333" s="245" t="n">
        <x:f>Y333*D333</x:f>
        <x:v>0</x:v>
      </x:c>
      <x:c r="AD333" s="245" t="n">
        <x:f>Y333*E333</x:f>
        <x:v>0</x:v>
      </x:c>
      <x:c r="AE333" s="245" t="n">
        <x:f>Y333</x:f>
        <x:v>-0.0316877815967022</x:v>
      </x:c>
      <x:c r="AF333" s="245" t="n">
        <x:f>W333*Q333</x:f>
        <x:v>0.013466610670335322</x:v>
      </x:c>
      <x:c r="AG333" s="245" t="n">
        <x:f>W333*S333</x:f>
        <x:v>0.06669051675958486</x:v>
      </x:c>
      <x:c r="AH333" s="245" t="n">
        <x:f>W333</x:f>
        <x:v>0.07937627333649233</x:v>
      </x:c>
      <x:c r="AI333" s="246" t="n">
        <x:f>G333-$B$4*Z333</x:f>
        <x:v>2.5604609255393265</x:v>
      </x:c>
      <x:c r="AJ333" s="246" t="n">
        <x:f>H333-$B$4*AA333</x:f>
        <x:v>-3.030255056503163</x:v>
      </x:c>
      <x:c r="AK333" s="246" t="n">
        <x:f>I333-$B$4*AB333</x:f>
        <x:v>-1.6235598482805877</x:v>
      </x:c>
      <x:c r="AL333" s="246" t="n">
        <x:f>J333-$B$4*AC333</x:f>
        <x:v>2.8407373902473716</x:v>
      </x:c>
      <x:c r="AM333" s="246" t="n">
        <x:f>K333-$B$4*AD333</x:f>
        <x:v>-2.731094493378641</x:v>
      </x:c>
      <x:c r="AN333" s="246" t="n">
        <x:f>L333-$B$4*AE333</x:f>
        <x:v>1.6912707121901476</x:v>
      </x:c>
      <x:c r="AO333" s="246" t="n">
        <x:f>M333-$B$4*AF333</x:f>
        <x:v>3.160237400541326</x:v>
      </x:c>
      <x:c r="AP333" s="246" t="n">
        <x:f>N333-$B$4*AG333</x:f>
        <x:v>-3.0397396403334365</x:v>
      </x:c>
      <x:c r="AQ333" s="246" t="n">
        <x:f>O333-$B$4*AH333</x:f>
        <x:v>1.2577615947698488</x:v>
      </x:c>
      <x:c r="AR333" s="182" t="n">
        <x:f>IF(U333&gt;=$B$5,1,0)</x:f>
        <x:v>0</x:v>
      </x:c>
      <x:c r="AS333" s="182" t="n">
        <x:f>IF(AR333=F333,1,0)</x:f>
        <x:v>1</x:v>
      </x:c>
      <x:c r="AT333" s="252" t="n">
        <x:f>ABS(F333-U333)</x:f>
        <x:v>0.34925203275425065</x:v>
      </x:c>
    </x:row>
    <x:row r="334">
      <x:c r="A334" s="114" t="n">
        <x:v>318</x:v>
      </x:c>
      <x:c r="B334" s="114" t="n">
        <x:v>80</x:v>
      </x:c>
      <x:c r="C334" s="114" t="n">
        <x:v>2</x:v>
      </x:c>
      <x:c r="D334" s="168" t="n">
        <x:f>$I$6</x:f>
        <x:v>0</x:v>
      </x:c>
      <x:c r="E334" s="168" t="n">
        <x:f>$J$6</x:f>
        <x:v>1</x:v>
      </x:c>
      <x:c r="F334" s="168" t="n">
        <x:f>$K$6</x:f>
        <x:v>1</x:v>
      </x:c>
      <x:c r="G334" s="242" t="n">
        <x:f>AI333</x:f>
        <x:v>2.5604609255393265</x:v>
      </x:c>
      <x:c r="H334" s="242" t="n">
        <x:f>AJ333</x:f>
        <x:v>-3.030255056503163</x:v>
      </x:c>
      <x:c r="I334" s="242" t="n">
        <x:f>AK333</x:f>
        <x:v>-1.6235598482805877</x:v>
      </x:c>
      <x:c r="J334" s="242" t="n">
        <x:f>AL333</x:f>
        <x:v>2.8407373902473716</x:v>
      </x:c>
      <x:c r="K334" s="242" t="n">
        <x:f>AM333</x:f>
        <x:v>-2.731094493378641</x:v>
      </x:c>
      <x:c r="L334" s="242" t="n">
        <x:f>AN333</x:f>
        <x:v>1.6912707121901476</x:v>
      </x:c>
      <x:c r="M334" s="242" t="n">
        <x:f>AO333</x:f>
        <x:v>3.160237400541326</x:v>
      </x:c>
      <x:c r="N334" s="242" t="n">
        <x:f>AP333</x:f>
        <x:v>-3.0397396403334365</x:v>
      </x:c>
      <x:c r="O334" s="242" t="n">
        <x:f>AQ333</x:f>
        <x:v>1.2577615947698488</x:v>
      </x:c>
      <x:c r="P334" s="243" t="n">
        <x:f>D334*G334+E334*H334+I334</x:f>
        <x:v>-4.653814904783751</x:v>
      </x:c>
      <x:c r="Q334" s="243" t="n">
        <x:f>1/(1+EXP(-P334))</x:f>
        <x:v>0.009435321542715015</x:v>
      </x:c>
      <x:c r="R334" s="243" t="n">
        <x:f>D334*J334+E334*K334+L334</x:f>
        <x:v>-1.0398237811884936</x:v>
      </x:c>
      <x:c r="S334" s="243" t="n">
        <x:f>1/(1+EXP(-R334))</x:f>
        <x:v>0.2611839968853996</x:v>
      </x:c>
      <x:c r="T334" s="243" t="n">
        <x:f>Q334*M334+S334*N334+O334</x:f>
        <x:v>0.49364810204199616</x:v>
      </x:c>
      <x:c r="U334" s="243" t="n">
        <x:f>1/(1+EXP(-T334))</x:f>
        <x:v>0.6209654546142599</x:v>
      </x:c>
      <x:c r="V334" s="243" t="n">
        <x:f>0.5*(F334-U334)^2</x:f>
        <x:v>0.07183359329788734</x:v>
      </x:c>
      <x:c r="W334" s="244" t="n">
        <x:f>(U334-F334)*U334*(1-U334)</x:f>
        <x:v>-0.08921235983759693</x:v>
      </x:c>
      <x:c r="X334" s="244" t="n">
        <x:f>W334*M334*Q334*(1-Q334)</x:f>
        <x:v>-0.002635022201504908</x:v>
      </x:c>
      <x:c r="Y334" s="244" t="n">
        <x:f>W334*N334*S334*(1-S334)</x:f>
        <x:v>0.052329221276204645</x:v>
      </x:c>
      <x:c r="Z334" s="245" t="n">
        <x:f>X334*D334</x:f>
        <x:v>0</x:v>
      </x:c>
      <x:c r="AA334" s="245" t="n">
        <x:f>X334*E334</x:f>
        <x:v>-0.002635022201504908</x:v>
      </x:c>
      <x:c r="AB334" s="245" t="n">
        <x:f>X334</x:f>
        <x:v>-0.002635022201504908</x:v>
      </x:c>
      <x:c r="AC334" s="245" t="n">
        <x:f>Y334*D334</x:f>
        <x:v>0</x:v>
      </x:c>
      <x:c r="AD334" s="245" t="n">
        <x:f>Y334*E334</x:f>
        <x:v>0.052329221276204645</x:v>
      </x:c>
      <x:c r="AE334" s="245" t="n">
        <x:f>Y334</x:f>
        <x:v>0.052329221276204645</x:v>
      </x:c>
      <x:c r="AF334" s="245" t="n">
        <x:f>W334*Q334</x:f>
        <x:v>-0.0008417473006521221</x:v>
      </x:c>
      <x:c r="AG334" s="245" t="n">
        <x:f>W334*S334</x:f>
        <x:v>-0.023300840713962066</x:v>
      </x:c>
      <x:c r="AH334" s="245" t="n">
        <x:f>W334</x:f>
        <x:v>-0.08921235983759693</x:v>
      </x:c>
      <x:c r="AI334" s="246" t="n">
        <x:f>G334-$B$4*Z334</x:f>
        <x:v>2.5604609255393265</x:v>
      </x:c>
      <x:c r="AJ334" s="246" t="n">
        <x:f>H334-$B$4*AA334</x:f>
        <x:v>-3.027620034301658</x:v>
      </x:c>
      <x:c r="AK334" s="246" t="n">
        <x:f>I334-$B$4*AB334</x:f>
        <x:v>-1.620924826079083</x:v>
      </x:c>
      <x:c r="AL334" s="246" t="n">
        <x:f>J334-$B$4*AC334</x:f>
        <x:v>2.8407373902473716</x:v>
      </x:c>
      <x:c r="AM334" s="246" t="n">
        <x:f>K334-$B$4*AD334</x:f>
        <x:v>-2.783423714654846</x:v>
      </x:c>
      <x:c r="AN334" s="246" t="n">
        <x:f>L334-$B$4*AE334</x:f>
        <x:v>1.638941490913943</x:v>
      </x:c>
      <x:c r="AO334" s="246" t="n">
        <x:f>M334-$B$4*AF334</x:f>
        <x:v>3.161079147841978</x:v>
      </x:c>
      <x:c r="AP334" s="246" t="n">
        <x:f>N334-$B$4*AG334</x:f>
        <x:v>-3.0164387996194746</x:v>
      </x:c>
      <x:c r="AQ334" s="246" t="n">
        <x:f>O334-$B$4*AH334</x:f>
        <x:v>1.3469739546074457</x:v>
      </x:c>
      <x:c r="AR334" s="182" t="n">
        <x:f>IF(U334&gt;=$B$5,1,0)</x:f>
        <x:v>1</x:v>
      </x:c>
      <x:c r="AS334" s="182" t="n">
        <x:f>IF(AR334=F334,1,0)</x:f>
        <x:v>1</x:v>
      </x:c>
      <x:c r="AT334" s="252" t="n">
        <x:f>ABS(F334-U334)</x:f>
        <x:v>0.3790345453857401</x:v>
      </x:c>
    </x:row>
    <x:row r="335">
      <x:c r="A335" s="114" t="n">
        <x:v>319</x:v>
      </x:c>
      <x:c r="B335" s="114" t="n">
        <x:v>80</x:v>
      </x:c>
      <x:c r="C335" s="114" t="n">
        <x:v>3</x:v>
      </x:c>
      <x:c r="D335" s="168" t="n">
        <x:f>$I$7</x:f>
        <x:v>1</x:v>
      </x:c>
      <x:c r="E335" s="168" t="n">
        <x:f>$J$7</x:f>
        <x:v>0</x:v>
      </x:c>
      <x:c r="F335" s="168" t="n">
        <x:f>$K$7</x:f>
        <x:v>1</x:v>
      </x:c>
      <x:c r="G335" s="242" t="n">
        <x:f>AI334</x:f>
        <x:v>2.5604609255393265</x:v>
      </x:c>
      <x:c r="H335" s="242" t="n">
        <x:f>AJ334</x:f>
        <x:v>-3.027620034301658</x:v>
      </x:c>
      <x:c r="I335" s="242" t="n">
        <x:f>AK334</x:f>
        <x:v>-1.620924826079083</x:v>
      </x:c>
      <x:c r="J335" s="242" t="n">
        <x:f>AL334</x:f>
        <x:v>2.8407373902473716</x:v>
      </x:c>
      <x:c r="K335" s="242" t="n">
        <x:f>AM334</x:f>
        <x:v>-2.783423714654846</x:v>
      </x:c>
      <x:c r="L335" s="242" t="n">
        <x:f>AN334</x:f>
        <x:v>1.638941490913943</x:v>
      </x:c>
      <x:c r="M335" s="242" t="n">
        <x:f>AO334</x:f>
        <x:v>3.161079147841978</x:v>
      </x:c>
      <x:c r="N335" s="242" t="n">
        <x:f>AP334</x:f>
        <x:v>-3.0164387996194746</x:v>
      </x:c>
      <x:c r="O335" s="242" t="n">
        <x:f>AQ334</x:f>
        <x:v>1.3469739546074457</x:v>
      </x:c>
      <x:c r="P335" s="243" t="n">
        <x:f>D335*G335+E335*H335+I335</x:f>
        <x:v>0.9395360994602435</x:v>
      </x:c>
      <x:c r="Q335" s="243" t="n">
        <x:f>1/(1+EXP(-P335))</x:f>
        <x:v>0.7190059421454923</x:v>
      </x:c>
      <x:c r="R335" s="243" t="n">
        <x:f>D335*J335+E335*K335+L335</x:f>
        <x:v>4.479678881161314</x:v>
      </x:c>
      <x:c r="S335" s="243" t="n">
        <x:f>1/(1+EXP(-R335))</x:f>
        <x:v>0.9887900348586499</x:v>
      </x:c>
      <x:c r="T335" s="243" t="n">
        <x:f>Q335*M335+S335*N335+O335</x:f>
        <x:v>0.6371840196733127</x:v>
      </x:c>
      <x:c r="U335" s="243" t="n">
        <x:f>1/(1+EXP(-T335))</x:f>
        <x:v>0.654116627305522</x:v>
      </x:c>
      <x:c r="V335" s="243" t="n">
        <x:f>0.5*(F335-U335)^2</x:f>
        <x:v>0.05981765375325358</x:v>
      </x:c>
      <x:c r="W335" s="244" t="n">
        <x:f>(U335-F335)*U335*(1-U335)</x:f>
        <x:v>-0.07825544385281547</x:v>
      </x:c>
      <x:c r="X335" s="244" t="n">
        <x:f>W335*M335*Q335*(1-Q335)</x:f>
        <x:v>-0.04997807731863642</x:v>
      </x:c>
      <x:c r="Y335" s="244" t="n">
        <x:f>W335*N335*S335*(1-S335)</x:f>
        <x:v>0.0026164800060307757</x:v>
      </x:c>
      <x:c r="Z335" s="245" t="n">
        <x:f>X335*D335</x:f>
        <x:v>-0.04997807731863642</x:v>
      </x:c>
      <x:c r="AA335" s="245" t="n">
        <x:f>X335*E335</x:f>
        <x:v>0</x:v>
      </x:c>
      <x:c r="AB335" s="245" t="n">
        <x:f>X335</x:f>
        <x:v>-0.04997807731863642</x:v>
      </x:c>
      <x:c r="AC335" s="245" t="n">
        <x:f>Y335*D335</x:f>
        <x:v>0.0026164800060307757</x:v>
      </x:c>
      <x:c r="AD335" s="245" t="n">
        <x:f>Y335*E335</x:f>
        <x:v>0</x:v>
      </x:c>
      <x:c r="AE335" s="245" t="n">
        <x:f>Y335</x:f>
        <x:v>0.0026164800060307757</x:v>
      </x:c>
      <x:c r="AF335" s="245" t="n">
        <x:f>W335*Q335</x:f>
        <x:v>-0.05626612913540726</x:v>
      </x:c>
      <x:c r="AG335" s="245" t="n">
        <x:f>W335*S335</x:f>
        <x:v>-0.07737820305510452</x:v>
      </x:c>
      <x:c r="AH335" s="245" t="n">
        <x:f>W335</x:f>
        <x:v>-0.07825544385281547</x:v>
      </x:c>
      <x:c r="AI335" s="246" t="n">
        <x:f>G335-$B$4*Z335</x:f>
        <x:v>2.6104390028579627</x:v>
      </x:c>
      <x:c r="AJ335" s="246" t="n">
        <x:f>H335-$B$4*AA335</x:f>
        <x:v>-3.027620034301658</x:v>
      </x:c>
      <x:c r="AK335" s="246" t="n">
        <x:f>I335-$B$4*AB335</x:f>
        <x:v>-1.5709467487604465</x:v>
      </x:c>
      <x:c r="AL335" s="246" t="n">
        <x:f>J335-$B$4*AC335</x:f>
        <x:v>2.838120910241341</x:v>
      </x:c>
      <x:c r="AM335" s="246" t="n">
        <x:f>K335-$B$4*AD335</x:f>
        <x:v>-2.783423714654846</x:v>
      </x:c>
      <x:c r="AN335" s="246" t="n">
        <x:f>L335-$B$4*AE335</x:f>
        <x:v>1.6363250109079122</x:v>
      </x:c>
      <x:c r="AO335" s="246" t="n">
        <x:f>M335-$B$4*AF335</x:f>
        <x:v>3.2173452769773854</x:v>
      </x:c>
      <x:c r="AP335" s="246" t="n">
        <x:f>N335-$B$4*AG335</x:f>
        <x:v>-2.93906059656437</x:v>
      </x:c>
      <x:c r="AQ335" s="246" t="n">
        <x:f>O335-$B$4*AH335</x:f>
        <x:v>1.425229398460261</x:v>
      </x:c>
      <x:c r="AR335" s="182" t="n">
        <x:f>IF(U335&gt;=$B$5,1,0)</x:f>
        <x:v>1</x:v>
      </x:c>
      <x:c r="AS335" s="182" t="n">
        <x:f>IF(AR335=F335,1,0)</x:f>
        <x:v>1</x:v>
      </x:c>
      <x:c r="AT335" s="252" t="n">
        <x:f>ABS(F335-U335)</x:f>
        <x:v>0.345883372694478</x:v>
      </x:c>
    </x:row>
    <x:row r="336">
      <x:c r="A336" s="114" t="n">
        <x:v>320</x:v>
      </x:c>
      <x:c r="B336" s="114" t="n">
        <x:v>80</x:v>
      </x:c>
      <x:c r="C336" s="114" t="n">
        <x:v>4</x:v>
      </x:c>
      <x:c r="D336" s="168" t="n">
        <x:f>$I$8</x:f>
        <x:v>1</x:v>
      </x:c>
      <x:c r="E336" s="168" t="n">
        <x:f>$J$8</x:f>
        <x:v>1</x:v>
      </x:c>
      <x:c r="F336" s="168" t="n">
        <x:f>$K$8</x:f>
        <x:v>0</x:v>
      </x:c>
      <x:c r="G336" s="242" t="n">
        <x:f>AI335</x:f>
        <x:v>2.6104390028579627</x:v>
      </x:c>
      <x:c r="H336" s="242" t="n">
        <x:f>AJ335</x:f>
        <x:v>-3.027620034301658</x:v>
      </x:c>
      <x:c r="I336" s="242" t="n">
        <x:f>AK335</x:f>
        <x:v>-1.5709467487604465</x:v>
      </x:c>
      <x:c r="J336" s="242" t="n">
        <x:f>AL335</x:f>
        <x:v>2.838120910241341</x:v>
      </x:c>
      <x:c r="K336" s="242" t="n">
        <x:f>AM335</x:f>
        <x:v>-2.783423714654846</x:v>
      </x:c>
      <x:c r="L336" s="242" t="n">
        <x:f>AN335</x:f>
        <x:v>1.6363250109079122</x:v>
      </x:c>
      <x:c r="M336" s="242" t="n">
        <x:f>AO335</x:f>
        <x:v>3.2173452769773854</x:v>
      </x:c>
      <x:c r="N336" s="242" t="n">
        <x:f>AP335</x:f>
        <x:v>-2.93906059656437</x:v>
      </x:c>
      <x:c r="O336" s="242" t="n">
        <x:f>AQ335</x:f>
        <x:v>1.425229398460261</x:v>
      </x:c>
      <x:c r="P336" s="243" t="n">
        <x:f>D336*G336+E336*H336+I336</x:f>
        <x:v>-1.988127780204142</x:v>
      </x:c>
      <x:c r="Q336" s="243" t="n">
        <x:f>1/(1+EXP(-P336))</x:f>
        <x:v>0.12045507510482278</x:v>
      </x:c>
      <x:c r="R336" s="243" t="n">
        <x:f>D336*J336+E336*K336+L336</x:f>
        <x:v>1.6910222064944072</x:v>
      </x:c>
      <x:c r="S336" s="243" t="n">
        <x:f>1/(1+EXP(-R336))</x:f>
        <x:v>0.844358542677312</x:v>
      </x:c>
      <x:c r="T336" s="243" t="n">
        <x:f>Q336*M336+S336*N336+O336</x:f>
        <x:v>-0.668845956718684</x:v>
      </x:c>
      <x:c r="U336" s="243" t="n">
        <x:f>1/(1+EXP(-T336))</x:f>
        <x:v>0.3387552985374708</x:v>
      </x:c>
      <x:c r="V336" s="243" t="n">
        <x:f>0.5*(F336-U336)^2</x:f>
        <x:v>0.057377576143605474</x:v>
      </x:c>
      <x:c r="W336" s="244" t="n">
        <x:f>(U336-F336)*U336*(1-U336)</x:f>
        <x:v>0.07588123641544388</x:v>
      </x:c>
      <x:c r="X336" s="244" t="n">
        <x:f>W336*M336*Q336*(1-Q336)</x:f>
        <x:v>0.025865161782378545</x:v>
      </x:c>
      <x:c r="Y336" s="244" t="n">
        <x:f>W336*N336*S336*(1-S336)</x:f>
        <x:v>-0.02930860374566064</x:v>
      </x:c>
      <x:c r="Z336" s="245" t="n">
        <x:f>X336*D336</x:f>
        <x:v>0.025865161782378545</x:v>
      </x:c>
      <x:c r="AA336" s="245" t="n">
        <x:f>X336*E336</x:f>
        <x:v>0.025865161782378545</x:v>
      </x:c>
      <x:c r="AB336" s="245" t="n">
        <x:f>X336</x:f>
        <x:v>0.025865161782378545</x:v>
      </x:c>
      <x:c r="AC336" s="245" t="n">
        <x:f>Y336*D336</x:f>
        <x:v>-0.02930860374566064</x:v>
      </x:c>
      <x:c r="AD336" s="245" t="n">
        <x:f>Y336*E336</x:f>
        <x:v>-0.02930860374566064</x:v>
      </x:c>
      <x:c r="AE336" s="245" t="n">
        <x:f>Y336</x:f>
        <x:v>-0.02930860374566064</x:v>
      </x:c>
      <x:c r="AF336" s="245" t="n">
        <x:f>W336*Q336</x:f>
        <x:v>0.009140280031469106</x:v>
      </x:c>
      <x:c r="AG336" s="245" t="n">
        <x:f>W336*S336</x:f>
        <x:v>0.06407097019629678</x:v>
      </x:c>
      <x:c r="AH336" s="245" t="n">
        <x:f>W336</x:f>
        <x:v>0.07588123641544388</x:v>
      </x:c>
      <x:c r="AI336" s="246" t="n">
        <x:f>G336-$B$4*Z336</x:f>
        <x:v>2.584573841075584</x:v>
      </x:c>
      <x:c r="AJ336" s="246" t="n">
        <x:f>H336-$B$4*AA336</x:f>
        <x:v>-3.053485196084037</x:v>
      </x:c>
      <x:c r="AK336" s="246" t="n">
        <x:f>I336-$B$4*AB336</x:f>
        <x:v>-1.5968119105428251</x:v>
      </x:c>
      <x:c r="AL336" s="246" t="n">
        <x:f>J336-$B$4*AC336</x:f>
        <x:v>2.8674295139870014</x:v>
      </x:c>
      <x:c r="AM336" s="246" t="n">
        <x:f>K336-$B$4*AD336</x:f>
        <x:v>-2.7541151109091855</x:v>
      </x:c>
      <x:c r="AN336" s="246" t="n">
        <x:f>L336-$B$4*AE336</x:f>
        <x:v>1.6656336146535728</x:v>
      </x:c>
      <x:c r="AO336" s="246" t="n">
        <x:f>M336-$B$4*AF336</x:f>
        <x:v>3.2082049969459163</x:v>
      </x:c>
      <x:c r="AP336" s="246" t="n">
        <x:f>N336-$B$4*AG336</x:f>
        <x:v>-3.0031315667606666</x:v>
      </x:c>
      <x:c r="AQ336" s="246" t="n">
        <x:f>O336-$B$4*AH336</x:f>
        <x:v>1.3493481620448171</x:v>
      </x:c>
      <x:c r="AR336" s="182" t="n">
        <x:f>IF(U336&gt;=$B$5,1,0)</x:f>
        <x:v>0</x:v>
      </x:c>
      <x:c r="AS336" s="182" t="n">
        <x:f>IF(AR336=F336,1,0)</x:f>
        <x:v>1</x:v>
      </x:c>
      <x:c r="AT336" s="252" t="n">
        <x:f>ABS(F336-U336)</x:f>
        <x:v>0.3387552985374708</x:v>
      </x:c>
    </x:row>
    <x:row r="337">
      <x:c r="A337" s="114" t="n">
        <x:v>321</x:v>
      </x:c>
      <x:c r="B337" s="114" t="n">
        <x:v>81</x:v>
      </x:c>
      <x:c r="C337" s="114" t="n">
        <x:v>1</x:v>
      </x:c>
      <x:c r="D337" s="168" t="n">
        <x:f>$I$5</x:f>
        <x:v>0</x:v>
      </x:c>
      <x:c r="E337" s="168" t="n">
        <x:f>$J$5</x:f>
        <x:v>0</x:v>
      </x:c>
      <x:c r="F337" s="168" t="n">
        <x:f>$K$5</x:f>
        <x:v>0</x:v>
      </x:c>
      <x:c r="G337" s="242" t="n">
        <x:f>AI336</x:f>
        <x:v>2.584573841075584</x:v>
      </x:c>
      <x:c r="H337" s="242" t="n">
        <x:f>AJ336</x:f>
        <x:v>-3.053485196084037</x:v>
      </x:c>
      <x:c r="I337" s="242" t="n">
        <x:f>AK336</x:f>
        <x:v>-1.5968119105428251</x:v>
      </x:c>
      <x:c r="J337" s="242" t="n">
        <x:f>AL336</x:f>
        <x:v>2.8674295139870014</x:v>
      </x:c>
      <x:c r="K337" s="242" t="n">
        <x:f>AM336</x:f>
        <x:v>-2.7541151109091855</x:v>
      </x:c>
      <x:c r="L337" s="242" t="n">
        <x:f>AN336</x:f>
        <x:v>1.6656336146535728</x:v>
      </x:c>
      <x:c r="M337" s="242" t="n">
        <x:f>AO336</x:f>
        <x:v>3.2082049969459163</x:v>
      </x:c>
      <x:c r="N337" s="242" t="n">
        <x:f>AP336</x:f>
        <x:v>-3.0031315667606666</x:v>
      </x:c>
      <x:c r="O337" s="242" t="n">
        <x:f>AQ336</x:f>
        <x:v>1.3493481620448171</x:v>
      </x:c>
      <x:c r="P337" s="243" t="n">
        <x:f>D337*G337+E337*H337+I337</x:f>
        <x:v>-1.5968119105428251</x:v>
      </x:c>
      <x:c r="Q337" s="243" t="n">
        <x:f>1/(1+EXP(-P337))</x:f>
        <x:v>0.16842766610699236</x:v>
      </x:c>
      <x:c r="R337" s="243" t="n">
        <x:f>D337*J337+E337*K337+L337</x:f>
        <x:v>1.6656336146535728</x:v>
      </x:c>
      <x:c r="S337" s="243" t="n">
        <x:f>1/(1+EXP(-R337))</x:f>
        <x:v>0.8409928000224323</x:v>
      </x:c>
      <x:c r="T337" s="243" t="n">
        <x:f>Q337*M337+S337*N337+O337</x:f>
        <x:v>-0.6359133830925985</x:v>
      </x:c>
      <x:c r="U337" s="243" t="n">
        <x:f>1/(1+EXP(-T337))</x:f>
        <x:v>0.346170908030695</x:v>
      </x:c>
      <x:c r="V337" s="243" t="n">
        <x:f>0.5*(F337-U337)^2</x:f>
        <x:v>0.05991714878339795</x:v>
      </x:c>
      <x:c r="W337" s="244" t="n">
        <x:f>(U337-F337)*U337*(1-U337)</x:f>
        <x:v>0.07835114996487766</x:v>
      </x:c>
      <x:c r="X337" s="244" t="n">
        <x:f>W337*M337*Q337*(1-Q337)</x:f>
        <x:v>0.03520634566843194</x:v>
      </x:c>
      <x:c r="Y337" s="244" t="n">
        <x:f>W337*N337*S337*(1-S337)</x:f>
        <x:v>-0.03146507720408952</x:v>
      </x:c>
      <x:c r="Z337" s="245" t="n">
        <x:f>X337*D337</x:f>
        <x:v>0</x:v>
      </x:c>
      <x:c r="AA337" s="245" t="n">
        <x:f>X337*E337</x:f>
        <x:v>0</x:v>
      </x:c>
      <x:c r="AB337" s="245" t="n">
        <x:f>X337</x:f>
        <x:v>0.03520634566843194</x:v>
      </x:c>
      <x:c r="AC337" s="245" t="n">
        <x:f>Y337*D337</x:f>
        <x:v>0</x:v>
      </x:c>
      <x:c r="AD337" s="245" t="n">
        <x:f>Y337*E337</x:f>
        <x:v>0</x:v>
      </x:c>
      <x:c r="AE337" s="245" t="n">
        <x:f>Y337</x:f>
        <x:v>-0.03146507720408952</x:v>
      </x:c>
      <x:c r="AF337" s="245" t="n">
        <x:f>W337*Q337</x:f>
        <x:v>0.013196501325383301</x:v>
      </x:c>
      <x:c r="AG337" s="245" t="n">
        <x:f>W337*S337</x:f>
        <x:v>0.06589275299393996</x:v>
      </x:c>
      <x:c r="AH337" s="245" t="n">
        <x:f>W337</x:f>
        <x:v>0.07835114996487766</x:v>
      </x:c>
      <x:c r="AI337" s="246" t="n">
        <x:f>G337-$B$4*Z337</x:f>
        <x:v>2.584573841075584</x:v>
      </x:c>
      <x:c r="AJ337" s="246" t="n">
        <x:f>H337-$B$4*AA337</x:f>
        <x:v>-3.053485196084037</x:v>
      </x:c>
      <x:c r="AK337" s="246" t="n">
        <x:f>I337-$B$4*AB337</x:f>
        <x:v>-1.632018256211257</x:v>
      </x:c>
      <x:c r="AL337" s="246" t="n">
        <x:f>J337-$B$4*AC337</x:f>
        <x:v>2.8674295139870014</x:v>
      </x:c>
      <x:c r="AM337" s="246" t="n">
        <x:f>K337-$B$4*AD337</x:f>
        <x:v>-2.7541151109091855</x:v>
      </x:c>
      <x:c r="AN337" s="246" t="n">
        <x:f>L337-$B$4*AE337</x:f>
        <x:v>1.6970986918576623</x:v>
      </x:c>
      <x:c r="AO337" s="246" t="n">
        <x:f>M337-$B$4*AF337</x:f>
        <x:v>3.195008495620533</x:v>
      </x:c>
      <x:c r="AP337" s="246" t="n">
        <x:f>N337-$B$4*AG337</x:f>
        <x:v>-3.0690243197546065</x:v>
      </x:c>
      <x:c r="AQ337" s="246" t="n">
        <x:f>O337-$B$4*AH337</x:f>
        <x:v>1.2709970120799394</x:v>
      </x:c>
      <x:c r="AR337" s="182" t="n">
        <x:f>IF(U337&gt;=$B$5,1,0)</x:f>
        <x:v>0</x:v>
      </x:c>
      <x:c r="AS337" s="182" t="n">
        <x:f>IF(AR337=F337,1,0)</x:f>
        <x:v>1</x:v>
      </x:c>
      <x:c r="AT337" s="252" t="n">
        <x:f>ABS(F337-U337)</x:f>
        <x:v>0.346170908030695</x:v>
      </x:c>
    </x:row>
    <x:row r="338">
      <x:c r="A338" s="114" t="n">
        <x:v>322</x:v>
      </x:c>
      <x:c r="B338" s="114" t="n">
        <x:v>81</x:v>
      </x:c>
      <x:c r="C338" s="114" t="n">
        <x:v>2</x:v>
      </x:c>
      <x:c r="D338" s="168" t="n">
        <x:f>$I$6</x:f>
        <x:v>0</x:v>
      </x:c>
      <x:c r="E338" s="168" t="n">
        <x:f>$J$6</x:f>
        <x:v>1</x:v>
      </x:c>
      <x:c r="F338" s="168" t="n">
        <x:f>$K$6</x:f>
        <x:v>1</x:v>
      </x:c>
      <x:c r="G338" s="242" t="n">
        <x:f>AI337</x:f>
        <x:v>2.584573841075584</x:v>
      </x:c>
      <x:c r="H338" s="242" t="n">
        <x:f>AJ337</x:f>
        <x:v>-3.053485196084037</x:v>
      </x:c>
      <x:c r="I338" s="242" t="n">
        <x:f>AK337</x:f>
        <x:v>-1.632018256211257</x:v>
      </x:c>
      <x:c r="J338" s="242" t="n">
        <x:f>AL337</x:f>
        <x:v>2.8674295139870014</x:v>
      </x:c>
      <x:c r="K338" s="242" t="n">
        <x:f>AM337</x:f>
        <x:v>-2.7541151109091855</x:v>
      </x:c>
      <x:c r="L338" s="242" t="n">
        <x:f>AN337</x:f>
        <x:v>1.6970986918576623</x:v>
      </x:c>
      <x:c r="M338" s="242" t="n">
        <x:f>AO337</x:f>
        <x:v>3.195008495620533</x:v>
      </x:c>
      <x:c r="N338" s="242" t="n">
        <x:f>AP337</x:f>
        <x:v>-3.0690243197546065</x:v>
      </x:c>
      <x:c r="O338" s="242" t="n">
        <x:f>AQ337</x:f>
        <x:v>1.2709970120799394</x:v>
      </x:c>
      <x:c r="P338" s="243" t="n">
        <x:f>D338*G338+E338*H338+I338</x:f>
        <x:v>-4.685503452295293</x:v>
      </x:c>
      <x:c r="Q338" s="243" t="n">
        <x:f>1/(1+EXP(-P338))</x:f>
        <x:v>0.00914370859730437</x:v>
      </x:c>
      <x:c r="R338" s="243" t="n">
        <x:f>D338*J338+E338*K338+L338</x:f>
        <x:v>-1.0570164190515232</x:v>
      </x:c>
      <x:c r="S338" s="243" t="n">
        <x:f>1/(1+EXP(-R338))</x:f>
        <x:v>0.2578800336183504</x:v>
      </x:c>
      <x:c r="T338" s="243" t="n">
        <x:f>Q338*M338+S338*N338+O338</x:f>
        <x:v>0.5087711439759526</x:v>
      </x:c>
      <x:c r="U338" s="243" t="n">
        <x:f>1/(1+EXP(-T338))</x:f>
        <x:v>0.6245183577780965</x:v>
      </x:c>
      <x:c r="V338" s="243" t="n">
        <x:f>0.5*(F338-U338)^2</x:f>
        <x:v>0.07049323182282877</x:v>
      </x:c>
      <x:c r="W338" s="244" t="n">
        <x:f>(U338-F338)*U338*(1-U338)</x:f>
        <x:v>-0.08804863474492736</x:v>
      </x:c>
      <x:c r="X338" s="244" t="n">
        <x:f>W338*M338*Q338*(1-Q338)</x:f>
        <x:v>-0.0025487526589928274</x:v>
      </x:c>
      <x:c r="Y338" s="244" t="n">
        <x:f>W338*N338*S338*(1-S338)</x:f>
        <x:v>0.051714792994177645</x:v>
      </x:c>
      <x:c r="Z338" s="245" t="n">
        <x:f>X338*D338</x:f>
        <x:v>0</x:v>
      </x:c>
      <x:c r="AA338" s="245" t="n">
        <x:f>X338*E338</x:f>
        <x:v>-0.0025487526589928274</x:v>
      </x:c>
      <x:c r="AB338" s="245" t="n">
        <x:f>X338</x:f>
        <x:v>-0.0025487526589928274</x:v>
      </x:c>
      <x:c r="AC338" s="245" t="n">
        <x:f>Y338*D338</x:f>
        <x:v>0</x:v>
      </x:c>
      <x:c r="AD338" s="245" t="n">
        <x:f>Y338*E338</x:f>
        <x:v>0.051714792994177645</x:v>
      </x:c>
      <x:c r="AE338" s="245" t="n">
        <x:f>Y338</x:f>
        <x:v>0.051714792994177645</x:v>
      </x:c>
      <x:c r="AF338" s="245" t="n">
        <x:f>W338*Q338</x:f>
        <x:v>-0.0008050910584981045</x:v>
      </x:c>
      <x:c r="AG338" s="245" t="n">
        <x:f>W338*S338</x:f>
        <x:v>-0.02270598488807172</x:v>
      </x:c>
      <x:c r="AH338" s="245" t="n">
        <x:f>W338</x:f>
        <x:v>-0.08804863474492736</x:v>
      </x:c>
      <x:c r="AI338" s="246" t="n">
        <x:f>G338-$B$4*Z338</x:f>
        <x:v>2.584573841075584</x:v>
      </x:c>
      <x:c r="AJ338" s="246" t="n">
        <x:f>H338-$B$4*AA338</x:f>
        <x:v>-3.050936443425044</x:v>
      </x:c>
      <x:c r="AK338" s="246" t="n">
        <x:f>I338-$B$4*AB338</x:f>
        <x:v>-1.6294695035522642</x:v>
      </x:c>
      <x:c r="AL338" s="246" t="n">
        <x:f>J338-$B$4*AC338</x:f>
        <x:v>2.8674295139870014</x:v>
      </x:c>
      <x:c r="AM338" s="246" t="n">
        <x:f>K338-$B$4*AD338</x:f>
        <x:v>-2.805829903903363</x:v>
      </x:c>
      <x:c r="AN338" s="246" t="n">
        <x:f>L338-$B$4*AE338</x:f>
        <x:v>1.6453838988634846</x:v>
      </x:c>
      <x:c r="AO338" s="246" t="n">
        <x:f>M338-$B$4*AF338</x:f>
        <x:v>3.1958135866790314</x:v>
      </x:c>
      <x:c r="AP338" s="246" t="n">
        <x:f>N338-$B$4*AG338</x:f>
        <x:v>-3.046318334866535</x:v>
      </x:c>
      <x:c r="AQ338" s="246" t="n">
        <x:f>O338-$B$4*AH338</x:f>
        <x:v>1.3590456468248668</x:v>
      </x:c>
      <x:c r="AR338" s="182" t="n">
        <x:f>IF(U338&gt;=$B$5,1,0)</x:f>
        <x:v>1</x:v>
      </x:c>
      <x:c r="AS338" s="182" t="n">
        <x:f>IF(AR338=F338,1,0)</x:f>
        <x:v>1</x:v>
      </x:c>
      <x:c r="AT338" s="252" t="n">
        <x:f>ABS(F338-U338)</x:f>
        <x:v>0.3754816422219035</x:v>
      </x:c>
    </x:row>
    <x:row r="339">
      <x:c r="A339" s="114" t="n">
        <x:v>323</x:v>
      </x:c>
      <x:c r="B339" s="114" t="n">
        <x:v>81</x:v>
      </x:c>
      <x:c r="C339" s="114" t="n">
        <x:v>3</x:v>
      </x:c>
      <x:c r="D339" s="168" t="n">
        <x:f>$I$7</x:f>
        <x:v>1</x:v>
      </x:c>
      <x:c r="E339" s="168" t="n">
        <x:f>$J$7</x:f>
        <x:v>0</x:v>
      </x:c>
      <x:c r="F339" s="168" t="n">
        <x:f>$K$7</x:f>
        <x:v>1</x:v>
      </x:c>
      <x:c r="G339" s="242" t="n">
        <x:f>AI338</x:f>
        <x:v>2.584573841075584</x:v>
      </x:c>
      <x:c r="H339" s="242" t="n">
        <x:f>AJ338</x:f>
        <x:v>-3.050936443425044</x:v>
      </x:c>
      <x:c r="I339" s="242" t="n">
        <x:f>AK338</x:f>
        <x:v>-1.6294695035522642</x:v>
      </x:c>
      <x:c r="J339" s="242" t="n">
        <x:f>AL338</x:f>
        <x:v>2.8674295139870014</x:v>
      </x:c>
      <x:c r="K339" s="242" t="n">
        <x:f>AM338</x:f>
        <x:v>-2.805829903903363</x:v>
      </x:c>
      <x:c r="L339" s="242" t="n">
        <x:f>AN338</x:f>
        <x:v>1.6453838988634846</x:v>
      </x:c>
      <x:c r="M339" s="242" t="n">
        <x:f>AO338</x:f>
        <x:v>3.1958135866790314</x:v>
      </x:c>
      <x:c r="N339" s="242" t="n">
        <x:f>AP338</x:f>
        <x:v>-3.046318334866535</x:v>
      </x:c>
      <x:c r="O339" s="242" t="n">
        <x:f>AQ338</x:f>
        <x:v>1.3590456468248668</x:v>
      </x:c>
      <x:c r="P339" s="243" t="n">
        <x:f>D339*G339+E339*H339+I339</x:f>
        <x:v>0.9551043375233199</x:v>
      </x:c>
      <x:c r="Q339" s="243" t="n">
        <x:f>1/(1+EXP(-P339))</x:f>
        <x:v>0.7221405420321277</x:v>
      </x:c>
      <x:c r="R339" s="243" t="n">
        <x:f>D339*J339+E339*K339+L339</x:f>
        <x:v>4.512813412850486</x:v>
      </x:c>
      <x:c r="S339" s="243" t="n">
        <x:f>1/(1+EXP(-R339))</x:f>
        <x:v>0.9891514219814251</x:v>
      </x:c>
      <x:c r="T339" s="243" t="n">
        <x:f>Q339*M339+S339*N339+O339</x:f>
        <x:v>0.6536020898015804</x:v>
      </x:c>
      <x:c r="U339" s="243" t="n">
        <x:f>1/(1+EXP(-T339))</x:f>
        <x:v>0.6578217256783281</x:v>
      </x:c>
      <x:c r="V339" s="243" t="n">
        <x:f>0.5*(F339-U339)^2</x:f>
        <x:v>0.05854298570887868</x:v>
      </x:c>
      <x:c r="W339" s="244" t="n">
        <x:f>(U339-F339)*U339*(1-U339)</x:f>
        <x:v>-0.07702169577075255</x:v>
      </x:c>
      <x:c r="X339" s="244" t="n">
        <x:f>W339*M339*Q339*(1-Q339)</x:f>
        <x:v>-0.049390273005034</x:v>
      </x:c>
      <x:c r="Y339" s="244" t="n">
        <x:f>W339*N339*S339*(1-S339)</x:f>
        <x:v>0.0025178158131501987</x:v>
      </x:c>
      <x:c r="Z339" s="245" t="n">
        <x:f>X339*D339</x:f>
        <x:v>-0.049390273005034</x:v>
      </x:c>
      <x:c r="AA339" s="245" t="n">
        <x:f>X339*E339</x:f>
        <x:v>0</x:v>
      </x:c>
      <x:c r="AB339" s="245" t="n">
        <x:f>X339</x:f>
        <x:v>-0.049390273005034</x:v>
      </x:c>
      <x:c r="AC339" s="245" t="n">
        <x:f>Y339*D339</x:f>
        <x:v>0.0025178158131501987</x:v>
      </x:c>
      <x:c r="AD339" s="245" t="n">
        <x:f>Y339*E339</x:f>
        <x:v>0</x:v>
      </x:c>
      <x:c r="AE339" s="245" t="n">
        <x:f>Y339</x:f>
        <x:v>0.0025178158131501987</x:v>
      </x:c>
      <x:c r="AF339" s="245" t="n">
        <x:f>W339*Q339</x:f>
        <x:v>-0.05562048913212488</x:v>
      </x:c>
      <x:c r="AG339" s="245" t="n">
        <x:f>W339*S339</x:f>
        <x:v>-0.0761861198950606</x:v>
      </x:c>
      <x:c r="AH339" s="245" t="n">
        <x:f>W339</x:f>
        <x:v>-0.07702169577075255</x:v>
      </x:c>
      <x:c r="AI339" s="246" t="n">
        <x:f>G339-$B$4*Z339</x:f>
        <x:v>2.633964114080618</x:v>
      </x:c>
      <x:c r="AJ339" s="246" t="n">
        <x:f>H339-$B$4*AA339</x:f>
        <x:v>-3.050936443425044</x:v>
      </x:c>
      <x:c r="AK339" s="246" t="n">
        <x:f>I339-$B$4*AB339</x:f>
        <x:v>-1.5800792305472302</x:v>
      </x:c>
      <x:c r="AL339" s="246" t="n">
        <x:f>J339-$B$4*AC339</x:f>
        <x:v>2.8649116981738514</x:v>
      </x:c>
      <x:c r="AM339" s="246" t="n">
        <x:f>K339-$B$4*AD339</x:f>
        <x:v>-2.805829903903363</x:v>
      </x:c>
      <x:c r="AN339" s="246" t="n">
        <x:f>L339-$B$4*AE339</x:f>
        <x:v>1.6428660830503343</x:v>
      </x:c>
      <x:c r="AO339" s="246" t="n">
        <x:f>M339-$B$4*AF339</x:f>
        <x:v>3.251434075811156</x:v>
      </x:c>
      <x:c r="AP339" s="246" t="n">
        <x:f>N339-$B$4*AG339</x:f>
        <x:v>-2.9701322149714744</x:v>
      </x:c>
      <x:c r="AQ339" s="246" t="n">
        <x:f>O339-$B$4*AH339</x:f>
        <x:v>1.4360673425956194</x:v>
      </x:c>
      <x:c r="AR339" s="182" t="n">
        <x:f>IF(U339&gt;=$B$5,1,0)</x:f>
        <x:v>1</x:v>
      </x:c>
      <x:c r="AS339" s="182" t="n">
        <x:f>IF(AR339=F339,1,0)</x:f>
        <x:v>1</x:v>
      </x:c>
      <x:c r="AT339" s="252" t="n">
        <x:f>ABS(F339-U339)</x:f>
        <x:v>0.3421782743216719</x:v>
      </x:c>
    </x:row>
    <x:row r="340">
      <x:c r="A340" s="114" t="n">
        <x:v>324</x:v>
      </x:c>
      <x:c r="B340" s="114" t="n">
        <x:v>81</x:v>
      </x:c>
      <x:c r="C340" s="114" t="n">
        <x:v>4</x:v>
      </x:c>
      <x:c r="D340" s="168" t="n">
        <x:f>$I$8</x:f>
        <x:v>1</x:v>
      </x:c>
      <x:c r="E340" s="168" t="n">
        <x:f>$J$8</x:f>
        <x:v>1</x:v>
      </x:c>
      <x:c r="F340" s="168" t="n">
        <x:f>$K$8</x:f>
        <x:v>0</x:v>
      </x:c>
      <x:c r="G340" s="242" t="n">
        <x:f>AI339</x:f>
        <x:v>2.633964114080618</x:v>
      </x:c>
      <x:c r="H340" s="242" t="n">
        <x:f>AJ339</x:f>
        <x:v>-3.050936443425044</x:v>
      </x:c>
      <x:c r="I340" s="242" t="n">
        <x:f>AK339</x:f>
        <x:v>-1.5800792305472302</x:v>
      </x:c>
      <x:c r="J340" s="242" t="n">
        <x:f>AL339</x:f>
        <x:v>2.8649116981738514</x:v>
      </x:c>
      <x:c r="K340" s="242" t="n">
        <x:f>AM339</x:f>
        <x:v>-2.805829903903363</x:v>
      </x:c>
      <x:c r="L340" s="242" t="n">
        <x:f>AN339</x:f>
        <x:v>1.6428660830503343</x:v>
      </x:c>
      <x:c r="M340" s="242" t="n">
        <x:f>AO339</x:f>
        <x:v>3.251434075811156</x:v>
      </x:c>
      <x:c r="N340" s="242" t="n">
        <x:f>AP339</x:f>
        <x:v>-2.9701322149714744</x:v>
      </x:c>
      <x:c r="O340" s="242" t="n">
        <x:f>AQ339</x:f>
        <x:v>1.4360673425956194</x:v>
      </x:c>
      <x:c r="P340" s="243" t="n">
        <x:f>D340*G340+E340*H340+I340</x:f>
        <x:v>-1.997051559891656</x:v>
      </x:c>
      <x:c r="Q340" s="243" t="n">
        <x:f>1/(1+EXP(-P340))</x:f>
        <x:v>0.1195128370553148</x:v>
      </x:c>
      <x:c r="R340" s="243" t="n">
        <x:f>D340*J340+E340*K340+L340</x:f>
        <x:v>1.7019478773208228</x:v>
      </x:c>
      <x:c r="S340" s="243" t="n">
        <x:f>1/(1+EXP(-R340))</x:f>
        <x:v>0.845788967694836</x:v>
      </x:c>
      <x:c r="T340" s="243" t="n">
        <x:f>Q340*M340+S340*N340+O340</x:f>
        <x:v>-0.6874496065237636</x:v>
      </x:c>
      <x:c r="U340" s="243" t="n">
        <x:f>1/(1+EXP(-T340))</x:f>
        <x:v>0.3346006609173515</x:v>
      </x:c>
      <x:c r="V340" s="243" t="n">
        <x:f>0.5*(F340-U340)^2</x:f>
        <x:v>0.055978801143164225</x:v>
      </x:c>
      <x:c r="W340" s="244" t="n">
        <x:f>(U340-F340)*U340*(1-U340)</x:f>
        <x:v>0.07449651456660096</x:v>
      </x:c>
      <x:c r="X340" s="244" t="n">
        <x:f>W340*M340*Q340*(1-Q340)</x:f>
        <x:v>0.025488747297235617</x:v>
      </x:c>
      <x:c r="Y340" s="244" t="n">
        <x:f>W340*N340*S340*(1-S340)</x:f>
        <x:v>-0.028859526197964197</x:v>
      </x:c>
      <x:c r="Z340" s="245" t="n">
        <x:f>X340*D340</x:f>
        <x:v>0.025488747297235617</x:v>
      </x:c>
      <x:c r="AA340" s="245" t="n">
        <x:f>X340*E340</x:f>
        <x:v>0.025488747297235617</x:v>
      </x:c>
      <x:c r="AB340" s="245" t="n">
        <x:f>X340</x:f>
        <x:v>0.025488747297235617</x:v>
      </x:c>
      <x:c r="AC340" s="245" t="n">
        <x:f>Y340*D340</x:f>
        <x:v>-0.028859526197964197</x:v>
      </x:c>
      <x:c r="AD340" s="245" t="n">
        <x:f>Y340*E340</x:f>
        <x:v>-0.028859526197964197</x:v>
      </x:c>
      <x:c r="AE340" s="245" t="n">
        <x:f>Y340</x:f>
        <x:v>-0.028859526197964197</x:v>
      </x:c>
      <x:c r="AF340" s="245" t="n">
        <x:f>W340*Q340</x:f>
        <x:v>0.008903289806587066</x:v>
      </x:c>
      <x:c r="AG340" s="245" t="n">
        <x:f>W340*S340</x:f>
        <x:v>0.06300833015214874</x:v>
      </x:c>
      <x:c r="AH340" s="245" t="n">
        <x:f>W340</x:f>
        <x:v>0.07449651456660096</x:v>
      </x:c>
      <x:c r="AI340" s="246" t="n">
        <x:f>G340-$B$4*Z340</x:f>
        <x:v>2.608475366783382</x:v>
      </x:c>
      <x:c r="AJ340" s="246" t="n">
        <x:f>H340-$B$4*AA340</x:f>
        <x:v>-3.0764251907222797</x:v>
      </x:c>
      <x:c r="AK340" s="246" t="n">
        <x:f>I340-$B$4*AB340</x:f>
        <x:v>-1.6055679778444658</x:v>
      </x:c>
      <x:c r="AL340" s="246" t="n">
        <x:f>J340-$B$4*AC340</x:f>
        <x:v>2.8937712243718154</x:v>
      </x:c>
      <x:c r="AM340" s="246" t="n">
        <x:f>K340-$B$4*AD340</x:f>
        <x:v>-2.776970377705399</x:v>
      </x:c>
      <x:c r="AN340" s="246" t="n">
        <x:f>L340-$B$4*AE340</x:f>
        <x:v>1.6717256092482986</x:v>
      </x:c>
      <x:c r="AO340" s="246" t="n">
        <x:f>M340-$B$4*AF340</x:f>
        <x:v>3.242530786004569</x:v>
      </x:c>
      <x:c r="AP340" s="246" t="n">
        <x:f>N340-$B$4*AG340</x:f>
        <x:v>-3.033140545123623</x:v>
      </x:c>
      <x:c r="AQ340" s="246" t="n">
        <x:f>O340-$B$4*AH340</x:f>
        <x:v>1.3615708280290184</x:v>
      </x:c>
      <x:c r="AR340" s="182" t="n">
        <x:f>IF(U340&gt;=$B$5,1,0)</x:f>
        <x:v>0</x:v>
      </x:c>
      <x:c r="AS340" s="182" t="n">
        <x:f>IF(AR340=F340,1,0)</x:f>
        <x:v>1</x:v>
      </x:c>
      <x:c r="AT340" s="252" t="n">
        <x:f>ABS(F340-U340)</x:f>
        <x:v>0.3346006609173515</x:v>
      </x:c>
    </x:row>
    <x:row r="341">
      <x:c r="A341" s="114" t="n">
        <x:v>325</x:v>
      </x:c>
      <x:c r="B341" s="114" t="n">
        <x:v>82</x:v>
      </x:c>
      <x:c r="C341" s="114" t="n">
        <x:v>1</x:v>
      </x:c>
      <x:c r="D341" s="168" t="n">
        <x:f>$I$5</x:f>
        <x:v>0</x:v>
      </x:c>
      <x:c r="E341" s="168" t="n">
        <x:f>$J$5</x:f>
        <x:v>0</x:v>
      </x:c>
      <x:c r="F341" s="168" t="n">
        <x:f>$K$5</x:f>
        <x:v>0</x:v>
      </x:c>
      <x:c r="G341" s="242" t="n">
        <x:f>AI340</x:f>
        <x:v>2.608475366783382</x:v>
      </x:c>
      <x:c r="H341" s="242" t="n">
        <x:f>AJ340</x:f>
        <x:v>-3.0764251907222797</x:v>
      </x:c>
      <x:c r="I341" s="242" t="n">
        <x:f>AK340</x:f>
        <x:v>-1.6055679778444658</x:v>
      </x:c>
      <x:c r="J341" s="242" t="n">
        <x:f>AL340</x:f>
        <x:v>2.8937712243718154</x:v>
      </x:c>
      <x:c r="K341" s="242" t="n">
        <x:f>AM340</x:f>
        <x:v>-2.776970377705399</x:v>
      </x:c>
      <x:c r="L341" s="242" t="n">
        <x:f>AN340</x:f>
        <x:v>1.6717256092482986</x:v>
      </x:c>
      <x:c r="M341" s="242" t="n">
        <x:f>AO340</x:f>
        <x:v>3.242530786004569</x:v>
      </x:c>
      <x:c r="N341" s="242" t="n">
        <x:f>AP340</x:f>
        <x:v>-3.033140545123623</x:v>
      </x:c>
      <x:c r="O341" s="242" t="n">
        <x:f>AQ340</x:f>
        <x:v>1.3615708280290184</x:v>
      </x:c>
      <x:c r="P341" s="243" t="n">
        <x:f>D341*G341+E341*H341+I341</x:f>
        <x:v>-1.6055679778444658</x:v>
      </x:c>
      <x:c r="Q341" s="243" t="n">
        <x:f>1/(1+EXP(-P341))</x:f>
        <x:v>0.16720485115647954</x:v>
      </x:c>
      <x:c r="R341" s="243" t="n">
        <x:f>D341*J341+E341*K341+L341</x:f>
        <x:v>1.6717256092482986</x:v>
      </x:c>
      <x:c r="S341" s="243" t="n">
        <x:f>1/(1+EXP(-R341))</x:f>
        <x:v>0.8418057540763119</x:v>
      </x:c>
      <x:c r="T341" s="243" t="n">
        <x:f>Q341*M341+S341*N341+O341</x:f>
        <x:v>-0.6495774583340121</x:v>
      </x:c>
      <x:c r="U341" s="243" t="n">
        <x:f>1/(1+EXP(-T341))</x:f>
        <x:v>0.34308476244140657</x:v>
      </x:c>
      <x:c r="V341" s="243" t="n">
        <x:f>0.5*(F341-U341)^2</x:f>
        <x:v>0.05885357710973819</x:v>
      </x:c>
      <x:c r="W341" s="244" t="n">
        <x:f>(U341-F341)*U341*(1-U341)</x:f>
        <x:v>0.0773236231764333</x:v>
      </x:c>
      <x:c r="X341" s="244" t="n">
        <x:f>W341*M341*Q341*(1-Q341)</x:f>
        <x:v>0.03491269417294982</x:v>
      </x:c>
      <x:c r="Y341" s="244" t="n">
        <x:f>W341*N341*S341*(1-S341)</x:f>
        <x:v>-0.031232539852690814</x:v>
      </x:c>
      <x:c r="Z341" s="245" t="n">
        <x:f>X341*D341</x:f>
        <x:v>0</x:v>
      </x:c>
      <x:c r="AA341" s="245" t="n">
        <x:f>X341*E341</x:f>
        <x:v>0</x:v>
      </x:c>
      <x:c r="AB341" s="245" t="n">
        <x:f>X341</x:f>
        <x:v>0.03491269417294982</x:v>
      </x:c>
      <x:c r="AC341" s="245" t="n">
        <x:f>Y341*D341</x:f>
        <x:v>0</x:v>
      </x:c>
      <x:c r="AD341" s="245" t="n">
        <x:f>Y341*E341</x:f>
        <x:v>0</x:v>
      </x:c>
      <x:c r="AE341" s="245" t="n">
        <x:f>Y341</x:f>
        <x:v>-0.031232539852690814</x:v>
      </x:c>
      <x:c r="AF341" s="245" t="n">
        <x:f>W341*Q341</x:f>
        <x:v>0.012928884904095243</x:v>
      </x:c>
      <x:c r="AG341" s="245" t="n">
        <x:f>W341*S341</x:f>
        <x:v>0.06509147091595002</x:v>
      </x:c>
      <x:c r="AH341" s="245" t="n">
        <x:f>W341</x:f>
        <x:v>0.0773236231764333</x:v>
      </x:c>
      <x:c r="AI341" s="246" t="n">
        <x:f>G341-$B$4*Z341</x:f>
        <x:v>2.608475366783382</x:v>
      </x:c>
      <x:c r="AJ341" s="246" t="n">
        <x:f>H341-$B$4*AA341</x:f>
        <x:v>-3.0764251907222797</x:v>
      </x:c>
      <x:c r="AK341" s="246" t="n">
        <x:f>I341-$B$4*AB341</x:f>
        <x:v>-1.6404806720174157</x:v>
      </x:c>
      <x:c r="AL341" s="246" t="n">
        <x:f>J341-$B$4*AC341</x:f>
        <x:v>2.8937712243718154</x:v>
      </x:c>
      <x:c r="AM341" s="246" t="n">
        <x:f>K341-$B$4*AD341</x:f>
        <x:v>-2.776970377705399</x:v>
      </x:c>
      <x:c r="AN341" s="246" t="n">
        <x:f>L341-$B$4*AE341</x:f>
        <x:v>1.7029581491009895</x:v>
      </x:c>
      <x:c r="AO341" s="246" t="n">
        <x:f>M341-$B$4*AF341</x:f>
        <x:v>3.2296019011004735</x:v>
      </x:c>
      <x:c r="AP341" s="246" t="n">
        <x:f>N341-$B$4*AG341</x:f>
        <x:v>-3.098232016039573</x:v>
      </x:c>
      <x:c r="AQ341" s="246" t="n">
        <x:f>O341-$B$4*AH341</x:f>
        <x:v>1.284247204852585</x:v>
      </x:c>
      <x:c r="AR341" s="182" t="n">
        <x:f>IF(U341&gt;=$B$5,1,0)</x:f>
        <x:v>0</x:v>
      </x:c>
      <x:c r="AS341" s="182" t="n">
        <x:f>IF(AR341=F341,1,0)</x:f>
        <x:v>1</x:v>
      </x:c>
      <x:c r="AT341" s="252" t="n">
        <x:f>ABS(F341-U341)</x:f>
        <x:v>0.34308476244140657</x:v>
      </x:c>
    </x:row>
    <x:row r="342">
      <x:c r="A342" s="114" t="n">
        <x:v>326</x:v>
      </x:c>
      <x:c r="B342" s="114" t="n">
        <x:v>82</x:v>
      </x:c>
      <x:c r="C342" s="114" t="n">
        <x:v>2</x:v>
      </x:c>
      <x:c r="D342" s="168" t="n">
        <x:f>$I$6</x:f>
        <x:v>0</x:v>
      </x:c>
      <x:c r="E342" s="168" t="n">
        <x:f>$J$6</x:f>
        <x:v>1</x:v>
      </x:c>
      <x:c r="F342" s="168" t="n">
        <x:f>$K$6</x:f>
        <x:v>1</x:v>
      </x:c>
      <x:c r="G342" s="242" t="n">
        <x:f>AI341</x:f>
        <x:v>2.608475366783382</x:v>
      </x:c>
      <x:c r="H342" s="242" t="n">
        <x:f>AJ341</x:f>
        <x:v>-3.0764251907222797</x:v>
      </x:c>
      <x:c r="I342" s="242" t="n">
        <x:f>AK341</x:f>
        <x:v>-1.6404806720174157</x:v>
      </x:c>
      <x:c r="J342" s="242" t="n">
        <x:f>AL341</x:f>
        <x:v>2.8937712243718154</x:v>
      </x:c>
      <x:c r="K342" s="242" t="n">
        <x:f>AM341</x:f>
        <x:v>-2.776970377705399</x:v>
      </x:c>
      <x:c r="L342" s="242" t="n">
        <x:f>AN341</x:f>
        <x:v>1.7029581491009895</x:v>
      </x:c>
      <x:c r="M342" s="242" t="n">
        <x:f>AO341</x:f>
        <x:v>3.2296019011004735</x:v>
      </x:c>
      <x:c r="N342" s="242" t="n">
        <x:f>AP341</x:f>
        <x:v>-3.098232016039573</x:v>
      </x:c>
      <x:c r="O342" s="242" t="n">
        <x:f>AQ341</x:f>
        <x:v>1.284247204852585</x:v>
      </x:c>
      <x:c r="P342" s="243" t="n">
        <x:f>D342*G342+E342*H342+I342</x:f>
        <x:v>-4.716905862739695</x:v>
      </x:c>
      <x:c r="Q342" s="243" t="n">
        <x:f>1/(1+EXP(-P342))</x:f>
        <x:v>0.008863541124941032</x:v>
      </x:c>
      <x:c r="R342" s="243" t="n">
        <x:f>D342*J342+E342*K342+L342</x:f>
        <x:v>-1.0740122286044094</x:v>
      </x:c>
      <x:c r="S342" s="243" t="n">
        <x:f>1/(1+EXP(-R342))</x:f>
        <x:v>0.25464081832910324</x:v>
      </x:c>
      <x:c r="T342" s="243" t="n">
        <x:f>Q342*M342+S342*N342+O342</x:f>
        <x:v>0.5239365781824327</x:v>
      </x:c>
      <x:c r="U342" s="243" t="n">
        <x:f>1/(1+EXP(-T342))</x:f>
        <x:v>0.6280678082590807</x:v>
      </x:c>
      <x:c r="V342" s="243" t="n">
        <x:f>0.5*(F342-U342)^2</x:f>
        <x:v>0.06916677762660198</x:v>
      </x:c>
      <x:c r="W342" s="244" t="n">
        <x:f>(U342-F342)*U342*(1-U342)</x:f>
        <x:v>-0.08688285285656625</x:v>
      </x:c>
      <x:c r="X342" s="244" t="n">
        <x:f>W342*M342*Q342*(1-Q342)</x:f>
        <x:v>-0.002465038921222537</x:v>
      </x:c>
      <x:c r="Y342" s="244" t="n">
        <x:f>W342*N342*S342*(1-S342)</x:f>
        <x:v>0.05109067461526685</x:v>
      </x:c>
      <x:c r="Z342" s="245" t="n">
        <x:f>X342*D342</x:f>
        <x:v>0</x:v>
      </x:c>
      <x:c r="AA342" s="245" t="n">
        <x:f>X342*E342</x:f>
        <x:v>-0.002465038921222537</x:v>
      </x:c>
      <x:c r="AB342" s="245" t="n">
        <x:f>X342</x:f>
        <x:v>-0.002465038921222537</x:v>
      </x:c>
      <x:c r="AC342" s="245" t="n">
        <x:f>Y342*D342</x:f>
        <x:v>0</x:v>
      </x:c>
      <x:c r="AD342" s="245" t="n">
        <x:f>Y342*E342</x:f>
        <x:v>0.05109067461526685</x:v>
      </x:c>
      <x:c r="AE342" s="245" t="n">
        <x:f>Y342</x:f>
        <x:v>0.05109067461526685</x:v>
      </x:c>
      <x:c r="AF342" s="245" t="n">
        <x:f>W342*Q342</x:f>
        <x:v>-0.0007700897393463753</x:v>
      </x:c>
      <x:c r="AG342" s="245" t="n">
        <x:f>W342*S342</x:f>
        <x:v>-0.022123920750163093</x:v>
      </x:c>
      <x:c r="AH342" s="245" t="n">
        <x:f>W342</x:f>
        <x:v>-0.08688285285656625</x:v>
      </x:c>
      <x:c r="AI342" s="246" t="n">
        <x:f>G342-$B$4*Z342</x:f>
        <x:v>2.608475366783382</x:v>
      </x:c>
      <x:c r="AJ342" s="246" t="n">
        <x:f>H342-$B$4*AA342</x:f>
        <x:v>-3.073960151801057</x:v>
      </x:c>
      <x:c r="AK342" s="246" t="n">
        <x:f>I342-$B$4*AB342</x:f>
        <x:v>-1.638015633096193</x:v>
      </x:c>
      <x:c r="AL342" s="246" t="n">
        <x:f>J342-$B$4*AC342</x:f>
        <x:v>2.8937712243718154</x:v>
      </x:c>
      <x:c r="AM342" s="246" t="n">
        <x:f>K342-$B$4*AD342</x:f>
        <x:v>-2.828061052320666</x:v>
      </x:c>
      <x:c r="AN342" s="246" t="n">
        <x:f>L342-$B$4*AE342</x:f>
        <x:v>1.6518674744857227</x:v>
      </x:c>
      <x:c r="AO342" s="246" t="n">
        <x:f>M342-$B$4*AF342</x:f>
        <x:v>3.23037199083982</x:v>
      </x:c>
      <x:c r="AP342" s="246" t="n">
        <x:f>N342-$B$4*AG342</x:f>
        <x:v>-3.07610809528941</x:v>
      </x:c>
      <x:c r="AQ342" s="246" t="n">
        <x:f>O342-$B$4*AH342</x:f>
        <x:v>1.3711300577091512</x:v>
      </x:c>
      <x:c r="AR342" s="182" t="n">
        <x:f>IF(U342&gt;=$B$5,1,0)</x:f>
        <x:v>1</x:v>
      </x:c>
      <x:c r="AS342" s="182" t="n">
        <x:f>IF(AR342=F342,1,0)</x:f>
        <x:v>1</x:v>
      </x:c>
      <x:c r="AT342" s="252" t="n">
        <x:f>ABS(F342-U342)</x:f>
        <x:v>0.3719321917409193</x:v>
      </x:c>
    </x:row>
    <x:row r="343">
      <x:c r="A343" s="114" t="n">
        <x:v>327</x:v>
      </x:c>
      <x:c r="B343" s="114" t="n">
        <x:v>82</x:v>
      </x:c>
      <x:c r="C343" s="114" t="n">
        <x:v>3</x:v>
      </x:c>
      <x:c r="D343" s="168" t="n">
        <x:f>$I$7</x:f>
        <x:v>1</x:v>
      </x:c>
      <x:c r="E343" s="168" t="n">
        <x:f>$J$7</x:f>
        <x:v>0</x:v>
      </x:c>
      <x:c r="F343" s="168" t="n">
        <x:f>$K$7</x:f>
        <x:v>1</x:v>
      </x:c>
      <x:c r="G343" s="242" t="n">
        <x:f>AI342</x:f>
        <x:v>2.608475366783382</x:v>
      </x:c>
      <x:c r="H343" s="242" t="n">
        <x:f>AJ342</x:f>
        <x:v>-3.073960151801057</x:v>
      </x:c>
      <x:c r="I343" s="242" t="n">
        <x:f>AK342</x:f>
        <x:v>-1.638015633096193</x:v>
      </x:c>
      <x:c r="J343" s="242" t="n">
        <x:f>AL342</x:f>
        <x:v>2.8937712243718154</x:v>
      </x:c>
      <x:c r="K343" s="242" t="n">
        <x:f>AM342</x:f>
        <x:v>-2.828061052320666</x:v>
      </x:c>
      <x:c r="L343" s="242" t="n">
        <x:f>AN342</x:f>
        <x:v>1.6518674744857227</x:v>
      </x:c>
      <x:c r="M343" s="242" t="n">
        <x:f>AO342</x:f>
        <x:v>3.23037199083982</x:v>
      </x:c>
      <x:c r="N343" s="242" t="n">
        <x:f>AP342</x:f>
        <x:v>-3.07610809528941</x:v>
      </x:c>
      <x:c r="O343" s="242" t="n">
        <x:f>AQ342</x:f>
        <x:v>1.3711300577091512</x:v>
      </x:c>
      <x:c r="P343" s="243" t="n">
        <x:f>D343*G343+E343*H343+I343</x:f>
        <x:v>0.9704597336871892</x:v>
      </x:c>
      <x:c r="Q343" s="243" t="n">
        <x:f>1/(1+EXP(-P343))</x:f>
        <x:v>0.7252111229810553</x:v>
      </x:c>
      <x:c r="R343" s="243" t="n">
        <x:f>D343*J343+E343*K343+L343</x:f>
        <x:v>4.545638698857538</x:v>
      </x:c>
      <x:c r="S343" s="243" t="n">
        <x:f>1/(1+EXP(-R343))</x:f>
        <x:v>0.9894980693151207</x:v>
      </x:c>
      <x:c r="T343" s="243" t="n">
        <x:f>Q343*M343+S343*N343+O343</x:f>
        <x:v>0.6700287355391592</x:v>
      </x:c>
      <x:c r="U343" s="243" t="n">
        <x:f>1/(1+EXP(-T343))</x:f>
        <x:v>0.6615095935410419</x:v>
      </x:c>
      <x:c r="V343" s="243" t="n">
        <x:f>0.5*(F343-U343)^2</x:f>
        <x:v>0.057287877632375334</x:v>
      </x:c>
      <x:c r="W343" s="244" t="n">
        <x:f>(U343-F343)*U343*(1-U343)</x:f>
        <x:v>-0.07579296129484311</x:v>
      </x:c>
      <x:c r="X343" s="244" t="n">
        <x:f>W343*M343*Q343*(1-Q343)</x:f>
        <x:v>-0.04879159522224763</x:v>
      </x:c>
      <x:c r="Y343" s="244" t="n">
        <x:f>W343*N343*S343*(1-S343)</x:f>
        <x:v>0.0024227832748821444</x:v>
      </x:c>
      <x:c r="Z343" s="245" t="n">
        <x:f>X343*D343</x:f>
        <x:v>-0.04879159522224763</x:v>
      </x:c>
      <x:c r="AA343" s="245" t="n">
        <x:f>X343*E343</x:f>
        <x:v>0</x:v>
      </x:c>
      <x:c r="AB343" s="245" t="n">
        <x:f>X343</x:f>
        <x:v>-0.04879159522224763</x:v>
      </x:c>
      <x:c r="AC343" s="245" t="n">
        <x:f>Y343*D343</x:f>
        <x:v>0.0024227832748821444</x:v>
      </x:c>
      <x:c r="AD343" s="245" t="n">
        <x:f>Y343*E343</x:f>
        <x:v>0</x:v>
      </x:c>
      <x:c r="AE343" s="245" t="n">
        <x:f>Y343</x:f>
        <x:v>0.0024227832748821444</x:v>
      </x:c>
      <x:c r="AF343" s="245" t="n">
        <x:f>W343*Q343</x:f>
        <x:v>-0.054965898574692834</x:v>
      </x:c>
      <x:c r="AG343" s="245" t="n">
        <x:f>W343*S343</x:f>
        <x:v>-0.07499698886892293</x:v>
      </x:c>
      <x:c r="AH343" s="245" t="n">
        <x:f>W343</x:f>
        <x:v>-0.07579296129484311</x:v>
      </x:c>
      <x:c r="AI343" s="246" t="n">
        <x:f>G343-$B$4*Z343</x:f>
        <x:v>2.6572669620056297</x:v>
      </x:c>
      <x:c r="AJ343" s="246" t="n">
        <x:f>H343-$B$4*AA343</x:f>
        <x:v>-3.073960151801057</x:v>
      </x:c>
      <x:c r="AK343" s="246" t="n">
        <x:f>I343-$B$4*AB343</x:f>
        <x:v>-1.5892240378739455</x:v>
      </x:c>
      <x:c r="AL343" s="246" t="n">
        <x:f>J343-$B$4*AC343</x:f>
        <x:v>2.8913484410969335</x:v>
      </x:c>
      <x:c r="AM343" s="246" t="n">
        <x:f>K343-$B$4*AD343</x:f>
        <x:v>-2.828061052320666</x:v>
      </x:c>
      <x:c r="AN343" s="246" t="n">
        <x:f>L343-$B$4*AE343</x:f>
        <x:v>1.6494446912108405</x:v>
      </x:c>
      <x:c r="AO343" s="246" t="n">
        <x:f>M343-$B$4*AF343</x:f>
        <x:v>3.285337889414513</x:v>
      </x:c>
      <x:c r="AP343" s="246" t="n">
        <x:f>N343-$B$4*AG343</x:f>
        <x:v>-3.0011111064204874</x:v>
      </x:c>
      <x:c r="AQ343" s="246" t="n">
        <x:f>O343-$B$4*AH343</x:f>
        <x:v>1.4469230190039943</x:v>
      </x:c>
      <x:c r="AR343" s="182" t="n">
        <x:f>IF(U343&gt;=$B$5,1,0)</x:f>
        <x:v>1</x:v>
      </x:c>
      <x:c r="AS343" s="182" t="n">
        <x:f>IF(AR343=F343,1,0)</x:f>
        <x:v>1</x:v>
      </x:c>
      <x:c r="AT343" s="252" t="n">
        <x:f>ABS(F343-U343)</x:f>
        <x:v>0.3384904064589581</x:v>
      </x:c>
    </x:row>
    <x:row r="344">
      <x:c r="A344" s="114" t="n">
        <x:v>328</x:v>
      </x:c>
      <x:c r="B344" s="114" t="n">
        <x:v>82</x:v>
      </x:c>
      <x:c r="C344" s="114" t="n">
        <x:v>4</x:v>
      </x:c>
      <x:c r="D344" s="168" t="n">
        <x:f>$I$8</x:f>
        <x:v>1</x:v>
      </x:c>
      <x:c r="E344" s="168" t="n">
        <x:f>$J$8</x:f>
        <x:v>1</x:v>
      </x:c>
      <x:c r="F344" s="168" t="n">
        <x:f>$K$8</x:f>
        <x:v>0</x:v>
      </x:c>
      <x:c r="G344" s="242" t="n">
        <x:f>AI343</x:f>
        <x:v>2.6572669620056297</x:v>
      </x:c>
      <x:c r="H344" s="242" t="n">
        <x:f>AJ343</x:f>
        <x:v>-3.073960151801057</x:v>
      </x:c>
      <x:c r="I344" s="242" t="n">
        <x:f>AK343</x:f>
        <x:v>-1.5892240378739455</x:v>
      </x:c>
      <x:c r="J344" s="242" t="n">
        <x:f>AL343</x:f>
        <x:v>2.8913484410969335</x:v>
      </x:c>
      <x:c r="K344" s="242" t="n">
        <x:f>AM343</x:f>
        <x:v>-2.828061052320666</x:v>
      </x:c>
      <x:c r="L344" s="242" t="n">
        <x:f>AN343</x:f>
        <x:v>1.6494446912108405</x:v>
      </x:c>
      <x:c r="M344" s="242" t="n">
        <x:f>AO343</x:f>
        <x:v>3.285337889414513</x:v>
      </x:c>
      <x:c r="N344" s="242" t="n">
        <x:f>AP343</x:f>
        <x:v>-3.0011111064204874</x:v>
      </x:c>
      <x:c r="O344" s="242" t="n">
        <x:f>AQ343</x:f>
        <x:v>1.4469230190039943</x:v>
      </x:c>
      <x:c r="P344" s="243" t="n">
        <x:f>D344*G344+E344*H344+I344</x:f>
        <x:v>-2.005917227669373</x:v>
      </x:c>
      <x:c r="Q344" s="243" t="n">
        <x:f>1/(1+EXP(-P344))</x:f>
        <x:v>0.11858304961768056</x:v>
      </x:c>
      <x:c r="R344" s="243" t="n">
        <x:f>D344*J344+E344*K344+L344</x:f>
        <x:v>1.712732079987108</x:v>
      </x:c>
      <x:c r="S344" s="243" t="n">
        <x:f>1/(1+EXP(-R344))</x:f>
        <x:v>0.847190311863488</x:v>
      </x:c>
      <x:c r="T344" s="243" t="n">
        <x:f>Q344*M344+S344*N344+O344</x:f>
        <x:v>-0.7060038492300689</x:v>
      </x:c>
      <x:c r="U344" s="243" t="n">
        <x:f>1/(1+EXP(-T344))</x:f>
        <x:v>0.330482443943917</x:v>
      </x:c>
      <x:c r="V344" s="243" t="n">
        <x:f>0.5*(F344-U344)^2</x:f>
        <x:v>0.05460932287757213</x:v>
      </x:c>
      <x:c r="W344" s="244" t="n">
        <x:f>(U344-F344)*U344*(1-U344)</x:f>
        <x:v>0.07312380078173926</x:v>
      </x:c>
      <x:c r="X344" s="244" t="n">
        <x:f>W344*M344*Q344*(1-Q344)</x:f>
        <x:v>0.025109774483498982</x:v>
      </x:c>
      <x:c r="Y344" s="244" t="n">
        <x:f>W344*N344*S344*(1-S344)</x:f>
        <x:v>-0.028410095981305433</x:v>
      </x:c>
      <x:c r="Z344" s="245" t="n">
        <x:f>X344*D344</x:f>
        <x:v>0.025109774483498982</x:v>
      </x:c>
      <x:c r="AA344" s="245" t="n">
        <x:f>X344*E344</x:f>
        <x:v>0.025109774483498982</x:v>
      </x:c>
      <x:c r="AB344" s="245" t="n">
        <x:f>X344</x:f>
        <x:v>0.025109774483498982</x:v>
      </x:c>
      <x:c r="AC344" s="245" t="n">
        <x:f>Y344*D344</x:f>
        <x:v>-0.028410095981305433</x:v>
      </x:c>
      <x:c r="AD344" s="245" t="n">
        <x:f>Y344*E344</x:f>
        <x:v>-0.028410095981305433</x:v>
      </x:c>
      <x:c r="AE344" s="245" t="n">
        <x:f>Y344</x:f>
        <x:v>-0.028410095981305433</x:v>
      </x:c>
      <x:c r="AF344" s="245" t="n">
        <x:f>W344*Q344</x:f>
        <x:v>0.008671243296334374</x:v>
      </x:c>
      <x:c r="AG344" s="245" t="n">
        <x:f>W344*S344</x:f>
        <x:v>0.061949775588925254</x:v>
      </x:c>
      <x:c r="AH344" s="245" t="n">
        <x:f>W344</x:f>
        <x:v>0.07312380078173926</x:v>
      </x:c>
      <x:c r="AI344" s="246" t="n">
        <x:f>G344-$B$4*Z344</x:f>
        <x:v>2.6321571875221306</x:v>
      </x:c>
      <x:c r="AJ344" s="246" t="n">
        <x:f>H344-$B$4*AA344</x:f>
        <x:v>-3.0990699262845562</x:v>
      </x:c>
      <x:c r="AK344" s="246" t="n">
        <x:f>I344-$B$4*AB344</x:f>
        <x:v>-1.6143338123574444</x:v>
      </x:c>
      <x:c r="AL344" s="246" t="n">
        <x:f>J344-$B$4*AC344</x:f>
        <x:v>2.919758537078239</x:v>
      </x:c>
      <x:c r="AM344" s="246" t="n">
        <x:f>K344-$B$4*AD344</x:f>
        <x:v>-2.7996509563393603</x:v>
      </x:c>
      <x:c r="AN344" s="246" t="n">
        <x:f>L344-$B$4*AE344</x:f>
        <x:v>1.6778547871921459</x:v>
      </x:c>
      <x:c r="AO344" s="246" t="n">
        <x:f>M344-$B$4*AF344</x:f>
        <x:v>3.2766666461181786</x:v>
      </x:c>
      <x:c r="AP344" s="246" t="n">
        <x:f>N344-$B$4*AG344</x:f>
        <x:v>-3.0630608820094127</x:v>
      </x:c>
      <x:c r="AQ344" s="246" t="n">
        <x:f>O344-$B$4*AH344</x:f>
        <x:v>1.3737992182222551</x:v>
      </x:c>
      <x:c r="AR344" s="182" t="n">
        <x:f>IF(U344&gt;=$B$5,1,0)</x:f>
        <x:v>0</x:v>
      </x:c>
      <x:c r="AS344" s="182" t="n">
        <x:f>IF(AR344=F344,1,0)</x:f>
        <x:v>1</x:v>
      </x:c>
      <x:c r="AT344" s="252" t="n">
        <x:f>ABS(F344-U344)</x:f>
        <x:v>0.330482443943917</x:v>
      </x:c>
    </x:row>
    <x:row r="345">
      <x:c r="A345" s="114" t="n">
        <x:v>329</x:v>
      </x:c>
      <x:c r="B345" s="114" t="n">
        <x:v>83</x:v>
      </x:c>
      <x:c r="C345" s="114" t="n">
        <x:v>1</x:v>
      </x:c>
      <x:c r="D345" s="168" t="n">
        <x:f>$I$5</x:f>
        <x:v>0</x:v>
      </x:c>
      <x:c r="E345" s="168" t="n">
        <x:f>$J$5</x:f>
        <x:v>0</x:v>
      </x:c>
      <x:c r="F345" s="168" t="n">
        <x:f>$K$5</x:f>
        <x:v>0</x:v>
      </x:c>
      <x:c r="G345" s="242" t="n">
        <x:f>AI344</x:f>
        <x:v>2.6321571875221306</x:v>
      </x:c>
      <x:c r="H345" s="242" t="n">
        <x:f>AJ344</x:f>
        <x:v>-3.0990699262845562</x:v>
      </x:c>
      <x:c r="I345" s="242" t="n">
        <x:f>AK344</x:f>
        <x:v>-1.6143338123574444</x:v>
      </x:c>
      <x:c r="J345" s="242" t="n">
        <x:f>AL344</x:f>
        <x:v>2.919758537078239</x:v>
      </x:c>
      <x:c r="K345" s="242" t="n">
        <x:f>AM344</x:f>
        <x:v>-2.7996509563393603</x:v>
      </x:c>
      <x:c r="L345" s="242" t="n">
        <x:f>AN344</x:f>
        <x:v>1.6778547871921459</x:v>
      </x:c>
      <x:c r="M345" s="242" t="n">
        <x:f>AO344</x:f>
        <x:v>3.2766666461181786</x:v>
      </x:c>
      <x:c r="N345" s="242" t="n">
        <x:f>AP344</x:f>
        <x:v>-3.0630608820094127</x:v>
      </x:c>
      <x:c r="O345" s="242" t="n">
        <x:f>AQ344</x:f>
        <x:v>1.3737992182222551</x:v>
      </x:c>
      <x:c r="P345" s="243" t="n">
        <x:f>D345*G345+E345*H345+I345</x:f>
        <x:v>-1.6143338123574444</x:v>
      </x:c>
      <x:c r="Q345" s="243" t="n">
        <x:f>1/(1+EXP(-P345))</x:f>
        <x:v>0.16598778982660528</x:v>
      </x:c>
      <x:c r="R345" s="243" t="n">
        <x:f>D345*J345+E345*K345+L345</x:f>
        <x:v>1.6778547871921459</x:v>
      </x:c>
      <x:c r="S345" s="243" t="n">
        <x:f>1/(1+EXP(-R345))</x:f>
        <x:v>0.8426202605789319</x:v>
      </x:c>
      <x:c r="T345" s="243" t="n">
        <x:f>Q345*M345+S345*N345+O345</x:f>
        <x:v>-0.6633112857579377</x:v>
      </x:c>
      <x:c r="U345" s="243" t="n">
        <x:f>1/(1+EXP(-T345))</x:f>
        <x:v>0.33999616987324194</x:v>
      </x:c>
      <x:c r="V345" s="243" t="n">
        <x:f>0.5*(F345-U345)^2</x:f>
        <x:v>0.0577986977642372</x:v>
      </x:c>
      <x:c r="W345" s="244" t="n">
        <x:f>(U345-F345)*U345*(1-U345)</x:f>
        <x:v>0.07629472380147088</x:v>
      </x:c>
      <x:c r="X345" s="244" t="n">
        <x:f>W345*M345*Q345*(1-Q345)</x:f>
        <x:v>0.034607905533430405</x:v>
      </x:c>
      <x:c r="Y345" s="244" t="n">
        <x:f>W345*N345*S345*(1-S345)</x:f>
        <x:v>-0.030990662003764154</x:v>
      </x:c>
      <x:c r="Z345" s="245" t="n">
        <x:f>X345*D345</x:f>
        <x:v>0</x:v>
      </x:c>
      <x:c r="AA345" s="245" t="n">
        <x:f>X345*E345</x:f>
        <x:v>0</x:v>
      </x:c>
      <x:c r="AB345" s="245" t="n">
        <x:f>X345</x:f>
        <x:v>0.034607905533430405</x:v>
      </x:c>
      <x:c r="AC345" s="245" t="n">
        <x:f>Y345*D345</x:f>
        <x:v>0</x:v>
      </x:c>
      <x:c r="AD345" s="245" t="n">
        <x:f>Y345*E345</x:f>
        <x:v>0</x:v>
      </x:c>
      <x:c r="AE345" s="245" t="n">
        <x:f>Y345</x:f>
        <x:v>-0.030990662003764154</x:v>
      </x:c>
      <x:c r="AF345" s="245" t="n">
        <x:f>W345*Q345</x:f>
        <x:v>0.012663992579237449</x:v>
      </x:c>
      <x:c r="AG345" s="245" t="n">
        <x:f>W345*S345</x:f>
        <x:v>0.06428748005039303</x:v>
      </x:c>
      <x:c r="AH345" s="245" t="n">
        <x:f>W345</x:f>
        <x:v>0.07629472380147088</x:v>
      </x:c>
      <x:c r="AI345" s="246" t="n">
        <x:f>G345-$B$4*Z345</x:f>
        <x:v>2.6321571875221306</x:v>
      </x:c>
      <x:c r="AJ345" s="246" t="n">
        <x:f>H345-$B$4*AA345</x:f>
        <x:v>-3.0990699262845562</x:v>
      </x:c>
      <x:c r="AK345" s="246" t="n">
        <x:f>I345-$B$4*AB345</x:f>
        <x:v>-1.648941717890875</x:v>
      </x:c>
      <x:c r="AL345" s="246" t="n">
        <x:f>J345-$B$4*AC345</x:f>
        <x:v>2.919758537078239</x:v>
      </x:c>
      <x:c r="AM345" s="246" t="n">
        <x:f>K345-$B$4*AD345</x:f>
        <x:v>-2.7996509563393603</x:v>
      </x:c>
      <x:c r="AN345" s="246" t="n">
        <x:f>L345-$B$4*AE345</x:f>
        <x:v>1.70884544919591</x:v>
      </x:c>
      <x:c r="AO345" s="246" t="n">
        <x:f>M345-$B$4*AF345</x:f>
        <x:v>3.2640026535389413</x:v>
      </x:c>
      <x:c r="AP345" s="246" t="n">
        <x:f>N345-$B$4*AG345</x:f>
        <x:v>-3.1273483620598057</x:v>
      </x:c>
      <x:c r="AQ345" s="246" t="n">
        <x:f>O345-$B$4*AH345</x:f>
        <x:v>1.2975044944207843</x:v>
      </x:c>
      <x:c r="AR345" s="182" t="n">
        <x:f>IF(U345&gt;=$B$5,1,0)</x:f>
        <x:v>0</x:v>
      </x:c>
      <x:c r="AS345" s="182" t="n">
        <x:f>IF(AR345=F345,1,0)</x:f>
        <x:v>1</x:v>
      </x:c>
      <x:c r="AT345" s="252" t="n">
        <x:f>ABS(F345-U345)</x:f>
        <x:v>0.33999616987324194</x:v>
      </x:c>
    </x:row>
    <x:row r="346">
      <x:c r="A346" s="114" t="n">
        <x:v>330</x:v>
      </x:c>
      <x:c r="B346" s="114" t="n">
        <x:v>83</x:v>
      </x:c>
      <x:c r="C346" s="114" t="n">
        <x:v>2</x:v>
      </x:c>
      <x:c r="D346" s="168" t="n">
        <x:f>$I$6</x:f>
        <x:v>0</x:v>
      </x:c>
      <x:c r="E346" s="168" t="n">
        <x:f>$J$6</x:f>
        <x:v>1</x:v>
      </x:c>
      <x:c r="F346" s="168" t="n">
        <x:f>$K$6</x:f>
        <x:v>1</x:v>
      </x:c>
      <x:c r="G346" s="242" t="n">
        <x:f>AI345</x:f>
        <x:v>2.6321571875221306</x:v>
      </x:c>
      <x:c r="H346" s="242" t="n">
        <x:f>AJ345</x:f>
        <x:v>-3.0990699262845562</x:v>
      </x:c>
      <x:c r="I346" s="242" t="n">
        <x:f>AK345</x:f>
        <x:v>-1.648941717890875</x:v>
      </x:c>
      <x:c r="J346" s="242" t="n">
        <x:f>AL345</x:f>
        <x:v>2.919758537078239</x:v>
      </x:c>
      <x:c r="K346" s="242" t="n">
        <x:f>AM345</x:f>
        <x:v>-2.7996509563393603</x:v>
      </x:c>
      <x:c r="L346" s="242" t="n">
        <x:f>AN345</x:f>
        <x:v>1.70884544919591</x:v>
      </x:c>
      <x:c r="M346" s="242" t="n">
        <x:f>AO345</x:f>
        <x:v>3.2640026535389413</x:v>
      </x:c>
      <x:c r="N346" s="242" t="n">
        <x:f>AP345</x:f>
        <x:v>-3.1273483620598057</x:v>
      </x:c>
      <x:c r="O346" s="242" t="n">
        <x:f>AQ345</x:f>
        <x:v>1.2975044944207843</x:v>
      </x:c>
      <x:c r="P346" s="243" t="n">
        <x:f>D346*G346+E346*H346+I346</x:f>
        <x:v>-4.748011644175431</x:v>
      </x:c>
      <x:c r="Q346" s="243" t="n">
        <x:f>1/(1+EXP(-P346))</x:f>
        <x:v>0.00859441074953793</x:v>
      </x:c>
      <x:c r="R346" s="243" t="n">
        <x:f>D346*J346+E346*K346+L346</x:f>
        <x:v>-1.0908055071434504</x:v>
      </x:c>
      <x:c r="S346" s="243" t="n">
        <x:f>1/(1+EXP(-R346))</x:f>
        <x:v>0.25146662649530627</x:v>
      </x:c>
      <x:c r="T346" s="243" t="n">
        <x:f>Q346*M346+S346*N346+O346</x:f>
        <x:v>0.5391329314300787</x:v>
      </x:c>
      <x:c r="U346" s="243" t="n">
        <x:f>1/(1+EXP(-T346))</x:f>
        <x:v>0.6316106924455415</x:v>
      </x:c>
      <x:c r="V346" s="243" t="n">
        <x:f>0.5*(F346-U346)^2</x:f>
        <x:v>0.06785534096022672</x:v>
      </x:c>
      <x:c r="W346" s="244" t="n">
        <x:f>(U346-F346)*U346*(1-U346)</x:f>
        <x:v>-0.08571631778003422</x:v>
      </x:c>
      <x:c r="X346" s="244" t="n">
        <x:f>W346*M346*Q346*(1-Q346)</x:f>
        <x:v>-0.002383864017311609</x:v>
      </x:c>
      <x:c r="Y346" s="244" t="n">
        <x:f>W346*N346*S346*(1-S346)</x:f>
        <x:v>0.05045814623035658</x:v>
      </x:c>
      <x:c r="Z346" s="245" t="n">
        <x:f>X346*D346</x:f>
        <x:v>0</x:v>
      </x:c>
      <x:c r="AA346" s="245" t="n">
        <x:f>X346*E346</x:f>
        <x:v>-0.002383864017311609</x:v>
      </x:c>
      <x:c r="AB346" s="245" t="n">
        <x:f>X346</x:f>
        <x:v>-0.002383864017311609</x:v>
      </x:c>
      <x:c r="AC346" s="245" t="n">
        <x:f>Y346*D346</x:f>
        <x:v>0</x:v>
      </x:c>
      <x:c r="AD346" s="245" t="n">
        <x:f>Y346*E346</x:f>
        <x:v>0.05045814623035658</x:v>
      </x:c>
      <x:c r="AE346" s="245" t="n">
        <x:f>Y346</x:f>
        <x:v>0.05045814623035658</x:v>
      </x:c>
      <x:c r="AF346" s="245" t="n">
        <x:f>W346*Q346</x:f>
        <x:v>-0.0007366812429395353</x:v>
      </x:c>
      <x:c r="AG346" s="245" t="n">
        <x:f>W346*S346</x:f>
        <x:v>-0.021554793267744843</x:v>
      </x:c>
      <x:c r="AH346" s="245" t="n">
        <x:f>W346</x:f>
        <x:v>-0.08571631778003422</x:v>
      </x:c>
      <x:c r="AI346" s="246" t="n">
        <x:f>G346-$B$4*Z346</x:f>
        <x:v>2.6321571875221306</x:v>
      </x:c>
      <x:c r="AJ346" s="246" t="n">
        <x:f>H346-$B$4*AA346</x:f>
        <x:v>-3.0966860622672447</x:v>
      </x:c>
      <x:c r="AK346" s="246" t="n">
        <x:f>I346-$B$4*AB346</x:f>
        <x:v>-1.6465578538735635</x:v>
      </x:c>
      <x:c r="AL346" s="246" t="n">
        <x:f>J346-$B$4*AC346</x:f>
        <x:v>2.919758537078239</x:v>
      </x:c>
      <x:c r="AM346" s="246" t="n">
        <x:f>K346-$B$4*AD346</x:f>
        <x:v>-2.850109102569717</x:v>
      </x:c>
      <x:c r="AN346" s="246" t="n">
        <x:f>L346-$B$4*AE346</x:f>
        <x:v>1.6583873029655534</x:v>
      </x:c>
      <x:c r="AO346" s="246" t="n">
        <x:f>M346-$B$4*AF346</x:f>
        <x:v>3.264739334781881</x:v>
      </x:c>
      <x:c r="AP346" s="246" t="n">
        <x:f>N346-$B$4*AG346</x:f>
        <x:v>-3.105793568792061</x:v>
      </x:c>
      <x:c r="AQ346" s="246" t="n">
        <x:f>O346-$B$4*AH346</x:f>
        <x:v>1.3832208122008185</x:v>
      </x:c>
      <x:c r="AR346" s="182" t="n">
        <x:f>IF(U346&gt;=$B$5,1,0)</x:f>
        <x:v>1</x:v>
      </x:c>
      <x:c r="AS346" s="182" t="n">
        <x:f>IF(AR346=F346,1,0)</x:f>
        <x:v>1</x:v>
      </x:c>
      <x:c r="AT346" s="252" t="n">
        <x:f>ABS(F346-U346)</x:f>
        <x:v>0.36838930755445853</x:v>
      </x:c>
    </x:row>
    <x:row r="347">
      <x:c r="A347" s="114" t="n">
        <x:v>331</x:v>
      </x:c>
      <x:c r="B347" s="114" t="n">
        <x:v>83</x:v>
      </x:c>
      <x:c r="C347" s="114" t="n">
        <x:v>3</x:v>
      </x:c>
      <x:c r="D347" s="168" t="n">
        <x:f>$I$7</x:f>
        <x:v>1</x:v>
      </x:c>
      <x:c r="E347" s="168" t="n">
        <x:f>$J$7</x:f>
        <x:v>0</x:v>
      </x:c>
      <x:c r="F347" s="168" t="n">
        <x:f>$K$7</x:f>
        <x:v>1</x:v>
      </x:c>
      <x:c r="G347" s="242" t="n">
        <x:f>AI346</x:f>
        <x:v>2.6321571875221306</x:v>
      </x:c>
      <x:c r="H347" s="242" t="n">
        <x:f>AJ346</x:f>
        <x:v>-3.0966860622672447</x:v>
      </x:c>
      <x:c r="I347" s="242" t="n">
        <x:f>AK346</x:f>
        <x:v>-1.6465578538735635</x:v>
      </x:c>
      <x:c r="J347" s="242" t="n">
        <x:f>AL346</x:f>
        <x:v>2.919758537078239</x:v>
      </x:c>
      <x:c r="K347" s="242" t="n">
        <x:f>AM346</x:f>
        <x:v>-2.850109102569717</x:v>
      </x:c>
      <x:c r="L347" s="242" t="n">
        <x:f>AN346</x:f>
        <x:v>1.6583873029655534</x:v>
      </x:c>
      <x:c r="M347" s="242" t="n">
        <x:f>AO346</x:f>
        <x:v>3.264739334781881</x:v>
      </x:c>
      <x:c r="N347" s="242" t="n">
        <x:f>AP346</x:f>
        <x:v>-3.105793568792061</x:v>
      </x:c>
      <x:c r="O347" s="242" t="n">
        <x:f>AQ346</x:f>
        <x:v>1.3832208122008185</x:v>
      </x:c>
      <x:c r="P347" s="243" t="n">
        <x:f>D347*G347+E347*H347+I347</x:f>
        <x:v>0.9855993336485671</x:v>
      </x:c>
      <x:c r="Q347" s="243" t="n">
        <x:f>1/(1+EXP(-P347))</x:f>
        <x:v>0.7282178325798482</x:v>
      </x:c>
      <x:c r="R347" s="243" t="n">
        <x:f>D347*J347+E347*K347+L347</x:f>
        <x:v>4.578145840043792</x:v>
      </x:c>
      <x:c r="S347" s="243" t="n">
        <x:f>1/(1+EXP(-R347))</x:f>
        <x:v>0.9898305520247812</x:v>
      </x:c>
      <x:c r="T347" s="243" t="n">
        <x:f>Q347*M347+S347*N347+O347</x:f>
        <x:v>0.6864528518413946</x:v>
      </x:c>
      <x:c r="U347" s="243" t="n">
        <x:f>1/(1+EXP(-T347))</x:f>
        <x:v>0.665177381997423</x:v>
      </x:c>
      <x:c r="V347" s="243" t="n">
        <x:f>0.5*(F347-U347)^2</x:f>
        <x:v>0.05605309276304978</x:v>
      </x:c>
      <x:c r="W347" s="244" t="n">
        <x:f>(U347-F347)*U347*(1-U347)</x:f>
        <x:v>-0.07457049899396831</x:v>
      </x:c>
      <x:c r="X347" s="244" t="n">
        <x:f>W347*M347*Q347*(1-Q347)</x:f>
        <x:v>-0.04818344285946219</x:v>
      </x:c>
      <x:c r="Y347" s="244" t="n">
        <x:f>W347*N347*S347*(1-S347)</x:f>
        <x:v>0.0023312984182148064</x:v>
      </x:c>
      <x:c r="Z347" s="245" t="n">
        <x:f>X347*D347</x:f>
        <x:v>-0.04818344285946219</x:v>
      </x:c>
      <x:c r="AA347" s="245" t="n">
        <x:f>X347*E347</x:f>
        <x:v>0</x:v>
      </x:c>
      <x:c r="AB347" s="245" t="n">
        <x:f>X347</x:f>
        <x:v>-0.04818344285946219</x:v>
      </x:c>
      <x:c r="AC347" s="245" t="n">
        <x:f>Y347*D347</x:f>
        <x:v>0.0023312984182148064</x:v>
      </x:c>
      <x:c r="AD347" s="245" t="n">
        <x:f>Y347*E347</x:f>
        <x:v>0</x:v>
      </x:c>
      <x:c r="AE347" s="245" t="n">
        <x:f>Y347</x:f>
        <x:v>0.0023312984182148064</x:v>
      </x:c>
      <x:c r="AF347" s="245" t="n">
        <x:f>W347*Q347</x:f>
        <x:v>-0.05430356715178535</x:v>
      </x:c>
      <x:c r="AG347" s="245" t="n">
        <x:f>W347*S347</x:f>
        <x:v>-0.07381215818396304</x:v>
      </x:c>
      <x:c r="AH347" s="245" t="n">
        <x:f>W347</x:f>
        <x:v>-0.07457049899396831</x:v>
      </x:c>
      <x:c r="AI347" s="246" t="n">
        <x:f>G347-$B$4*Z347</x:f>
        <x:v>2.680340630381593</x:v>
      </x:c>
      <x:c r="AJ347" s="246" t="n">
        <x:f>H347-$B$4*AA347</x:f>
        <x:v>-3.0966860622672447</x:v>
      </x:c>
      <x:c r="AK347" s="246" t="n">
        <x:f>I347-$B$4*AB347</x:f>
        <x:v>-1.5983744110141012</x:v>
      </x:c>
      <x:c r="AL347" s="246" t="n">
        <x:f>J347-$B$4*AC347</x:f>
        <x:v>2.917427238660024</x:v>
      </x:c>
      <x:c r="AM347" s="246" t="n">
        <x:f>K347-$B$4*AD347</x:f>
        <x:v>-2.850109102569717</x:v>
      </x:c>
      <x:c r="AN347" s="246" t="n">
        <x:f>L347-$B$4*AE347</x:f>
        <x:v>1.6560560045473385</x:v>
      </x:c>
      <x:c r="AO347" s="246" t="n">
        <x:f>M347-$B$4*AF347</x:f>
        <x:v>3.3190429019336665</x:v>
      </x:c>
      <x:c r="AP347" s="246" t="n">
        <x:f>N347-$B$4*AG347</x:f>
        <x:v>-3.031981410608098</x:v>
      </x:c>
      <x:c r="AQ347" s="246" t="n">
        <x:f>O347-$B$4*AH347</x:f>
        <x:v>1.4577913111947869</x:v>
      </x:c>
      <x:c r="AR347" s="182" t="n">
        <x:f>IF(U347&gt;=$B$5,1,0)</x:f>
        <x:v>1</x:v>
      </x:c>
      <x:c r="AS347" s="182" t="n">
        <x:f>IF(AR347=F347,1,0)</x:f>
        <x:v>1</x:v>
      </x:c>
      <x:c r="AT347" s="252" t="n">
        <x:f>ABS(F347-U347)</x:f>
        <x:v>0.33482261800257695</x:v>
      </x:c>
    </x:row>
    <x:row r="348">
      <x:c r="A348" s="114" t="n">
        <x:v>332</x:v>
      </x:c>
      <x:c r="B348" s="114" t="n">
        <x:v>83</x:v>
      </x:c>
      <x:c r="C348" s="114" t="n">
        <x:v>4</x:v>
      </x:c>
      <x:c r="D348" s="168" t="n">
        <x:f>$I$8</x:f>
        <x:v>1</x:v>
      </x:c>
      <x:c r="E348" s="168" t="n">
        <x:f>$J$8</x:f>
        <x:v>1</x:v>
      </x:c>
      <x:c r="F348" s="168" t="n">
        <x:f>$K$8</x:f>
        <x:v>0</x:v>
      </x:c>
      <x:c r="G348" s="242" t="n">
        <x:f>AI347</x:f>
        <x:v>2.680340630381593</x:v>
      </x:c>
      <x:c r="H348" s="242" t="n">
        <x:f>AJ347</x:f>
        <x:v>-3.0966860622672447</x:v>
      </x:c>
      <x:c r="I348" s="242" t="n">
        <x:f>AK347</x:f>
        <x:v>-1.5983744110141012</x:v>
      </x:c>
      <x:c r="J348" s="242" t="n">
        <x:f>AL347</x:f>
        <x:v>2.917427238660024</x:v>
      </x:c>
      <x:c r="K348" s="242" t="n">
        <x:f>AM347</x:f>
        <x:v>-2.850109102569717</x:v>
      </x:c>
      <x:c r="L348" s="242" t="n">
        <x:f>AN347</x:f>
        <x:v>1.6560560045473385</x:v>
      </x:c>
      <x:c r="M348" s="242" t="n">
        <x:f>AO347</x:f>
        <x:v>3.3190429019336665</x:v>
      </x:c>
      <x:c r="N348" s="242" t="n">
        <x:f>AP347</x:f>
        <x:v>-3.031981410608098</x:v>
      </x:c>
      <x:c r="O348" s="242" t="n">
        <x:f>AQ347</x:f>
        <x:v>1.4577913111947869</x:v>
      </x:c>
      <x:c r="P348" s="243" t="n">
        <x:f>D348*G348+E348*H348+I348</x:f>
        <x:v>-2.014719842899753</x:v>
      </x:c>
      <x:c r="Q348" s="243" t="n">
        <x:f>1/(1+EXP(-P348))</x:f>
        <x:v>0.11766607513554195</x:v>
      </x:c>
      <x:c r="R348" s="243" t="n">
        <x:f>D348*J348+E348*K348+L348</x:f>
        <x:v>1.7233741406376457</x:v>
      </x:c>
      <x:c r="S348" s="243" t="n">
        <x:f>1/(1+EXP(-R348))</x:f>
        <x:v>0.848562936637923</x:v>
      </x:c>
      <x:c r="T348" s="243" t="n">
        <x:f>Q348*M348+S348*N348+O348</x:f>
        <x:v>-0.7244969869453992</x:v>
      </x:c>
      <x:c r="U348" s="243" t="n">
        <x:f>1/(1+EXP(-T348))</x:f>
        <x:v>0.3264034854747884</x:v>
      </x:c>
      <x:c r="V348" s="243" t="n">
        <x:f>0.5*(F348-U348)^2</x:f>
        <x:v>0.05326961766504521</x:v>
      </x:c>
      <x:c r="W348" s="244" t="n">
        <x:f>(U348-F348)*U348*(1-U348)</x:f>
        <x:v>0.0717644575785302</x:v>
      </x:c>
      <x:c r="X348" s="244" t="n">
        <x:f>W348*M348*Q348*(1-Q348)</x:f>
        <x:v>0.024728997912839848</x:v>
      </x:c>
      <x:c r="Y348" s="244" t="n">
        <x:f>W348*N348*S348*(1-S348)</x:f>
        <x:v>-0.027960966489506352</x:v>
      </x:c>
      <x:c r="Z348" s="245" t="n">
        <x:f>X348*D348</x:f>
        <x:v>0.024728997912839848</x:v>
      </x:c>
      <x:c r="AA348" s="245" t="n">
        <x:f>X348*E348</x:f>
        <x:v>0.024728997912839848</x:v>
      </x:c>
      <x:c r="AB348" s="245" t="n">
        <x:f>X348</x:f>
        <x:v>0.024728997912839848</x:v>
      </x:c>
      <x:c r="AC348" s="245" t="n">
        <x:f>Y348*D348</x:f>
        <x:v>-0.027960966489506352</x:v>
      </x:c>
      <x:c r="AD348" s="245" t="n">
        <x:f>Y348*E348</x:f>
        <x:v>-0.027960966489506352</x:v>
      </x:c>
      <x:c r="AE348" s="245" t="n">
        <x:f>Y348</x:f>
        <x:v>-0.027960966489506352</x:v>
      </x:c>
      <x:c r="AF348" s="245" t="n">
        <x:f>W348*Q348</x:f>
        <x:v>0.008444242057496748</x:v>
      </x:c>
      <x:c r="AG348" s="245" t="n">
        <x:f>W348*S348</x:f>
        <x:v>0.060896658869065236</x:v>
      </x:c>
      <x:c r="AH348" s="245" t="n">
        <x:f>W348</x:f>
        <x:v>0.0717644575785302</x:v>
      </x:c>
      <x:c r="AI348" s="246" t="n">
        <x:f>G348-$B$4*Z348</x:f>
        <x:v>2.655611632468753</x:v>
      </x:c>
      <x:c r="AJ348" s="246" t="n">
        <x:f>H348-$B$4*AA348</x:f>
        <x:v>-3.1214150601800847</x:v>
      </x:c>
      <x:c r="AK348" s="246" t="n">
        <x:f>I348-$B$4*AB348</x:f>
        <x:v>-1.623103408926941</x:v>
      </x:c>
      <x:c r="AL348" s="246" t="n">
        <x:f>J348-$B$4*AC348</x:f>
        <x:v>2.9453882051495306</x:v>
      </x:c>
      <x:c r="AM348" s="246" t="n">
        <x:f>K348-$B$4*AD348</x:f>
        <x:v>-2.8221481360802105</x:v>
      </x:c>
      <x:c r="AN348" s="246" t="n">
        <x:f>L348-$B$4*AE348</x:f>
        <x:v>1.684016971036845</x:v>
      </x:c>
      <x:c r="AO348" s="246" t="n">
        <x:f>M348-$B$4*AF348</x:f>
        <x:v>3.31059865987617</x:v>
      </x:c>
      <x:c r="AP348" s="246" t="n">
        <x:f>N348-$B$4*AG348</x:f>
        <x:v>-3.092878069477163</x:v>
      </x:c>
      <x:c r="AQ348" s="246" t="n">
        <x:f>O348-$B$4*AH348</x:f>
        <x:v>1.3860268536162568</x:v>
      </x:c>
      <x:c r="AR348" s="182" t="n">
        <x:f>IF(U348&gt;=$B$5,1,0)</x:f>
        <x:v>0</x:v>
      </x:c>
      <x:c r="AS348" s="182" t="n">
        <x:f>IF(AR348=F348,1,0)</x:f>
        <x:v>1</x:v>
      </x:c>
      <x:c r="AT348" s="252" t="n">
        <x:f>ABS(F348-U348)</x:f>
        <x:v>0.3264034854747884</x:v>
      </x:c>
    </x:row>
    <x:row r="349">
      <x:c r="A349" s="114" t="n">
        <x:v>333</x:v>
      </x:c>
      <x:c r="B349" s="114" t="n">
        <x:v>84</x:v>
      </x:c>
      <x:c r="C349" s="114" t="n">
        <x:v>1</x:v>
      </x:c>
      <x:c r="D349" s="168" t="n">
        <x:f>$I$5</x:f>
        <x:v>0</x:v>
      </x:c>
      <x:c r="E349" s="168" t="n">
        <x:f>$J$5</x:f>
        <x:v>0</x:v>
      </x:c>
      <x:c r="F349" s="168" t="n">
        <x:f>$K$5</x:f>
        <x:v>0</x:v>
      </x:c>
      <x:c r="G349" s="242" t="n">
        <x:f>AI348</x:f>
        <x:v>2.655611632468753</x:v>
      </x:c>
      <x:c r="H349" s="242" t="n">
        <x:f>AJ348</x:f>
        <x:v>-3.1214150601800847</x:v>
      </x:c>
      <x:c r="I349" s="242" t="n">
        <x:f>AK348</x:f>
        <x:v>-1.623103408926941</x:v>
      </x:c>
      <x:c r="J349" s="242" t="n">
        <x:f>AL348</x:f>
        <x:v>2.9453882051495306</x:v>
      </x:c>
      <x:c r="K349" s="242" t="n">
        <x:f>AM348</x:f>
        <x:v>-2.8221481360802105</x:v>
      </x:c>
      <x:c r="L349" s="242" t="n">
        <x:f>AN348</x:f>
        <x:v>1.684016971036845</x:v>
      </x:c>
      <x:c r="M349" s="242" t="n">
        <x:f>AO348</x:f>
        <x:v>3.31059865987617</x:v>
      </x:c>
      <x:c r="N349" s="242" t="n">
        <x:f>AP348</x:f>
        <x:v>-3.092878069477163</x:v>
      </x:c>
      <x:c r="O349" s="242" t="n">
        <x:f>AQ348</x:f>
        <x:v>1.3860268536162568</x:v>
      </x:c>
      <x:c r="P349" s="243" t="n">
        <x:f>D349*G349+E349*H349+I349</x:f>
        <x:v>-1.623103408926941</x:v>
      </x:c>
      <x:c r="Q349" s="243" t="n">
        <x:f>1/(1+EXP(-P349))</x:f>
        <x:v>0.16477731674648483</x:v>
      </x:c>
      <x:c r="R349" s="243" t="n">
        <x:f>D349*J349+E349*K349+L349</x:f>
        <x:v>1.684016971036845</x:v>
      </x:c>
      <x:c r="S349" s="243" t="n">
        <x:f>1/(1+EXP(-R349))</x:f>
        <x:v>0.8434357119070723</x:v>
      </x:c>
      <x:c r="T349" s="243" t="n">
        <x:f>Q349*M349+S349*N349+O349</x:f>
        <x:v>-0.6771053987560818</x:v>
      </x:c>
      <x:c r="U349" s="243" t="n">
        <x:f>1/(1+EXP(-T349))</x:f>
        <x:v>0.3369076534942796</x:v>
      </x:c>
      <x:c r="V349" s="243" t="n">
        <x:f>0.5*(F349-U349)^2</x:f>
        <x:v>0.05675338349151078</x:v>
      </x:c>
      <x:c r="W349" s="244" t="n">
        <x:f>(U349-F349)*U349*(1-U349)</x:f>
        <x:v>0.0752654684630498</x:v>
      </x:c>
      <x:c r="X349" s="244" t="n">
        <x:f>W349*M349*Q349*(1-Q349)</x:f>
        <x:v>0.03429272612255095</x:v>
      </x:c>
      <x:c r="Y349" s="244" t="n">
        <x:f>W349*N349*S349*(1-S349)</x:f>
        <x:v>-0.030739957402188357</x:v>
      </x:c>
      <x:c r="Z349" s="245" t="n">
        <x:f>X349*D349</x:f>
        <x:v>0</x:v>
      </x:c>
      <x:c r="AA349" s="245" t="n">
        <x:f>X349*E349</x:f>
        <x:v>0</x:v>
      </x:c>
      <x:c r="AB349" s="245" t="n">
        <x:f>X349</x:f>
        <x:v>0.03429272612255095</x:v>
      </x:c>
      <x:c r="AC349" s="245" t="n">
        <x:f>Y349*D349</x:f>
        <x:v>0</x:v>
      </x:c>
      <x:c r="AD349" s="245" t="n">
        <x:f>Y349*E349</x:f>
        <x:v>0</x:v>
      </x:c>
      <x:c r="AE349" s="245" t="n">
        <x:f>Y349</x:f>
        <x:v>-0.030739957402188357</x:v>
      </x:c>
      <x:c r="AF349" s="245" t="n">
        <x:f>W349*Q349</x:f>
        <x:v>0.01240204193700852</x:v>
      </x:c>
      <x:c r="AG349" s="245" t="n">
        <x:f>W349*S349</x:f>
        <x:v>0.0634815839751517</x:v>
      </x:c>
      <x:c r="AH349" s="245" t="n">
        <x:f>W349</x:f>
        <x:v>0.0752654684630498</x:v>
      </x:c>
      <x:c r="AI349" s="246" t="n">
        <x:f>G349-$B$4*Z349</x:f>
        <x:v>2.655611632468753</x:v>
      </x:c>
      <x:c r="AJ349" s="246" t="n">
        <x:f>H349-$B$4*AA349</x:f>
        <x:v>-3.1214150601800847</x:v>
      </x:c>
      <x:c r="AK349" s="246" t="n">
        <x:f>I349-$B$4*AB349</x:f>
        <x:v>-1.657396135049492</x:v>
      </x:c>
      <x:c r="AL349" s="246" t="n">
        <x:f>J349-$B$4*AC349</x:f>
        <x:v>2.9453882051495306</x:v>
      </x:c>
      <x:c r="AM349" s="246" t="n">
        <x:f>K349-$B$4*AD349</x:f>
        <x:v>-2.8221481360802105</x:v>
      </x:c>
      <x:c r="AN349" s="246" t="n">
        <x:f>L349-$B$4*AE349</x:f>
        <x:v>1.7147569284390332</x:v>
      </x:c>
      <x:c r="AO349" s="246" t="n">
        <x:f>M349-$B$4*AF349</x:f>
        <x:v>3.2981966179391615</x:v>
      </x:c>
      <x:c r="AP349" s="246" t="n">
        <x:f>N349-$B$4*AG349</x:f>
        <x:v>-3.1563596534523146</x:v>
      </x:c>
      <x:c r="AQ349" s="246" t="n">
        <x:f>O349-$B$4*AH349</x:f>
        <x:v>1.310761385153207</x:v>
      </x:c>
      <x:c r="AR349" s="182" t="n">
        <x:f>IF(U349&gt;=$B$5,1,0)</x:f>
        <x:v>0</x:v>
      </x:c>
      <x:c r="AS349" s="182" t="n">
        <x:f>IF(AR349=F349,1,0)</x:f>
        <x:v>1</x:v>
      </x:c>
      <x:c r="AT349" s="252" t="n">
        <x:f>ABS(F349-U349)</x:f>
        <x:v>0.3369076534942796</x:v>
      </x:c>
    </x:row>
    <x:row r="350">
      <x:c r="A350" s="114" t="n">
        <x:v>334</x:v>
      </x:c>
      <x:c r="B350" s="114" t="n">
        <x:v>84</x:v>
      </x:c>
      <x:c r="C350" s="114" t="n">
        <x:v>2</x:v>
      </x:c>
      <x:c r="D350" s="168" t="n">
        <x:f>$I$6</x:f>
        <x:v>0</x:v>
      </x:c>
      <x:c r="E350" s="168" t="n">
        <x:f>$J$6</x:f>
        <x:v>1</x:v>
      </x:c>
      <x:c r="F350" s="168" t="n">
        <x:f>$K$6</x:f>
        <x:v>1</x:v>
      </x:c>
      <x:c r="G350" s="242" t="n">
        <x:f>AI349</x:f>
        <x:v>2.655611632468753</x:v>
      </x:c>
      <x:c r="H350" s="242" t="n">
        <x:f>AJ349</x:f>
        <x:v>-3.1214150601800847</x:v>
      </x:c>
      <x:c r="I350" s="242" t="n">
        <x:f>AK349</x:f>
        <x:v>-1.657396135049492</x:v>
      </x:c>
      <x:c r="J350" s="242" t="n">
        <x:f>AL349</x:f>
        <x:v>2.9453882051495306</x:v>
      </x:c>
      <x:c r="K350" s="242" t="n">
        <x:f>AM349</x:f>
        <x:v>-2.8221481360802105</x:v>
      </x:c>
      <x:c r="L350" s="242" t="n">
        <x:f>AN349</x:f>
        <x:v>1.7147569284390332</x:v>
      </x:c>
      <x:c r="M350" s="242" t="n">
        <x:f>AO349</x:f>
        <x:v>3.2981966179391615</x:v>
      </x:c>
      <x:c r="N350" s="242" t="n">
        <x:f>AP349</x:f>
        <x:v>-3.1563596534523146</x:v>
      </x:c>
      <x:c r="O350" s="242" t="n">
        <x:f>AQ349</x:f>
        <x:v>1.310761385153207</x:v>
      </x:c>
      <x:c r="P350" s="243" t="n">
        <x:f>D350*G350+E350*H350+I350</x:f>
        <x:v>-4.778811195229577</x:v>
      </x:c>
      <x:c r="Q350" s="243" t="n">
        <x:f>1/(1+EXP(-P350))</x:f>
        <x:v>0.008335914524641832</x:v>
      </x:c>
      <x:c r="R350" s="243" t="n">
        <x:f>D350*J350+E350*K350+L350</x:f>
        <x:v>-1.1073912076411774</x:v>
      </x:c>
      <x:c r="S350" s="243" t="n">
        <x:f>1/(1+EXP(-R350))</x:f>
        <x:v>0.2483575679354799</x:v>
      </x:c>
      <x:c r="T350" s="243" t="n">
        <x:f>Q350*M350+S350*N350+O350</x:f>
        <x:v>0.5543490631847195</x:v>
      </x:c>
      <x:c r="U350" s="243" t="n">
        <x:f>1/(1+EXP(-T350))</x:f>
        <x:v>0.6351440170414391</x:v>
      </x:c>
      <x:c r="V350" s="243" t="n">
        <x:f>0.5*(F350-U350)^2</x:f>
        <x:v>0.06655994415032884</x:v>
      </x:c>
      <x:c r="W350" s="244" t="n">
        <x:f>(U350-F350)*U350*(1-U350)</x:f>
        <x:v>-0.0845503006033874</x:v>
      </x:c>
      <x:c r="X350" s="244" t="n">
        <x:f>W350*M350*Q350*(1-Q350)</x:f>
        <x:v>-0.0023052049087789713</x:v>
      </x:c>
      <x:c r="Y350" s="244" t="n">
        <x:f>W350*N350*S350*(1-S350)</x:f>
        <x:v>0.049818463253244634</x:v>
      </x:c>
      <x:c r="Z350" s="245" t="n">
        <x:f>X350*D350</x:f>
        <x:v>0</x:v>
      </x:c>
      <x:c r="AA350" s="245" t="n">
        <x:f>X350*E350</x:f>
        <x:v>-0.0023052049087789713</x:v>
      </x:c>
      <x:c r="AB350" s="245" t="n">
        <x:f>X350</x:f>
        <x:v>-0.0023052049087789713</x:v>
      </x:c>
      <x:c r="AC350" s="245" t="n">
        <x:f>Y350*D350</x:f>
        <x:v>0</x:v>
      </x:c>
      <x:c r="AD350" s="245" t="n">
        <x:f>Y350*E350</x:f>
        <x:v>0.049818463253244634</x:v>
      </x:c>
      <x:c r="AE350" s="245" t="n">
        <x:f>Y350</x:f>
        <x:v>0.049818463253244634</x:v>
      </x:c>
      <x:c r="AF350" s="245" t="n">
        <x:f>W350*Q350</x:f>
        <x:v>-0.0007048040788626101</x:v>
      </x:c>
      <x:c r="AG350" s="245" t="n">
        <x:f>W350*S350</x:f>
        <x:v>-0.020998707026071033</x:v>
      </x:c>
      <x:c r="AH350" s="245" t="n">
        <x:f>W350</x:f>
        <x:v>-0.0845503006033874</x:v>
      </x:c>
      <x:c r="AI350" s="246" t="n">
        <x:f>G350-$B$4*Z350</x:f>
        <x:v>2.655611632468753</x:v>
      </x:c>
      <x:c r="AJ350" s="246" t="n">
        <x:f>H350-$B$4*AA350</x:f>
        <x:v>-3.1191098552713057</x:v>
      </x:c>
      <x:c r="AK350" s="246" t="n">
        <x:f>I350-$B$4*AB350</x:f>
        <x:v>-1.6550909301407128</x:v>
      </x:c>
      <x:c r="AL350" s="246" t="n">
        <x:f>J350-$B$4*AC350</x:f>
        <x:v>2.9453882051495306</x:v>
      </x:c>
      <x:c r="AM350" s="246" t="n">
        <x:f>K350-$B$4*AD350</x:f>
        <x:v>-2.8719665993334553</x:v>
      </x:c>
      <x:c r="AN350" s="246" t="n">
        <x:f>L350-$B$4*AE350</x:f>
        <x:v>1.6649384651857886</x:v>
      </x:c>
      <x:c r="AO350" s="246" t="n">
        <x:f>M350-$B$4*AF350</x:f>
        <x:v>3.298901422018024</x:v>
      </x:c>
      <x:c r="AP350" s="246" t="n">
        <x:f>N350-$B$4*AG350</x:f>
        <x:v>-3.1353609464262435</x:v>
      </x:c>
      <x:c r="AQ350" s="246" t="n">
        <x:f>O350-$B$4*AH350</x:f>
        <x:v>1.3953116857565944</x:v>
      </x:c>
      <x:c r="AR350" s="182" t="n">
        <x:f>IF(U350&gt;=$B$5,1,0)</x:f>
        <x:v>1</x:v>
      </x:c>
      <x:c r="AS350" s="182" t="n">
        <x:f>IF(AR350=F350,1,0)</x:f>
        <x:v>1</x:v>
      </x:c>
      <x:c r="AT350" s="252" t="n">
        <x:f>ABS(F350-U350)</x:f>
        <x:v>0.3648559829585609</x:v>
      </x:c>
    </x:row>
    <x:row r="351">
      <x:c r="A351" s="114" t="n">
        <x:v>335</x:v>
      </x:c>
      <x:c r="B351" s="114" t="n">
        <x:v>84</x:v>
      </x:c>
      <x:c r="C351" s="114" t="n">
        <x:v>3</x:v>
      </x:c>
      <x:c r="D351" s="168" t="n">
        <x:f>$I$7</x:f>
        <x:v>1</x:v>
      </x:c>
      <x:c r="E351" s="168" t="n">
        <x:f>$J$7</x:f>
        <x:v>0</x:v>
      </x:c>
      <x:c r="F351" s="168" t="n">
        <x:f>$K$7</x:f>
        <x:v>1</x:v>
      </x:c>
      <x:c r="G351" s="242" t="n">
        <x:f>AI350</x:f>
        <x:v>2.655611632468753</x:v>
      </x:c>
      <x:c r="H351" s="242" t="n">
        <x:f>AJ350</x:f>
        <x:v>-3.1191098552713057</x:v>
      </x:c>
      <x:c r="I351" s="242" t="n">
        <x:f>AK350</x:f>
        <x:v>-1.6550909301407128</x:v>
      </x:c>
      <x:c r="J351" s="242" t="n">
        <x:f>AL350</x:f>
        <x:v>2.9453882051495306</x:v>
      </x:c>
      <x:c r="K351" s="242" t="n">
        <x:f>AM350</x:f>
        <x:v>-2.8719665993334553</x:v>
      </x:c>
      <x:c r="L351" s="242" t="n">
        <x:f>AN350</x:f>
        <x:v>1.6649384651857886</x:v>
      </x:c>
      <x:c r="M351" s="242" t="n">
        <x:f>AO350</x:f>
        <x:v>3.298901422018024</x:v>
      </x:c>
      <x:c r="N351" s="242" t="n">
        <x:f>AP350</x:f>
        <x:v>-3.1353609464262435</x:v>
      </x:c>
      <x:c r="O351" s="242" t="n">
        <x:f>AQ350</x:f>
        <x:v>1.3953116857565944</x:v>
      </x:c>
      <x:c r="P351" s="243" t="n">
        <x:f>D351*G351+E351*H351+I351</x:f>
        <x:v>1.00052070232804</x:v>
      </x:c>
      <x:c r="Q351" s="243" t="n">
        <x:f>1/(1+EXP(-P351))</x:f>
        <x:v>0.7311609426033612</x:v>
      </x:c>
      <x:c r="R351" s="243" t="n">
        <x:f>D351*J351+E351*K351+L351</x:f>
        <x:v>4.610326670335319</x:v>
      </x:c>
      <x:c r="S351" s="243" t="n">
        <x:f>1/(1+EXP(-R351))</x:f>
        <x:v>0.9901494311775734</x:v>
      </x:c>
      <x:c r="T351" s="243" t="n">
        <x:f>Q351*M351+S351*N351+O351</x:f>
        <x:v>0.7028637013945385</x:v>
      </x:c>
      <x:c r="U351" s="243" t="n">
        <x:f>1/(1+EXP(-T351))</x:f>
        <x:v>0.6688223855440032</x:v>
      </x:c>
      <x:c r="V351" s="243" t="n">
        <x:f>0.5*(F351-U351)^2</x:f>
        <x:v>0.05483930615838243</x:v>
      </x:c>
      <x:c r="W351" s="244" t="n">
        <x:f>(U351-F351)*U351*(1-U351)</x:f>
        <x:v>-0.07335551113285456</x:v>
      </x:c>
      <x:c r="X351" s="244" t="n">
        <x:f>W351*M351*Q351*(1-Q351)</x:f>
        <x:v>-0.04756718312443009</x:v>
      </x:c>
      <x:c r="Y351" s="244" t="n">
        <x:f>W351*N351*S351*(1-S351)</x:f>
        <x:v>0.002243274109533939</x:v>
      </x:c>
      <x:c r="Z351" s="245" t="n">
        <x:f>X351*D351</x:f>
        <x:v>-0.04756718312443009</x:v>
      </x:c>
      <x:c r="AA351" s="245" t="n">
        <x:f>X351*E351</x:f>
        <x:v>0</x:v>
      </x:c>
      <x:c r="AB351" s="245" t="n">
        <x:f>X351</x:f>
        <x:v>-0.04756718312443009</x:v>
      </x:c>
      <x:c r="AC351" s="245" t="n">
        <x:f>Y351*D351</x:f>
        <x:v>0.002243274109533939</x:v>
      </x:c>
      <x:c r="AD351" s="245" t="n">
        <x:f>Y351*E351</x:f>
        <x:v>0</x:v>
      </x:c>
      <x:c r="AE351" s="245" t="n">
        <x:f>Y351</x:f>
        <x:v>0.002243274109533939</x:v>
      </x:c>
      <x:c r="AF351" s="245" t="n">
        <x:f>W351*Q351</x:f>
        <x:v>-0.053634684665049295</x:v>
      </x:c>
      <x:c r="AG351" s="245" t="n">
        <x:f>W351*S351</x:f>
        <x:v>-0.07263291762193609</x:v>
      </x:c>
      <x:c r="AH351" s="245" t="n">
        <x:f>W351</x:f>
        <x:v>-0.07335551113285456</x:v>
      </x:c>
      <x:c r="AI351" s="246" t="n">
        <x:f>G351-$B$4*Z351</x:f>
        <x:v>2.703178815593183</x:v>
      </x:c>
      <x:c r="AJ351" s="246" t="n">
        <x:f>H351-$B$4*AA351</x:f>
        <x:v>-3.1191098552713057</x:v>
      </x:c>
      <x:c r="AK351" s="246" t="n">
        <x:f>I351-$B$4*AB351</x:f>
        <x:v>-1.6075237470162826</x:v>
      </x:c>
      <x:c r="AL351" s="246" t="n">
        <x:f>J351-$B$4*AC351</x:f>
        <x:v>2.943144931039997</x:v>
      </x:c>
      <x:c r="AM351" s="246" t="n">
        <x:f>K351-$B$4*AD351</x:f>
        <x:v>-2.8719665993334553</x:v>
      </x:c>
      <x:c r="AN351" s="246" t="n">
        <x:f>L351-$B$4*AE351</x:f>
        <x:v>1.6626951910762546</x:v>
      </x:c>
      <x:c r="AO351" s="246" t="n">
        <x:f>M351-$B$4*AF351</x:f>
        <x:v>3.3525361066830732</x:v>
      </x:c>
      <x:c r="AP351" s="246" t="n">
        <x:f>N351-$B$4*AG351</x:f>
        <x:v>-3.0627280288043073</x:v>
      </x:c>
      <x:c r="AQ351" s="246" t="n">
        <x:f>O351-$B$4*AH351</x:f>
        <x:v>1.468667196889449</x:v>
      </x:c>
      <x:c r="AR351" s="182" t="n">
        <x:f>IF(U351&gt;=$B$5,1,0)</x:f>
        <x:v>1</x:v>
      </x:c>
      <x:c r="AS351" s="182" t="n">
        <x:f>IF(AR351=F351,1,0)</x:f>
        <x:v>1</x:v>
      </x:c>
      <x:c r="AT351" s="252" t="n">
        <x:f>ABS(F351-U351)</x:f>
        <x:v>0.3311776144559968</x:v>
      </x:c>
    </x:row>
    <x:row r="352">
      <x:c r="A352" s="114" t="n">
        <x:v>336</x:v>
      </x:c>
      <x:c r="B352" s="114" t="n">
        <x:v>84</x:v>
      </x:c>
      <x:c r="C352" s="114" t="n">
        <x:v>4</x:v>
      </x:c>
      <x:c r="D352" s="168" t="n">
        <x:f>$I$8</x:f>
        <x:v>1</x:v>
      </x:c>
      <x:c r="E352" s="168" t="n">
        <x:f>$J$8</x:f>
        <x:v>1</x:v>
      </x:c>
      <x:c r="F352" s="168" t="n">
        <x:f>$K$8</x:f>
        <x:v>0</x:v>
      </x:c>
      <x:c r="G352" s="242" t="n">
        <x:f>AI351</x:f>
        <x:v>2.703178815593183</x:v>
      </x:c>
      <x:c r="H352" s="242" t="n">
        <x:f>AJ351</x:f>
        <x:v>-3.1191098552713057</x:v>
      </x:c>
      <x:c r="I352" s="242" t="n">
        <x:f>AK351</x:f>
        <x:v>-1.6075237470162826</x:v>
      </x:c>
      <x:c r="J352" s="242" t="n">
        <x:f>AL351</x:f>
        <x:v>2.943144931039997</x:v>
      </x:c>
      <x:c r="K352" s="242" t="n">
        <x:f>AM351</x:f>
        <x:v>-2.8719665993334553</x:v>
      </x:c>
      <x:c r="L352" s="242" t="n">
        <x:f>AN351</x:f>
        <x:v>1.6626951910762546</x:v>
      </x:c>
      <x:c r="M352" s="242" t="n">
        <x:f>AO351</x:f>
        <x:v>3.3525361066830732</x:v>
      </x:c>
      <x:c r="N352" s="242" t="n">
        <x:f>AP351</x:f>
        <x:v>-3.0627280288043073</x:v>
      </x:c>
      <x:c r="O352" s="242" t="n">
        <x:f>AQ351</x:f>
        <x:v>1.468667196889449</x:v>
      </x:c>
      <x:c r="P352" s="243" t="n">
        <x:f>D352*G352+E352*H352+I352</x:f>
        <x:v>-2.0234547866944053</x:v>
      </x:c>
      <x:c r="Q352" s="243" t="n">
        <x:f>1/(1+EXP(-P352))</x:f>
        <x:v>0.11676223083015023</x:v>
      </x:c>
      <x:c r="R352" s="243" t="n">
        <x:f>D352*J352+E352*K352+L352</x:f>
        <x:v>1.7338735227827962</x:v>
      </x:c>
      <x:c r="S352" s="243" t="n">
        <x:f>1/(1+EXP(-R352))</x:f>
        <x:v>0.8499072159707233</x:v>
      </x:c>
      <x:c r="T352" s="243" t="n">
        <x:f>Q352*M352+S352*N352+O352</x:f>
        <x:v>-0.7429178605921789</x:v>
      </x:c>
      <x:c r="U352" s="243" t="n">
        <x:f>1/(1+EXP(-T352))</x:f>
        <x:v>0.3223664177933391</x:v>
      </x:c>
      <x:c r="V352" s="243" t="n">
        <x:f>0.5*(F352-U352)^2</x:f>
        <x:v>0.05196005366045482</x:v>
      </x:c>
      <x:c r="W352" s="244" t="n">
        <x:f>(U352-F352)*U352*(1-U352)</x:f>
        <x:v>0.07041975458716865</x:v>
      </x:c>
      <x:c r="X352" s="244" t="n">
        <x:f>W352*M352*Q352*(1-Q352)</x:f>
        <x:v>0.024347141915242627</x:v>
      </x:c>
      <x:c r="Y352" s="244" t="n">
        <x:f>W352*N352*S352*(1-S352)</x:f>
        <x:v>-0.027512766991042076</x:v>
      </x:c>
      <x:c r="Z352" s="245" t="n">
        <x:f>X352*D352</x:f>
        <x:v>0.024347141915242627</x:v>
      </x:c>
      <x:c r="AA352" s="245" t="n">
        <x:f>X352*E352</x:f>
        <x:v>0.024347141915242627</x:v>
      </x:c>
      <x:c r="AB352" s="245" t="n">
        <x:f>X352</x:f>
        <x:v>0.024347141915242627</x:v>
      </x:c>
      <x:c r="AC352" s="245" t="n">
        <x:f>Y352*D352</x:f>
        <x:v>-0.027512766991042076</x:v>
      </x:c>
      <x:c r="AD352" s="245" t="n">
        <x:f>Y352*E352</x:f>
        <x:v>-0.027512766991042076</x:v>
      </x:c>
      <x:c r="AE352" s="245" t="n">
        <x:f>Y352</x:f>
        <x:v>-0.027512766991042076</x:v>
      </x:c>
      <x:c r="AF352" s="245" t="n">
        <x:f>W352*Q352</x:f>
        <x:v>0.008222367640109517</x:v>
      </x:c>
      <x:c r="AG352" s="245" t="n">
        <x:f>W352*S352</x:f>
        <x:v>0.05985025757052208</x:v>
      </x:c>
      <x:c r="AH352" s="245" t="n">
        <x:f>W352</x:f>
        <x:v>0.07041975458716865</x:v>
      </x:c>
      <x:c r="AI352" s="246" t="n">
        <x:f>G352-$B$4*Z352</x:f>
        <x:v>2.6788316736779403</x:v>
      </x:c>
      <x:c r="AJ352" s="246" t="n">
        <x:f>H352-$B$4*AA352</x:f>
        <x:v>-3.1434569971865485</x:v>
      </x:c>
      <x:c r="AK352" s="246" t="n">
        <x:f>I352-$B$4*AB352</x:f>
        <x:v>-1.6318708889315252</x:v>
      </x:c>
      <x:c r="AL352" s="246" t="n">
        <x:f>J352-$B$4*AC352</x:f>
        <x:v>2.970657698031039</x:v>
      </x:c>
      <x:c r="AM352" s="246" t="n">
        <x:f>K352-$B$4*AD352</x:f>
        <x:v>-2.8444538323424133</x:v>
      </x:c>
      <x:c r="AN352" s="246" t="n">
        <x:f>L352-$B$4*AE352</x:f>
        <x:v>1.6902079580672966</x:v>
      </x:c>
      <x:c r="AO352" s="246" t="n">
        <x:f>M352-$B$4*AF352</x:f>
        <x:v>3.344313739042964</x:v>
      </x:c>
      <x:c r="AP352" s="246" t="n">
        <x:f>N352-$B$4*AG352</x:f>
        <x:v>-3.1225782863748295</x:v>
      </x:c>
      <x:c r="AQ352" s="246" t="n">
        <x:f>O352-$B$4*AH352</x:f>
        <x:v>1.3982474423022802</x:v>
      </x:c>
      <x:c r="AR352" s="182" t="n">
        <x:f>IF(U352&gt;=$B$5,1,0)</x:f>
        <x:v>0</x:v>
      </x:c>
      <x:c r="AS352" s="182" t="n">
        <x:f>IF(AR352=F352,1,0)</x:f>
        <x:v>1</x:v>
      </x:c>
      <x:c r="AT352" s="252" t="n">
        <x:f>ABS(F352-U352)</x:f>
        <x:v>0.3223664177933391</x:v>
      </x:c>
    </x:row>
    <x:row r="353">
      <x:c r="A353" s="114" t="n">
        <x:v>337</x:v>
      </x:c>
      <x:c r="B353" s="114" t="n">
        <x:v>85</x:v>
      </x:c>
      <x:c r="C353" s="114" t="n">
        <x:v>1</x:v>
      </x:c>
      <x:c r="D353" s="168" t="n">
        <x:f>$I$5</x:f>
        <x:v>0</x:v>
      </x:c>
      <x:c r="E353" s="168" t="n">
        <x:f>$J$5</x:f>
        <x:v>0</x:v>
      </x:c>
      <x:c r="F353" s="168" t="n">
        <x:f>$K$5</x:f>
        <x:v>0</x:v>
      </x:c>
      <x:c r="G353" s="242" t="n">
        <x:f>AI352</x:f>
        <x:v>2.6788316736779403</x:v>
      </x:c>
      <x:c r="H353" s="242" t="n">
        <x:f>AJ352</x:f>
        <x:v>-3.1434569971865485</x:v>
      </x:c>
      <x:c r="I353" s="242" t="n">
        <x:f>AK352</x:f>
        <x:v>-1.6318708889315252</x:v>
      </x:c>
      <x:c r="J353" s="242" t="n">
        <x:f>AL352</x:f>
        <x:v>2.970657698031039</x:v>
      </x:c>
      <x:c r="K353" s="242" t="n">
        <x:f>AM352</x:f>
        <x:v>-2.8444538323424133</x:v>
      </x:c>
      <x:c r="L353" s="242" t="n">
        <x:f>AN352</x:f>
        <x:v>1.6902079580672966</x:v>
      </x:c>
      <x:c r="M353" s="242" t="n">
        <x:f>AO352</x:f>
        <x:v>3.344313739042964</x:v>
      </x:c>
      <x:c r="N353" s="242" t="n">
        <x:f>AP352</x:f>
        <x:v>-3.1225782863748295</x:v>
      </x:c>
      <x:c r="O353" s="242" t="n">
        <x:f>AQ352</x:f>
        <x:v>1.3982474423022802</x:v>
      </x:c>
      <x:c r="P353" s="243" t="n">
        <x:f>D353*G353+E353*H353+I353</x:f>
        <x:v>-1.6318708889315252</x:v>
      </x:c>
      <x:c r="Q353" s="243" t="n">
        <x:f>1/(1+EXP(-P353))</x:f>
        <x:v>0.1635742293626106</x:v>
      </x:c>
      <x:c r="R353" s="243" t="n">
        <x:f>D353*J353+E353*K353+L353</x:f>
        <x:v>1.6902079580672966</x:v>
      </x:c>
      <x:c r="S353" s="243" t="n">
        <x:f>1/(1+EXP(-R353))</x:f>
        <x:v>0.8442515064273884</x:v>
      </x:c>
      <x:c r="T353" s="243" t="n">
        <x:f>Q353*M353+S353*N353+O353</x:f>
        <x:v>-0.6909504372963791</x:v>
      </x:c>
      <x:c r="U353" s="243" t="n">
        <x:f>1/(1+EXP(-T353))</x:f>
        <x:v>0.3338216771009458</x:v>
      </x:c>
      <x:c r="V353" s="243" t="n">
        <x:f>0.5*(F353-U353)^2</x:f>
        <x:v>0.05571845605124406</x:v>
      </x:c>
      <x:c r="W353" s="244" t="n">
        <x:f>(U353-F353)*U353*(1-U353)</x:f>
        <x:v>0.07423685521348485</x:v>
      </x:c>
      <x:c r="X353" s="244" t="n">
        <x:f>W353*M353*Q353*(1-Q353)</x:f>
        <x:v>0.033967913219179</x:v>
      </x:c>
      <x:c r="Y353" s="244" t="n">
        <x:f>W353*N353*S353*(1-S353)</x:f>
        <x:v>-0.030480957166381252</x:v>
      </x:c>
      <x:c r="Z353" s="245" t="n">
        <x:f>X353*D353</x:f>
        <x:v>0</x:v>
      </x:c>
      <x:c r="AA353" s="245" t="n">
        <x:f>X353*E353</x:f>
        <x:v>0</x:v>
      </x:c>
      <x:c r="AB353" s="245" t="n">
        <x:f>X353</x:f>
        <x:v>0.033967913219179</x:v>
      </x:c>
      <x:c r="AC353" s="245" t="n">
        <x:f>Y353*D353</x:f>
        <x:v>0</x:v>
      </x:c>
      <x:c r="AD353" s="245" t="n">
        <x:f>Y353*E353</x:f>
        <x:v>0</x:v>
      </x:c>
      <x:c r="AE353" s="245" t="n">
        <x:f>Y353</x:f>
        <x:v>-0.030480957166381252</x:v>
      </x:c>
      <x:c r="AF353" s="245" t="n">
        <x:f>W353*Q353</x:f>
        <x:v>0.012143236381849484</x:v>
      </x:c>
      <x:c r="AG353" s="245" t="n">
        <x:f>W353*S353</x:f>
        <x:v>0.0626745768464165</x:v>
      </x:c>
      <x:c r="AH353" s="245" t="n">
        <x:f>W353</x:f>
        <x:v>0.07423685521348485</x:v>
      </x:c>
      <x:c r="AI353" s="246" t="n">
        <x:f>G353-$B$4*Z353</x:f>
        <x:v>2.6788316736779403</x:v>
      </x:c>
      <x:c r="AJ353" s="246" t="n">
        <x:f>H353-$B$4*AA353</x:f>
        <x:v>-3.1434569971865485</x:v>
      </x:c>
      <x:c r="AK353" s="246" t="n">
        <x:f>I353-$B$4*AB353</x:f>
        <x:v>-1.6658388021507042</x:v>
      </x:c>
      <x:c r="AL353" s="246" t="n">
        <x:f>J353-$B$4*AC353</x:f>
        <x:v>2.970657698031039</x:v>
      </x:c>
      <x:c r="AM353" s="246" t="n">
        <x:f>K353-$B$4*AD353</x:f>
        <x:v>-2.8444538323424133</x:v>
      </x:c>
      <x:c r="AN353" s="246" t="n">
        <x:f>L353-$B$4*AE353</x:f>
        <x:v>1.720688915233678</x:v>
      </x:c>
      <x:c r="AO353" s="246" t="n">
        <x:f>M353-$B$4*AF353</x:f>
        <x:v>3.332170502661114</x:v>
      </x:c>
      <x:c r="AP353" s="246" t="n">
        <x:f>N353-$B$4*AG353</x:f>
        <x:v>-3.185252863221246</x:v>
      </x:c>
      <x:c r="AQ353" s="246" t="n">
        <x:f>O353-$B$4*AH353</x:f>
        <x:v>1.3240105870887953</x:v>
      </x:c>
      <x:c r="AR353" s="182" t="n">
        <x:f>IF(U353&gt;=$B$5,1,0)</x:f>
        <x:v>0</x:v>
      </x:c>
      <x:c r="AS353" s="182" t="n">
        <x:f>IF(AR353=F353,1,0)</x:f>
        <x:v>1</x:v>
      </x:c>
      <x:c r="AT353" s="252" t="n">
        <x:f>ABS(F353-U353)</x:f>
        <x:v>0.3338216771009458</x:v>
      </x:c>
    </x:row>
    <x:row r="354">
      <x:c r="A354" s="114" t="n">
        <x:v>338</x:v>
      </x:c>
      <x:c r="B354" s="114" t="n">
        <x:v>85</x:v>
      </x:c>
      <x:c r="C354" s="114" t="n">
        <x:v>2</x:v>
      </x:c>
      <x:c r="D354" s="168" t="n">
        <x:f>$I$6</x:f>
        <x:v>0</x:v>
      </x:c>
      <x:c r="E354" s="168" t="n">
        <x:f>$J$6</x:f>
        <x:v>1</x:v>
      </x:c>
      <x:c r="F354" s="168" t="n">
        <x:f>$K$6</x:f>
        <x:v>1</x:v>
      </x:c>
      <x:c r="G354" s="242" t="n">
        <x:f>AI353</x:f>
        <x:v>2.6788316736779403</x:v>
      </x:c>
      <x:c r="H354" s="242" t="n">
        <x:f>AJ353</x:f>
        <x:v>-3.1434569971865485</x:v>
      </x:c>
      <x:c r="I354" s="242" t="n">
        <x:f>AK353</x:f>
        <x:v>-1.6658388021507042</x:v>
      </x:c>
      <x:c r="J354" s="242" t="n">
        <x:f>AL353</x:f>
        <x:v>2.970657698031039</x:v>
      </x:c>
      <x:c r="K354" s="242" t="n">
        <x:f>AM353</x:f>
        <x:v>-2.8444538323424133</x:v>
      </x:c>
      <x:c r="L354" s="242" t="n">
        <x:f>AN353</x:f>
        <x:v>1.720688915233678</x:v>
      </x:c>
      <x:c r="M354" s="242" t="n">
        <x:f>AO353</x:f>
        <x:v>3.332170502661114</x:v>
      </x:c>
      <x:c r="N354" s="242" t="n">
        <x:f>AP353</x:f>
        <x:v>-3.185252863221246</x:v>
      </x:c>
      <x:c r="O354" s="242" t="n">
        <x:f>AQ353</x:f>
        <x:v>1.3240105870887953</x:v>
      </x:c>
      <x:c r="P354" s="243" t="n">
        <x:f>D354*G354+E354*H354+I354</x:f>
        <x:v>-4.809295799337253</x:v>
      </x:c>
      <x:c r="Q354" s="243" t="n">
        <x:f>1/(1+EXP(-P354))</x:f>
        <x:v>0.00808765593961575</x:v>
      </x:c>
      <x:c r="R354" s="243" t="n">
        <x:f>D354*J354+E354*K354+L354</x:f>
        <x:v>-1.1237649171087354</x:v>
      </x:c>
      <x:c r="S354" s="243" t="n">
        <x:f>1/(1+EXP(-R354))</x:f>
        <x:v>0.24531359806925682</x:v>
      </x:c>
      <x:c r="T354" s="243" t="n">
        <x:f>Q354*M354+S354*N354+O354</x:f>
        <x:v>0.5695741950092487</x:v>
      </x:c>
      <x:c r="U354" s="243" t="n">
        <x:f>1/(1+EXP(-T354))</x:f>
        <x:v>0.6386649170652099</x:v>
      </x:c>
      <x:c r="V354" s="243" t="n">
        <x:f>0.5*(F354-U354)^2</x:f>
        <x:v>0.06528152107974582</x:v>
      </x:c>
      <x:c r="W354" s="244" t="n">
        <x:f>(U354-F354)*U354*(1-U354)</x:f>
        <x:v>-0.08338603449257324</x:v>
      </x:c>
      <x:c r="X354" s="244" t="n">
        <x:f>W354*M354*Q354*(1-Q354)</x:f>
        <x:v>-0.0022290330047111417</x:v>
      </x:c>
      <x:c r="Y354" s="244" t="n">
        <x:f>W354*N354*S354*(1-S354)</x:f>
        <x:v>0.04917285032297013</x:v>
      </x:c>
      <x:c r="Z354" s="245" t="n">
        <x:f>X354*D354</x:f>
        <x:v>0</x:v>
      </x:c>
      <x:c r="AA354" s="245" t="n">
        <x:f>X354*E354</x:f>
        <x:v>-0.0022290330047111417</x:v>
      </x:c>
      <x:c r="AB354" s="245" t="n">
        <x:f>X354</x:f>
        <x:v>-0.0022290330047111417</x:v>
      </x:c>
      <x:c r="AC354" s="245" t="n">
        <x:f>Y354*D354</x:f>
        <x:v>0</x:v>
      </x:c>
      <x:c r="AD354" s="245" t="n">
        <x:f>Y354*E354</x:f>
        <x:v>0.04917285032297013</x:v>
      </x:c>
      <x:c r="AE354" s="245" t="n">
        <x:f>Y354</x:f>
        <x:v>0.04917285032297013</x:v>
      </x:c>
      <x:c r="AF354" s="245" t="n">
        <x:f>W354*Q354</x:f>
        <x:v>-0.0006743975571448639</x:v>
      </x:c>
      <x:c r="AG354" s="245" t="n">
        <x:f>W354*S354</x:f>
        <x:v>-0.0204557281501003</x:v>
      </x:c>
      <x:c r="AH354" s="245" t="n">
        <x:f>W354</x:f>
        <x:v>-0.08338603449257324</x:v>
      </x:c>
      <x:c r="AI354" s="246" t="n">
        <x:f>G354-$B$4*Z354</x:f>
        <x:v>2.6788316736779403</x:v>
      </x:c>
      <x:c r="AJ354" s="246" t="n">
        <x:f>H354-$B$4*AA354</x:f>
        <x:v>-3.1412279641818373</x:v>
      </x:c>
      <x:c r="AK354" s="246" t="n">
        <x:f>I354-$B$4*AB354</x:f>
        <x:v>-1.663609769145993</x:v>
      </x:c>
      <x:c r="AL354" s="246" t="n">
        <x:f>J354-$B$4*AC354</x:f>
        <x:v>2.970657698031039</x:v>
      </x:c>
      <x:c r="AM354" s="246" t="n">
        <x:f>K354-$B$4*AD354</x:f>
        <x:v>-2.8936266826653836</x:v>
      </x:c>
      <x:c r="AN354" s="246" t="n">
        <x:f>L354-$B$4*AE354</x:f>
        <x:v>1.671516064910708</x:v>
      </x:c>
      <x:c r="AO354" s="246" t="n">
        <x:f>M354-$B$4*AF354</x:f>
        <x:v>3.332844900218259</x:v>
      </x:c>
      <x:c r="AP354" s="246" t="n">
        <x:f>N354-$B$4*AG354</x:f>
        <x:v>-3.1647971350711455</x:v>
      </x:c>
      <x:c r="AQ354" s="246" t="n">
        <x:f>O354-$B$4*AH354</x:f>
        <x:v>1.4073966215813685</x:v>
      </x:c>
      <x:c r="AR354" s="182" t="n">
        <x:f>IF(U354&gt;=$B$5,1,0)</x:f>
        <x:v>1</x:v>
      </x:c>
      <x:c r="AS354" s="182" t="n">
        <x:f>IF(AR354=F354,1,0)</x:f>
        <x:v>1</x:v>
      </x:c>
      <x:c r="AT354" s="252" t="n">
        <x:f>ABS(F354-U354)</x:f>
        <x:v>0.3613350829347901</x:v>
      </x:c>
    </x:row>
    <x:row r="355">
      <x:c r="A355" s="114" t="n">
        <x:v>339</x:v>
      </x:c>
      <x:c r="B355" s="114" t="n">
        <x:v>85</x:v>
      </x:c>
      <x:c r="C355" s="114" t="n">
        <x:v>3</x:v>
      </x:c>
      <x:c r="D355" s="168" t="n">
        <x:f>$I$7</x:f>
        <x:v>1</x:v>
      </x:c>
      <x:c r="E355" s="168" t="n">
        <x:f>$J$7</x:f>
        <x:v>0</x:v>
      </x:c>
      <x:c r="F355" s="168" t="n">
        <x:f>$K$7</x:f>
        <x:v>1</x:v>
      </x:c>
      <x:c r="G355" s="242" t="n">
        <x:f>AI354</x:f>
        <x:v>2.6788316736779403</x:v>
      </x:c>
      <x:c r="H355" s="242" t="n">
        <x:f>AJ354</x:f>
        <x:v>-3.1412279641818373</x:v>
      </x:c>
      <x:c r="I355" s="242" t="n">
        <x:f>AK354</x:f>
        <x:v>-1.663609769145993</x:v>
      </x:c>
      <x:c r="J355" s="242" t="n">
        <x:f>AL354</x:f>
        <x:v>2.970657698031039</x:v>
      </x:c>
      <x:c r="K355" s="242" t="n">
        <x:f>AM354</x:f>
        <x:v>-2.8936266826653836</x:v>
      </x:c>
      <x:c r="L355" s="242" t="n">
        <x:f>AN354</x:f>
        <x:v>1.671516064910708</x:v>
      </x:c>
      <x:c r="M355" s="242" t="n">
        <x:f>AO354</x:f>
        <x:v>3.332844900218259</x:v>
      </x:c>
      <x:c r="N355" s="242" t="n">
        <x:f>AP354</x:f>
        <x:v>-3.1647971350711455</x:v>
      </x:c>
      <x:c r="O355" s="242" t="n">
        <x:f>AQ354</x:f>
        <x:v>1.4073966215813685</x:v>
      </x:c>
      <x:c r="P355" s="243" t="n">
        <x:f>D355*G355+E355*H355+I355</x:f>
        <x:v>1.0152219045319473</x:v>
      </x:c>
      <x:c r="Q355" s="243" t="n">
        <x:f>1/(1+EXP(-P355))</x:f>
        <x:v>0.7340408400581593</x:v>
      </x:c>
      <x:c r="R355" s="243" t="n">
        <x:f>D355*J355+E355*K355+L355</x:f>
        <x:v>4.642173762941747</x:v>
      </x:c>
      <x:c r="S355" s="243" t="n">
        <x:f>1/(1+EXP(-R355))</x:f>
        <x:v>0.9904552532344464</x:v>
      </x:c>
      <x:c r="T355" s="243" t="n">
        <x:f>Q355*M355+S355*N355+O355</x:f>
        <x:v>0.7192509440685897</x:v>
      </x:c>
      <x:c r="U355" s="243" t="n">
        <x:f>1/(1+EXP(-T355))</x:f>
        <x:v>0.6724420485234054</x:v>
      </x:c>
      <x:c r="V355" s="243" t="n">
        <x:f>0.5*(F355-U355)^2</x:f>
        <x:v>0.05364710578777156</x:v>
      </x:c>
      <x:c r="W355" s="244" t="n">
        <x:f>(U355-F355)*U355*(1-U355)</x:f>
        <x:v>-0.07214913942656188</x:v>
      </x:c>
      <x:c r="X355" s="244" t="n">
        <x:f>W355*M355*Q355*(1-Q355)</x:f>
        <x:v>-0.046944145138526176</x:v>
      </x:c>
      <x:c r="Y355" s="244" t="n">
        <x:f>W355*N355*S355*(1-S355)</x:f>
        <x:v>0.002158620525866822</x:v>
      </x:c>
      <x:c r="Z355" s="245" t="n">
        <x:f>X355*D355</x:f>
        <x:v>-0.046944145138526176</x:v>
      </x:c>
      <x:c r="AA355" s="245" t="n">
        <x:f>X355*E355</x:f>
        <x:v>0</x:v>
      </x:c>
      <x:c r="AB355" s="245" t="n">
        <x:f>X355</x:f>
        <x:v>-0.046944145138526176</x:v>
      </x:c>
      <x:c r="AC355" s="245" t="n">
        <x:f>Y355*D355</x:f>
        <x:v>0.002158620525866822</x:v>
      </x:c>
      <x:c r="AD355" s="245" t="n">
        <x:f>Y355*E355</x:f>
        <x:v>0</x:v>
      </x:c>
      <x:c r="AE355" s="245" t="n">
        <x:f>Y355</x:f>
        <x:v>0.002158620525866822</x:v>
      </x:c>
      <x:c r="AF355" s="245" t="n">
        <x:f>W355*Q355</x:f>
        <x:v>-0.05296041491414675</x:v>
      </x:c>
      <x:c r="AG355" s="245" t="n">
        <x:f>W355*S355</x:f>
        <x:v>-0.07146049416138273</x:v>
      </x:c>
      <x:c r="AH355" s="245" t="n">
        <x:f>W355</x:f>
        <x:v>-0.07214913942656188</x:v>
      </x:c>
      <x:c r="AI355" s="246" t="n">
        <x:f>G355-$B$4*Z355</x:f>
        <x:v>2.7257758188164662</x:v>
      </x:c>
      <x:c r="AJ355" s="246" t="n">
        <x:f>H355-$B$4*AA355</x:f>
        <x:v>-3.1412279641818373</x:v>
      </x:c>
      <x:c r="AK355" s="246" t="n">
        <x:f>I355-$B$4*AB355</x:f>
        <x:v>-1.6166656240074668</x:v>
      </x:c>
      <x:c r="AL355" s="246" t="n">
        <x:f>J355-$B$4*AC355</x:f>
        <x:v>2.968499077505172</x:v>
      </x:c>
      <x:c r="AM355" s="246" t="n">
        <x:f>K355-$B$4*AD355</x:f>
        <x:v>-2.8936266826653836</x:v>
      </x:c>
      <x:c r="AN355" s="246" t="n">
        <x:f>L355-$B$4*AE355</x:f>
        <x:v>1.6693574443848411</x:v>
      </x:c>
      <x:c r="AO355" s="246" t="n">
        <x:f>M355-$B$4*AF355</x:f>
        <x:v>3.385805315132406</x:v>
      </x:c>
      <x:c r="AP355" s="246" t="n">
        <x:f>N355-$B$4*AG355</x:f>
        <x:v>-3.093336640909763</x:v>
      </x:c>
      <x:c r="AQ355" s="246" t="n">
        <x:f>O355-$B$4*AH355</x:f>
        <x:v>1.4795457610079303</x:v>
      </x:c>
      <x:c r="AR355" s="182" t="n">
        <x:f>IF(U355&gt;=$B$5,1,0)</x:f>
        <x:v>1</x:v>
      </x:c>
      <x:c r="AS355" s="182" t="n">
        <x:f>IF(AR355=F355,1,0)</x:f>
        <x:v>1</x:v>
      </x:c>
      <x:c r="AT355" s="252" t="n">
        <x:f>ABS(F355-U355)</x:f>
        <x:v>0.3275579514765946</x:v>
      </x:c>
    </x:row>
    <x:row r="356">
      <x:c r="A356" s="114" t="n">
        <x:v>340</x:v>
      </x:c>
      <x:c r="B356" s="114" t="n">
        <x:v>85</x:v>
      </x:c>
      <x:c r="C356" s="114" t="n">
        <x:v>4</x:v>
      </x:c>
      <x:c r="D356" s="168" t="n">
        <x:f>$I$8</x:f>
        <x:v>1</x:v>
      </x:c>
      <x:c r="E356" s="168" t="n">
        <x:f>$J$8</x:f>
        <x:v>1</x:v>
      </x:c>
      <x:c r="F356" s="168" t="n">
        <x:f>$K$8</x:f>
        <x:v>0</x:v>
      </x:c>
      <x:c r="G356" s="242" t="n">
        <x:f>AI355</x:f>
        <x:v>2.7257758188164662</x:v>
      </x:c>
      <x:c r="H356" s="242" t="n">
        <x:f>AJ355</x:f>
        <x:v>-3.1412279641818373</x:v>
      </x:c>
      <x:c r="I356" s="242" t="n">
        <x:f>AK355</x:f>
        <x:v>-1.6166656240074668</x:v>
      </x:c>
      <x:c r="J356" s="242" t="n">
        <x:f>AL355</x:f>
        <x:v>2.968499077505172</x:v>
      </x:c>
      <x:c r="K356" s="242" t="n">
        <x:f>AM355</x:f>
        <x:v>-2.8936266826653836</x:v>
      </x:c>
      <x:c r="L356" s="242" t="n">
        <x:f>AN355</x:f>
        <x:v>1.6693574443848411</x:v>
      </x:c>
      <x:c r="M356" s="242" t="n">
        <x:f>AO355</x:f>
        <x:v>3.385805315132406</x:v>
      </x:c>
      <x:c r="N356" s="242" t="n">
        <x:f>AP355</x:f>
        <x:v>-3.093336640909763</x:v>
      </x:c>
      <x:c r="O356" s="242" t="n">
        <x:f>AQ355</x:f>
        <x:v>1.4795457610079303</x:v>
      </x:c>
      <x:c r="P356" s="243" t="n">
        <x:f>D356*G356+E356*H356+I356</x:f>
        <x:v>-2.032117769372838</x:v>
      </x:c>
      <x:c r="Q356" s="243" t="n">
        <x:f>1/(1+EXP(-P356))</x:f>
        <x:v>0.11587178953368034</x:v>
      </x:c>
      <x:c r="R356" s="243" t="n">
        <x:f>D356*J356+E356*K356+L356</x:f>
        <x:v>1.7442298392246296</x:v>
      </x:c>
      <x:c r="S356" s="243" t="n">
        <x:f>1/(1+EXP(-R356))</x:f>
        <x:v>0.8512235370750689</x:v>
      </x:c>
      <x:c r="T356" s="243" t="n">
        <x:f>Q356*M356+S356*N356+O356</x:f>
        <x:v>-0.761255874954152</x:v>
      </x:c>
      <x:c r="U356" s="243" t="n">
        <x:f>1/(1+EXP(-T356))</x:f>
        <x:v>0.31837366428878333</x:v>
      </x:c>
      <x:c r="V356" s="243" t="n">
        <x:f>0.5*(F356-U356)^2</x:f>
        <x:v>0.050680895056333455</x:v>
      </x:c>
      <x:c r="W356" s="244" t="n">
        <x:f>(U356-F356)*U356*(1-U356)</x:f>
        <x:v>0.06909086557562658</x:v>
      </x:c>
      <x:c r="X356" s="244" t="n">
        <x:f>W356*M356*Q356*(1-Q356)</x:f>
        <x:v>0.023964897643970008</x:v>
      </x:c>
      <x:c r="Y356" s="244" t="n">
        <x:f>W356*N356*S356*(1-S356)</x:f>
        <x:v>-0.0270660994106025</x:v>
      </x:c>
      <x:c r="Z356" s="245" t="n">
        <x:f>X356*D356</x:f>
        <x:v>0.023964897643970008</x:v>
      </x:c>
      <x:c r="AA356" s="245" t="n">
        <x:f>X356*E356</x:f>
        <x:v>0.023964897643970008</x:v>
      </x:c>
      <x:c r="AB356" s="245" t="n">
        <x:f>X356</x:f>
        <x:v>0.023964897643970008</x:v>
      </x:c>
      <x:c r="AC356" s="245" t="n">
        <x:f>Y356*D356</x:f>
        <x:v>-0.0270660994106025</x:v>
      </x:c>
      <x:c r="AD356" s="245" t="n">
        <x:f>Y356*E356</x:f>
        <x:v>-0.0270660994106025</x:v>
      </x:c>
      <x:c r="AE356" s="245" t="n">
        <x:f>Y356</x:f>
        <x:v>-0.0270660994106025</x:v>
      </x:c>
      <x:c r="AF356" s="245" t="n">
        <x:f>W356*Q356</x:f>
        <x:v>0.008005682234678803</x:v>
      </x:c>
      <x:c r="AG356" s="245" t="n">
        <x:f>W356*S356</x:f>
        <x:v>0.058811770974862974</x:v>
      </x:c>
      <x:c r="AH356" s="245" t="n">
        <x:f>W356</x:f>
        <x:v>0.06909086557562658</x:v>
      </x:c>
      <x:c r="AI356" s="246" t="n">
        <x:f>G356-$B$4*Z356</x:f>
        <x:v>2.701810921172496</x:v>
      </x:c>
      <x:c r="AJ356" s="246" t="n">
        <x:f>H356-$B$4*AA356</x:f>
        <x:v>-3.1651928618258074</x:v>
      </x:c>
      <x:c r="AK356" s="246" t="n">
        <x:f>I356-$B$4*AB356</x:f>
        <x:v>-1.6406305216514367</x:v>
      </x:c>
      <x:c r="AL356" s="246" t="n">
        <x:f>J356-$B$4*AC356</x:f>
        <x:v>2.9955651769157745</x:v>
      </x:c>
      <x:c r="AM356" s="246" t="n">
        <x:f>K356-$B$4*AD356</x:f>
        <x:v>-2.866560583254781</x:v>
      </x:c>
      <x:c r="AN356" s="246" t="n">
        <x:f>L356-$B$4*AE356</x:f>
        <x:v>1.6964235437954436</x:v>
      </x:c>
      <x:c r="AO356" s="246" t="n">
        <x:f>M356-$B$4*AF356</x:f>
        <x:v>3.377799632897727</x:v>
      </x:c>
      <x:c r="AP356" s="246" t="n">
        <x:f>N356-$B$4*AG356</x:f>
        <x:v>-3.152148411884626</x:v>
      </x:c>
      <x:c r="AQ356" s="246" t="n">
        <x:f>O356-$B$4*AH356</x:f>
        <x:v>1.4104548954323037</x:v>
      </x:c>
      <x:c r="AR356" s="182" t="n">
        <x:f>IF(U356&gt;=$B$5,1,0)</x:f>
        <x:v>0</x:v>
      </x:c>
      <x:c r="AS356" s="182" t="n">
        <x:f>IF(AR356=F356,1,0)</x:f>
        <x:v>1</x:v>
      </x:c>
      <x:c r="AT356" s="252" t="n">
        <x:f>ABS(F356-U356)</x:f>
        <x:v>0.31837366428878333</x:v>
      </x:c>
    </x:row>
    <x:row r="357">
      <x:c r="A357" s="114" t="n">
        <x:v>341</x:v>
      </x:c>
      <x:c r="B357" s="114" t="n">
        <x:v>86</x:v>
      </x:c>
      <x:c r="C357" s="114" t="n">
        <x:v>1</x:v>
      </x:c>
      <x:c r="D357" s="168" t="n">
        <x:f>$I$5</x:f>
        <x:v>0</x:v>
      </x:c>
      <x:c r="E357" s="168" t="n">
        <x:f>$J$5</x:f>
        <x:v>0</x:v>
      </x:c>
      <x:c r="F357" s="168" t="n">
        <x:f>$K$5</x:f>
        <x:v>0</x:v>
      </x:c>
      <x:c r="G357" s="242" t="n">
        <x:f>AI356</x:f>
        <x:v>2.701810921172496</x:v>
      </x:c>
      <x:c r="H357" s="242" t="n">
        <x:f>AJ356</x:f>
        <x:v>-3.1651928618258074</x:v>
      </x:c>
      <x:c r="I357" s="242" t="n">
        <x:f>AK356</x:f>
        <x:v>-1.6406305216514367</x:v>
      </x:c>
      <x:c r="J357" s="242" t="n">
        <x:f>AL356</x:f>
        <x:v>2.9955651769157745</x:v>
      </x:c>
      <x:c r="K357" s="242" t="n">
        <x:f>AM356</x:f>
        <x:v>-2.866560583254781</x:v>
      </x:c>
      <x:c r="L357" s="242" t="n">
        <x:f>AN356</x:f>
        <x:v>1.6964235437954436</x:v>
      </x:c>
      <x:c r="M357" s="242" t="n">
        <x:f>AO356</x:f>
        <x:v>3.377799632897727</x:v>
      </x:c>
      <x:c r="N357" s="242" t="n">
        <x:f>AP356</x:f>
        <x:v>-3.152148411884626</x:v>
      </x:c>
      <x:c r="O357" s="242" t="n">
        <x:f>AQ356</x:f>
        <x:v>1.4104548954323037</x:v>
      </x:c>
      <x:c r="P357" s="243" t="n">
        <x:f>D357*G357+E357*H357+I357</x:f>
        <x:v>-1.6406305216514367</x:v>
      </x:c>
      <x:c r="Q357" s="243" t="n">
        <x:f>1/(1+EXP(-P357))</x:f>
        <x:v>0.16237928565305726</x:v>
      </x:c>
      <x:c r="R357" s="243" t="n">
        <x:f>D357*J357+E357*K357+L357</x:f>
        <x:v>1.6964235437954436</x:v>
      </x:c>
      <x:c r="S357" s="243" t="n">
        <x:f>1/(1+EXP(-R357))</x:f>
        <x:v>0.8450670517227478</x:v>
      </x:c>
      <x:c r="T357" s="243" t="n">
        <x:f>Q357*M357+S357*N357+O357</x:f>
        <x:v>-0.7048371781224867</x:v>
      </x:c>
      <x:c r="U357" s="243" t="n">
        <x:f>1/(1+EXP(-T357))</x:f>
        <x:v>0.3307406370583028</x:v>
      </x:c>
      <x:c r="V357" s="243" t="n">
        <x:f>0.5*(F357-U357)^2</x:f>
        <x:v>0.054694684500865995</x:v>
      </x:c>
      <x:c r="W357" s="244" t="n">
        <x:f>(U357-F357)*U357*(1-U357)</x:f>
        <x:v>0.07320985941069338</x:v>
      </x:c>
      <x:c r="X357" s="244" t="n">
        <x:f>W357*M357*Q357*(1-Q357)</x:f>
        <x:v>0.033634230211965474</x:v>
      </x:c>
      <x:c r="Y357" s="244" t="n">
        <x:f>W357*N357*S357*(1-S357)</x:f>
        <x:v>-0.030214205909572144</x:v>
      </x:c>
      <x:c r="Z357" s="245" t="n">
        <x:f>X357*D357</x:f>
        <x:v>0</x:v>
      </x:c>
      <x:c r="AA357" s="245" t="n">
        <x:f>X357*E357</x:f>
        <x:v>0</x:v>
      </x:c>
      <x:c r="AB357" s="245" t="n">
        <x:f>X357</x:f>
        <x:v>0.033634230211965474</x:v>
      </x:c>
      <x:c r="AC357" s="245" t="n">
        <x:f>Y357*D357</x:f>
        <x:v>0</x:v>
      </x:c>
      <x:c r="AD357" s="245" t="n">
        <x:f>Y357*E357</x:f>
        <x:v>0</x:v>
      </x:c>
      <x:c r="AE357" s="245" t="n">
        <x:f>Y357</x:f>
        <x:v>-0.030214205909572144</x:v>
      </x:c>
      <x:c r="AF357" s="245" t="n">
        <x:f>W357*Q357</x:f>
        <x:v>0.011887764673869143</x:v>
      </x:c>
      <x:c r="AG357" s="245" t="n">
        <x:f>W357*S357</x:f>
        <x:v>0.06186724004923152</x:v>
      </x:c>
      <x:c r="AH357" s="245" t="n">
        <x:f>W357</x:f>
        <x:v>0.07320985941069338</x:v>
      </x:c>
      <x:c r="AI357" s="246" t="n">
        <x:f>G357-$B$4*Z357</x:f>
        <x:v>2.701810921172496</x:v>
      </x:c>
      <x:c r="AJ357" s="246" t="n">
        <x:f>H357-$B$4*AA357</x:f>
        <x:v>-3.1651928618258074</x:v>
      </x:c>
      <x:c r="AK357" s="246" t="n">
        <x:f>I357-$B$4*AB357</x:f>
        <x:v>-1.6742647518634022</x:v>
      </x:c>
      <x:c r="AL357" s="246" t="n">
        <x:f>J357-$B$4*AC357</x:f>
        <x:v>2.9955651769157745</x:v>
      </x:c>
      <x:c r="AM357" s="246" t="n">
        <x:f>K357-$B$4*AD357</x:f>
        <x:v>-2.866560583254781</x:v>
      </x:c>
      <x:c r="AN357" s="246" t="n">
        <x:f>L357-$B$4*AE357</x:f>
        <x:v>1.7266377497050158</x:v>
      </x:c>
      <x:c r="AO357" s="246" t="n">
        <x:f>M357-$B$4*AF357</x:f>
        <x:v>3.365911868223858</x:v>
      </x:c>
      <x:c r="AP357" s="246" t="n">
        <x:f>N357-$B$4*AG357</x:f>
        <x:v>-3.2140156519338574</x:v>
      </x:c>
      <x:c r="AQ357" s="246" t="n">
        <x:f>O357-$B$4*AH357</x:f>
        <x:v>1.3372450360216104</x:v>
      </x:c>
      <x:c r="AR357" s="182" t="n">
        <x:f>IF(U357&gt;=$B$5,1,0)</x:f>
        <x:v>0</x:v>
      </x:c>
      <x:c r="AS357" s="182" t="n">
        <x:f>IF(AR357=F357,1,0)</x:f>
        <x:v>1</x:v>
      </x:c>
      <x:c r="AT357" s="252" t="n">
        <x:f>ABS(F357-U357)</x:f>
        <x:v>0.3307406370583028</x:v>
      </x:c>
    </x:row>
    <x:row r="358">
      <x:c r="A358" s="114" t="n">
        <x:v>342</x:v>
      </x:c>
      <x:c r="B358" s="114" t="n">
        <x:v>86</x:v>
      </x:c>
      <x:c r="C358" s="114" t="n">
        <x:v>2</x:v>
      </x:c>
      <x:c r="D358" s="168" t="n">
        <x:f>$I$6</x:f>
        <x:v>0</x:v>
      </x:c>
      <x:c r="E358" s="168" t="n">
        <x:f>$J$6</x:f>
        <x:v>1</x:v>
      </x:c>
      <x:c r="F358" s="168" t="n">
        <x:f>$K$6</x:f>
        <x:v>1</x:v>
      </x:c>
      <x:c r="G358" s="242" t="n">
        <x:f>AI357</x:f>
        <x:v>2.701810921172496</x:v>
      </x:c>
      <x:c r="H358" s="242" t="n">
        <x:f>AJ357</x:f>
        <x:v>-3.1651928618258074</x:v>
      </x:c>
      <x:c r="I358" s="242" t="n">
        <x:f>AK357</x:f>
        <x:v>-1.6742647518634022</x:v>
      </x:c>
      <x:c r="J358" s="242" t="n">
        <x:f>AL357</x:f>
        <x:v>2.9955651769157745</x:v>
      </x:c>
      <x:c r="K358" s="242" t="n">
        <x:f>AM357</x:f>
        <x:v>-2.866560583254781</x:v>
      </x:c>
      <x:c r="L358" s="242" t="n">
        <x:f>AN357</x:f>
        <x:v>1.7266377497050158</x:v>
      </x:c>
      <x:c r="M358" s="242" t="n">
        <x:f>AO357</x:f>
        <x:v>3.365911868223858</x:v>
      </x:c>
      <x:c r="N358" s="242" t="n">
        <x:f>AP357</x:f>
        <x:v>-3.2140156519338574</x:v>
      </x:c>
      <x:c r="O358" s="242" t="n">
        <x:f>AQ357</x:f>
        <x:v>1.3372450360216104</x:v>
      </x:c>
      <x:c r="P358" s="243" t="n">
        <x:f>D358*G358+E358*H358+I358</x:f>
        <x:v>-4.839457613689209</x:v>
      </x:c>
      <x:c r="Q358" s="243" t="n">
        <x:f>1/(1+EXP(-P358))</x:f>
        <x:v>0.007849245809839808</x:v>
      </x:c>
      <x:c r="R358" s="243" t="n">
        <x:f>D358*J358+E358*K358+L358</x:f>
        <x:v>-1.1399228335497653</x:v>
      </x:c>
      <x:c r="S358" s="243" t="n">
        <x:f>1/(1+EXP(-R358))</x:f>
        <x:v>0.2423345291311544</x:v>
      </x:c>
      <x:c r="T358" s="243" t="n">
        <x:f>Q358*M358+S358*N358+O358</x:f>
        <x:v>0.5847979360180049</x:v>
      </x:c>
      <x:c r="U358" s="243" t="n">
        <x:f>1/(1+EXP(-T358))</x:f>
        <x:v>0.6421706625136171</x:v>
      </x:c>
      <x:c r="V358" s="243" t="n">
        <x:f>0.5*(F358-U358)^2</x:f>
        <x:v>0.06402091738297186</x:v>
      </x:c>
      <x:c r="W358" s="244" t="n">
        <x:f>(U358-F358)*U358*(1-U358)</x:f>
        <x:v>-0.08222470986110517</x:v>
      </x:c>
      <x:c r="X358" s="244" t="n">
        <x:f>W358*M358*Q358*(1-Q358)</x:f>
        <x:v>-0.0021553146791026484</x:v>
      </x:c>
      <x:c r="Y358" s="244" t="n">
        <x:f>W358*N358*S358*(1-S358)</x:f>
        <x:v>0.04852249588193546</x:v>
      </x:c>
      <x:c r="Z358" s="245" t="n">
        <x:f>X358*D358</x:f>
        <x:v>0</x:v>
      </x:c>
      <x:c r="AA358" s="245" t="n">
        <x:f>X358*E358</x:f>
        <x:v>-0.0021553146791026484</x:v>
      </x:c>
      <x:c r="AB358" s="245" t="n">
        <x:f>X358</x:f>
        <x:v>-0.0021553146791026484</x:v>
      </x:c>
      <x:c r="AC358" s="245" t="n">
        <x:f>Y358*D358</x:f>
        <x:v>0</x:v>
      </x:c>
      <x:c r="AD358" s="245" t="n">
        <x:f>Y358*E358</x:f>
        <x:v>0.04852249588193546</x:v>
      </x:c>
      <x:c r="AE358" s="245" t="n">
        <x:f>Y358</x:f>
        <x:v>0.04852249588193546</x:v>
      </x:c>
      <x:c r="AF358" s="245" t="n">
        <x:f>W358*Q358</x:f>
        <x:v>-0.0006454019593425737</x:v>
      </x:c>
      <x:c r="AG358" s="245" t="n">
        <x:f>W358*S358</x:f>
        <x:v>-0.01992588634713671</x:v>
      </x:c>
      <x:c r="AH358" s="245" t="n">
        <x:f>W358</x:f>
        <x:v>-0.08222470986110517</x:v>
      </x:c>
      <x:c r="AI358" s="246" t="n">
        <x:f>G358-$B$4*Z358</x:f>
        <x:v>2.701810921172496</x:v>
      </x:c>
      <x:c r="AJ358" s="246" t="n">
        <x:f>H358-$B$4*AA358</x:f>
        <x:v>-3.163037547146705</x:v>
      </x:c>
      <x:c r="AK358" s="246" t="n">
        <x:f>I358-$B$4*AB358</x:f>
        <x:v>-1.6721094371842995</x:v>
      </x:c>
      <x:c r="AL358" s="246" t="n">
        <x:f>J358-$B$4*AC358</x:f>
        <x:v>2.9955651769157745</x:v>
      </x:c>
      <x:c r="AM358" s="246" t="n">
        <x:f>K358-$B$4*AD358</x:f>
        <x:v>-2.9150830791367164</x:v>
      </x:c>
      <x:c r="AN358" s="246" t="n">
        <x:f>L358-$B$4*AE358</x:f>
        <x:v>1.6781152538230804</x:v>
      </x:c>
      <x:c r="AO358" s="246" t="n">
        <x:f>M358-$B$4*AF358</x:f>
        <x:v>3.3665572701832005</x:v>
      </x:c>
      <x:c r="AP358" s="246" t="n">
        <x:f>N358-$B$4*AG358</x:f>
        <x:v>-3.1940897655867206</x:v>
      </x:c>
      <x:c r="AQ358" s="246" t="n">
        <x:f>O358-$B$4*AH358</x:f>
        <x:v>1.4194697458827155</x:v>
      </x:c>
      <x:c r="AR358" s="182" t="n">
        <x:f>IF(U358&gt;=$B$5,1,0)</x:f>
        <x:v>1</x:v>
      </x:c>
      <x:c r="AS358" s="182" t="n">
        <x:f>IF(AR358=F358,1,0)</x:f>
        <x:v>1</x:v>
      </x:c>
      <x:c r="AT358" s="252" t="n">
        <x:f>ABS(F358-U358)</x:f>
        <x:v>0.3578293374863829</x:v>
      </x:c>
    </x:row>
    <x:row r="359">
      <x:c r="A359" s="114" t="n">
        <x:v>343</x:v>
      </x:c>
      <x:c r="B359" s="114" t="n">
        <x:v>86</x:v>
      </x:c>
      <x:c r="C359" s="114" t="n">
        <x:v>3</x:v>
      </x:c>
      <x:c r="D359" s="168" t="n">
        <x:f>$I$7</x:f>
        <x:v>1</x:v>
      </x:c>
      <x:c r="E359" s="168" t="n">
        <x:f>$J$7</x:f>
        <x:v>0</x:v>
      </x:c>
      <x:c r="F359" s="168" t="n">
        <x:f>$K$7</x:f>
        <x:v>1</x:v>
      </x:c>
      <x:c r="G359" s="242" t="n">
        <x:f>AI358</x:f>
        <x:v>2.701810921172496</x:v>
      </x:c>
      <x:c r="H359" s="242" t="n">
        <x:f>AJ358</x:f>
        <x:v>-3.163037547146705</x:v>
      </x:c>
      <x:c r="I359" s="242" t="n">
        <x:f>AK358</x:f>
        <x:v>-1.6721094371842995</x:v>
      </x:c>
      <x:c r="J359" s="242" t="n">
        <x:f>AL358</x:f>
        <x:v>2.9955651769157745</x:v>
      </x:c>
      <x:c r="K359" s="242" t="n">
        <x:f>AM358</x:f>
        <x:v>-2.9150830791367164</x:v>
      </x:c>
      <x:c r="L359" s="242" t="n">
        <x:f>AN358</x:f>
        <x:v>1.6781152538230804</x:v>
      </x:c>
      <x:c r="M359" s="242" t="n">
        <x:f>AO358</x:f>
        <x:v>3.3665572701832005</x:v>
      </x:c>
      <x:c r="N359" s="242" t="n">
        <x:f>AP358</x:f>
        <x:v>-3.1940897655867206</x:v>
      </x:c>
      <x:c r="O359" s="242" t="n">
        <x:f>AQ358</x:f>
        <x:v>1.4194697458827155</x:v>
      </x:c>
      <x:c r="P359" s="243" t="n">
        <x:f>D359*G359+E359*H359+I359</x:f>
        <x:v>1.0297014839881966</x:v>
      </x:c>
      <x:c r="Q359" s="243" t="n">
        <x:f>1/(1+EXP(-P359))</x:f>
        <x:v>0.7368580181851332</x:v>
      </x:c>
      <x:c r="R359" s="243" t="n">
        <x:f>D359*J359+E359*K359+L359</x:f>
        <x:v>4.673680430738855</x:v>
      </x:c>
      <x:c r="S359" s="243" t="n">
        <x:f>1/(1+EXP(-R359))</x:f>
        <x:v>0.9907485496168957</x:v>
      </x:c>
      <x:c r="T359" s="243" t="n">
        <x:f>Q359*M359+S359*N359+O359</x:f>
        <x:v>0.7356046614954468</x:v>
      </x:c>
      <x:c r="U359" s="243" t="n">
        <x:f>1/(1+EXP(-T359))</x:f>
        <x:v>0.6760339699676696</x:v>
      </x:c>
      <x:c r="V359" s="243" t="n">
        <x:f>0.5*(F359-U359)^2</x:f>
        <x:v>0.052476994307454394</x:v>
      </x:c>
      <x:c r="W359" s="244" t="n">
        <x:f>(U359-F359)*U359*(1-U359)</x:f>
        <x:v>-0.07095246158727839</x:v>
      </x:c>
      <x:c r="X359" s="244" t="n">
        <x:f>W359*M359*Q359*(1-Q359)</x:f>
        <x:v>-0.04631561433922386</x:v>
      </x:c>
      <x:c r="Y359" s="244" t="n">
        <x:f>W359*N359*S359*(1-S359)</x:f>
        <x:v>0.0020772456285235177</x:v>
      </x:c>
      <x:c r="Z359" s="245" t="n">
        <x:f>X359*D359</x:f>
        <x:v>-0.04631561433922386</x:v>
      </x:c>
      <x:c r="AA359" s="245" t="n">
        <x:f>X359*E359</x:f>
        <x:v>0</x:v>
      </x:c>
      <x:c r="AB359" s="245" t="n">
        <x:f>X359</x:f>
        <x:v>-0.04631561433922386</x:v>
      </x:c>
      <x:c r="AC359" s="245" t="n">
        <x:f>Y359*D359</x:f>
        <x:v>0.0020772456285235177</x:v>
      </x:c>
      <x:c r="AD359" s="245" t="n">
        <x:f>Y359*E359</x:f>
        <x:v>0</x:v>
      </x:c>
      <x:c r="AE359" s="245" t="n">
        <x:f>Y359</x:f>
        <x:v>0.0020772456285235177</x:v>
      </x:c>
      <x:c r="AF359" s="245" t="n">
        <x:f>W359*Q359</x:f>
        <x:v>-0.05228189023055874</x:v>
      </x:c>
      <x:c r="AG359" s="245" t="n">
        <x:f>W359*S359</x:f>
        <x:v>-0.07029604840934457</x:v>
      </x:c>
      <x:c r="AH359" s="245" t="n">
        <x:f>W359</x:f>
        <x:v>-0.07095246158727839</x:v>
      </x:c>
      <x:c r="AI359" s="246" t="n">
        <x:f>G359-$B$4*Z359</x:f>
        <x:v>2.74812653551172</x:v>
      </x:c>
      <x:c r="AJ359" s="246" t="n">
        <x:f>H359-$B$4*AA359</x:f>
        <x:v>-3.163037547146705</x:v>
      </x:c>
      <x:c r="AK359" s="246" t="n">
        <x:f>I359-$B$4*AB359</x:f>
        <x:v>-1.6257938228450757</x:v>
      </x:c>
      <x:c r="AL359" s="246" t="n">
        <x:f>J359-$B$4*AC359</x:f>
        <x:v>2.993487931287251</x:v>
      </x:c>
      <x:c r="AM359" s="246" t="n">
        <x:f>K359-$B$4*AD359</x:f>
        <x:v>-2.9150830791367164</x:v>
      </x:c>
      <x:c r="AN359" s="246" t="n">
        <x:f>L359-$B$4*AE359</x:f>
        <x:v>1.6760380081945567</x:v>
      </x:c>
      <x:c r="AO359" s="246" t="n">
        <x:f>M359-$B$4*AF359</x:f>
        <x:v>3.4188391604137593</x:v>
      </x:c>
      <x:c r="AP359" s="246" t="n">
        <x:f>N359-$B$4*AG359</x:f>
        <x:v>-3.123793717177376</x:v>
      </x:c>
      <x:c r="AQ359" s="246" t="n">
        <x:f>O359-$B$4*AH359</x:f>
        <x:v>1.4904222074699938</x:v>
      </x:c>
      <x:c r="AR359" s="182" t="n">
        <x:f>IF(U359&gt;=$B$5,1,0)</x:f>
        <x:v>1</x:v>
      </x:c>
      <x:c r="AS359" s="182" t="n">
        <x:f>IF(AR359=F359,1,0)</x:f>
        <x:v>1</x:v>
      </x:c>
      <x:c r="AT359" s="252" t="n">
        <x:f>ABS(F359-U359)</x:f>
        <x:v>0.3239660300323304</x:v>
      </x:c>
    </x:row>
    <x:row r="360">
      <x:c r="A360" s="114" t="n">
        <x:v>344</x:v>
      </x:c>
      <x:c r="B360" s="114" t="n">
        <x:v>86</x:v>
      </x:c>
      <x:c r="C360" s="114" t="n">
        <x:v>4</x:v>
      </x:c>
      <x:c r="D360" s="168" t="n">
        <x:f>$I$8</x:f>
        <x:v>1</x:v>
      </x:c>
      <x:c r="E360" s="168" t="n">
        <x:f>$J$8</x:f>
        <x:v>1</x:v>
      </x:c>
      <x:c r="F360" s="168" t="n">
        <x:f>$K$8</x:f>
        <x:v>0</x:v>
      </x:c>
      <x:c r="G360" s="242" t="n">
        <x:f>AI359</x:f>
        <x:v>2.74812653551172</x:v>
      </x:c>
      <x:c r="H360" s="242" t="n">
        <x:f>AJ359</x:f>
        <x:v>-3.163037547146705</x:v>
      </x:c>
      <x:c r="I360" s="242" t="n">
        <x:f>AK359</x:f>
        <x:v>-1.6257938228450757</x:v>
      </x:c>
      <x:c r="J360" s="242" t="n">
        <x:f>AL359</x:f>
        <x:v>2.993487931287251</x:v>
      </x:c>
      <x:c r="K360" s="242" t="n">
        <x:f>AM359</x:f>
        <x:v>-2.9150830791367164</x:v>
      </x:c>
      <x:c r="L360" s="242" t="n">
        <x:f>AN359</x:f>
        <x:v>1.6760380081945567</x:v>
      </x:c>
      <x:c r="M360" s="242" t="n">
        <x:f>AO359</x:f>
        <x:v>3.4188391604137593</x:v>
      </x:c>
      <x:c r="N360" s="242" t="n">
        <x:f>AP359</x:f>
        <x:v>-3.123793717177376</x:v>
      </x:c>
      <x:c r="O360" s="242" t="n">
        <x:f>AQ359</x:f>
        <x:v>1.4904222074699938</x:v>
      </x:c>
      <x:c r="P360" s="243" t="n">
        <x:f>D360*G360+E360*H360+I360</x:f>
        <x:v>-2.040704834480061</x:v>
      </x:c>
      <x:c r="Q360" s="243" t="n">
        <x:f>1/(1+EXP(-P360))</x:f>
        <x:v>0.11499498077260696</x:v>
      </x:c>
      <x:c r="R360" s="243" t="n">
        <x:f>D360*J360+E360*K360+L360</x:f>
        <x:v>1.7544428603450912</x:v>
      </x:c>
      <x:c r="S360" s="243" t="n">
        <x:f>1/(1+EXP(-R360))</x:f>
        <x:v>0.8525123007055313</x:v>
      </x:c>
      <x:c r="T360" s="243" t="n">
        <x:f>Q360*M360+S360*N360+O360</x:f>
        <x:v>-0.779501017773959</x:v>
      </x:c>
      <x:c r="U360" s="243" t="n">
        <x:f>1/(1+EXP(-T360))</x:f>
        <x:v>0.314427438118382</x:v>
      </x:c>
      <x:c r="V360" s="243" t="n">
        <x:f>0.5*(F360-U360)^2</x:f>
        <x:v>0.049432306920844465</x:v>
      </x:c>
      <x:c r="W360" s="244" t="n">
        <x:f>(U360-F360)*U360*(1-U360)</x:f>
        <x:v>0.06777886659088354</x:v>
      </x:c>
      <x:c r="X360" s="244" t="n">
        <x:f>W360*M360*Q360*(1-Q360)</x:f>
        <x:v>0.02358292070891699</x:v>
      </x:c>
      <x:c r="Y360" s="244" t="n">
        <x:f>W360*N360*S360*(1-S360)</x:f>
        <x:v>-0.026621535675233104</x:v>
      </x:c>
      <x:c r="Z360" s="245" t="n">
        <x:f>X360*D360</x:f>
        <x:v>0.02358292070891699</x:v>
      </x:c>
      <x:c r="AA360" s="245" t="n">
        <x:f>X360*E360</x:f>
        <x:v>0.02358292070891699</x:v>
      </x:c>
      <x:c r="AB360" s="245" t="n">
        <x:f>X360</x:f>
        <x:v>0.02358292070891699</x:v>
      </x:c>
      <x:c r="AC360" s="245" t="n">
        <x:f>Y360*D360</x:f>
        <x:v>-0.026621535675233104</x:v>
      </x:c>
      <x:c r="AD360" s="245" t="n">
        <x:f>Y360*E360</x:f>
        <x:v>-0.026621535675233104</x:v>
      </x:c>
      <x:c r="AE360" s="245" t="n">
        <x:f>Y360</x:f>
        <x:v>-0.026621535675233104</x:v>
      </x:c>
      <x:c r="AF360" s="245" t="n">
        <x:f>W360*Q360</x:f>
        <x:v>0.0077942294604077455</x:v>
      </x:c>
      <x:c r="AG360" s="245" t="n">
        <x:f>W360*S360</x:f>
        <x:v>0.0577823174966074</x:v>
      </x:c>
      <x:c r="AH360" s="245" t="n">
        <x:f>W360</x:f>
        <x:v>0.06777886659088354</x:v>
      </x:c>
      <x:c r="AI360" s="246" t="n">
        <x:f>G360-$B$4*Z360</x:f>
        <x:v>2.724543614802803</x:v>
      </x:c>
      <x:c r="AJ360" s="246" t="n">
        <x:f>H360-$B$4*AA360</x:f>
        <x:v>-3.186620467855622</x:v>
      </x:c>
      <x:c r="AK360" s="246" t="n">
        <x:f>I360-$B$4*AB360</x:f>
        <x:v>-1.6493767435539928</x:v>
      </x:c>
      <x:c r="AL360" s="246" t="n">
        <x:f>J360-$B$4*AC360</x:f>
        <x:v>3.020109466962484</x:v>
      </x:c>
      <x:c r="AM360" s="246" t="n">
        <x:f>K360-$B$4*AD360</x:f>
        <x:v>-2.8884615434614833</x:v>
      </x:c>
      <x:c r="AN360" s="246" t="n">
        <x:f>L360-$B$4*AE360</x:f>
        <x:v>1.7026595438697898</x:v>
      </x:c>
      <x:c r="AO360" s="246" t="n">
        <x:f>M360-$B$4*AF360</x:f>
        <x:v>3.4110449309533517</x:v>
      </x:c>
      <x:c r="AP360" s="246" t="n">
        <x:f>N360-$B$4*AG360</x:f>
        <x:v>-3.1815760346739834</x:v>
      </x:c>
      <x:c r="AQ360" s="246" t="n">
        <x:f>O360-$B$4*AH360</x:f>
        <x:v>1.4226433408791102</x:v>
      </x:c>
      <x:c r="AR360" s="182" t="n">
        <x:f>IF(U360&gt;=$B$5,1,0)</x:f>
        <x:v>0</x:v>
      </x:c>
      <x:c r="AS360" s="182" t="n">
        <x:f>IF(AR360=F360,1,0)</x:f>
        <x:v>1</x:v>
      </x:c>
      <x:c r="AT360" s="252" t="n">
        <x:f>ABS(F360-U360)</x:f>
        <x:v>0.314427438118382</x:v>
      </x:c>
    </x:row>
    <x:row r="361">
      <x:c r="A361" s="114" t="n">
        <x:v>345</x:v>
      </x:c>
      <x:c r="B361" s="114" t="n">
        <x:v>87</x:v>
      </x:c>
      <x:c r="C361" s="114" t="n">
        <x:v>1</x:v>
      </x:c>
      <x:c r="D361" s="168" t="n">
        <x:f>$I$5</x:f>
        <x:v>0</x:v>
      </x:c>
      <x:c r="E361" s="168" t="n">
        <x:f>$J$5</x:f>
        <x:v>0</x:v>
      </x:c>
      <x:c r="F361" s="168" t="n">
        <x:f>$K$5</x:f>
        <x:v>0</x:v>
      </x:c>
      <x:c r="G361" s="242" t="n">
        <x:f>AI360</x:f>
        <x:v>2.724543614802803</x:v>
      </x:c>
      <x:c r="H361" s="242" t="n">
        <x:f>AJ360</x:f>
        <x:v>-3.186620467855622</x:v>
      </x:c>
      <x:c r="I361" s="242" t="n">
        <x:f>AK360</x:f>
        <x:v>-1.6493767435539928</x:v>
      </x:c>
      <x:c r="J361" s="242" t="n">
        <x:f>AL360</x:f>
        <x:v>3.020109466962484</x:v>
      </x:c>
      <x:c r="K361" s="242" t="n">
        <x:f>AM360</x:f>
        <x:v>-2.8884615434614833</x:v>
      </x:c>
      <x:c r="L361" s="242" t="n">
        <x:f>AN360</x:f>
        <x:v>1.7026595438697898</x:v>
      </x:c>
      <x:c r="M361" s="242" t="n">
        <x:f>AO360</x:f>
        <x:v>3.4110449309533517</x:v>
      </x:c>
      <x:c r="N361" s="242" t="n">
        <x:f>AP360</x:f>
        <x:v>-3.1815760346739834</x:v>
      </x:c>
      <x:c r="O361" s="242" t="n">
        <x:f>AQ360</x:f>
        <x:v>1.4226433408791102</x:v>
      </x:c>
      <x:c r="P361" s="243" t="n">
        <x:f>D361*G361+E361*H361+I361</x:f>
        <x:v>-1.6493767435539928</x:v>
      </x:c>
      <x:c r="Q361" s="243" t="n">
        <x:f>1/(1+EXP(-P361))</x:f>
        <x:v>0.16119320225803765</x:v>
      </x:c>
      <x:c r="R361" s="243" t="n">
        <x:f>D361*J361+E361*K361+L361</x:f>
        <x:v>1.7026595438697898</x:v>
      </x:c>
      <x:c r="S361" s="243" t="n">
        <x:f>1/(1+EXP(-R361))</x:f>
        <x:v>0.8458817675148792</x:v>
      </x:c>
      <x:c r="T361" s="243" t="n">
        <x:f>Q361*M361+S361*N361+O361</x:f>
        <x:v>-0.718756563347482</x:v>
      </x:c>
      <x:c r="U361" s="243" t="n">
        <x:f>1/(1+EXP(-T361))</x:f>
        <x:v>0.3276668549051805</x:v>
      </x:c>
      <x:c r="V361" s="243" t="n">
        <x:f>0.5*(F361-U361)^2</x:f>
        <x:v>0.0536827839017263</x:v>
      </x:c>
      <x:c r="W361" s="244" t="n">
        <x:f>(U361-F361)*U361*(1-U361)</x:f>
        <x:v>0.07218542987618638</x:v>
      </x:c>
      <x:c r="X361" s="244" t="n">
        <x:f>W361*M361*Q361*(1-Q361)</x:f>
        <x:v>0.03329244198176354</x:v>
      </x:c>
      <x:c r="Y361" s="244" t="n">
        <x:f>W361*N361*S361*(1-S361)</x:f>
        <x:v>-0.02994025793734116</x:v>
      </x:c>
      <x:c r="Z361" s="245" t="n">
        <x:f>X361*D361</x:f>
        <x:v>0</x:v>
      </x:c>
      <x:c r="AA361" s="245" t="n">
        <x:f>X361*E361</x:f>
        <x:v>0</x:v>
      </x:c>
      <x:c r="AB361" s="245" t="n">
        <x:f>X361</x:f>
        <x:v>0.03329244198176354</x:v>
      </x:c>
      <x:c r="AC361" s="245" t="n">
        <x:f>Y361*D361</x:f>
        <x:v>0</x:v>
      </x:c>
      <x:c r="AD361" s="245" t="n">
        <x:f>Y361*E361</x:f>
        <x:v>0</x:v>
      </x:c>
      <x:c r="AE361" s="245" t="n">
        <x:f>Y361</x:f>
        <x:v>-0.02994025793734116</x:v>
      </x:c>
      <x:c r="AF361" s="245" t="n">
        <x:f>W361*Q361</x:f>
        <x:v>0.011635800598115505</x:v>
      </x:c>
      <x:c r="AG361" s="245" t="n">
        <x:f>W361*S361</x:f>
        <x:v>0.0610603390124899</x:v>
      </x:c>
      <x:c r="AH361" s="245" t="n">
        <x:f>W361</x:f>
        <x:v>0.07218542987618638</x:v>
      </x:c>
      <x:c r="AI361" s="246" t="n">
        <x:f>G361-$B$4*Z361</x:f>
        <x:v>2.724543614802803</x:v>
      </x:c>
      <x:c r="AJ361" s="246" t="n">
        <x:f>H361-$B$4*AA361</x:f>
        <x:v>-3.186620467855622</x:v>
      </x:c>
      <x:c r="AK361" s="246" t="n">
        <x:f>I361-$B$4*AB361</x:f>
        <x:v>-1.6826691855357563</x:v>
      </x:c>
      <x:c r="AL361" s="246" t="n">
        <x:f>J361-$B$4*AC361</x:f>
        <x:v>3.020109466962484</x:v>
      </x:c>
      <x:c r="AM361" s="246" t="n">
        <x:f>K361-$B$4*AD361</x:f>
        <x:v>-2.8884615434614833</x:v>
      </x:c>
      <x:c r="AN361" s="246" t="n">
        <x:f>L361-$B$4*AE361</x:f>
        <x:v>1.732599801807131</x:v>
      </x:c>
      <x:c r="AO361" s="246" t="n">
        <x:f>M361-$B$4*AF361</x:f>
        <x:v>3.3994091303552363</x:v>
      </x:c>
      <x:c r="AP361" s="246" t="n">
        <x:f>N361-$B$4*AG361</x:f>
        <x:v>-3.2426363736864734</x:v>
      </x:c>
      <x:c r="AQ361" s="246" t="n">
        <x:f>O361-$B$4*AH361</x:f>
        <x:v>1.3504579110029238</x:v>
      </x:c>
      <x:c r="AR361" s="182" t="n">
        <x:f>IF(U361&gt;=$B$5,1,0)</x:f>
        <x:v>0</x:v>
      </x:c>
      <x:c r="AS361" s="182" t="n">
        <x:f>IF(AR361=F361,1,0)</x:f>
        <x:v>1</x:v>
      </x:c>
      <x:c r="AT361" s="252" t="n">
        <x:f>ABS(F361-U361)</x:f>
        <x:v>0.3276668549051805</x:v>
      </x:c>
    </x:row>
    <x:row r="362">
      <x:c r="A362" s="114" t="n">
        <x:v>346</x:v>
      </x:c>
      <x:c r="B362" s="114" t="n">
        <x:v>87</x:v>
      </x:c>
      <x:c r="C362" s="114" t="n">
        <x:v>2</x:v>
      </x:c>
      <x:c r="D362" s="168" t="n">
        <x:f>$I$6</x:f>
        <x:v>0</x:v>
      </x:c>
      <x:c r="E362" s="168" t="n">
        <x:f>$J$6</x:f>
        <x:v>1</x:v>
      </x:c>
      <x:c r="F362" s="168" t="n">
        <x:f>$K$6</x:f>
        <x:v>1</x:v>
      </x:c>
      <x:c r="G362" s="242" t="n">
        <x:f>AI361</x:f>
        <x:v>2.724543614802803</x:v>
      </x:c>
      <x:c r="H362" s="242" t="n">
        <x:f>AJ361</x:f>
        <x:v>-3.186620467855622</x:v>
      </x:c>
      <x:c r="I362" s="242" t="n">
        <x:f>AK361</x:f>
        <x:v>-1.6826691855357563</x:v>
      </x:c>
      <x:c r="J362" s="242" t="n">
        <x:f>AL361</x:f>
        <x:v>3.020109466962484</x:v>
      </x:c>
      <x:c r="K362" s="242" t="n">
        <x:f>AM361</x:f>
        <x:v>-2.8884615434614833</x:v>
      </x:c>
      <x:c r="L362" s="242" t="n">
        <x:f>AN361</x:f>
        <x:v>1.732599801807131</x:v>
      </x:c>
      <x:c r="M362" s="242" t="n">
        <x:f>AO361</x:f>
        <x:v>3.3994091303552363</x:v>
      </x:c>
      <x:c r="N362" s="242" t="n">
        <x:f>AP361</x:f>
        <x:v>-3.2426363736864734</x:v>
      </x:c>
      <x:c r="O362" s="242" t="n">
        <x:f>AQ361</x:f>
        <x:v>1.3504579110029238</x:v>
      </x:c>
      <x:c r="P362" s="243" t="n">
        <x:f>D362*G362+E362*H362+I362</x:f>
        <x:v>-4.8692896533913785</x:v>
      </x:c>
      <x:c r="Q362" s="243" t="n">
        <x:f>1/(1+EXP(-P362))</x:f>
        <x:v>0.007620303053275813</x:v>
      </x:c>
      <x:c r="R362" s="243" t="n">
        <x:f>D362*J362+E362*K362+L362</x:f>
        <x:v>-1.1558617416543524</x:v>
      </x:c>
      <x:c r="S362" s="243" t="n">
        <x:f>1/(1+EXP(-R362))</x:f>
        <x:v>0.23942004127082106</x:v>
      </x:c>
      <x:c r="T362" s="243" t="n">
        <x:f>Q362*M362+S362*N362+O362</x:f>
        <x:v>0.6000103043640225</x:v>
      </x:c>
      <x:c r="U362" s="243" t="n">
        <x:f>1/(1+EXP(-T362))</x:f>
        <x:v>0.6456586636983535</x:v>
      </x:c>
      <x:c r="V362" s="243" t="n">
        <x:f>0.5*(F362-U362)^2</x:f>
        <x:v>0.06277889130601828</x:v>
      </x:c>
      <x:c r="W362" s="244" t="n">
        <x:f>(U362-F362)*U362*(1-U362)</x:f>
        <x:v>-0.0810674701382159</x:v>
      </x:c>
      <x:c r="X362" s="244" t="n">
        <x:f>W362*M362*Q362*(1-Q362)</x:f>
        <x:v>-0.002084011784726005</x:v>
      </x:c>
      <x:c r="Y362" s="244" t="n">
        <x:f>W362*N362*S362*(1-S362)</x:f>
        <x:v>0.047868547446318</x:v>
      </x:c>
      <x:c r="Z362" s="245" t="n">
        <x:f>X362*D362</x:f>
        <x:v>0</x:v>
      </x:c>
      <x:c r="AA362" s="245" t="n">
        <x:f>X362*E362</x:f>
        <x:v>-0.002084011784726005</x:v>
      </x:c>
      <x:c r="AB362" s="245" t="n">
        <x:f>X362</x:f>
        <x:v>-0.002084011784726005</x:v>
      </x:c>
      <x:c r="AC362" s="245" t="n">
        <x:f>Y362*D362</x:f>
        <x:v>0</x:v>
      </x:c>
      <x:c r="AD362" s="245" t="n">
        <x:f>Y362*E362</x:f>
        <x:v>0.047868547446318</x:v>
      </x:c>
      <x:c r="AE362" s="245" t="n">
        <x:f>Y362</x:f>
        <x:v>0.047868547446318</x:v>
      </x:c>
      <x:c r="AF362" s="245" t="n">
        <x:f>W362*Q362</x:f>
        <x:v>-0.0006177586902155924</x:v>
      </x:c>
      <x:c r="AG362" s="245" t="n">
        <x:f>W362*S362</x:f>
        <x:v>-0.019409177046212703</x:v>
      </x:c>
      <x:c r="AH362" s="245" t="n">
        <x:f>W362</x:f>
        <x:v>-0.0810674701382159</x:v>
      </x:c>
      <x:c r="AI362" s="246" t="n">
        <x:f>G362-$B$4*Z362</x:f>
        <x:v>2.724543614802803</x:v>
      </x:c>
      <x:c r="AJ362" s="246" t="n">
        <x:f>H362-$B$4*AA362</x:f>
        <x:v>-3.1845364560708957</x:v>
      </x:c>
      <x:c r="AK362" s="246" t="n">
        <x:f>I362-$B$4*AB362</x:f>
        <x:v>-1.6805851737510302</x:v>
      </x:c>
      <x:c r="AL362" s="246" t="n">
        <x:f>J362-$B$4*AC362</x:f>
        <x:v>3.020109466962484</x:v>
      </x:c>
      <x:c r="AM362" s="246" t="n">
        <x:f>K362-$B$4*AD362</x:f>
        <x:v>-2.936330090907801</x:v>
      </x:c>
      <x:c r="AN362" s="246" t="n">
        <x:f>L362-$B$4*AE362</x:f>
        <x:v>1.6847312543608128</x:v>
      </x:c>
      <x:c r="AO362" s="246" t="n">
        <x:f>M362-$B$4*AF362</x:f>
        <x:v>3.400026889045452</x:v>
      </x:c>
      <x:c r="AP362" s="246" t="n">
        <x:f>N362-$B$4*AG362</x:f>
        <x:v>-3.2232271966402606</x:v>
      </x:c>
      <x:c r="AQ362" s="246" t="n">
        <x:f>O362-$B$4*AH362</x:f>
        <x:v>1.4315253811411397</x:v>
      </x:c>
      <x:c r="AR362" s="182" t="n">
        <x:f>IF(U362&gt;=$B$5,1,0)</x:f>
        <x:v>1</x:v>
      </x:c>
      <x:c r="AS362" s="182" t="n">
        <x:f>IF(AR362=F362,1,0)</x:f>
        <x:v>1</x:v>
      </x:c>
      <x:c r="AT362" s="252" t="n">
        <x:f>ABS(F362-U362)</x:f>
        <x:v>0.35434133630164655</x:v>
      </x:c>
    </x:row>
    <x:row r="363">
      <x:c r="A363" s="114" t="n">
        <x:v>347</x:v>
      </x:c>
      <x:c r="B363" s="114" t="n">
        <x:v>87</x:v>
      </x:c>
      <x:c r="C363" s="114" t="n">
        <x:v>3</x:v>
      </x:c>
      <x:c r="D363" s="168" t="n">
        <x:f>$I$7</x:f>
        <x:v>1</x:v>
      </x:c>
      <x:c r="E363" s="168" t="n">
        <x:f>$J$7</x:f>
        <x:v>0</x:v>
      </x:c>
      <x:c r="F363" s="168" t="n">
        <x:f>$K$7</x:f>
        <x:v>1</x:v>
      </x:c>
      <x:c r="G363" s="242" t="n">
        <x:f>AI362</x:f>
        <x:v>2.724543614802803</x:v>
      </x:c>
      <x:c r="H363" s="242" t="n">
        <x:f>AJ362</x:f>
        <x:v>-3.1845364560708957</x:v>
      </x:c>
      <x:c r="I363" s="242" t="n">
        <x:f>AK362</x:f>
        <x:v>-1.6805851737510302</x:v>
      </x:c>
      <x:c r="J363" s="242" t="n">
        <x:f>AL362</x:f>
        <x:v>3.020109466962484</x:v>
      </x:c>
      <x:c r="K363" s="242" t="n">
        <x:f>AM362</x:f>
        <x:v>-2.936330090907801</x:v>
      </x:c>
      <x:c r="L363" s="242" t="n">
        <x:f>AN362</x:f>
        <x:v>1.6847312543608128</x:v>
      </x:c>
      <x:c r="M363" s="242" t="n">
        <x:f>AO362</x:f>
        <x:v>3.400026889045452</x:v>
      </x:c>
      <x:c r="N363" s="242" t="n">
        <x:f>AP362</x:f>
        <x:v>-3.2232271966402606</x:v>
      </x:c>
      <x:c r="O363" s="242" t="n">
        <x:f>AQ362</x:f>
        <x:v>1.4315253811411397</x:v>
      </x:c>
      <x:c r="P363" s="243" t="n">
        <x:f>D363*G363+E363*H363+I363</x:f>
        <x:v>1.0439584410517728</x:v>
      </x:c>
      <x:c r="Q363" s="243" t="n">
        <x:f>1/(1+EXP(-P363))</x:f>
        <x:v>0.7396130675046629</x:v>
      </x:c>
      <x:c r="R363" s="243" t="n">
        <x:f>D363*J363+E363*K363+L363</x:f>
        <x:v>4.704840721323297</x:v>
      </x:c>
      <x:c r="S363" s="243" t="n">
        <x:f>1/(1+EXP(-R363))</x:f>
        <x:v>0.991029836351619</x:v>
      </x:c>
      <x:c r="T363" s="243" t="n">
        <x:f>Q363*M363+S363*N363+O363</x:f>
        <x:v>0.7519153769358975</x:v>
      </x:c>
      <x:c r="U363" s="243" t="n">
        <x:f>1/(1+EXP(-T363))</x:f>
        <x:v>0.679595906909839</x:v>
      </x:c>
      <x:c r="V363" s="243" t="n">
        <x:f>0.5*(F363-U363)^2</x:f>
        <x:v>0.05132939143446429</x:v>
      </x:c>
      <x:c r="W363" s="244" t="n">
        <x:f>(U363-F363)*U363*(1-U363)</x:f>
        <x:v>-0.06976648864606977</x:v>
      </x:c>
      <x:c r="X363" s="244" t="n">
        <x:f>W363*M363*Q363*(1-Q363)</x:f>
        <x:v>-0.04568282769268864</x:v>
      </x:c>
      <x:c r="Y363" s="244" t="n">
        <x:f>W363*N363*S363*(1-S363)</x:f>
        <x:v>0.0019990556316286513</x:v>
      </x:c>
      <x:c r="Z363" s="245" t="n">
        <x:f>X363*D363</x:f>
        <x:v>-0.04568282769268864</x:v>
      </x:c>
      <x:c r="AA363" s="245" t="n">
        <x:f>X363*E363</x:f>
        <x:v>0</x:v>
      </x:c>
      <x:c r="AB363" s="245" t="n">
        <x:f>X363</x:f>
        <x:v>-0.04568282769268864</x:v>
      </x:c>
      <x:c r="AC363" s="245" t="n">
        <x:f>Y363*D363</x:f>
        <x:v>0.0019990556316286513</x:v>
      </x:c>
      <x:c r="AD363" s="245" t="n">
        <x:f>Y363*E363</x:f>
        <x:v>0</x:v>
      </x:c>
      <x:c r="AE363" s="245" t="n">
        <x:f>Y363</x:f>
        <x:v>0.0019990556316286513</x:v>
      </x:c>
      <x:c r="AF363" s="245" t="n">
        <x:f>W363*Q363</x:f>
        <x:v>-0.0516002066765489</x:v>
      </x:c>
      <x:c r="AG363" s="245" t="n">
        <x:f>W363*S363</x:f>
        <x:v>-0.06914067182574161</x:v>
      </x:c>
      <x:c r="AH363" s="245" t="n">
        <x:f>W363</x:f>
        <x:v>-0.06976648864606977</x:v>
      </x:c>
      <x:c r="AI363" s="246" t="n">
        <x:f>G363-$B$4*Z363</x:f>
        <x:v>2.770226442495492</x:v>
      </x:c>
      <x:c r="AJ363" s="246" t="n">
        <x:f>H363-$B$4*AA363</x:f>
        <x:v>-3.1845364560708957</x:v>
      </x:c>
      <x:c r="AK363" s="246" t="n">
        <x:f>I363-$B$4*AB363</x:f>
        <x:v>-1.6349023460583416</x:v>
      </x:c>
      <x:c r="AL363" s="246" t="n">
        <x:f>J363-$B$4*AC363</x:f>
        <x:v>3.0181104113308552</x:v>
      </x:c>
      <x:c r="AM363" s="246" t="n">
        <x:f>K363-$B$4*AD363</x:f>
        <x:v>-2.936330090907801</x:v>
      </x:c>
      <x:c r="AN363" s="246" t="n">
        <x:f>L363-$B$4*AE363</x:f>
        <x:v>1.6827321987291841</x:v>
      </x:c>
      <x:c r="AO363" s="246" t="n">
        <x:f>M363-$B$4*AF363</x:f>
        <x:v>3.4516270957220008</x:v>
      </x:c>
      <x:c r="AP363" s="246" t="n">
        <x:f>N363-$B$4*AG363</x:f>
        <x:v>-3.154086524814519</x:v>
      </x:c>
      <x:c r="AQ363" s="246" t="n">
        <x:f>O363-$B$4*AH363</x:f>
        <x:v>1.5012918697872095</x:v>
      </x:c>
      <x:c r="AR363" s="182" t="n">
        <x:f>IF(U363&gt;=$B$5,1,0)</x:f>
        <x:v>1</x:v>
      </x:c>
      <x:c r="AS363" s="182" t="n">
        <x:f>IF(AR363=F363,1,0)</x:f>
        <x:v>1</x:v>
      </x:c>
      <x:c r="AT363" s="252" t="n">
        <x:f>ABS(F363-U363)</x:f>
        <x:v>0.32040409309016105</x:v>
      </x:c>
    </x:row>
    <x:row r="364">
      <x:c r="A364" s="114" t="n">
        <x:v>348</x:v>
      </x:c>
      <x:c r="B364" s="114" t="n">
        <x:v>87</x:v>
      </x:c>
      <x:c r="C364" s="114" t="n">
        <x:v>4</x:v>
      </x:c>
      <x:c r="D364" s="168" t="n">
        <x:f>$I$8</x:f>
        <x:v>1</x:v>
      </x:c>
      <x:c r="E364" s="168" t="n">
        <x:f>$J$8</x:f>
        <x:v>1</x:v>
      </x:c>
      <x:c r="F364" s="168" t="n">
        <x:f>$K$8</x:f>
        <x:v>0</x:v>
      </x:c>
      <x:c r="G364" s="242" t="n">
        <x:f>AI363</x:f>
        <x:v>2.770226442495492</x:v>
      </x:c>
      <x:c r="H364" s="242" t="n">
        <x:f>AJ363</x:f>
        <x:v>-3.1845364560708957</x:v>
      </x:c>
      <x:c r="I364" s="242" t="n">
        <x:f>AK363</x:f>
        <x:v>-1.6349023460583416</x:v>
      </x:c>
      <x:c r="J364" s="242" t="n">
        <x:f>AL363</x:f>
        <x:v>3.0181104113308552</x:v>
      </x:c>
      <x:c r="K364" s="242" t="n">
        <x:f>AM363</x:f>
        <x:v>-2.936330090907801</x:v>
      </x:c>
      <x:c r="L364" s="242" t="n">
        <x:f>AN363</x:f>
        <x:v>1.6827321987291841</x:v>
      </x:c>
      <x:c r="M364" s="242" t="n">
        <x:f>AO363</x:f>
        <x:v>3.4516270957220008</x:v>
      </x:c>
      <x:c r="N364" s="242" t="n">
        <x:f>AP363</x:f>
        <x:v>-3.154086524814519</x:v>
      </x:c>
      <x:c r="O364" s="242" t="n">
        <x:f>AQ363</x:f>
        <x:v>1.5012918697872095</x:v>
      </x:c>
      <x:c r="P364" s="243" t="n">
        <x:f>D364*G364+E364*H364+I364</x:f>
        <x:v>-2.0492123596337457</x:v>
      </x:c>
      <x:c r="Q364" s="243" t="n">
        <x:f>1/(1+EXP(-P364))</x:f>
        <x:v>0.11413199215268632</x:v>
      </x:c>
      <x:c r="R364" s="243" t="n">
        <x:f>D364*J364+E364*K364+L364</x:f>
        <x:v>1.7645125191522382</x:v>
      </x:c>
      <x:c r="S364" s="243" t="n">
        <x:f>1/(1+EXP(-R364))</x:f>
        <x:v>0.8537739210324499</x:v>
      </x:c>
      <x:c r="T364" s="243" t="n">
        <x:f>Q364*M364+S364*N364+O364</x:f>
        <x:v>-0.7976438731763529</x:v>
      </x:c>
      <x:c r="U364" s="243" t="n">
        <x:f>1/(1+EXP(-T364))</x:f>
        <x:v>0.3105297427055276</x:v>
      </x:c>
      <x:c r="V364" s="243" t="n">
        <x:f>0.5*(F364-U364)^2</x:f>
        <x:v>0.04821436055238058</x:v>
      </x:c>
      <x:c r="W364" s="244" t="n">
        <x:f>(U364-F364)*U364*(1-U364)</x:f>
        <x:v>0.0664847351506766</x:v>
      </x:c>
      <x:c r="X364" s="244" t="n">
        <x:f>W364*M364*Q364*(1-Q364)</x:f>
        <x:v>0.023201829359160948</x:v>
      </x:c>
      <x:c r="Y364" s="244" t="n">
        <x:f>W364*N364*S364*(1-S364)</x:f>
        <x:v>-0.02617961560642767</x:v>
      </x:c>
      <x:c r="Z364" s="245" t="n">
        <x:f>X364*D364</x:f>
        <x:v>0.023201829359160948</x:v>
      </x:c>
      <x:c r="AA364" s="245" t="n">
        <x:f>X364*E364</x:f>
        <x:v>0.023201829359160948</x:v>
      </x:c>
      <x:c r="AB364" s="245" t="n">
        <x:f>X364</x:f>
        <x:v>0.023201829359160948</x:v>
      </x:c>
      <x:c r="AC364" s="245" t="n">
        <x:f>Y364*D364</x:f>
        <x:v>-0.02617961560642767</x:v>
      </x:c>
      <x:c r="AD364" s="245" t="n">
        <x:f>Y364*E364</x:f>
        <x:v>-0.02617961560642767</x:v>
      </x:c>
      <x:c r="AE364" s="245" t="n">
        <x:f>Y364</x:f>
        <x:v>-0.02617961560642767</x:v>
      </x:c>
      <x:c r="AF364" s="245" t="n">
        <x:f>W364*Q364</x:f>
        <x:v>0.00758803527049045</x:v>
      </x:c>
      <x:c r="AG364" s="245" t="n">
        <x:f>W364*S364</x:f>
        <x:v>0.056762933018397105</x:v>
      </x:c>
      <x:c r="AH364" s="245" t="n">
        <x:f>W364</x:f>
        <x:v>0.0664847351506766</x:v>
      </x:c>
      <x:c r="AI364" s="246" t="n">
        <x:f>G364-$B$4*Z364</x:f>
        <x:v>2.7470246131363307</x:v>
      </x:c>
      <x:c r="AJ364" s="246" t="n">
        <x:f>H364-$B$4*AA364</x:f>
        <x:v>-3.207738285430057</x:v>
      </x:c>
      <x:c r="AK364" s="246" t="n">
        <x:f>I364-$B$4*AB364</x:f>
        <x:v>-1.6581041754175025</x:v>
      </x:c>
      <x:c r="AL364" s="246" t="n">
        <x:f>J364-$B$4*AC364</x:f>
        <x:v>3.044290026937283</x:v>
      </x:c>
      <x:c r="AM364" s="246" t="n">
        <x:f>K364-$B$4*AD364</x:f>
        <x:v>-2.9101504753013736</x:v>
      </x:c>
      <x:c r="AN364" s="246" t="n">
        <x:f>L364-$B$4*AE364</x:f>
        <x:v>1.7089118143356117</x:v>
      </x:c>
      <x:c r="AO364" s="246" t="n">
        <x:f>M364-$B$4*AF364</x:f>
        <x:v>3.4440390604515105</x:v>
      </x:c>
      <x:c r="AP364" s="246" t="n">
        <x:f>N364-$B$4*AG364</x:f>
        <x:v>-3.210849457832916</x:v>
      </x:c>
      <x:c r="AQ364" s="246" t="n">
        <x:f>O364-$B$4*AH364</x:f>
        <x:v>1.434807134636533</x:v>
      </x:c>
      <x:c r="AR364" s="182" t="n">
        <x:f>IF(U364&gt;=$B$5,1,0)</x:f>
        <x:v>0</x:v>
      </x:c>
      <x:c r="AS364" s="182" t="n">
        <x:f>IF(AR364=F364,1,0)</x:f>
        <x:v>1</x:v>
      </x:c>
      <x:c r="AT364" s="252" t="n">
        <x:f>ABS(F364-U364)</x:f>
        <x:v>0.3105297427055276</x:v>
      </x:c>
    </x:row>
    <x:row r="365">
      <x:c r="A365" s="114" t="n">
        <x:v>349</x:v>
      </x:c>
      <x:c r="B365" s="114" t="n">
        <x:v>88</x:v>
      </x:c>
      <x:c r="C365" s="114" t="n">
        <x:v>1</x:v>
      </x:c>
      <x:c r="D365" s="168" t="n">
        <x:f>$I$5</x:f>
        <x:v>0</x:v>
      </x:c>
      <x:c r="E365" s="168" t="n">
        <x:f>$J$5</x:f>
        <x:v>0</x:v>
      </x:c>
      <x:c r="F365" s="168" t="n">
        <x:f>$K$5</x:f>
        <x:v>0</x:v>
      </x:c>
      <x:c r="G365" s="242" t="n">
        <x:f>AI364</x:f>
        <x:v>2.7470246131363307</x:v>
      </x:c>
      <x:c r="H365" s="242" t="n">
        <x:f>AJ364</x:f>
        <x:v>-3.207738285430057</x:v>
      </x:c>
      <x:c r="I365" s="242" t="n">
        <x:f>AK364</x:f>
        <x:v>-1.6581041754175025</x:v>
      </x:c>
      <x:c r="J365" s="242" t="n">
        <x:f>AL364</x:f>
        <x:v>3.044290026937283</x:v>
      </x:c>
      <x:c r="K365" s="242" t="n">
        <x:f>AM364</x:f>
        <x:v>-2.9101504753013736</x:v>
      </x:c>
      <x:c r="L365" s="242" t="n">
        <x:f>AN364</x:f>
        <x:v>1.7089118143356117</x:v>
      </x:c>
      <x:c r="M365" s="242" t="n">
        <x:f>AO364</x:f>
        <x:v>3.4440390604515105</x:v>
      </x:c>
      <x:c r="N365" s="242" t="n">
        <x:f>AP364</x:f>
        <x:v>-3.210849457832916</x:v>
      </x:c>
      <x:c r="O365" s="242" t="n">
        <x:f>AQ364</x:f>
        <x:v>1.434807134636533</x:v>
      </x:c>
      <x:c r="P365" s="243" t="n">
        <x:f>D365*G365+E365*H365+I365</x:f>
        <x:v>-1.6581041754175025</x:v>
      </x:c>
      <x:c r="Q365" s="243" t="n">
        <x:f>1/(1+EXP(-P365))</x:f>
        <x:v>0.16001665302091297</x:v>
      </x:c>
      <x:c r="R365" s="243" t="n">
        <x:f>D365*J365+E365*K365+L365</x:f>
        <x:v>1.7089118143356117</x:v>
      </x:c>
      <x:c r="S365" s="243" t="n">
        <x:f>1/(1+EXP(-R365))</x:f>
        <x:v>0.8466950882807966</x:v>
      </x:c>
      <x:c r="T365" s="243" t="n">
        <x:f>Q365*M365+S365*N365+O365</x:f>
        <x:v>-0.7326997271929157</x:v>
      </x:c>
      <x:c r="U365" s="243" t="n">
        <x:f>1/(1+EXP(-T365))</x:f>
        <x:v>0.3246025706824406</x:v>
      </x:c>
      <x:c r="V365" s="243" t="n">
        <x:f>0.5*(F365-U365)^2</x:f>
        <x:v>0.052683414446824416</x:v>
      </x:c>
      <x:c r="W365" s="244" t="n">
        <x:f>(U365-F365)*U365*(1-U365)</x:f>
        <x:v>0.07116448537011356</x:v>
      </x:c>
      <x:c r="X365" s="244" t="n">
        <x:f>W365*M365*Q365*(1-Q365)</x:f>
        <x:v>0.0329433105108456</x:v>
      </x:c>
      <x:c r="Y365" s="244" t="n">
        <x:f>W365*N365*S365*(1-S365)</x:f>
        <x:v>-0.029659673562641885</x:v>
      </x:c>
      <x:c r="Z365" s="245" t="n">
        <x:f>X365*D365</x:f>
        <x:v>0</x:v>
      </x:c>
      <x:c r="AA365" s="245" t="n">
        <x:f>X365*E365</x:f>
        <x:v>0</x:v>
      </x:c>
      <x:c r="AB365" s="245" t="n">
        <x:f>X365</x:f>
        <x:v>0.0329433105108456</x:v>
      </x:c>
      <x:c r="AC365" s="245" t="n">
        <x:f>Y365*D365</x:f>
        <x:v>0</x:v>
      </x:c>
      <x:c r="AD365" s="245" t="n">
        <x:f>Y365*E365</x:f>
        <x:v>0</x:v>
      </x:c>
      <x:c r="AE365" s="245" t="n">
        <x:f>Y365</x:f>
        <x:v>-0.029659673562641885</x:v>
      </x:c>
      <x:c r="AF365" s="245" t="n">
        <x:f>W365*Q365</x:f>
        <x:v>0.0113875027628813</x:v>
      </x:c>
      <x:c r="AG365" s="245" t="n">
        <x:f>W365*S365</x:f>
        <x:v>0.060254620222905765</x:v>
      </x:c>
      <x:c r="AH365" s="245" t="n">
        <x:f>W365</x:f>
        <x:v>0.07116448537011356</x:v>
      </x:c>
      <x:c r="AI365" s="246" t="n">
        <x:f>G365-$B$4*Z365</x:f>
        <x:v>2.7470246131363307</x:v>
      </x:c>
      <x:c r="AJ365" s="246" t="n">
        <x:f>H365-$B$4*AA365</x:f>
        <x:v>-3.207738285430057</x:v>
      </x:c>
      <x:c r="AK365" s="246" t="n">
        <x:f>I365-$B$4*AB365</x:f>
        <x:v>-1.6910474859283482</x:v>
      </x:c>
      <x:c r="AL365" s="246" t="n">
        <x:f>J365-$B$4*AC365</x:f>
        <x:v>3.044290026937283</x:v>
      </x:c>
      <x:c r="AM365" s="246" t="n">
        <x:f>K365-$B$4*AD365</x:f>
        <x:v>-2.9101504753013736</x:v>
      </x:c>
      <x:c r="AN365" s="246" t="n">
        <x:f>L365-$B$4*AE365</x:f>
        <x:v>1.7385714878982537</x:v>
      </x:c>
      <x:c r="AO365" s="246" t="n">
        <x:f>M365-$B$4*AF365</x:f>
        <x:v>3.4326515576886294</x:v>
      </x:c>
      <x:c r="AP365" s="246" t="n">
        <x:f>N365-$B$4*AG365</x:f>
        <x:v>-3.271104078055822</x:v>
      </x:c>
      <x:c r="AQ365" s="246" t="n">
        <x:f>O365-$B$4*AH365</x:f>
        <x:v>1.3636426492664193</x:v>
      </x:c>
      <x:c r="AR365" s="182" t="n">
        <x:f>IF(U365&gt;=$B$5,1,0)</x:f>
        <x:v>0</x:v>
      </x:c>
      <x:c r="AS365" s="182" t="n">
        <x:f>IF(AR365=F365,1,0)</x:f>
        <x:v>1</x:v>
      </x:c>
      <x:c r="AT365" s="252" t="n">
        <x:f>ABS(F365-U365)</x:f>
        <x:v>0.3246025706824406</x:v>
      </x:c>
    </x:row>
    <x:row r="366">
      <x:c r="A366" s="114" t="n">
        <x:v>350</x:v>
      </x:c>
      <x:c r="B366" s="114" t="n">
        <x:v>88</x:v>
      </x:c>
      <x:c r="C366" s="114" t="n">
        <x:v>2</x:v>
      </x:c>
      <x:c r="D366" s="168" t="n">
        <x:f>$I$6</x:f>
        <x:v>0</x:v>
      </x:c>
      <x:c r="E366" s="168" t="n">
        <x:f>$J$6</x:f>
        <x:v>1</x:v>
      </x:c>
      <x:c r="F366" s="168" t="n">
        <x:f>$K$6</x:f>
        <x:v>1</x:v>
      </x:c>
      <x:c r="G366" s="242" t="n">
        <x:f>AI365</x:f>
        <x:v>2.7470246131363307</x:v>
      </x:c>
      <x:c r="H366" s="242" t="n">
        <x:f>AJ365</x:f>
        <x:v>-3.207738285430057</x:v>
      </x:c>
      <x:c r="I366" s="242" t="n">
        <x:f>AK365</x:f>
        <x:v>-1.6910474859283482</x:v>
      </x:c>
      <x:c r="J366" s="242" t="n">
        <x:f>AL365</x:f>
        <x:v>3.044290026937283</x:v>
      </x:c>
      <x:c r="K366" s="242" t="n">
        <x:f>AM365</x:f>
        <x:v>-2.9101504753013736</x:v>
      </x:c>
      <x:c r="L366" s="242" t="n">
        <x:f>AN365</x:f>
        <x:v>1.7385714878982537</x:v>
      </x:c>
      <x:c r="M366" s="242" t="n">
        <x:f>AO365</x:f>
        <x:v>3.4326515576886294</x:v>
      </x:c>
      <x:c r="N366" s="242" t="n">
        <x:f>AP365</x:f>
        <x:v>-3.271104078055822</x:v>
      </x:c>
      <x:c r="O366" s="242" t="n">
        <x:f>AQ365</x:f>
        <x:v>1.3636426492664193</x:v>
      </x:c>
      <x:c r="P366" s="243" t="n">
        <x:f>D366*G366+E366*H366+I366</x:f>
        <x:v>-4.898785771358405</x:v>
      </x:c>
      <x:c r="Q366" s="243" t="n">
        <x:f>1/(1+EXP(-P366))</x:f>
        <x:v>0.007400455356973536</x:v>
      </x:c>
      <x:c r="R366" s="243" t="n">
        <x:f>D366*J366+E366*K366+L366</x:f>
        <x:v>-1.17157898740312</x:v>
      </x:c>
      <x:c r="S366" s="243" t="n">
        <x:f>1/(1+EXP(-R366))</x:f>
        <x:v>0.23656969347604798</x:v>
      </x:c>
      <x:c r="T366" s="243" t="n">
        <x:f>Q366*M366+S366*N366+O366</x:f>
        <x:v>0.6152017448012234</x:v>
      </x:c>
      <x:c r="U366" s="243" t="n">
        <x:f>1/(1+EXP(-T366))</x:f>
        <x:v>0.649126475283936</x:v>
      </x:c>
      <x:c r="V366" s="243" t="n">
        <x:f>0.5*(F366-U366)^2</x:f>
        <x:v>0.0615561151733372</x:v>
      </x:c>
      <x:c r="W366" s="244" t="n">
        <x:f>(U366-F366)*U366*(1-U366)</x:f>
        <x:v>-0.07991540814928078</x:v>
      </x:c>
      <x:c r="X366" s="244" t="n">
        <x:f>W366*M366*Q366*(1-Q366)</x:f>
        <x:v>-0.0020150821584639517</x:v>
      </x:c>
      <x:c r="Y366" s="244" t="n">
        <x:f>W366*N366*S366*(1-S366)</x:f>
        <x:v>0.04721210757212717</x:v>
      </x:c>
      <x:c r="Z366" s="245" t="n">
        <x:f>X366*D366</x:f>
        <x:v>0</x:v>
      </x:c>
      <x:c r="AA366" s="245" t="n">
        <x:f>X366*E366</x:f>
        <x:v>-0.0020150821584639517</x:v>
      </x:c>
      <x:c r="AB366" s="245" t="n">
        <x:f>X366</x:f>
        <x:v>-0.0020150821584639517</x:v>
      </x:c>
      <x:c r="AC366" s="245" t="n">
        <x:f>Y366*D366</x:f>
        <x:v>0</x:v>
      </x:c>
      <x:c r="AD366" s="245" t="n">
        <x:f>Y366*E366</x:f>
        <x:v>0.04721210757212717</x:v>
      </x:c>
      <x:c r="AE366" s="245" t="n">
        <x:f>Y366</x:f>
        <x:v>0.04721210757212717</x:v>
      </x:c>
      <x:c r="AF366" s="245" t="n">
        <x:f>W366*Q366</x:f>
        <x:v>-0.0005914104103430715</x:v>
      </x:c>
      <x:c r="AG366" s="245" t="n">
        <x:f>W366*S366</x:f>
        <x:v>-0.01890556360988862</x:v>
      </x:c>
      <x:c r="AH366" s="245" t="n">
        <x:f>W366</x:f>
        <x:v>-0.07991540814928078</x:v>
      </x:c>
      <x:c r="AI366" s="246" t="n">
        <x:f>G366-$B$4*Z366</x:f>
        <x:v>2.7470246131363307</x:v>
      </x:c>
      <x:c r="AJ366" s="246" t="n">
        <x:f>H366-$B$4*AA366</x:f>
        <x:v>-3.2057232032715928</x:v>
      </x:c>
      <x:c r="AK366" s="246" t="n">
        <x:f>I366-$B$4*AB366</x:f>
        <x:v>-1.6890324037698843</x:v>
      </x:c>
      <x:c r="AL366" s="246" t="n">
        <x:f>J366-$B$4*AC366</x:f>
        <x:v>3.044290026937283</x:v>
      </x:c>
      <x:c r="AM366" s="246" t="n">
        <x:f>K366-$B$4*AD366</x:f>
        <x:v>-2.957362582873501</x:v>
      </x:c>
      <x:c r="AN366" s="246" t="n">
        <x:f>L366-$B$4*AE366</x:f>
        <x:v>1.6913593803261264</x:v>
      </x:c>
      <x:c r="AO366" s="246" t="n">
        <x:f>M366-$B$4*AF366</x:f>
        <x:v>3.4332429680989724</x:v>
      </x:c>
      <x:c r="AP366" s="246" t="n">
        <x:f>N366-$B$4*AG366</x:f>
        <x:v>-3.2521985144459333</x:v>
      </x:c>
      <x:c r="AQ366" s="246" t="n">
        <x:f>O366-$B$4*AH366</x:f>
        <x:v>1.4435580574157</x:v>
      </x:c>
      <x:c r="AR366" s="182" t="n">
        <x:f>IF(U366&gt;=$B$5,1,0)</x:f>
        <x:v>1</x:v>
      </x:c>
      <x:c r="AS366" s="182" t="n">
        <x:f>IF(AR366=F366,1,0)</x:f>
        <x:v>1</x:v>
      </x:c>
      <x:c r="AT366" s="252" t="n">
        <x:f>ABS(F366-U366)</x:f>
        <x:v>0.35087352471606403</x:v>
      </x:c>
    </x:row>
    <x:row r="367">
      <x:c r="A367" s="114" t="n">
        <x:v>351</x:v>
      </x:c>
      <x:c r="B367" s="114" t="n">
        <x:v>88</x:v>
      </x:c>
      <x:c r="C367" s="114" t="n">
        <x:v>3</x:v>
      </x:c>
      <x:c r="D367" s="168" t="n">
        <x:f>$I$7</x:f>
        <x:v>1</x:v>
      </x:c>
      <x:c r="E367" s="168" t="n">
        <x:f>$J$7</x:f>
        <x:v>0</x:v>
      </x:c>
      <x:c r="F367" s="168" t="n">
        <x:f>$K$7</x:f>
        <x:v>1</x:v>
      </x:c>
      <x:c r="G367" s="242" t="n">
        <x:f>AI366</x:f>
        <x:v>2.7470246131363307</x:v>
      </x:c>
      <x:c r="H367" s="242" t="n">
        <x:f>AJ366</x:f>
        <x:v>-3.2057232032715928</x:v>
      </x:c>
      <x:c r="I367" s="242" t="n">
        <x:f>AK366</x:f>
        <x:v>-1.6890324037698843</x:v>
      </x:c>
      <x:c r="J367" s="242" t="n">
        <x:f>AL366</x:f>
        <x:v>3.044290026937283</x:v>
      </x:c>
      <x:c r="K367" s="242" t="n">
        <x:f>AM366</x:f>
        <x:v>-2.957362582873501</x:v>
      </x:c>
      <x:c r="L367" s="242" t="n">
        <x:f>AN366</x:f>
        <x:v>1.6913593803261264</x:v>
      </x:c>
      <x:c r="M367" s="242" t="n">
        <x:f>AO366</x:f>
        <x:v>3.4332429680989724</x:v>
      </x:c>
      <x:c r="N367" s="242" t="n">
        <x:f>AP366</x:f>
        <x:v>-3.2521985144459333</x:v>
      </x:c>
      <x:c r="O367" s="242" t="n">
        <x:f>AQ366</x:f>
        <x:v>1.4435580574157</x:v>
      </x:c>
      <x:c r="P367" s="243" t="n">
        <x:f>D367*G367+E367*H367+I367</x:f>
        <x:v>1.0579922093664464</x:v>
      </x:c>
      <x:c r="Q367" s="243" t="n">
        <x:f>1/(1+EXP(-P367))</x:f>
        <x:v>0.7423066669799261</x:v>
      </x:c>
      <x:c r="R367" s="243" t="n">
        <x:f>D367*J367+E367*K367+L367</x:f>
        <x:v>4.735649407263409</x:v>
      </x:c>
      <x:c r="S367" s="243" t="n">
        <x:f>1/(1+EXP(-R367))</x:f>
        <x:v>0.9912996137939105</x:v>
      </x:c>
      <x:c r="T367" s="243" t="n">
        <x:f>Q367*M367+S367*N367+O367</x:f>
        <x:v>0.768174070646134</x:v>
      </x:c>
      <x:c r="U367" s="243" t="n">
        <x:f>1/(1+EXP(-T367))</x:f>
        <x:v>0.6831257762569771</x:v>
      </x:c>
      <x:c r="V367" s="243" t="n">
        <x:f>0.5*(F367-U367)^2</x:f>
        <x:v>0.05020463683637166</x:v>
      </x:c>
      <x:c r="W367" s="244" t="n">
        <x:f>(U367-F367)*U367*(1-U367)</x:f>
        <x:v>-0.06859216302109204</x:v>
      </x:c>
      <x:c r="X367" s="244" t="n">
        <x:f>W367*M367*Q367*(1-Q367)</x:f>
        <x:v>-0.04504696970534992</x:v>
      </x:c>
      <x:c r="Y367" s="244" t="n">
        <x:f>W367*N367*S367*(1-S367)</x:f>
        <x:v>0.0019239554590901142</x:v>
      </x:c>
      <x:c r="Z367" s="245" t="n">
        <x:f>X367*D367</x:f>
        <x:v>-0.04504696970534992</x:v>
      </x:c>
      <x:c r="AA367" s="245" t="n">
        <x:f>X367*E367</x:f>
        <x:v>0</x:v>
      </x:c>
      <x:c r="AB367" s="245" t="n">
        <x:f>X367</x:f>
        <x:v>-0.04504696970534992</x:v>
      </x:c>
      <x:c r="AC367" s="245" t="n">
        <x:f>Y367*D367</x:f>
        <x:v>0.0019239554590901142</x:v>
      </x:c>
      <x:c r="AD367" s="245" t="n">
        <x:f>Y367*E367</x:f>
        <x:v>0</x:v>
      </x:c>
      <x:c r="AE367" s="245" t="n">
        <x:f>Y367</x:f>
        <x:v>0.0019239554590901142</x:v>
      </x:c>
      <x:c r="AF367" s="245" t="n">
        <x:f>W367*Q367</x:f>
        <x:v>-0.05091641991313057</x:v>
      </x:c>
      <x:c r="AG367" s="245" t="n">
        <x:f>W367*S367</x:f>
        <x:v>-0.0679953847120975</x:v>
      </x:c>
      <x:c r="AH367" s="245" t="n">
        <x:f>W367</x:f>
        <x:v>-0.06859216302109204</x:v>
      </x:c>
      <x:c r="AI367" s="246" t="n">
        <x:f>G367-$B$4*Z367</x:f>
        <x:v>2.7920715828416807</x:v>
      </x:c>
      <x:c r="AJ367" s="246" t="n">
        <x:f>H367-$B$4*AA367</x:f>
        <x:v>-3.2057232032715928</x:v>
      </x:c>
      <x:c r="AK367" s="246" t="n">
        <x:f>I367-$B$4*AB367</x:f>
        <x:v>-1.6439854340645343</x:v>
      </x:c>
      <x:c r="AL367" s="246" t="n">
        <x:f>J367-$B$4*AC367</x:f>
        <x:v>3.0423660714781926</x:v>
      </x:c>
      <x:c r="AM367" s="246" t="n">
        <x:f>K367-$B$4*AD367</x:f>
        <x:v>-2.957362582873501</x:v>
      </x:c>
      <x:c r="AN367" s="246" t="n">
        <x:f>L367-$B$4*AE367</x:f>
        <x:v>1.6894354248670362</x:v>
      </x:c>
      <x:c r="AO367" s="246" t="n">
        <x:f>M367-$B$4*AF367</x:f>
        <x:v>3.484159388012103</x:v>
      </x:c>
      <x:c r="AP367" s="246" t="n">
        <x:f>N367-$B$4*AG367</x:f>
        <x:v>-3.184203129733836</x:v>
      </x:c>
      <x:c r="AQ367" s="246" t="n">
        <x:f>O367-$B$4*AH367</x:f>
        <x:v>1.512150220436792</x:v>
      </x:c>
      <x:c r="AR367" s="182" t="n">
        <x:f>IF(U367&gt;=$B$5,1,0)</x:f>
        <x:v>1</x:v>
      </x:c>
      <x:c r="AS367" s="182" t="n">
        <x:f>IF(AR367=F367,1,0)</x:f>
        <x:v>1</x:v>
      </x:c>
      <x:c r="AT367" s="252" t="n">
        <x:f>ABS(F367-U367)</x:f>
        <x:v>0.3168742237430229</x:v>
      </x:c>
    </x:row>
    <x:row r="368">
      <x:c r="A368" s="114" t="n">
        <x:v>352</x:v>
      </x:c>
      <x:c r="B368" s="114" t="n">
        <x:v>88</x:v>
      </x:c>
      <x:c r="C368" s="114" t="n">
        <x:v>4</x:v>
      </x:c>
      <x:c r="D368" s="168" t="n">
        <x:f>$I$8</x:f>
        <x:v>1</x:v>
      </x:c>
      <x:c r="E368" s="168" t="n">
        <x:f>$J$8</x:f>
        <x:v>1</x:v>
      </x:c>
      <x:c r="F368" s="168" t="n">
        <x:f>$K$8</x:f>
        <x:v>0</x:v>
      </x:c>
      <x:c r="G368" s="242" t="n">
        <x:f>AI367</x:f>
        <x:v>2.7920715828416807</x:v>
      </x:c>
      <x:c r="H368" s="242" t="n">
        <x:f>AJ367</x:f>
        <x:v>-3.2057232032715928</x:v>
      </x:c>
      <x:c r="I368" s="242" t="n">
        <x:f>AK367</x:f>
        <x:v>-1.6439854340645343</x:v>
      </x:c>
      <x:c r="J368" s="242" t="n">
        <x:f>AL367</x:f>
        <x:v>3.0423660714781926</x:v>
      </x:c>
      <x:c r="K368" s="242" t="n">
        <x:f>AM367</x:f>
        <x:v>-2.957362582873501</x:v>
      </x:c>
      <x:c r="L368" s="242" t="n">
        <x:f>AN367</x:f>
        <x:v>1.6894354248670362</x:v>
      </x:c>
      <x:c r="M368" s="242" t="n">
        <x:f>AO367</x:f>
        <x:v>3.484159388012103</x:v>
      </x:c>
      <x:c r="N368" s="242" t="n">
        <x:f>AP367</x:f>
        <x:v>-3.184203129733836</x:v>
      </x:c>
      <x:c r="O368" s="242" t="n">
        <x:f>AQ367</x:f>
        <x:v>1.512150220436792</x:v>
      </x:c>
      <x:c r="P368" s="243" t="n">
        <x:f>D368*G368+E368*H368+I368</x:f>
        <x:v>-2.0576370544944464</x:v>
      </x:c>
      <x:c r="Q368" s="243" t="n">
        <x:f>1/(1+EXP(-P368))</x:f>
        <x:v>0.11328297099745879</x:v>
      </x:c>
      <x:c r="R368" s="243" t="n">
        <x:f>D368*J368+E368*K368+L368</x:f>
        <x:v>1.774438913471728</x:v>
      </x:c>
      <x:c r="S368" s="243" t="n">
        <x:f>1/(1+EXP(-R368))</x:f>
        <x:v>0.8550088251797852</x:v>
      </x:c>
      <x:c r="T368" s="243" t="n">
        <x:f>Q368*M368+S368*N368+O368</x:f>
        <x:v>-0.8156756297480308</x:v>
      </x:c>
      <x:c r="U368" s="243" t="n">
        <x:f>1/(1+EXP(-T368))</x:f>
        <x:v>0.3066823739120549</x:v>
      </x:c>
      <x:c r="V368" s="243" t="n">
        <x:f>0.5*(F368-U368)^2</x:f>
        <x:v>0.04702703923416672</x:v>
      </x:c>
      <x:c r="W368" s="244" t="n">
        <x:f>(U368-F368)*U368*(1-U368)</x:f>
        <x:v>0.06520935040755425</x:v>
      </x:c>
      <x:c r="X368" s="244" t="n">
        <x:f>W368*M368*Q368*(1-Q368)</x:f>
        <x:v>0.02282220318729341</x:v>
      </x:c>
      <x:c r="Y368" s="244" t="n">
        <x:f>W368*N368*S368*(1-S368)</x:f>
        <x:v>-0.025740845331994593</x:v>
      </x:c>
      <x:c r="Z368" s="245" t="n">
        <x:f>X368*D368</x:f>
        <x:v>0.02282220318729341</x:v>
      </x:c>
      <x:c r="AA368" s="245" t="n">
        <x:f>X368*E368</x:f>
        <x:v>0.02282220318729341</x:v>
      </x:c>
      <x:c r="AB368" s="245" t="n">
        <x:f>X368</x:f>
        <x:v>0.02282220318729341</x:v>
      </x:c>
      <x:c r="AC368" s="245" t="n">
        <x:f>Y368*D368</x:f>
        <x:v>-0.025740845331994593</x:v>
      </x:c>
      <x:c r="AD368" s="245" t="n">
        <x:f>Y368*E368</x:f>
        <x:v>-0.025740845331994593</x:v>
      </x:c>
      <x:c r="AE368" s="245" t="n">
        <x:f>Y368</x:f>
        <x:v>-0.025740845331994593</x:v>
      </x:c>
      <x:c r="AF368" s="245" t="n">
        <x:f>W368*Q368</x:f>
        <x:v>0.007387108950982096</x:v>
      </x:c>
      <x:c r="AG368" s="245" t="n">
        <x:f>W368*S368</x:f>
        <x:v>0.055754570082699906</x:v>
      </x:c>
      <x:c r="AH368" s="245" t="n">
        <x:f>W368</x:f>
        <x:v>0.06520935040755425</x:v>
      </x:c>
      <x:c r="AI368" s="246" t="n">
        <x:f>G368-$B$4*Z368</x:f>
        <x:v>2.7692493796543873</x:v>
      </x:c>
      <x:c r="AJ368" s="246" t="n">
        <x:f>H368-$B$4*AA368</x:f>
        <x:v>-3.228545406458886</x:v>
      </x:c>
      <x:c r="AK368" s="246" t="n">
        <x:f>I368-$B$4*AB368</x:f>
        <x:v>-1.6668076372518277</x:v>
      </x:c>
      <x:c r="AL368" s="246" t="n">
        <x:f>J368-$B$4*AC368</x:f>
        <x:v>3.068106916810187</x:v>
      </x:c>
      <x:c r="AM368" s="246" t="n">
        <x:f>K368-$B$4*AD368</x:f>
        <x:v>-2.9316217375415063</x:v>
      </x:c>
      <x:c r="AN368" s="246" t="n">
        <x:f>L368-$B$4*AE368</x:f>
        <x:v>1.7151762701990307</x:v>
      </x:c>
      <x:c r="AO368" s="246" t="n">
        <x:f>M368-$B$4*AF368</x:f>
        <x:v>3.476772279061121</x:v>
      </x:c>
      <x:c r="AP368" s="246" t="n">
        <x:f>N368-$B$4*AG368</x:f>
        <x:v>-3.239957699816536</x:v>
      </x:c>
      <x:c r="AQ368" s="246" t="n">
        <x:f>O368-$B$4*AH368</x:f>
        <x:v>1.4469408700292379</x:v>
      </x:c>
      <x:c r="AR368" s="182" t="n">
        <x:f>IF(U368&gt;=$B$5,1,0)</x:f>
        <x:v>0</x:v>
      </x:c>
      <x:c r="AS368" s="182" t="n">
        <x:f>IF(AR368=F368,1,0)</x:f>
        <x:v>1</x:v>
      </x:c>
      <x:c r="AT368" s="252" t="n">
        <x:f>ABS(F368-U368)</x:f>
        <x:v>0.3066823739120549</x:v>
      </x:c>
    </x:row>
    <x:row r="369">
      <x:c r="A369" s="114" t="n">
        <x:v>353</x:v>
      </x:c>
      <x:c r="B369" s="114" t="n">
        <x:v>89</x:v>
      </x:c>
      <x:c r="C369" s="114" t="n">
        <x:v>1</x:v>
      </x:c>
      <x:c r="D369" s="168" t="n">
        <x:f>$I$5</x:f>
        <x:v>0</x:v>
      </x:c>
      <x:c r="E369" s="168" t="n">
        <x:f>$J$5</x:f>
        <x:v>0</x:v>
      </x:c>
      <x:c r="F369" s="168" t="n">
        <x:f>$K$5</x:f>
        <x:v>0</x:v>
      </x:c>
      <x:c r="G369" s="242" t="n">
        <x:f>AI368</x:f>
        <x:v>2.7692493796543873</x:v>
      </x:c>
      <x:c r="H369" s="242" t="n">
        <x:f>AJ368</x:f>
        <x:v>-3.228545406458886</x:v>
      </x:c>
      <x:c r="I369" s="242" t="n">
        <x:f>AK368</x:f>
        <x:v>-1.6668076372518277</x:v>
      </x:c>
      <x:c r="J369" s="242" t="n">
        <x:f>AL368</x:f>
        <x:v>3.068106916810187</x:v>
      </x:c>
      <x:c r="K369" s="242" t="n">
        <x:f>AM368</x:f>
        <x:v>-2.9316217375415063</x:v>
      </x:c>
      <x:c r="L369" s="242" t="n">
        <x:f>AN368</x:f>
        <x:v>1.7151762701990307</x:v>
      </x:c>
      <x:c r="M369" s="242" t="n">
        <x:f>AO368</x:f>
        <x:v>3.476772279061121</x:v>
      </x:c>
      <x:c r="N369" s="242" t="n">
        <x:f>AP368</x:f>
        <x:v>-3.239957699816536</x:v>
      </x:c>
      <x:c r="O369" s="242" t="n">
        <x:f>AQ368</x:f>
        <x:v>1.4469408700292379</x:v>
      </x:c>
      <x:c r="P369" s="243" t="n">
        <x:f>D369*G369+E369*H369+I369</x:f>
        <x:v>-1.6668076372518277</x:v>
      </x:c>
      <x:c r="Q369" s="243" t="n">
        <x:f>1/(1+EXP(-P369))</x:f>
        <x:v>0.15885026792805326</x:v>
      </x:c>
      <x:c r="R369" s="243" t="n">
        <x:f>D369*J369+E369*K369+L369</x:f>
        <x:v>1.7151762701990307</x:v>
      </x:c>
      <x:c r="S369" s="243" t="n">
        <x:f>1/(1+EXP(-R369))</x:f>
        <x:v>0.8475064655636321</x:v>
      </x:c>
      <x:c r="T369" s="243" t="n">
        <x:f>Q369*M369+S369*N369+O369</x:f>
        <x:v>-0.7466580206642621</x:v>
      </x:c>
      <x:c r="U369" s="243" t="n">
        <x:f>1/(1+EXP(-T369))</x:f>
        <x:v>0.32154993702869794</x:v>
      </x:c>
      <x:c r="V369" s="243" t="n">
        <x:f>0.5*(F369-U369)^2</x:f>
        <x:v>0.05169718100157981</x:v>
      </x:c>
      <x:c r="W369" s="244" t="n">
        <x:f>(U369-F369)*U369*(1-U369)</x:f>
        <x:v>0.07014791141192124</x:v>
      </x:c>
      <x:c r="X369" s="244" t="n">
        <x:f>W369*M369*Q369*(1-Q369)</x:f>
        <x:v>0.032587590759725185</x:v>
      </x:c>
      <x:c r="Y369" s="244" t="n">
        <x:f>W369*N369*S369*(1-S369)</x:f>
        <x:v>-0.029373015575158097</x:v>
      </x:c>
      <x:c r="Z369" s="245" t="n">
        <x:f>X369*D369</x:f>
        <x:v>0</x:v>
      </x:c>
      <x:c r="AA369" s="245" t="n">
        <x:f>X369*E369</x:f>
        <x:v>0</x:v>
      </x:c>
      <x:c r="AB369" s="245" t="n">
        <x:f>X369</x:f>
        <x:v>0.032587590759725185</x:v>
      </x:c>
      <x:c r="AC369" s="245" t="n">
        <x:f>Y369*D369</x:f>
        <x:v>0</x:v>
      </x:c>
      <x:c r="AD369" s="245" t="n">
        <x:f>Y369*E369</x:f>
        <x:v>0</x:v>
      </x:c>
      <x:c r="AE369" s="245" t="n">
        <x:f>Y369</x:f>
        <x:v>-0.029373015575158097</x:v>
      </x:c>
      <x:c r="AF369" s="245" t="n">
        <x:f>W369*Q369</x:f>
        <x:v>0.011143014522377034</x:v>
      </x:c>
      <x:c r="AG369" s="245" t="n">
        <x:f>W369*S369</x:f>
        <x:v>0.05945080846738814</x:v>
      </x:c>
      <x:c r="AH369" s="245" t="n">
        <x:f>W369</x:f>
        <x:v>0.07014791141192124</x:v>
      </x:c>
      <x:c r="AI369" s="246" t="n">
        <x:f>G369-$B$4*Z369</x:f>
        <x:v>2.7692493796543873</x:v>
      </x:c>
      <x:c r="AJ369" s="246" t="n">
        <x:f>H369-$B$4*AA369</x:f>
        <x:v>-3.228545406458886</x:v>
      </x:c>
      <x:c r="AK369" s="246" t="n">
        <x:f>I369-$B$4*AB369</x:f>
        <x:v>-1.699395228011553</x:v>
      </x:c>
      <x:c r="AL369" s="246" t="n">
        <x:f>J369-$B$4*AC369</x:f>
        <x:v>3.068106916810187</x:v>
      </x:c>
      <x:c r="AM369" s="246" t="n">
        <x:f>K369-$B$4*AD369</x:f>
        <x:v>-2.9316217375415063</x:v>
      </x:c>
      <x:c r="AN369" s="246" t="n">
        <x:f>L369-$B$4*AE369</x:f>
        <x:v>1.7445492857741889</x:v>
      </x:c>
      <x:c r="AO369" s="246" t="n">
        <x:f>M369-$B$4*AF369</x:f>
        <x:v>3.4656292645387436</x:v>
      </x:c>
      <x:c r="AP369" s="246" t="n">
        <x:f>N369-$B$4*AG369</x:f>
        <x:v>-3.299408508283924</x:v>
      </x:c>
      <x:c r="AQ369" s="246" t="n">
        <x:f>O369-$B$4*AH369</x:f>
        <x:v>1.3767929586173167</x:v>
      </x:c>
      <x:c r="AR369" s="182" t="n">
        <x:f>IF(U369&gt;=$B$5,1,0)</x:f>
        <x:v>0</x:v>
      </x:c>
      <x:c r="AS369" s="182" t="n">
        <x:f>IF(AR369=F369,1,0)</x:f>
        <x:v>1</x:v>
      </x:c>
      <x:c r="AT369" s="252" t="n">
        <x:f>ABS(F369-U369)</x:f>
        <x:v>0.32154993702869794</x:v>
      </x:c>
    </x:row>
    <x:row r="370">
      <x:c r="A370" s="114" t="n">
        <x:v>354</x:v>
      </x:c>
      <x:c r="B370" s="114" t="n">
        <x:v>89</x:v>
      </x:c>
      <x:c r="C370" s="114" t="n">
        <x:v>2</x:v>
      </x:c>
      <x:c r="D370" s="168" t="n">
        <x:f>$I$6</x:f>
        <x:v>0</x:v>
      </x:c>
      <x:c r="E370" s="168" t="n">
        <x:f>$J$6</x:f>
        <x:v>1</x:v>
      </x:c>
      <x:c r="F370" s="168" t="n">
        <x:f>$K$6</x:f>
        <x:v>1</x:v>
      </x:c>
      <x:c r="G370" s="242" t="n">
        <x:f>AI369</x:f>
        <x:v>2.7692493796543873</x:v>
      </x:c>
      <x:c r="H370" s="242" t="n">
        <x:f>AJ369</x:f>
        <x:v>-3.228545406458886</x:v>
      </x:c>
      <x:c r="I370" s="242" t="n">
        <x:f>AK369</x:f>
        <x:v>-1.699395228011553</x:v>
      </x:c>
      <x:c r="J370" s="242" t="n">
        <x:f>AL369</x:f>
        <x:v>3.068106916810187</x:v>
      </x:c>
      <x:c r="K370" s="242" t="n">
        <x:f>AM369</x:f>
        <x:v>-2.9316217375415063</x:v>
      </x:c>
      <x:c r="L370" s="242" t="n">
        <x:f>AN369</x:f>
        <x:v>1.7445492857741889</x:v>
      </x:c>
      <x:c r="M370" s="242" t="n">
        <x:f>AO369</x:f>
        <x:v>3.4656292645387436</x:v>
      </x:c>
      <x:c r="N370" s="242" t="n">
        <x:f>AP369</x:f>
        <x:v>-3.299408508283924</x:v>
      </x:c>
      <x:c r="O370" s="242" t="n">
        <x:f>AQ369</x:f>
        <x:v>1.3767929586173167</x:v>
      </x:c>
      <x:c r="P370" s="243" t="n">
        <x:f>D370*G370+E370*H370+I370</x:f>
        <x:v>-4.927940634470439</x:v>
      </x:c>
      <x:c r="Q370" s="243" t="n">
        <x:f>1/(1+EXP(-P370))</x:f>
        <x:v>0.007189339738118613</x:v>
      </x:c>
      <x:c r="R370" s="243" t="n">
        <x:f>D370*J370+E370*K370+L370</x:f>
        <x:v>-1.1870724517673175</x:v>
      </x:c>
      <x:c r="S370" s="243" t="n">
        <x:f>1/(1+EXP(-R370))</x:f>
        <x:v>0.2337829342592343</x:v>
      </x:c>
      <x:c r="T370" s="243" t="n">
        <x:f>Q370*M370+S370*N370+O370</x:f>
        <x:v>0.630363142419953</x:v>
      </x:c>
      <x:c r="U370" s="243" t="n">
        <x:f>1/(1+EXP(-T370))</x:f>
        <x:v>0.6525717990735975</x:v>
      </x:c>
      <x:c r="V370" s="243" t="n">
        <x:f>0.5*(F370-U370)^2</x:f>
        <x:v>0.06035317739947835</x:v>
      </x:c>
      <x:c r="W370" s="244" t="n">
        <x:f>(U370-F370)*U370*(1-U370)</x:f>
        <x:v>-0.07876956311077114</x:v>
      </x:c>
      <x:c r="X370" s="244" t="n">
        <x:f>W370*M370*Q370*(1-Q370)</x:f>
        <x:v>-0.0019484801136494662</x:v>
      </x:c>
      <x:c r="Y370" s="244" t="n">
        <x:f>W370*N370*S370*(1-S370)</x:f>
        <x:v>0.04655423050834032</x:v>
      </x:c>
      <x:c r="Z370" s="245" t="n">
        <x:f>X370*D370</x:f>
        <x:v>0</x:v>
      </x:c>
      <x:c r="AA370" s="245" t="n">
        <x:f>X370*E370</x:f>
        <x:v>-0.0019484801136494662</x:v>
      </x:c>
      <x:c r="AB370" s="245" t="n">
        <x:f>X370</x:f>
        <x:v>-0.0019484801136494662</x:v>
      </x:c>
      <x:c r="AC370" s="245" t="n">
        <x:f>Y370*D370</x:f>
        <x:v>0</x:v>
      </x:c>
      <x:c r="AD370" s="245" t="n">
        <x:f>Y370*E370</x:f>
        <x:v>0.04655423050834032</x:v>
      </x:c>
      <x:c r="AE370" s="245" t="n">
        <x:f>Y370</x:f>
        <x:v>0.04655423050834032</x:v>
      </x:c>
      <x:c r="AF370" s="245" t="n">
        <x:f>W370*Q370</x:f>
        <x:v>-0.000566301150226509</x:v>
      </x:c>
      <x:c r="AG370" s="245" t="n">
        <x:f>W370*S370</x:f>
        <x:v>-0.01841497959435402</x:v>
      </x:c>
      <x:c r="AH370" s="245" t="n">
        <x:f>W370</x:f>
        <x:v>-0.07876956311077114</x:v>
      </x:c>
      <x:c r="AI370" s="246" t="n">
        <x:f>G370-$B$4*Z370</x:f>
        <x:v>2.7692493796543873</x:v>
      </x:c>
      <x:c r="AJ370" s="246" t="n">
        <x:f>H370-$B$4*AA370</x:f>
        <x:v>-3.2265969263452368</x:v>
      </x:c>
      <x:c r="AK370" s="246" t="n">
        <x:f>I370-$B$4*AB370</x:f>
        <x:v>-1.6974467478979034</x:v>
      </x:c>
      <x:c r="AL370" s="246" t="n">
        <x:f>J370-$B$4*AC370</x:f>
        <x:v>3.068106916810187</x:v>
      </x:c>
      <x:c r="AM370" s="246" t="n">
        <x:f>K370-$B$4*AD370</x:f>
        <x:v>-2.9781759680498467</x:v>
      </x:c>
      <x:c r="AN370" s="246" t="n">
        <x:f>L370-$B$4*AE370</x:f>
        <x:v>1.6979950552658485</x:v>
      </x:c>
      <x:c r="AO370" s="246" t="n">
        <x:f>M370-$B$4*AF370</x:f>
        <x:v>3.4661955656889702</x:v>
      </x:c>
      <x:c r="AP370" s="246" t="n">
        <x:f>N370-$B$4*AG370</x:f>
        <x:v>-3.28099352868957</x:v>
      </x:c>
      <x:c r="AQ370" s="246" t="n">
        <x:f>O370-$B$4*AH370</x:f>
        <x:v>1.4555625217280879</x:v>
      </x:c>
      <x:c r="AR370" s="182" t="n">
        <x:f>IF(U370&gt;=$B$5,1,0)</x:f>
        <x:v>1</x:v>
      </x:c>
      <x:c r="AS370" s="182" t="n">
        <x:f>IF(AR370=F370,1,0)</x:f>
        <x:v>1</x:v>
      </x:c>
      <x:c r="AT370" s="252" t="n">
        <x:f>ABS(F370-U370)</x:f>
        <x:v>0.3474282009264025</x:v>
      </x:c>
    </x:row>
    <x:row r="371">
      <x:c r="A371" s="114" t="n">
        <x:v>355</x:v>
      </x:c>
      <x:c r="B371" s="114" t="n">
        <x:v>89</x:v>
      </x:c>
      <x:c r="C371" s="114" t="n">
        <x:v>3</x:v>
      </x:c>
      <x:c r="D371" s="168" t="n">
        <x:f>$I$7</x:f>
        <x:v>1</x:v>
      </x:c>
      <x:c r="E371" s="168" t="n">
        <x:f>$J$7</x:f>
        <x:v>0</x:v>
      </x:c>
      <x:c r="F371" s="168" t="n">
        <x:f>$K$7</x:f>
        <x:v>1</x:v>
      </x:c>
      <x:c r="G371" s="242" t="n">
        <x:f>AI370</x:f>
        <x:v>2.7692493796543873</x:v>
      </x:c>
      <x:c r="H371" s="242" t="n">
        <x:f>AJ370</x:f>
        <x:v>-3.2265969263452368</x:v>
      </x:c>
      <x:c r="I371" s="242" t="n">
        <x:f>AK370</x:f>
        <x:v>-1.6974467478979034</x:v>
      </x:c>
      <x:c r="J371" s="242" t="n">
        <x:f>AL370</x:f>
        <x:v>3.068106916810187</x:v>
      </x:c>
      <x:c r="K371" s="242" t="n">
        <x:f>AM370</x:f>
        <x:v>-2.9781759680498467</x:v>
      </x:c>
      <x:c r="L371" s="242" t="n">
        <x:f>AN370</x:f>
        <x:v>1.6979950552658485</x:v>
      </x:c>
      <x:c r="M371" s="242" t="n">
        <x:f>AO370</x:f>
        <x:v>3.4661955656889702</x:v>
      </x:c>
      <x:c r="N371" s="242" t="n">
        <x:f>AP370</x:f>
        <x:v>-3.28099352868957</x:v>
      </x:c>
      <x:c r="O371" s="242" t="n">
        <x:f>AQ370</x:f>
        <x:v>1.4555625217280879</x:v>
      </x:c>
      <x:c r="P371" s="243" t="n">
        <x:f>D371*G371+E371*H371+I371</x:f>
        <x:v>1.071802631756484</x:v>
      </x:c>
      <x:c r="Q371" s="243" t="n">
        <x:f>1/(1+EXP(-P371))</x:f>
        <x:v>0.7449395753649654</x:v>
      </x:c>
      <x:c r="R371" s="243" t="n">
        <x:f>D371*J371+E371*K371+L371</x:f>
        <x:v>4.766101972076036</x:v>
      </x:c>
      <x:c r="S371" s="243" t="n">
        <x:f>1/(1+EXP(-R371))</x:f>
        <x:v>0.99155836642898</x:v>
      </x:c>
      <x:c r="T371" s="243" t="n">
        <x:f>Q371*M371+S371*N371+O371</x:f>
        <x:v>0.7843721909928707</x:v>
      </x:c>
      <x:c r="U371" s="243" t="n">
        <x:f>1/(1+EXP(-T371))</x:f>
        <x:v>0.6866216553293775</x:v>
      </x:c>
      <x:c r="V371" s="243" t="n">
        <x:f>0.5*(F371-U371)^2</x:f>
        <x:v>0.049102993454249746</x:v>
      </x:c>
      <x:c r="W371" s="244" t="n">
        <x:f>(U371-F371)*U371*(1-U371)</x:f>
        <x:v>-0.0674303572943691</x:v>
      </x:c>
      <x:c r="X371" s="244" t="n">
        <x:f>W371*M371*Q371*(1-Q371)</x:f>
        <x:v>-0.044409169211232016</x:v>
      </x:c>
      <x:c r="Y371" s="244" t="n">
        <x:f>W371*N371*S371*(1-S371)</x:f>
        <x:v>0.0018518491845929159</x:v>
      </x:c>
      <x:c r="Z371" s="245" t="n">
        <x:f>X371*D371</x:f>
        <x:v>-0.044409169211232016</x:v>
      </x:c>
      <x:c r="AA371" s="245" t="n">
        <x:f>X371*E371</x:f>
        <x:v>0</x:v>
      </x:c>
      <x:c r="AB371" s="245" t="n">
        <x:f>X371</x:f>
        <x:v>-0.044409169211232016</x:v>
      </x:c>
      <x:c r="AC371" s="245" t="n">
        <x:f>Y371*D371</x:f>
        <x:v>0.0018518491845929159</x:v>
      </x:c>
      <x:c r="AD371" s="245" t="n">
        <x:f>Y371*E371</x:f>
        <x:v>0</x:v>
      </x:c>
      <x:c r="AE371" s="245" t="n">
        <x:f>Y371</x:f>
        <x:v>0.0018518491845929159</x:v>
      </x:c>
      <x:c r="AF371" s="245" t="n">
        <x:f>W371*Q371</x:f>
        <x:v>-0.05023154172957521</x:v>
      </x:c>
      <x:c r="AG371" s="245" t="n">
        <x:f>W371*S371</x:f>
        <x:v>-0.06686113492652708</x:v>
      </x:c>
      <x:c r="AH371" s="245" t="n">
        <x:f>W371</x:f>
        <x:v>-0.0674303572943691</x:v>
      </x:c>
      <x:c r="AI371" s="246" t="n">
        <x:f>G371-$B$4*Z371</x:f>
        <x:v>2.8136585488656194</x:v>
      </x:c>
      <x:c r="AJ371" s="246" t="n">
        <x:f>H371-$B$4*AA371</x:f>
        <x:v>-3.2265969263452368</x:v>
      </x:c>
      <x:c r="AK371" s="246" t="n">
        <x:f>I371-$B$4*AB371</x:f>
        <x:v>-1.6530375786866713</x:v>
      </x:c>
      <x:c r="AL371" s="246" t="n">
        <x:f>J371-$B$4*AC371</x:f>
        <x:v>3.066255067625594</x:v>
      </x:c>
      <x:c r="AM371" s="246" t="n">
        <x:f>K371-$B$4*AD371</x:f>
        <x:v>-2.9781759680498467</x:v>
      </x:c>
      <x:c r="AN371" s="246" t="n">
        <x:f>L371-$B$4*AE371</x:f>
        <x:v>1.6961432060812556</x:v>
      </x:c>
      <x:c r="AO371" s="246" t="n">
        <x:f>M371-$B$4*AF371</x:f>
        <x:v>3.5164271074185454</x:v>
      </x:c>
      <x:c r="AP371" s="246" t="n">
        <x:f>N371-$B$4*AG371</x:f>
        <x:v>-3.214132393763043</x:v>
      </x:c>
      <x:c r="AQ371" s="246" t="n">
        <x:f>O371-$B$4*AH371</x:f>
        <x:v>1.522992879022457</x:v>
      </x:c>
      <x:c r="AR371" s="182" t="n">
        <x:f>IF(U371&gt;=$B$5,1,0)</x:f>
        <x:v>1</x:v>
      </x:c>
      <x:c r="AS371" s="182" t="n">
        <x:f>IF(AR371=F371,1,0)</x:f>
        <x:v>1</x:v>
      </x:c>
      <x:c r="AT371" s="252" t="n">
        <x:f>ABS(F371-U371)</x:f>
        <x:v>0.31337834467062253</x:v>
      </x:c>
    </x:row>
    <x:row r="372">
      <x:c r="A372" s="114" t="n">
        <x:v>356</x:v>
      </x:c>
      <x:c r="B372" s="114" t="n">
        <x:v>89</x:v>
      </x:c>
      <x:c r="C372" s="114" t="n">
        <x:v>4</x:v>
      </x:c>
      <x:c r="D372" s="168" t="n">
        <x:f>$I$8</x:f>
        <x:v>1</x:v>
      </x:c>
      <x:c r="E372" s="168" t="n">
        <x:f>$J$8</x:f>
        <x:v>1</x:v>
      </x:c>
      <x:c r="F372" s="168" t="n">
        <x:f>$K$8</x:f>
        <x:v>0</x:v>
      </x:c>
      <x:c r="G372" s="242" t="n">
        <x:f>AI371</x:f>
        <x:v>2.8136585488656194</x:v>
      </x:c>
      <x:c r="H372" s="242" t="n">
        <x:f>AJ371</x:f>
        <x:v>-3.2265969263452368</x:v>
      </x:c>
      <x:c r="I372" s="242" t="n">
        <x:f>AK371</x:f>
        <x:v>-1.6530375786866713</x:v>
      </x:c>
      <x:c r="J372" s="242" t="n">
        <x:f>AL371</x:f>
        <x:v>3.066255067625594</x:v>
      </x:c>
      <x:c r="K372" s="242" t="n">
        <x:f>AM371</x:f>
        <x:v>-2.9781759680498467</x:v>
      </x:c>
      <x:c r="L372" s="242" t="n">
        <x:f>AN371</x:f>
        <x:v>1.6961432060812556</x:v>
      </x:c>
      <x:c r="M372" s="242" t="n">
        <x:f>AO371</x:f>
        <x:v>3.5164271074185454</x:v>
      </x:c>
      <x:c r="N372" s="242" t="n">
        <x:f>AP371</x:f>
        <x:v>-3.214132393763043</x:v>
      </x:c>
      <x:c r="O372" s="242" t="n">
        <x:f>AQ371</x:f>
        <x:v>1.522992879022457</x:v>
      </x:c>
      <x:c r="P372" s="243" t="n">
        <x:f>D372*G372+E372*H372+I372</x:f>
        <x:v>-2.0659759561662887</x:v>
      </x:c>
      <x:c r="Q372" s="243" t="n">
        <x:f>1/(1+EXP(-P372))</x:f>
        <x:v>0.11244802619356992</x:v>
      </x:c>
      <x:c r="R372" s="243" t="n">
        <x:f>D372*J372+E372*K372+L372</x:f>
        <x:v>1.7842223056570028</x:v>
      </x:c>
      <x:c r="S372" s="243" t="n">
        <x:f>1/(1+EXP(-R372))</x:f>
        <x:v>0.8562174524904069</x:v>
      </x:c>
      <x:c r="T372" s="243" t="n">
        <x:f>Q372*M372+S372*N372+O372</x:f>
        <x:v>-0.8335880836494489</x:v>
      </x:c>
      <x:c r="U372" s="243" t="n">
        <x:f>1/(1+EXP(-T372))</x:f>
        <x:v>0.3028869237126199</x:v>
      </x:c>
      <x:c r="V372" s="243" t="n">
        <x:f>0.5*(F372-U372)^2</x:f>
        <x:v>0.04587024427804721</x:v>
      </x:c>
      <x:c r="W372" s="244" t="n">
        <x:f>(U372-F372)*U372*(1-U372)</x:f>
        <x:v>0.06395349419744617</x:v>
      </x:c>
      <x:c r="X372" s="244" t="n">
        <x:f>W372*M372*Q372*(1-Q372)</x:f>
        <x:v>0.022444582321535494</x:v>
      </x:c>
      <x:c r="Y372" s="244" t="n">
        <x:f>W372*N372*S372*(1-S372)</x:f>
        <x:v>-0.02530569618540607</x:v>
      </x:c>
      <x:c r="Z372" s="245" t="n">
        <x:f>X372*D372</x:f>
        <x:v>0.022444582321535494</x:v>
      </x:c>
      <x:c r="AA372" s="245" t="n">
        <x:f>X372*E372</x:f>
        <x:v>0.022444582321535494</x:v>
      </x:c>
      <x:c r="AB372" s="245" t="n">
        <x:f>X372</x:f>
        <x:v>0.022444582321535494</x:v>
      </x:c>
      <x:c r="AC372" s="245" t="n">
        <x:f>Y372*D372</x:f>
        <x:v>-0.02530569618540607</x:v>
      </x:c>
      <x:c r="AD372" s="245" t="n">
        <x:f>Y372*E372</x:f>
        <x:v>-0.02530569618540607</x:v>
      </x:c>
      <x:c r="AE372" s="245" t="n">
        <x:f>Y372</x:f>
        <x:v>-0.02530569618540607</x:v>
      </x:c>
      <x:c r="AF372" s="245" t="n">
        <x:f>W372*Q372</x:f>
        <x:v>0.007191444190684748</x:v>
      </x:c>
      <x:c r="AG372" s="245" t="n">
        <x:f>W372*S372</x:f>
        <x:v>0.05475809787959738</x:v>
      </x:c>
      <x:c r="AH372" s="245" t="n">
        <x:f>W372</x:f>
        <x:v>0.06395349419744617</x:v>
      </x:c>
      <x:c r="AI372" s="246" t="n">
        <x:f>G372-$B$4*Z372</x:f>
        <x:v>2.791213966544084</x:v>
      </x:c>
      <x:c r="AJ372" s="246" t="n">
        <x:f>H372-$B$4*AA372</x:f>
        <x:v>-3.2490415086667723</x:v>
      </x:c>
      <x:c r="AK372" s="246" t="n">
        <x:f>I372-$B$4*AB372</x:f>
        <x:v>-1.675482161008207</x:v>
      </x:c>
      <x:c r="AL372" s="246" t="n">
        <x:f>J372-$B$4*AC372</x:f>
        <x:v>3.091560763811</x:v>
      </x:c>
      <x:c r="AM372" s="246" t="n">
        <x:f>K372-$B$4*AD372</x:f>
        <x:v>-2.9528702718644406</x:v>
      </x:c>
      <x:c r="AN372" s="246" t="n">
        <x:f>L372-$B$4*AE372</x:f>
        <x:v>1.7214489022666617</x:v>
      </x:c>
      <x:c r="AO372" s="246" t="n">
        <x:f>M372-$B$4*AF372</x:f>
        <x:v>3.5092356632278605</x:v>
      </x:c>
      <x:c r="AP372" s="246" t="n">
        <x:f>N372-$B$4*AG372</x:f>
        <x:v>-3.2688904916426402</x:v>
      </x:c>
      <x:c r="AQ372" s="246" t="n">
        <x:f>O372-$B$4*AH372</x:f>
        <x:v>1.4590393848250107</x:v>
      </x:c>
      <x:c r="AR372" s="182" t="n">
        <x:f>IF(U372&gt;=$B$5,1,0)</x:f>
        <x:v>0</x:v>
      </x:c>
      <x:c r="AS372" s="182" t="n">
        <x:f>IF(AR372=F372,1,0)</x:f>
        <x:v>1</x:v>
      </x:c>
      <x:c r="AT372" s="252" t="n">
        <x:f>ABS(F372-U372)</x:f>
        <x:v>0.3028869237126199</x:v>
      </x:c>
    </x:row>
    <x:row r="373">
      <x:c r="A373" s="114" t="n">
        <x:v>357</x:v>
      </x:c>
      <x:c r="B373" s="114" t="n">
        <x:v>90</x:v>
      </x:c>
      <x:c r="C373" s="114" t="n">
        <x:v>1</x:v>
      </x:c>
      <x:c r="D373" s="168" t="n">
        <x:f>$I$5</x:f>
        <x:v>0</x:v>
      </x:c>
      <x:c r="E373" s="168" t="n">
        <x:f>$J$5</x:f>
        <x:v>0</x:v>
      </x:c>
      <x:c r="F373" s="168" t="n">
        <x:f>$K$5</x:f>
        <x:v>0</x:v>
      </x:c>
      <x:c r="G373" s="242" t="n">
        <x:f>AI372</x:f>
        <x:v>2.791213966544084</x:v>
      </x:c>
      <x:c r="H373" s="242" t="n">
        <x:f>AJ372</x:f>
        <x:v>-3.2490415086667723</x:v>
      </x:c>
      <x:c r="I373" s="242" t="n">
        <x:f>AK372</x:f>
        <x:v>-1.675482161008207</x:v>
      </x:c>
      <x:c r="J373" s="242" t="n">
        <x:f>AL372</x:f>
        <x:v>3.091560763811</x:v>
      </x:c>
      <x:c r="K373" s="242" t="n">
        <x:f>AM372</x:f>
        <x:v>-2.9528702718644406</x:v>
      </x:c>
      <x:c r="L373" s="242" t="n">
        <x:f>AN372</x:f>
        <x:v>1.7214489022666617</x:v>
      </x:c>
      <x:c r="M373" s="242" t="n">
        <x:f>AO372</x:f>
        <x:v>3.5092356632278605</x:v>
      </x:c>
      <x:c r="N373" s="242" t="n">
        <x:f>AP372</x:f>
        <x:v>-3.2688904916426402</x:v>
      </x:c>
      <x:c r="O373" s="242" t="n">
        <x:f>AQ372</x:f>
        <x:v>1.4590393848250107</x:v>
      </x:c>
      <x:c r="P373" s="243" t="n">
        <x:f>D373*G373+E373*H373+I373</x:f>
        <x:v>-1.675482161008207</x:v>
      </x:c>
      <x:c r="Q373" s="243" t="n">
        <x:f>1/(1+EXP(-P373))</x:f>
        <x:v>0.15769463243096454</x:v>
      </x:c>
      <x:c r="R373" s="243" t="n">
        <x:f>D373*J373+E373*K373+L373</x:f>
        <x:v>1.7214489022666617</x:v>
      </x:c>
      <x:c r="S373" s="243" t="n">
        <x:f>1/(1+EXP(-R373))</x:f>
        <x:v>0.8483153699815813</x:v>
      </x:c>
      <x:c r="T373" s="243" t="n">
        <x:f>Q373*M373+S373*N373+O373</x:f>
        <x:v>-0.7606230339957394</x:v>
      </x:c>
      <x:c r="U373" s="243" t="n">
        <x:f>1/(1+EXP(-T373))</x:f>
        <x:v>0.3185110140737045</x:v>
      </x:c>
      <x:c r="V373" s="243" t="n">
        <x:f>0.5*(F373-U373)^2</x:f>
        <x:v>0.0507246330431298</x:v>
      </x:c>
      <x:c r="W373" s="244" t="n">
        <x:f>(U373-F373)*U373*(1-U373)</x:f>
        <x:v>0.06913655746809198</x:v>
      </x:c>
      <x:c r="X373" s="244" t="n">
        <x:f>W373*M373*Q373*(1-Q373)</x:f>
        <x:v>0.03222602684490281</x:v>
      </x:c>
      <x:c r="Y373" s="244" t="n">
        <x:f>W373*N373*S373*(1-S373)</x:f>
        <x:v>-0.029080845896977486</x:v>
      </x:c>
      <x:c r="Z373" s="245" t="n">
        <x:f>X373*D373</x:f>
        <x:v>0</x:v>
      </x:c>
      <x:c r="AA373" s="245" t="n">
        <x:f>X373*E373</x:f>
        <x:v>0</x:v>
      </x:c>
      <x:c r="AB373" s="245" t="n">
        <x:f>X373</x:f>
        <x:v>0.03222602684490281</x:v>
      </x:c>
      <x:c r="AC373" s="245" t="n">
        <x:f>Y373*D373</x:f>
        <x:v>0</x:v>
      </x:c>
      <x:c r="AD373" s="245" t="n">
        <x:f>Y373*E373</x:f>
        <x:v>0</x:v>
      </x:c>
      <x:c r="AE373" s="245" t="n">
        <x:f>Y373</x:f>
        <x:v>-0.029080845896977486</x:v>
      </x:c>
      <x:c r="AF373" s="245" t="n">
        <x:f>W373*Q373</x:f>
        <x:v>0.010902464017473022</x:v>
      </x:c>
      <x:c r="AG373" s="245" t="n">
        <x:f>W373*S373</x:f>
        <x:v>0.05864960432779731</x:v>
      </x:c>
      <x:c r="AH373" s="245" t="n">
        <x:f>W373</x:f>
        <x:v>0.06913655746809198</x:v>
      </x:c>
      <x:c r="AI373" s="246" t="n">
        <x:f>G373-$B$4*Z373</x:f>
        <x:v>2.791213966544084</x:v>
      </x:c>
      <x:c r="AJ373" s="246" t="n">
        <x:f>H373-$B$4*AA373</x:f>
        <x:v>-3.2490415086667723</x:v>
      </x:c>
      <x:c r="AK373" s="246" t="n">
        <x:f>I373-$B$4*AB373</x:f>
        <x:v>-1.7077081878531097</x:v>
      </x:c>
      <x:c r="AL373" s="246" t="n">
        <x:f>J373-$B$4*AC373</x:f>
        <x:v>3.091560763811</x:v>
      </x:c>
      <x:c r="AM373" s="246" t="n">
        <x:f>K373-$B$4*AD373</x:f>
        <x:v>-2.9528702718644406</x:v>
      </x:c>
      <x:c r="AN373" s="246" t="n">
        <x:f>L373-$B$4*AE373</x:f>
        <x:v>1.7505297481636393</x:v>
      </x:c>
      <x:c r="AO373" s="246" t="n">
        <x:f>M373-$B$4*AF373</x:f>
        <x:v>3.4983331992103874</x:v>
      </x:c>
      <x:c r="AP373" s="246" t="n">
        <x:f>N373-$B$4*AG373</x:f>
        <x:v>-3.3275400959704378</x:v>
      </x:c>
      <x:c r="AQ373" s="246" t="n">
        <x:f>O373-$B$4*AH373</x:f>
        <x:v>1.3899028273569187</x:v>
      </x:c>
      <x:c r="AR373" s="182" t="n">
        <x:f>IF(U373&gt;=$B$5,1,0)</x:f>
        <x:v>0</x:v>
      </x:c>
      <x:c r="AS373" s="182" t="n">
        <x:f>IF(AR373=F373,1,0)</x:f>
        <x:v>1</x:v>
      </x:c>
      <x:c r="AT373" s="252" t="n">
        <x:f>ABS(F373-U373)</x:f>
        <x:v>0.3185110140737045</x:v>
      </x:c>
    </x:row>
    <x:row r="374">
      <x:c r="A374" s="114" t="n">
        <x:v>358</x:v>
      </x:c>
      <x:c r="B374" s="114" t="n">
        <x:v>90</x:v>
      </x:c>
      <x:c r="C374" s="114" t="n">
        <x:v>2</x:v>
      </x:c>
      <x:c r="D374" s="168" t="n">
        <x:f>$I$6</x:f>
        <x:v>0</x:v>
      </x:c>
      <x:c r="E374" s="168" t="n">
        <x:f>$J$6</x:f>
        <x:v>1</x:v>
      </x:c>
      <x:c r="F374" s="168" t="n">
        <x:f>$K$6</x:f>
        <x:v>1</x:v>
      </x:c>
      <x:c r="G374" s="242" t="n">
        <x:f>AI373</x:f>
        <x:v>2.791213966544084</x:v>
      </x:c>
      <x:c r="H374" s="242" t="n">
        <x:f>AJ373</x:f>
        <x:v>-3.2490415086667723</x:v>
      </x:c>
      <x:c r="I374" s="242" t="n">
        <x:f>AK373</x:f>
        <x:v>-1.7077081878531097</x:v>
      </x:c>
      <x:c r="J374" s="242" t="n">
        <x:f>AL373</x:f>
        <x:v>3.091560763811</x:v>
      </x:c>
      <x:c r="K374" s="242" t="n">
        <x:f>AM373</x:f>
        <x:v>-2.9528702718644406</x:v>
      </x:c>
      <x:c r="L374" s="242" t="n">
        <x:f>AN373</x:f>
        <x:v>1.7505297481636393</x:v>
      </x:c>
      <x:c r="M374" s="242" t="n">
        <x:f>AO373</x:f>
        <x:v>3.4983331992103874</x:v>
      </x:c>
      <x:c r="N374" s="242" t="n">
        <x:f>AP373</x:f>
        <x:v>-3.3275400959704378</x:v>
      </x:c>
      <x:c r="O374" s="242" t="n">
        <x:f>AQ373</x:f>
        <x:v>1.3899028273569187</x:v>
      </x:c>
      <x:c r="P374" s="243" t="n">
        <x:f>D374*G374+E374*H374+I374</x:f>
        <x:v>-4.956749696519882</x:v>
      </x:c>
      <x:c r="Q374" s="243" t="n">
        <x:f>1/(1+EXP(-P374))</x:f>
        <x:v>0.006986603005040793</x:v>
      </x:c>
      <x:c r="R374" s="243" t="n">
        <x:f>D374*J374+E374*K374+L374</x:f>
        <x:v>-1.2023405237008014</x:v>
      </x:c>
      <x:c r="S374" s="243" t="n">
        <x:f>1/(1+EXP(-R374))</x:f>
        <x:v>0.23105911205327126</x:v>
      </x:c>
      <x:c r="T374" s="243" t="n">
        <x:f>Q374*M374+S374*N374+O374</x:f>
        <x:v>0.6454858327025695</x:v>
      </x:c>
      <x:c r="U374" s="243" t="n">
        <x:f>1/(1+EXP(-T374))</x:f>
        <x:v>0.6559924856051906</x:v>
      </x:c>
      <x:c r="V374" s="243" t="n">
        <x:f>0.5*(F374-U374)^2</x:f>
        <x:v>0.059170584980047486</x:v>
      </x:c>
      <x:c r="W374" s="244" t="n">
        <x:f>(U374-F374)*U374*(1-U374)</x:f>
        <x:v>-0.07763091823154902</x:v>
      </x:c>
      <x:c r="X374" s="244" t="n">
        <x:f>W374*M374*Q374*(1-Q374)</x:f>
        <x:v>-0.0018841569155892302</x:v>
      </x:c>
      <x:c r="Y374" s="244" t="n">
        <x:f>W374*N374*S374*(1-S374)</x:f>
        <x:v>0.045895919518055044</x:v>
      </x:c>
      <x:c r="Z374" s="245" t="n">
        <x:f>X374*D374</x:f>
        <x:v>0</x:v>
      </x:c>
      <x:c r="AA374" s="245" t="n">
        <x:f>X374*E374</x:f>
        <x:v>-0.0018841569155892302</x:v>
      </x:c>
      <x:c r="AB374" s="245" t="n">
        <x:f>X374</x:f>
        <x:v>-0.0018841569155892302</x:v>
      </x:c>
      <x:c r="AC374" s="245" t="n">
        <x:f>Y374*D374</x:f>
        <x:v>0</x:v>
      </x:c>
      <x:c r="AD374" s="245" t="n">
        <x:f>Y374*E374</x:f>
        <x:v>0.045895919518055044</x:v>
      </x:c>
      <x:c r="AE374" s="245" t="n">
        <x:f>Y374</x:f>
        <x:v>0.045895919518055044</x:v>
      </x:c>
      <x:c r="AF374" s="245" t="n">
        <x:f>W374*Q374</x:f>
        <x:v>-0.0005423764066006165</x:v>
      </x:c>
      <x:c r="AG374" s="245" t="n">
        <x:f>W374*S374</x:f>
        <x:v>-0.017937331034461823</x:v>
      </x:c>
      <x:c r="AH374" s="245" t="n">
        <x:f>W374</x:f>
        <x:v>-0.07763091823154902</x:v>
      </x:c>
      <x:c r="AI374" s="246" t="n">
        <x:f>G374-$B$4*Z374</x:f>
        <x:v>2.791213966544084</x:v>
      </x:c>
      <x:c r="AJ374" s="246" t="n">
        <x:f>H374-$B$4*AA374</x:f>
        <x:v>-3.247157351751183</x:v>
      </x:c>
      <x:c r="AK374" s="246" t="n">
        <x:f>I374-$B$4*AB374</x:f>
        <x:v>-1.7058240309375206</x:v>
      </x:c>
      <x:c r="AL374" s="246" t="n">
        <x:f>J374-$B$4*AC374</x:f>
        <x:v>3.091560763811</x:v>
      </x:c>
      <x:c r="AM374" s="246" t="n">
        <x:f>K374-$B$4*AD374</x:f>
        <x:v>-2.9987661913824954</x:v>
      </x:c>
      <x:c r="AN374" s="246" t="n">
        <x:f>L374-$B$4*AE374</x:f>
        <x:v>1.7046338286455842</x:v>
      </x:c>
      <x:c r="AO374" s="246" t="n">
        <x:f>M374-$B$4*AF374</x:f>
        <x:v>3.4988755756169883</x:v>
      </x:c>
      <x:c r="AP374" s="246" t="n">
        <x:f>N374-$B$4*AG374</x:f>
        <x:v>-3.309602764935976</x:v>
      </x:c>
      <x:c r="AQ374" s="246" t="n">
        <x:f>O374-$B$4*AH374</x:f>
        <x:v>1.4675337455884678</x:v>
      </x:c>
      <x:c r="AR374" s="182" t="n">
        <x:f>IF(U374&gt;=$B$5,1,0)</x:f>
        <x:v>1</x:v>
      </x:c>
      <x:c r="AS374" s="182" t="n">
        <x:f>IF(AR374=F374,1,0)</x:f>
        <x:v>1</x:v>
      </x:c>
      <x:c r="AT374" s="252" t="n">
        <x:f>ABS(F374-U374)</x:f>
        <x:v>0.34400751439480937</x:v>
      </x:c>
    </x:row>
    <x:row r="375">
      <x:c r="A375" s="114" t="n">
        <x:v>359</x:v>
      </x:c>
      <x:c r="B375" s="114" t="n">
        <x:v>90</x:v>
      </x:c>
      <x:c r="C375" s="114" t="n">
        <x:v>3</x:v>
      </x:c>
      <x:c r="D375" s="168" t="n">
        <x:f>$I$7</x:f>
        <x:v>1</x:v>
      </x:c>
      <x:c r="E375" s="168" t="n">
        <x:f>$J$7</x:f>
        <x:v>0</x:v>
      </x:c>
      <x:c r="F375" s="168" t="n">
        <x:f>$K$7</x:f>
        <x:v>1</x:v>
      </x:c>
      <x:c r="G375" s="242" t="n">
        <x:f>AI374</x:f>
        <x:v>2.791213966544084</x:v>
      </x:c>
      <x:c r="H375" s="242" t="n">
        <x:f>AJ374</x:f>
        <x:v>-3.247157351751183</x:v>
      </x:c>
      <x:c r="I375" s="242" t="n">
        <x:f>AK374</x:f>
        <x:v>-1.7058240309375206</x:v>
      </x:c>
      <x:c r="J375" s="242" t="n">
        <x:f>AL374</x:f>
        <x:v>3.091560763811</x:v>
      </x:c>
      <x:c r="K375" s="242" t="n">
        <x:f>AM374</x:f>
        <x:v>-2.9987661913824954</x:v>
      </x:c>
      <x:c r="L375" s="242" t="n">
        <x:f>AN374</x:f>
        <x:v>1.7046338286455842</x:v>
      </x:c>
      <x:c r="M375" s="242" t="n">
        <x:f>AO374</x:f>
        <x:v>3.4988755756169883</x:v>
      </x:c>
      <x:c r="N375" s="242" t="n">
        <x:f>AP374</x:f>
        <x:v>-3.309602764935976</x:v>
      </x:c>
      <x:c r="O375" s="242" t="n">
        <x:f>AQ374</x:f>
        <x:v>1.4675337455884678</x:v>
      </x:c>
      <x:c r="P375" s="243" t="n">
        <x:f>D375*G375+E375*H375+I375</x:f>
        <x:v>1.0853899356065633</x:v>
      </x:c>
      <x:c r="Q375" s="243" t="n">
        <x:f>1/(1+EXP(-P375))</x:f>
        <x:v>0.7475126227950961</x:v>
      </x:c>
      <x:c r="R375" s="243" t="n">
        <x:f>D375*J375+E375*K375+L375</x:f>
        <x:v>4.796194592456584</x:v>
      </x:c>
      <x:c r="S375" s="243" t="n">
        <x:f>1/(1+EXP(-R375))</x:f>
        <x:v>0.9918065627490167</x:v>
      </x:c>
      <x:c r="T375" s="243" t="n">
        <x:f>Q375*M375+S375*N375+O375</x:f>
        <x:v>0.8005016615958325</x:v>
      </x:c>
      <x:c r="U375" s="243" t="n">
        <x:f>1/(1+EXP(-T375))</x:f>
        <x:v>0.6900817811790763</x:v>
      </x:c>
      <x:c r="V375" s="243" t="n">
        <x:f>0.5*(F375-U375)^2</x:f>
        <x:v>0.04802465117856698</x:v>
      </x:c>
      <x:c r="W375" s="244" t="n">
        <x:f>(U375-F375)*U375*(1-U375)</x:f>
        <x:v>-0.06628187365161867</x:v>
      </x:c>
      <x:c r="X375" s="244" t="n">
        <x:f>W375*M375*Q375*(1-Q375)</x:f>
        <x:v>-0.043770496901614074</x:v>
      </x:c>
      <x:c r="Y375" s="244" t="n">
        <x:f>W375*N375*S375*(1-S375)</x:f>
        <x:v>0.001782640450208132</x:v>
      </x:c>
      <x:c r="Z375" s="245" t="n">
        <x:f>X375*D375</x:f>
        <x:v>-0.043770496901614074</x:v>
      </x:c>
      <x:c r="AA375" s="245" t="n">
        <x:f>X375*E375</x:f>
        <x:v>0</x:v>
      </x:c>
      <x:c r="AB375" s="245" t="n">
        <x:f>X375</x:f>
        <x:v>-0.043770496901614074</x:v>
      </x:c>
      <x:c r="AC375" s="245" t="n">
        <x:f>Y375*D375</x:f>
        <x:v>0.001782640450208132</x:v>
      </x:c>
      <x:c r="AD375" s="245" t="n">
        <x:f>Y375*E375</x:f>
        <x:v>0</x:v>
      </x:c>
      <x:c r="AE375" s="245" t="n">
        <x:f>Y375</x:f>
        <x:v>0.001782640450208132</x:v>
      </x:c>
      <x:c r="AF375" s="245" t="n">
        <x:f>W375*Q375</x:f>
        <x:v>-0.04954653721709464</x:v>
      </x:c>
      <x:c r="AG375" s="245" t="n">
        <x:f>W375*S375</x:f>
        <x:v>-0.06573879727897652</x:v>
      </x:c>
      <x:c r="AH375" s="245" t="n">
        <x:f>W375</x:f>
        <x:v>-0.06628187365161867</x:v>
      </x:c>
      <x:c r="AI375" s="246" t="n">
        <x:f>G375-$B$4*Z375</x:f>
        <x:v>2.8349844634456978</x:v>
      </x:c>
      <x:c r="AJ375" s="246" t="n">
        <x:f>H375-$B$4*AA375</x:f>
        <x:v>-3.247157351751183</x:v>
      </x:c>
      <x:c r="AK375" s="246" t="n">
        <x:f>I375-$B$4*AB375</x:f>
        <x:v>-1.6620535340359064</x:v>
      </x:c>
      <x:c r="AL375" s="246" t="n">
        <x:f>J375-$B$4*AC375</x:f>
        <x:v>3.089778123360792</x:v>
      </x:c>
      <x:c r="AM375" s="246" t="n">
        <x:f>K375-$B$4*AD375</x:f>
        <x:v>-2.9987661913824954</x:v>
      </x:c>
      <x:c r="AN375" s="246" t="n">
        <x:f>L375-$B$4*AE375</x:f>
        <x:v>1.702851188195376</x:v>
      </x:c>
      <x:c r="AO375" s="246" t="n">
        <x:f>M375-$B$4*AF375</x:f>
        <x:v>3.548422112834083</x:v>
      </x:c>
      <x:c r="AP375" s="246" t="n">
        <x:f>N375-$B$4*AG375</x:f>
        <x:v>-3.243863967656999</x:v>
      </x:c>
      <x:c r="AQ375" s="246" t="n">
        <x:f>O375-$B$4*AH375</x:f>
        <x:v>1.5338156192400865</x:v>
      </x:c>
      <x:c r="AR375" s="182" t="n">
        <x:f>IF(U375&gt;=$B$5,1,0)</x:f>
        <x:v>1</x:v>
      </x:c>
      <x:c r="AS375" s="182" t="n">
        <x:f>IF(AR375=F375,1,0)</x:f>
        <x:v>1</x:v>
      </x:c>
      <x:c r="AT375" s="252" t="n">
        <x:f>ABS(F375-U375)</x:f>
        <x:v>0.30991821882092374</x:v>
      </x:c>
    </x:row>
    <x:row r="376">
      <x:c r="A376" s="114" t="n">
        <x:v>360</x:v>
      </x:c>
      <x:c r="B376" s="114" t="n">
        <x:v>90</x:v>
      </x:c>
      <x:c r="C376" s="114" t="n">
        <x:v>4</x:v>
      </x:c>
      <x:c r="D376" s="168" t="n">
        <x:f>$I$8</x:f>
        <x:v>1</x:v>
      </x:c>
      <x:c r="E376" s="168" t="n">
        <x:f>$J$8</x:f>
        <x:v>1</x:v>
      </x:c>
      <x:c r="F376" s="168" t="n">
        <x:f>$K$8</x:f>
        <x:v>0</x:v>
      </x:c>
      <x:c r="G376" s="242" t="n">
        <x:f>AI375</x:f>
        <x:v>2.8349844634456978</x:v>
      </x:c>
      <x:c r="H376" s="242" t="n">
        <x:f>AJ375</x:f>
        <x:v>-3.247157351751183</x:v>
      </x:c>
      <x:c r="I376" s="242" t="n">
        <x:f>AK375</x:f>
        <x:v>-1.6620535340359064</x:v>
      </x:c>
      <x:c r="J376" s="242" t="n">
        <x:f>AL375</x:f>
        <x:v>3.089778123360792</x:v>
      </x:c>
      <x:c r="K376" s="242" t="n">
        <x:f>AM375</x:f>
        <x:v>-2.9987661913824954</x:v>
      </x:c>
      <x:c r="L376" s="242" t="n">
        <x:f>AN375</x:f>
        <x:v>1.702851188195376</x:v>
      </x:c>
      <x:c r="M376" s="242" t="n">
        <x:f>AO375</x:f>
        <x:v>3.548422112834083</x:v>
      </x:c>
      <x:c r="N376" s="242" t="n">
        <x:f>AP375</x:f>
        <x:v>-3.243863967656999</x:v>
      </x:c>
      <x:c r="O376" s="242" t="n">
        <x:f>AQ375</x:f>
        <x:v>1.5338156192400865</x:v>
      </x:c>
      <x:c r="P376" s="243" t="n">
        <x:f>D376*G376+E376*H376+I376</x:f>
        <x:v>-2.0742264223413915</x:v>
      </x:c>
      <x:c r="Q376" s="243" t="n">
        <x:f>1/(1+EXP(-P376))</x:f>
        <x:v>0.1116272301983937</x:v>
      </x:c>
      <x:c r="R376" s="243" t="n">
        <x:f>D376*J376+E376*K376+L376</x:f>
        <x:v>1.7938631201736728</x:v>
      </x:c>
      <x:c r="S376" s="243" t="n">
        <x:f>1/(1+EXP(-R376))</x:f>
        <x:v>0.8574002535766961</x:v>
      </x:c>
      <x:c r="T376" s="243" t="n">
        <x:f>Q376*M376+S376*N376+O376</x:f>
        <x:v>-0.8513736371669314</x:v>
      </x:c>
      <x:c r="U376" s="243" t="n">
        <x:f>1/(1+EXP(-T376))</x:f>
        <x:v>0.29914478519308646</x:v>
      </x:c>
      <x:c r="V376" s="243" t="n">
        <x:f>0.5*(F376-U376)^2</x:f>
        <x:v>0.04474380125410892</x:v>
      </x:c>
      <x:c r="W376" s="244" t="n">
        <x:f>(U376-F376)*U376*(1-U376)</x:f>
        <x:v>0.06271785287845272</x:v>
      </x:c>
      <x:c r="X376" s="244" t="n">
        <x:f>W376*M376*Q376*(1-Q376)</x:f>
        <x:v>0.02206946706666229</x:v>
      </x:c>
      <x:c r="Y376" s="244" t="n">
        <x:f>W376*N376*S376*(1-S376)</x:f>
        <x:v>-0.024874604055646406</x:v>
      </x:c>
      <x:c r="Z376" s="245" t="n">
        <x:f>X376*D376</x:f>
        <x:v>0.02206946706666229</x:v>
      </x:c>
      <x:c r="AA376" s="245" t="n">
        <x:f>X376*E376</x:f>
        <x:v>0.02206946706666229</x:v>
      </x:c>
      <x:c r="AB376" s="245" t="n">
        <x:f>X376</x:f>
        <x:v>0.02206946706666229</x:v>
      </x:c>
      <x:c r="AC376" s="245" t="n">
        <x:f>Y376*D376</x:f>
        <x:v>-0.024874604055646406</x:v>
      </x:c>
      <x:c r="AD376" s="245" t="n">
        <x:f>Y376*E376</x:f>
        <x:v>-0.024874604055646406</x:v>
      </x:c>
      <x:c r="AE376" s="245" t="n">
        <x:f>Y376</x:f>
        <x:v>-0.024874604055646406</x:v>
      </x:c>
      <x:c r="AF376" s="245" t="n">
        <x:f>W376*Q376</x:f>
        <x:v>0.00700102020081203</x:v>
      </x:c>
      <x:c r="AG376" s="245" t="n">
        <x:f>W376*S376</x:f>
        <x:v>0.053774302961771284</x:v>
      </x:c>
      <x:c r="AH376" s="245" t="n">
        <x:f>W376</x:f>
        <x:v>0.06271785287845272</x:v>
      </x:c>
      <x:c r="AI376" s="246" t="n">
        <x:f>G376-$B$4*Z376</x:f>
        <x:v>2.8129149963790354</x:v>
      </x:c>
      <x:c r="AJ376" s="246" t="n">
        <x:f>H376-$B$4*AA376</x:f>
        <x:v>-3.2692268188178453</x:v>
      </x:c>
      <x:c r="AK376" s="246" t="n">
        <x:f>I376-$B$4*AB376</x:f>
        <x:v>-1.6841230011025687</x:v>
      </x:c>
      <x:c r="AL376" s="246" t="n">
        <x:f>J376-$B$4*AC376</x:f>
        <x:v>3.1146527274164386</x:v>
      </x:c>
      <x:c r="AM376" s="246" t="n">
        <x:f>K376-$B$4*AD376</x:f>
        <x:v>-2.973891587326849</x:v>
      </x:c>
      <x:c r="AN376" s="246" t="n">
        <x:f>L376-$B$4*AE376</x:f>
        <x:v>1.7277257922510225</x:v>
      </x:c>
      <x:c r="AO376" s="246" t="n">
        <x:f>M376-$B$4*AF376</x:f>
        <x:v>3.541421092633271</x:v>
      </x:c>
      <x:c r="AP376" s="246" t="n">
        <x:f>N376-$B$4*AG376</x:f>
        <x:v>-3.2976382706187706</x:v>
      </x:c>
      <x:c r="AQ376" s="246" t="n">
        <x:f>O376-$B$4*AH376</x:f>
        <x:v>1.4710977663616338</x:v>
      </x:c>
      <x:c r="AR376" s="182" t="n">
        <x:f>IF(U376&gt;=$B$5,1,0)</x:f>
        <x:v>0</x:v>
      </x:c>
      <x:c r="AS376" s="182" t="n">
        <x:f>IF(AR376=F376,1,0)</x:f>
        <x:v>1</x:v>
      </x:c>
      <x:c r="AT376" s="252" t="n">
        <x:f>ABS(F376-U376)</x:f>
        <x:v>0.29914478519308646</x:v>
      </x:c>
    </x:row>
    <x:row r="377">
      <x:c r="A377" s="114" t="n">
        <x:v>361</x:v>
      </x:c>
      <x:c r="B377" s="114" t="n">
        <x:v>91</x:v>
      </x:c>
      <x:c r="C377" s="114" t="n">
        <x:v>1</x:v>
      </x:c>
      <x:c r="D377" s="168" t="n">
        <x:f>$I$5</x:f>
        <x:v>0</x:v>
      </x:c>
      <x:c r="E377" s="168" t="n">
        <x:f>$J$5</x:f>
        <x:v>0</x:v>
      </x:c>
      <x:c r="F377" s="168" t="n">
        <x:f>$K$5</x:f>
        <x:v>0</x:v>
      </x:c>
      <x:c r="G377" s="242" t="n">
        <x:f>AI376</x:f>
        <x:v>2.8129149963790354</x:v>
      </x:c>
      <x:c r="H377" s="242" t="n">
        <x:f>AJ376</x:f>
        <x:v>-3.2692268188178453</x:v>
      </x:c>
      <x:c r="I377" s="242" t="n">
        <x:f>AK376</x:f>
        <x:v>-1.6841230011025687</x:v>
      </x:c>
      <x:c r="J377" s="242" t="n">
        <x:f>AL376</x:f>
        <x:v>3.1146527274164386</x:v>
      </x:c>
      <x:c r="K377" s="242" t="n">
        <x:f>AM376</x:f>
        <x:v>-2.973891587326849</x:v>
      </x:c>
      <x:c r="L377" s="242" t="n">
        <x:f>AN376</x:f>
        <x:v>1.7277257922510225</x:v>
      </x:c>
      <x:c r="M377" s="242" t="n">
        <x:f>AO376</x:f>
        <x:v>3.541421092633271</x:v>
      </x:c>
      <x:c r="N377" s="242" t="n">
        <x:f>AP376</x:f>
        <x:v>-3.2976382706187706</x:v>
      </x:c>
      <x:c r="O377" s="242" t="n">
        <x:f>AQ376</x:f>
        <x:v>1.4710977663616338</x:v>
      </x:c>
      <x:c r="P377" s="243" t="n">
        <x:f>D377*G377+E377*H377+I377</x:f>
        <x:v>-1.6841230011025687</x:v>
      </x:c>
      <x:c r="Q377" s="243" t="n">
        <x:f>1/(1+EXP(-P377))</x:f>
        <x:v>0.15655028712989325</x:v>
      </x:c>
      <x:c r="R377" s="243" t="n">
        <x:f>D377*J377+E377*K377+L377</x:f>
        <x:v>1.7277257922510225</x:v>
      </x:c>
      <x:c r="S377" s="243" t="n">
        <x:f>1/(1+EXP(-R377))</x:f>
        <x:v>0.8491212929415507</x:v>
      </x:c>
      <x:c r="T377" s="243" t="n">
        <x:f>Q377*M377+S377*N377+O377</x:f>
        <x:v>-0.7745866167401172</x:v>
      </x:c>
      <x:c r="U377" s="243" t="n">
        <x:f>1/(1+EXP(-T377))</x:f>
        <x:v>0.3154877651457509</x:v>
      </x:c>
      <x:c r="V377" s="243" t="n">
        <x:f>0.5*(F377-U377)^2</x:f>
        <x:v>0.049766264978330234</x:v>
      </x:c>
      <x:c r="W377" s="244" t="n">
        <x:f>(U377-F377)*U377*(1-U377)</x:f>
        <x:v>0.06813123452133116</x:v>
      </x:c>
      <x:c r="X377" s="244" t="n">
        <x:f>W377*M377*Q377*(1-Q377)</x:f>
        <x:v>0.03185934854328177</x:v>
      </x:c>
      <x:c r="Y377" s="244" t="n">
        <x:f>W377*N377*S377*(1-S377)</x:f>
        <x:v>-0.02878372245137417</x:v>
      </x:c>
      <x:c r="Z377" s="245" t="n">
        <x:f>X377*D377</x:f>
        <x:v>0</x:v>
      </x:c>
      <x:c r="AA377" s="245" t="n">
        <x:f>X377*E377</x:f>
        <x:v>0</x:v>
      </x:c>
      <x:c r="AB377" s="245" t="n">
        <x:f>X377</x:f>
        <x:v>0.03185934854328177</x:v>
      </x:c>
      <x:c r="AC377" s="245" t="n">
        <x:f>Y377*D377</x:f>
        <x:v>0</x:v>
      </x:c>
      <x:c r="AD377" s="245" t="n">
        <x:f>Y377*E377</x:f>
        <x:v>0</x:v>
      </x:c>
      <x:c r="AE377" s="245" t="n">
        <x:f>Y377</x:f>
        <x:v>-0.02878372245137417</x:v>
      </x:c>
      <x:c r="AF377" s="245" t="n">
        <x:f>W377*Q377</x:f>
        <x:v>0.010665964326828488</x:v>
      </x:c>
      <x:c r="AG377" s="245" t="n">
        <x:f>W377*S377</x:f>
        <x:v>0.05785168194645673</x:v>
      </x:c>
      <x:c r="AH377" s="245" t="n">
        <x:f>W377</x:f>
        <x:v>0.06813123452133116</x:v>
      </x:c>
      <x:c r="AI377" s="246" t="n">
        <x:f>G377-$B$4*Z377</x:f>
        <x:v>2.8129149963790354</x:v>
      </x:c>
      <x:c r="AJ377" s="246" t="n">
        <x:f>H377-$B$4*AA377</x:f>
        <x:v>-3.2692268188178453</x:v>
      </x:c>
      <x:c r="AK377" s="246" t="n">
        <x:f>I377-$B$4*AB377</x:f>
        <x:v>-1.7159823496458506</x:v>
      </x:c>
      <x:c r="AL377" s="246" t="n">
        <x:f>J377-$B$4*AC377</x:f>
        <x:v>3.1146527274164386</x:v>
      </x:c>
      <x:c r="AM377" s="246" t="n">
        <x:f>K377-$B$4*AD377</x:f>
        <x:v>-2.973891587326849</x:v>
      </x:c>
      <x:c r="AN377" s="246" t="n">
        <x:f>L377-$B$4*AE377</x:f>
        <x:v>1.7565095147023966</x:v>
      </x:c>
      <x:c r="AO377" s="246" t="n">
        <x:f>M377-$B$4*AF377</x:f>
        <x:v>3.5307551283064424</x:v>
      </x:c>
      <x:c r="AP377" s="246" t="n">
        <x:f>N377-$B$4*AG377</x:f>
        <x:v>-3.355489952565227</x:v>
      </x:c>
      <x:c r="AQ377" s="246" t="n">
        <x:f>O377-$B$4*AH377</x:f>
        <x:v>1.4029665318403026</x:v>
      </x:c>
      <x:c r="AR377" s="182" t="n">
        <x:f>IF(U377&gt;=$B$5,1,0)</x:f>
        <x:v>0</x:v>
      </x:c>
      <x:c r="AS377" s="182" t="n">
        <x:f>IF(AR377=F377,1,0)</x:f>
        <x:v>1</x:v>
      </x:c>
      <x:c r="AT377" s="252" t="n">
        <x:f>ABS(F377-U377)</x:f>
        <x:v>0.3154877651457509</x:v>
      </x:c>
    </x:row>
    <x:row r="378">
      <x:c r="A378" s="114" t="n">
        <x:v>362</x:v>
      </x:c>
      <x:c r="B378" s="114" t="n">
        <x:v>91</x:v>
      </x:c>
      <x:c r="C378" s="114" t="n">
        <x:v>2</x:v>
      </x:c>
      <x:c r="D378" s="168" t="n">
        <x:f>$I$6</x:f>
        <x:v>0</x:v>
      </x:c>
      <x:c r="E378" s="168" t="n">
        <x:f>$J$6</x:f>
        <x:v>1</x:v>
      </x:c>
      <x:c r="F378" s="168" t="n">
        <x:f>$K$6</x:f>
        <x:v>1</x:v>
      </x:c>
      <x:c r="G378" s="242" t="n">
        <x:f>AI377</x:f>
        <x:v>2.8129149963790354</x:v>
      </x:c>
      <x:c r="H378" s="242" t="n">
        <x:f>AJ377</x:f>
        <x:v>-3.2692268188178453</x:v>
      </x:c>
      <x:c r="I378" s="242" t="n">
        <x:f>AK377</x:f>
        <x:v>-1.7159823496458506</x:v>
      </x:c>
      <x:c r="J378" s="242" t="n">
        <x:f>AL377</x:f>
        <x:v>3.1146527274164386</x:v>
      </x:c>
      <x:c r="K378" s="242" t="n">
        <x:f>AM377</x:f>
        <x:v>-2.973891587326849</x:v>
      </x:c>
      <x:c r="L378" s="242" t="n">
        <x:f>AN377</x:f>
        <x:v>1.7565095147023966</x:v>
      </x:c>
      <x:c r="M378" s="242" t="n">
        <x:f>AO377</x:f>
        <x:v>3.5307551283064424</x:v>
      </x:c>
      <x:c r="N378" s="242" t="n">
        <x:f>AP377</x:f>
        <x:v>-3.355489952565227</x:v>
      </x:c>
      <x:c r="O378" s="242" t="n">
        <x:f>AQ377</x:f>
        <x:v>1.4029665318403026</x:v>
      </x:c>
      <x:c r="P378" s="243" t="n">
        <x:f>D378*G378+E378*H378+I378</x:f>
        <x:v>-4.985209168463696</x:v>
      </x:c>
      <x:c r="Q378" s="243" t="n">
        <x:f>1/(1+EXP(-P378))</x:f>
        <x:v>0.006791902124224978</x:v>
      </x:c>
      <x:c r="R378" s="243" t="n">
        <x:f>D378*J378+E378*K378+L378</x:f>
        <x:v>-1.2173820726244524</x:v>
      </x:c>
      <x:c r="S378" s="243" t="n">
        <x:f>1/(1+EXP(-R378))</x:f>
        <x:v>0.2283974852687501</x:v>
      </x:c>
      <x:c r="T378" s="243" t="n">
        <x:f>Q378*M378+S378*N378+O378</x:f>
        <x:v>0.66056160808591</x:v>
      </x:c>
      <x:c r="U378" s="243" t="n">
        <x:f>1/(1+EXP(-T378))</x:f>
        <x:v>0.6593865346315618</x:v>
      </x:c>
      <x:c r="V378" s="243" t="n">
        <x:f>0.5*(F378-U378)^2</x:f>
        <x:v>0.05800876639514811</x:v>
      </x:c>
      <x:c r="W378" s="244" t="n">
        <x:f>(U378-F378)*U378*(1-U378)</x:f>
        <x:v>-0.07650039890309702</x:v>
      </x:c>
      <x:c r="X378" s="244" t="n">
        <x:f>W378*M378*Q378*(1-Q378)</x:f>
        <x:v>-0.0018220612370759394</x:v>
      </x:c>
      <x:c r="Y378" s="244" t="n">
        <x:f>W378*N378*S378*(1-S378)</x:f>
        <x:v>0.045238124839637836</x:v>
      </x:c>
      <x:c r="Z378" s="245" t="n">
        <x:f>X378*D378</x:f>
        <x:v>0</x:v>
      </x:c>
      <x:c r="AA378" s="245" t="n">
        <x:f>X378*E378</x:f>
        <x:v>-0.0018220612370759394</x:v>
      </x:c>
      <x:c r="AB378" s="245" t="n">
        <x:f>X378</x:f>
        <x:v>-0.0018220612370759394</x:v>
      </x:c>
      <x:c r="AC378" s="245" t="n">
        <x:f>Y378*D378</x:f>
        <x:v>0</x:v>
      </x:c>
      <x:c r="AD378" s="245" t="n">
        <x:f>Y378*E378</x:f>
        <x:v>0.045238124839637836</x:v>
      </x:c>
      <x:c r="AE378" s="245" t="n">
        <x:f>Y378</x:f>
        <x:v>0.045238124839637836</x:v>
      </x:c>
      <x:c r="AF378" s="245" t="n">
        <x:f>W378*Q378</x:f>
        <x:v>-0.0005195832218140029</x:v>
      </x:c>
      <x:c r="AG378" s="245" t="n">
        <x:f>W378*S378</x:f>
        <x:v>-0.01747249873152361</x:v>
      </x:c>
      <x:c r="AH378" s="245" t="n">
        <x:f>W378</x:f>
        <x:v>-0.07650039890309702</x:v>
      </x:c>
      <x:c r="AI378" s="246" t="n">
        <x:f>G378-$B$4*Z378</x:f>
        <x:v>2.8129149963790354</x:v>
      </x:c>
      <x:c r="AJ378" s="246" t="n">
        <x:f>H378-$B$4*AA378</x:f>
        <x:v>-3.267404757580769</x:v>
      </x:c>
      <x:c r="AK378" s="246" t="n">
        <x:f>I378-$B$4*AB378</x:f>
        <x:v>-1.7141602884087748</x:v>
      </x:c>
      <x:c r="AL378" s="246" t="n">
        <x:f>J378-$B$4*AC378</x:f>
        <x:v>3.1146527274164386</x:v>
      </x:c>
      <x:c r="AM378" s="246" t="n">
        <x:f>K378-$B$4*AD378</x:f>
        <x:v>-3.0191297121664866</x:v>
      </x:c>
      <x:c r="AN378" s="246" t="n">
        <x:f>L378-$B$4*AE378</x:f>
        <x:v>1.7112713898627587</x:v>
      </x:c>
      <x:c r="AO378" s="246" t="n">
        <x:f>M378-$B$4*AF378</x:f>
        <x:v>3.5312747115282566</x:v>
      </x:c>
      <x:c r="AP378" s="246" t="n">
        <x:f>N378-$B$4*AG378</x:f>
        <x:v>-3.3380174538337033</x:v>
      </x:c>
      <x:c r="AQ378" s="246" t="n">
        <x:f>O378-$B$4*AH378</x:f>
        <x:v>1.4794669307433996</x:v>
      </x:c>
      <x:c r="AR378" s="182" t="n">
        <x:f>IF(U378&gt;=$B$5,1,0)</x:f>
        <x:v>1</x:v>
      </x:c>
      <x:c r="AS378" s="182" t="n">
        <x:f>IF(AR378=F378,1,0)</x:f>
        <x:v>1</x:v>
      </x:c>
      <x:c r="AT378" s="252" t="n">
        <x:f>ABS(F378-U378)</x:f>
        <x:v>0.3406134653684382</x:v>
      </x:c>
    </x:row>
    <x:row r="379">
      <x:c r="A379" s="114" t="n">
        <x:v>363</x:v>
      </x:c>
      <x:c r="B379" s="114" t="n">
        <x:v>91</x:v>
      </x:c>
      <x:c r="C379" s="114" t="n">
        <x:v>3</x:v>
      </x:c>
      <x:c r="D379" s="168" t="n">
        <x:f>$I$7</x:f>
        <x:v>1</x:v>
      </x:c>
      <x:c r="E379" s="168" t="n">
        <x:f>$J$7</x:f>
        <x:v>0</x:v>
      </x:c>
      <x:c r="F379" s="168" t="n">
        <x:f>$K$7</x:f>
        <x:v>1</x:v>
      </x:c>
      <x:c r="G379" s="242" t="n">
        <x:f>AI378</x:f>
        <x:v>2.8129149963790354</x:v>
      </x:c>
      <x:c r="H379" s="242" t="n">
        <x:f>AJ378</x:f>
        <x:v>-3.267404757580769</x:v>
      </x:c>
      <x:c r="I379" s="242" t="n">
        <x:f>AK378</x:f>
        <x:v>-1.7141602884087748</x:v>
      </x:c>
      <x:c r="J379" s="242" t="n">
        <x:f>AL378</x:f>
        <x:v>3.1146527274164386</x:v>
      </x:c>
      <x:c r="K379" s="242" t="n">
        <x:f>AM378</x:f>
        <x:v>-3.0191297121664866</x:v>
      </x:c>
      <x:c r="L379" s="242" t="n">
        <x:f>AN378</x:f>
        <x:v>1.7112713898627587</x:v>
      </x:c>
      <x:c r="M379" s="242" t="n">
        <x:f>AO378</x:f>
        <x:v>3.5312747115282566</x:v>
      </x:c>
      <x:c r="N379" s="242" t="n">
        <x:f>AP378</x:f>
        <x:v>-3.3380174538337033</x:v>
      </x:c>
      <x:c r="O379" s="242" t="n">
        <x:f>AQ378</x:f>
        <x:v>1.4794669307433996</x:v>
      </x:c>
      <x:c r="P379" s="243" t="n">
        <x:f>D379*G379+E379*H379+I379</x:f>
        <x:v>1.0987547079702606</x:v>
      </x:c>
      <x:c r="Q379" s="243" t="n">
        <x:f>1/(1+EXP(-P379))</x:f>
        <x:v>0.7500267026683642</x:v>
      </x:c>
      <x:c r="R379" s="243" t="n">
        <x:f>D379*J379+E379*K379+L379</x:f>
        <x:v>4.825924117279198</x:v>
      </x:c>
      <x:c r="S379" s="243" t="n">
        <x:f>1/(1+EXP(-R379))</x:f>
        <x:v>0.9920446552027169</x:v>
      </x:c>
      <x:c r="T379" s="243" t="n">
        <x:f>Q379*M379+S379*N379+O379</x:f>
        <x:v>0.8165548847980095</x:v>
      </x:c>
      <x:c r="U379" s="243" t="n">
        <x:f>1/(1+EXP(-T379))</x:f>
        <x:v>0.6935045488061578</x:v>
      </x:c>
      <x:c r="V379" s="243" t="n">
        <x:f>0.5*(F379-U379)^2</x:f>
        <x:v>0.04696973080125847</x:v>
      </x:c>
      <x:c r="W379" s="244" t="n">
        <x:f>(U379-F379)*U379*(1-U379)</x:f>
        <x:v>-0.0651474439337469</x:v>
      </x:c>
      <x:c r="X379" s="244" t="n">
        <x:f>W379*M379*Q379*(1-Q379)</x:f>
        <x:v>-0.04313196355526168</x:v>
      </x:c>
      <x:c r="Y379" s="244" t="n">
        <x:f>W379*N379*S379*(1-S379)</x:f>
        <x:v>0.0017162328601547092</x:v>
      </x:c>
      <x:c r="Z379" s="245" t="n">
        <x:f>X379*D379</x:f>
        <x:v>-0.04313196355526168</x:v>
      </x:c>
      <x:c r="AA379" s="245" t="n">
        <x:f>X379*E379</x:f>
        <x:v>0</x:v>
      </x:c>
      <x:c r="AB379" s="245" t="n">
        <x:f>X379</x:f>
        <x:v>-0.04313196355526168</x:v>
      </x:c>
      <x:c r="AC379" s="245" t="n">
        <x:f>Y379*D379</x:f>
        <x:v>0.0017162328601547092</x:v>
      </x:c>
      <x:c r="AD379" s="245" t="n">
        <x:f>Y379*E379</x:f>
        <x:v>0</x:v>
      </x:c>
      <x:c r="AE379" s="245" t="n">
        <x:f>Y379</x:f>
        <x:v>0.0017162328601547092</x:v>
      </x:c>
      <x:c r="AF379" s="245" t="n">
        <x:f>W379*Q379</x:f>
        <x:v>-0.04886232256090031</x:v>
      </x:c>
      <x:c r="AG379" s="245" t="n">
        <x:f>W379*S379</x:f>
        <x:v>-0.06462917355459227</x:v>
      </x:c>
      <x:c r="AH379" s="245" t="n">
        <x:f>W379</x:f>
        <x:v>-0.0651474439337469</x:v>
      </x:c>
      <x:c r="AI379" s="246" t="n">
        <x:f>G379-$B$4*Z379</x:f>
        <x:v>2.856046959934297</x:v>
      </x:c>
      <x:c r="AJ379" s="246" t="n">
        <x:f>H379-$B$4*AA379</x:f>
        <x:v>-3.267404757580769</x:v>
      </x:c>
      <x:c r="AK379" s="246" t="n">
        <x:f>I379-$B$4*AB379</x:f>
        <x:v>-1.6710283248535132</x:v>
      </x:c>
      <x:c r="AL379" s="246" t="n">
        <x:f>J379-$B$4*AC379</x:f>
        <x:v>3.112936494556284</x:v>
      </x:c>
      <x:c r="AM379" s="246" t="n">
        <x:f>K379-$B$4*AD379</x:f>
        <x:v>-3.0191297121664866</x:v>
      </x:c>
      <x:c r="AN379" s="246" t="n">
        <x:f>L379-$B$4*AE379</x:f>
        <x:v>1.709555157002604</x:v>
      </x:c>
      <x:c r="AO379" s="246" t="n">
        <x:f>M379-$B$4*AF379</x:f>
        <x:v>3.580137034089157</x:v>
      </x:c>
      <x:c r="AP379" s="246" t="n">
        <x:f>N379-$B$4*AG379</x:f>
        <x:v>-3.273388280279111</x:v>
      </x:c>
      <x:c r="AQ379" s="246" t="n">
        <x:f>O379-$B$4*AH379</x:f>
        <x:v>1.5446143746771466</x:v>
      </x:c>
      <x:c r="AR379" s="182" t="n">
        <x:f>IF(U379&gt;=$B$5,1,0)</x:f>
        <x:v>1</x:v>
      </x:c>
      <x:c r="AS379" s="182" t="n">
        <x:f>IF(AR379=F379,1,0)</x:f>
        <x:v>1</x:v>
      </x:c>
      <x:c r="AT379" s="252" t="n">
        <x:f>ABS(F379-U379)</x:f>
        <x:v>0.30649545119384225</x:v>
      </x:c>
    </x:row>
    <x:row r="380">
      <x:c r="A380" s="114" t="n">
        <x:v>364</x:v>
      </x:c>
      <x:c r="B380" s="114" t="n">
        <x:v>91</x:v>
      </x:c>
      <x:c r="C380" s="114" t="n">
        <x:v>4</x:v>
      </x:c>
      <x:c r="D380" s="168" t="n">
        <x:f>$I$8</x:f>
        <x:v>1</x:v>
      </x:c>
      <x:c r="E380" s="168" t="n">
        <x:f>$J$8</x:f>
        <x:v>1</x:v>
      </x:c>
      <x:c r="F380" s="168" t="n">
        <x:f>$K$8</x:f>
        <x:v>0</x:v>
      </x:c>
      <x:c r="G380" s="242" t="n">
        <x:f>AI379</x:f>
        <x:v>2.856046959934297</x:v>
      </x:c>
      <x:c r="H380" s="242" t="n">
        <x:f>AJ379</x:f>
        <x:v>-3.267404757580769</x:v>
      </x:c>
      <x:c r="I380" s="242" t="n">
        <x:f>AK379</x:f>
        <x:v>-1.6710283248535132</x:v>
      </x:c>
      <x:c r="J380" s="242" t="n">
        <x:f>AL379</x:f>
        <x:v>3.112936494556284</x:v>
      </x:c>
      <x:c r="K380" s="242" t="n">
        <x:f>AM379</x:f>
        <x:v>-3.0191297121664866</x:v>
      </x:c>
      <x:c r="L380" s="242" t="n">
        <x:f>AN379</x:f>
        <x:v>1.709555157002604</x:v>
      </x:c>
      <x:c r="M380" s="242" t="n">
        <x:f>AO379</x:f>
        <x:v>3.580137034089157</x:v>
      </x:c>
      <x:c r="N380" s="242" t="n">
        <x:f>AP379</x:f>
        <x:v>-3.273388280279111</x:v>
      </x:c>
      <x:c r="O380" s="242" t="n">
        <x:f>AQ379</x:f>
        <x:v>1.5446143746771466</x:v>
      </x:c>
      <x:c r="P380" s="243" t="n">
        <x:f>D380*G380+E380*H380+I380</x:f>
        <x:v>-2.0823861224999853</x:v>
      </x:c>
      <x:c r="Q380" s="243" t="n">
        <x:f>1/(1+EXP(-P380))</x:f>
        <x:v>0.1108206211682739</x:v>
      </x:c>
      <x:c r="R380" s="243" t="n">
        <x:f>D380*J380+E380*K380+L380</x:f>
        <x:v>1.8033619393924012</x:v>
      </x:c>
      <x:c r="S380" s="243" t="n">
        <x:f>1/(1+EXP(-R380))</x:f>
        <x:v>0.8585576892082256</x:v>
      </x:c>
      <x:c r="T380" s="243" t="n">
        <x:f>Q380*M380+S380*N380+O380</x:f>
        <x:v>-0.8690252931352724</x:v>
      </x:c>
      <x:c r="U380" s="243" t="n">
        <x:f>1/(1+EXP(-T380))</x:f>
        <x:v>0.29545715869317724</x:v>
      </x:c>
      <x:c r="V380" s="243" t="n">
        <x:f>0.5*(F380-U380)^2</x:f>
        <x:v>0.04364746631152266</x:v>
      </x:c>
      <x:c r="W380" s="244" t="n">
        <x:f>(U380-F380)*U380*(1-U380)</x:f>
        <x:v>0.061503019861928</x:v>
      </x:c>
      <x:c r="X380" s="244" t="n">
        <x:f>W380*M380*Q380*(1-Q380)</x:f>
        <x:v>0.02169731795132057</x:v>
      </x:c>
      <x:c r="Y380" s="244" t="n">
        <x:f>W380*N380*S380*(1-S380)</x:f>
        <x:v>-0.024447969147257175</x:v>
      </x:c>
      <x:c r="Z380" s="245" t="n">
        <x:f>X380*D380</x:f>
        <x:v>0.02169731795132057</x:v>
      </x:c>
      <x:c r="AA380" s="245" t="n">
        <x:f>X380*E380</x:f>
        <x:v>0.02169731795132057</x:v>
      </x:c>
      <x:c r="AB380" s="245" t="n">
        <x:f>X380</x:f>
        <x:v>0.02169731795132057</x:v>
      </x:c>
      <x:c r="AC380" s="245" t="n">
        <x:f>Y380*D380</x:f>
        <x:v>-0.024447969147257175</x:v>
      </x:c>
      <x:c r="AD380" s="245" t="n">
        <x:f>Y380*E380</x:f>
        <x:v>-0.024447969147257175</x:v>
      </x:c>
      <x:c r="AE380" s="245" t="n">
        <x:f>Y380</x:f>
        <x:v>-0.024447969147257175</x:v>
      </x:c>
      <x:c r="AF380" s="245" t="n">
        <x:f>W380*Q380</x:f>
        <x:v>0.006815802864823549</x:v>
      </x:c>
      <x:c r="AG380" s="245" t="n">
        <x:f>W380*S380</x:f>
        <x:v>0.052803890611984504</x:v>
      </x:c>
      <x:c r="AH380" s="245" t="n">
        <x:f>W380</x:f>
        <x:v>0.061503019861928</x:v>
      </x:c>
      <x:c r="AI380" s="246" t="n">
        <x:f>G380-$B$4*Z380</x:f>
        <x:v>2.8343496419829766</x:v>
      </x:c>
      <x:c r="AJ380" s="246" t="n">
        <x:f>H380-$B$4*AA380</x:f>
        <x:v>-3.2891020755320897</x:v>
      </x:c>
      <x:c r="AK380" s="246" t="n">
        <x:f>I380-$B$4*AB380</x:f>
        <x:v>-1.6927256428048336</x:v>
      </x:c>
      <x:c r="AL380" s="246" t="n">
        <x:f>J380-$B$4*AC380</x:f>
        <x:v>3.137384463703541</x:v>
      </x:c>
      <x:c r="AM380" s="246" t="n">
        <x:f>K380-$B$4*AD380</x:f>
        <x:v>-2.9946817430192296</x:v>
      </x:c>
      <x:c r="AN380" s="246" t="n">
        <x:f>L380-$B$4*AE380</x:f>
        <x:v>1.7340031261498612</x:v>
      </x:c>
      <x:c r="AO380" s="246" t="n">
        <x:f>M380-$B$4*AF380</x:f>
        <x:v>3.5733212312243334</x:v>
      </x:c>
      <x:c r="AP380" s="246" t="n">
        <x:f>N380-$B$4*AG380</x:f>
        <x:v>-3.3261921708910958</x:v>
      </x:c>
      <x:c r="AQ380" s="246" t="n">
        <x:f>O380-$B$4*AH380</x:f>
        <x:v>1.4831113548152186</x:v>
      </x:c>
      <x:c r="AR380" s="182" t="n">
        <x:f>IF(U380&gt;=$B$5,1,0)</x:f>
        <x:v>0</x:v>
      </x:c>
      <x:c r="AS380" s="182" t="n">
        <x:f>IF(AR380=F380,1,0)</x:f>
        <x:v>1</x:v>
      </x:c>
      <x:c r="AT380" s="252" t="n">
        <x:f>ABS(F380-U380)</x:f>
        <x:v>0.29545715869317724</x:v>
      </x:c>
    </x:row>
    <x:row r="381">
      <x:c r="A381" s="114" t="n">
        <x:v>365</x:v>
      </x:c>
      <x:c r="B381" s="114" t="n">
        <x:v>92</x:v>
      </x:c>
      <x:c r="C381" s="114" t="n">
        <x:v>1</x:v>
      </x:c>
      <x:c r="D381" s="168" t="n">
        <x:f>$I$5</x:f>
        <x:v>0</x:v>
      </x:c>
      <x:c r="E381" s="168" t="n">
        <x:f>$J$5</x:f>
        <x:v>0</x:v>
      </x:c>
      <x:c r="F381" s="168" t="n">
        <x:f>$K$5</x:f>
        <x:v>0</x:v>
      </x:c>
      <x:c r="G381" s="242" t="n">
        <x:f>AI380</x:f>
        <x:v>2.8343496419829766</x:v>
      </x:c>
      <x:c r="H381" s="242" t="n">
        <x:f>AJ380</x:f>
        <x:v>-3.2891020755320897</x:v>
      </x:c>
      <x:c r="I381" s="242" t="n">
        <x:f>AK380</x:f>
        <x:v>-1.6927256428048336</x:v>
      </x:c>
      <x:c r="J381" s="242" t="n">
        <x:f>AL380</x:f>
        <x:v>3.137384463703541</x:v>
      </x:c>
      <x:c r="K381" s="242" t="n">
        <x:f>AM380</x:f>
        <x:v>-2.9946817430192296</x:v>
      </x:c>
      <x:c r="L381" s="242" t="n">
        <x:f>AN380</x:f>
        <x:v>1.7340031261498612</x:v>
      </x:c>
      <x:c r="M381" s="242" t="n">
        <x:f>AO380</x:f>
        <x:v>3.5733212312243334</x:v>
      </x:c>
      <x:c r="N381" s="242" t="n">
        <x:f>AP380</x:f>
        <x:v>-3.3261921708910958</x:v>
      </x:c>
      <x:c r="O381" s="242" t="n">
        <x:f>AQ380</x:f>
        <x:v>1.4831113548152186</x:v>
      </x:c>
      <x:c r="P381" s="243" t="n">
        <x:f>D381*G381+E381*H381+I381</x:f>
        <x:v>-1.6927256428048336</x:v>
      </x:c>
      <x:c r="Q381" s="243" t="n">
        <x:f>1/(1+EXP(-P381))</x:f>
        <x:v>0.15541772779470892</x:v>
      </x:c>
      <x:c r="R381" s="243" t="n">
        <x:f>D381*J381+E381*K381+L381</x:f>
        <x:v>1.7340031261498612</x:v>
      </x:c>
      <x:c r="S381" s="243" t="n">
        <x:f>1/(1+EXP(-R381))</x:f>
        <x:v>0.8499237480667544</x:v>
      </x:c>
      <x:c r="T381" s="243" t="n">
        <x:f>Q381*M381+S381*N381+O381</x:f>
        <x:v>-0.7885408954213586</x:v>
      </x:c>
      <x:c r="U381" s="243" t="n">
        <x:f>1/(1+EXP(-T381))</x:f>
        <x:v>0.31248205329618517</x:v>
      </x:c>
      <x:c r="V381" s="243" t="n">
        <x:f>0.5*(F381-U381)^2</x:f>
        <x:v>0.048822516816099955</x:v>
      </x:c>
      <x:c r="W381" s="244" t="n">
        <x:f>(U381-F381)*U381*(1-U381)</x:f>
        <x:v>0.06713271302863502</x:v>
      </x:c>
      <x:c r="X381" s="244" t="n">
        <x:f>W381*M381*Q381*(1-Q381)</x:f>
        <x:v>0.03148826814155001</x:v>
      </x:c>
      <x:c r="Y381" s="244" t="n">
        <x:f>W381*N381*S381*(1-S381)</x:f>
        <x:v>-0.02848219626613995</x:v>
      </x:c>
      <x:c r="Z381" s="245" t="n">
        <x:f>X381*D381</x:f>
        <x:v>0</x:v>
      </x:c>
      <x:c r="AA381" s="245" t="n">
        <x:f>X381*E381</x:f>
        <x:v>0</x:v>
      </x:c>
      <x:c r="AB381" s="245" t="n">
        <x:f>X381</x:f>
        <x:v>0.03148826814155001</x:v>
      </x:c>
      <x:c r="AC381" s="245" t="n">
        <x:f>Y381*D381</x:f>
        <x:v>0</x:v>
      </x:c>
      <x:c r="AD381" s="245" t="n">
        <x:f>Y381*E381</x:f>
        <x:v>0</x:v>
      </x:c>
      <x:c r="AE381" s="245" t="n">
        <x:f>Y381</x:f>
        <x:v>-0.02848219626613995</x:v>
      </x:c>
      <x:c r="AF381" s="245" t="n">
        <x:f>W381*Q381</x:f>
        <x:v>0.010433613719604707</x:v>
      </x:c>
      <x:c r="AG381" s="245" t="n">
        <x:f>W381*S381</x:f>
        <x:v>0.05705768707518731</x:v>
      </x:c>
      <x:c r="AH381" s="245" t="n">
        <x:f>W381</x:f>
        <x:v>0.06713271302863502</x:v>
      </x:c>
      <x:c r="AI381" s="246" t="n">
        <x:f>G381-$B$4*Z381</x:f>
        <x:v>2.8343496419829766</x:v>
      </x:c>
      <x:c r="AJ381" s="246" t="n">
        <x:f>H381-$B$4*AA381</x:f>
        <x:v>-3.2891020755320897</x:v>
      </x:c>
      <x:c r="AK381" s="246" t="n">
        <x:f>I381-$B$4*AB381</x:f>
        <x:v>-1.7242139109463837</x:v>
      </x:c>
      <x:c r="AL381" s="246" t="n">
        <x:f>J381-$B$4*AC381</x:f>
        <x:v>3.137384463703541</x:v>
      </x:c>
      <x:c r="AM381" s="246" t="n">
        <x:f>K381-$B$4*AD381</x:f>
        <x:v>-2.9946817430192296</x:v>
      </x:c>
      <x:c r="AN381" s="246" t="n">
        <x:f>L381-$B$4*AE381</x:f>
        <x:v>1.762485322416001</x:v>
      </x:c>
      <x:c r="AO381" s="246" t="n">
        <x:f>M381-$B$4*AF381</x:f>
        <x:v>3.5628876175047286</x:v>
      </x:c>
      <x:c r="AP381" s="246" t="n">
        <x:f>N381-$B$4*AG381</x:f>
        <x:v>-3.383249857966283</x:v>
      </x:c>
      <x:c r="AQ381" s="246" t="n">
        <x:f>O381-$B$4*AH381</x:f>
        <x:v>1.4159786417865836</x:v>
      </x:c>
      <x:c r="AR381" s="182" t="n">
        <x:f>IF(U381&gt;=$B$5,1,0)</x:f>
        <x:v>0</x:v>
      </x:c>
      <x:c r="AS381" s="182" t="n">
        <x:f>IF(AR381=F381,1,0)</x:f>
        <x:v>1</x:v>
      </x:c>
      <x:c r="AT381" s="252" t="n">
        <x:f>ABS(F381-U381)</x:f>
        <x:v>0.31248205329618517</x:v>
      </x:c>
    </x:row>
    <x:row r="382">
      <x:c r="A382" s="114" t="n">
        <x:v>366</x:v>
      </x:c>
      <x:c r="B382" s="114" t="n">
        <x:v>92</x:v>
      </x:c>
      <x:c r="C382" s="114" t="n">
        <x:v>2</x:v>
      </x:c>
      <x:c r="D382" s="168" t="n">
        <x:f>$I$6</x:f>
        <x:v>0</x:v>
      </x:c>
      <x:c r="E382" s="168" t="n">
        <x:f>$J$6</x:f>
        <x:v>1</x:v>
      </x:c>
      <x:c r="F382" s="168" t="n">
        <x:f>$K$6</x:f>
        <x:v>1</x:v>
      </x:c>
      <x:c r="G382" s="242" t="n">
        <x:f>AI381</x:f>
        <x:v>2.8343496419829766</x:v>
      </x:c>
      <x:c r="H382" s="242" t="n">
        <x:f>AJ381</x:f>
        <x:v>-3.2891020755320897</x:v>
      </x:c>
      <x:c r="I382" s="242" t="n">
        <x:f>AK381</x:f>
        <x:v>-1.7242139109463837</x:v>
      </x:c>
      <x:c r="J382" s="242" t="n">
        <x:f>AL381</x:f>
        <x:v>3.137384463703541</x:v>
      </x:c>
      <x:c r="K382" s="242" t="n">
        <x:f>AM381</x:f>
        <x:v>-2.9946817430192296</x:v>
      </x:c>
      <x:c r="L382" s="242" t="n">
        <x:f>AN381</x:f>
        <x:v>1.762485322416001</x:v>
      </x:c>
      <x:c r="M382" s="242" t="n">
        <x:f>AO381</x:f>
        <x:v>3.5628876175047286</x:v>
      </x:c>
      <x:c r="N382" s="242" t="n">
        <x:f>AP381</x:f>
        <x:v>-3.383249857966283</x:v>
      </x:c>
      <x:c r="O382" s="242" t="n">
        <x:f>AQ381</x:f>
        <x:v>1.4159786417865836</x:v>
      </x:c>
      <x:c r="P382" s="243" t="n">
        <x:f>D382*G382+E382*H382+I382</x:f>
        <x:v>-5.0133159864784735</x:v>
      </x:c>
      <x:c r="Q382" s="243" t="n">
        <x:f>1/(1+EXP(-P382))</x:f>
        <x:v>0.00660490449981265</x:v>
      </x:c>
      <x:c r="R382" s="243" t="n">
        <x:f>D382*J382+E382*K382+L382</x:f>
        <x:v>-1.2321964206032285</x:v>
      </x:c>
      <x:c r="S382" s="243" t="n">
        <x:f>1/(1+EXP(-R382))</x:f>
        <x:v>0.22579723197080695</x:v>
      </x:c>
      <x:c r="T382" s="243" t="n">
        <x:f>Q382*M382+S382*N382+O382</x:f>
        <x:v>0.6755827212493549</x:v>
      </x:c>
      <x:c r="U382" s="243" t="n">
        <x:f>1/(1+EXP(-T382))</x:f>
        <x:v>0.6627520945694264</x:v>
      </x:c>
      <x:c r="V382" s="243" t="n">
        <x:f>0.5*(F382-U382)^2</x:f>
        <x:v>0.056868074858654555</x:v>
      </x:c>
      <x:c r="W382" s="244" t="n">
        <x:f>(U382-F382)*U382*(1-U382)</x:f>
        <x:v>-0.07537887145340849</x:v>
      </x:c>
      <x:c r="X382" s="244" t="n">
        <x:f>W382*M382*Q382*(1-Q382)</x:f>
        <x:v>-0.00176213959131026</x:v>
      </x:c>
      <x:c r="Y382" s="244" t="n">
        <x:f>W382*N382*S382*(1-S382)</x:f>
        <x:v>0.04458174225249268</x:v>
      </x:c>
      <x:c r="Z382" s="245" t="n">
        <x:f>X382*D382</x:f>
        <x:v>0</x:v>
      </x:c>
      <x:c r="AA382" s="245" t="n">
        <x:f>X382*E382</x:f>
        <x:v>-0.00176213959131026</x:v>
      </x:c>
      <x:c r="AB382" s="245" t="n">
        <x:f>X382</x:f>
        <x:v>-0.00176213959131026</x:v>
      </x:c>
      <x:c r="AC382" s="245" t="n">
        <x:f>Y382*D382</x:f>
        <x:v>0</x:v>
      </x:c>
      <x:c r="AD382" s="245" t="n">
        <x:f>Y382*E382</x:f>
        <x:v>0.04458174225249268</x:v>
      </x:c>
      <x:c r="AE382" s="245" t="n">
        <x:f>Y382</x:f>
        <x:v>0.04458174225249268</x:v>
      </x:c>
      <x:c r="AF382" s="245" t="n">
        <x:f>W382*Q382</x:f>
        <x:v>-0.000497870247253417</x:v>
      </x:c>
      <x:c r="AG382" s="245" t="n">
        <x:f>W382*S382</x:f>
        <x:v>-0.017020340523262914</x:v>
      </x:c>
      <x:c r="AH382" s="245" t="n">
        <x:f>W382</x:f>
        <x:v>-0.07537887145340849</x:v>
      </x:c>
      <x:c r="AI382" s="246" t="n">
        <x:f>G382-$B$4*Z382</x:f>
        <x:v>2.8343496419829766</x:v>
      </x:c>
      <x:c r="AJ382" s="246" t="n">
        <x:f>H382-$B$4*AA382</x:f>
        <x:v>-3.2873399359407793</x:v>
      </x:c>
      <x:c r="AK382" s="246" t="n">
        <x:f>I382-$B$4*AB382</x:f>
        <x:v>-1.7224517713550733</x:v>
      </x:c>
      <x:c r="AL382" s="246" t="n">
        <x:f>J382-$B$4*AC382</x:f>
        <x:v>3.137384463703541</x:v>
      </x:c>
      <x:c r="AM382" s="246" t="n">
        <x:f>K382-$B$4*AD382</x:f>
        <x:v>-3.0392634852717224</x:v>
      </x:c>
      <x:c r="AN382" s="246" t="n">
        <x:f>L382-$B$4*AE382</x:f>
        <x:v>1.7179035801635083</x:v>
      </x:c>
      <x:c r="AO382" s="246" t="n">
        <x:f>M382-$B$4*AF382</x:f>
        <x:v>3.563385487751982</x:v>
      </x:c>
      <x:c r="AP382" s="246" t="n">
        <x:f>N382-$B$4*AG382</x:f>
        <x:v>-3.36622951744302</x:v>
      </x:c>
      <x:c r="AQ382" s="246" t="n">
        <x:f>O382-$B$4*AH382</x:f>
        <x:v>1.491357513239992</x:v>
      </x:c>
      <x:c r="AR382" s="182" t="n">
        <x:f>IF(U382&gt;=$B$5,1,0)</x:f>
        <x:v>1</x:v>
      </x:c>
      <x:c r="AS382" s="182" t="n">
        <x:f>IF(AR382=F382,1,0)</x:f>
        <x:v>1</x:v>
      </x:c>
      <x:c r="AT382" s="252" t="n">
        <x:f>ABS(F382-U382)</x:f>
        <x:v>0.3372479054305736</x:v>
      </x:c>
    </x:row>
    <x:row r="383">
      <x:c r="A383" s="114" t="n">
        <x:v>367</x:v>
      </x:c>
      <x:c r="B383" s="114" t="n">
        <x:v>92</x:v>
      </x:c>
      <x:c r="C383" s="114" t="n">
        <x:v>3</x:v>
      </x:c>
      <x:c r="D383" s="168" t="n">
        <x:f>$I$7</x:f>
        <x:v>1</x:v>
      </x:c>
      <x:c r="E383" s="168" t="n">
        <x:f>$J$7</x:f>
        <x:v>0</x:v>
      </x:c>
      <x:c r="F383" s="168" t="n">
        <x:f>$K$7</x:f>
        <x:v>1</x:v>
      </x:c>
      <x:c r="G383" s="242" t="n">
        <x:f>AI382</x:f>
        <x:v>2.8343496419829766</x:v>
      </x:c>
      <x:c r="H383" s="242" t="n">
        <x:f>AJ382</x:f>
        <x:v>-3.2873399359407793</x:v>
      </x:c>
      <x:c r="I383" s="242" t="n">
        <x:f>AK382</x:f>
        <x:v>-1.7224517713550733</x:v>
      </x:c>
      <x:c r="J383" s="242" t="n">
        <x:f>AL382</x:f>
        <x:v>3.137384463703541</x:v>
      </x:c>
      <x:c r="K383" s="242" t="n">
        <x:f>AM382</x:f>
        <x:v>-3.0392634852717224</x:v>
      </x:c>
      <x:c r="L383" s="242" t="n">
        <x:f>AN382</x:f>
        <x:v>1.7179035801635083</x:v>
      </x:c>
      <x:c r="M383" s="242" t="n">
        <x:f>AO382</x:f>
        <x:v>3.563385487751982</x:v>
      </x:c>
      <x:c r="N383" s="242" t="n">
        <x:f>AP382</x:f>
        <x:v>-3.36622951744302</x:v>
      </x:c>
      <x:c r="O383" s="242" t="n">
        <x:f>AQ382</x:f>
        <x:v>1.491357513239992</x:v>
      </x:c>
      <x:c r="P383" s="243" t="n">
        <x:f>D383*G383+E383*H383+I383</x:f>
        <x:v>1.1118978706279032</x:v>
      </x:c>
      <x:c r="Q383" s="243" t="n">
        <x:f>1/(1+EXP(-P383))</x:f>
        <x:v>0.7524827638581855</x:v>
      </x:c>
      <x:c r="R383" s="243" t="n">
        <x:f>D383*J383+E383*K383+L383</x:f>
        <x:v>4.855288043867049</x:v>
      </x:c>
      <x:c r="S383" s="243" t="n">
        <x:f>1/(1+EXP(-R383))</x:f>
        <x:v>0.9922730802131378</x:v>
      </x:c>
      <x:c r="T383" s="243" t="n">
        <x:f>Q383*M383+S383*N383+O383</x:f>
        <x:v>0.8325247417781818</x:v>
      </x:c>
      <x:c r="U383" s="243" t="n">
        <x:f>1/(1+EXP(-T383))</x:f>
        <x:v>0.696888508393956</x:v>
      </x:c>
      <x:c r="V383" s="243" t="n">
        <x:f>0.5*(F383-U383)^2</x:f>
        <x:v>0.04593828817182044</x:v>
      </x:c>
      <x:c r="W383" s="244" t="n">
        <x:f>(U383-F383)*U383*(1-U383)</x:f>
        <x:v>-0.06402773024446332</x:v>
      </x:c>
      <x:c r="X383" s="244" t="n">
        <x:f>W383*M383*Q383*(1-Q383)</x:f>
        <x:v>-0.04249451892100587</x:v>
      </x:c>
      <x:c r="Y383" s="244" t="n">
        <x:f>W383*N383*S383*(1-S383)</x:f>
        <x:v>0.0016525303471304673</x:v>
      </x:c>
      <x:c r="Z383" s="245" t="n">
        <x:f>X383*D383</x:f>
        <x:v>-0.04249451892100587</x:v>
      </x:c>
      <x:c r="AA383" s="245" t="n">
        <x:f>X383*E383</x:f>
        <x:v>0</x:v>
      </x:c>
      <x:c r="AB383" s="245" t="n">
        <x:f>X383</x:f>
        <x:v>-0.04249451892100587</x:v>
      </x:c>
      <x:c r="AC383" s="245" t="n">
        <x:f>Y383*D383</x:f>
        <x:v>0.0016525303471304673</x:v>
      </x:c>
      <x:c r="AD383" s="245" t="n">
        <x:f>Y383*E383</x:f>
        <x:v>0</x:v>
      </x:c>
      <x:c r="AE383" s="245" t="n">
        <x:f>Y383</x:f>
        <x:v>0.0016525303471304673</x:v>
      </x:c>
      <x:c r="AF383" s="245" t="n">
        <x:f>W383*Q383</x:f>
        <x:v>-0.04817976341792009</x:v>
      </x:c>
      <x:c r="AG383" s="245" t="n">
        <x:f>W383*S383</x:f>
        <x:v>-0.0635329931087295</x:v>
      </x:c>
      <x:c r="AH383" s="245" t="n">
        <x:f>W383</x:f>
        <x:v>-0.06402773024446332</x:v>
      </x:c>
      <x:c r="AI383" s="246" t="n">
        <x:f>G383-$B$4*Z383</x:f>
        <x:v>2.8768441609039823</x:v>
      </x:c>
      <x:c r="AJ383" s="246" t="n">
        <x:f>H383-$B$4*AA383</x:f>
        <x:v>-3.2873399359407793</x:v>
      </x:c>
      <x:c r="AK383" s="246" t="n">
        <x:f>I383-$B$4*AB383</x:f>
        <x:v>-1.6799572524340673</x:v>
      </x:c>
      <x:c r="AL383" s="246" t="n">
        <x:f>J383-$B$4*AC383</x:f>
        <x:v>3.13573193335641</x:v>
      </x:c>
      <x:c r="AM383" s="246" t="n">
        <x:f>K383-$B$4*AD383</x:f>
        <x:v>-3.0392634852717224</x:v>
      </x:c>
      <x:c r="AN383" s="246" t="n">
        <x:f>L383-$B$4*AE383</x:f>
        <x:v>1.7162510498163779</x:v>
      </x:c>
      <x:c r="AO383" s="246" t="n">
        <x:f>M383-$B$4*AF383</x:f>
        <x:v>3.6115652511699023</x:v>
      </x:c>
      <x:c r="AP383" s="246" t="n">
        <x:f>N383-$B$4*AG383</x:f>
        <x:v>-3.3026965243342907</x:v>
      </x:c>
      <x:c r="AQ383" s="246" t="n">
        <x:f>O383-$B$4*AH383</x:f>
        <x:v>1.5553852434844555</x:v>
      </x:c>
      <x:c r="AR383" s="182" t="n">
        <x:f>IF(U383&gt;=$B$5,1,0)</x:f>
        <x:v>1</x:v>
      </x:c>
      <x:c r="AS383" s="182" t="n">
        <x:f>IF(AR383=F383,1,0)</x:f>
        <x:v>1</x:v>
      </x:c>
      <x:c r="AT383" s="252" t="n">
        <x:f>ABS(F383-U383)</x:f>
        <x:v>0.303111491606044</x:v>
      </x:c>
    </x:row>
    <x:row r="384">
      <x:c r="A384" s="114" t="n">
        <x:v>368</x:v>
      </x:c>
      <x:c r="B384" s="114" t="n">
        <x:v>92</x:v>
      </x:c>
      <x:c r="C384" s="114" t="n">
        <x:v>4</x:v>
      </x:c>
      <x:c r="D384" s="168" t="n">
        <x:f>$I$8</x:f>
        <x:v>1</x:v>
      </x:c>
      <x:c r="E384" s="168" t="n">
        <x:f>$J$8</x:f>
        <x:v>1</x:v>
      </x:c>
      <x:c r="F384" s="168" t="n">
        <x:f>$K$8</x:f>
        <x:v>0</x:v>
      </x:c>
      <x:c r="G384" s="242" t="n">
        <x:f>AI383</x:f>
        <x:v>2.8768441609039823</x:v>
      </x:c>
      <x:c r="H384" s="242" t="n">
        <x:f>AJ383</x:f>
        <x:v>-3.2873399359407793</x:v>
      </x:c>
      <x:c r="I384" s="242" t="n">
        <x:f>AK383</x:f>
        <x:v>-1.6799572524340673</x:v>
      </x:c>
      <x:c r="J384" s="242" t="n">
        <x:f>AL383</x:f>
        <x:v>3.13573193335641</x:v>
      </x:c>
      <x:c r="K384" s="242" t="n">
        <x:f>AM383</x:f>
        <x:v>-3.0392634852717224</x:v>
      </x:c>
      <x:c r="L384" s="242" t="n">
        <x:f>AN383</x:f>
        <x:v>1.7162510498163779</x:v>
      </x:c>
      <x:c r="M384" s="242" t="n">
        <x:f>AO383</x:f>
        <x:v>3.6115652511699023</x:v>
      </x:c>
      <x:c r="N384" s="242" t="n">
        <x:f>AP383</x:f>
        <x:v>-3.3026965243342907</x:v>
      </x:c>
      <x:c r="O384" s="242" t="n">
        <x:f>AQ383</x:f>
        <x:v>1.5553852434844555</x:v>
      </x:c>
      <x:c r="P384" s="243" t="n">
        <x:f>D384*G384+E384*H384+I384</x:f>
        <x:v>-2.0904530274708644</x:v>
      </x:c>
      <x:c r="Q384" s="243" t="n">
        <x:f>1/(1+EXP(-P384))</x:f>
        <x:v>0.11002820516899202</x:v>
      </x:c>
      <x:c r="R384" s="243" t="n">
        <x:f>D384*J384+E384*K384+L384</x:f>
        <x:v>1.8127194979010657</x:v>
      </x:c>
      <x:c r="S384" s="243" t="n">
        <x:f>1/(1+EXP(-R384))</x:f>
        <x:v>0.8596902290822803</x:v>
      </x:c>
      <x:c r="T384" s="243" t="n">
        <x:f>Q384*M384+S384*N384+O384</x:f>
        <x:v>-0.8865366456728174</x:v>
      </x:c>
      <x:c r="U384" s="243" t="n">
        <x:f>1/(1+EXP(-T384))</x:f>
        <x:v>0.2918250589156795</x:v>
      </x:c>
      <x:c r="V384" s="243" t="n">
        <x:f>0.5*(F384-U384)^2</x:f>
        <x:v>0.04258093250556991</x:v>
      </x:c>
      <x:c r="W384" s="244" t="n">
        <x:f>(U384-F384)*U384*(1-U384)</x:f>
        <x:v>0.0603094987368948</x:v>
      </x:c>
      <x:c r="X384" s="244" t="n">
        <x:f>W384*M384*Q384*(1-Q384)</x:f>
        <x:v>0.0213285561372941</x:v>
      </x:c>
      <x:c r="Y384" s="244" t="n">
        <x:f>W384*N384*S384*(1-S384)</x:f>
        <x:v>-0.024026156108233963</x:v>
      </x:c>
      <x:c r="Z384" s="245" t="n">
        <x:f>X384*D384</x:f>
        <x:v>0.0213285561372941</x:v>
      </x:c>
      <x:c r="AA384" s="245" t="n">
        <x:f>X384*E384</x:f>
        <x:v>0.0213285561372941</x:v>
      </x:c>
      <x:c r="AB384" s="245" t="n">
        <x:f>X384</x:f>
        <x:v>0.0213285561372941</x:v>
      </x:c>
      <x:c r="AC384" s="245" t="n">
        <x:f>Y384*D384</x:f>
        <x:v>-0.024026156108233963</x:v>
      </x:c>
      <x:c r="AD384" s="245" t="n">
        <x:f>Y384*E384</x:f>
        <x:v>-0.024026156108233963</x:v>
      </x:c>
      <x:c r="AE384" s="245" t="n">
        <x:f>Y384</x:f>
        <x:v>-0.024026156108233963</x:v>
      </x:c>
      <x:c r="AF384" s="245" t="n">
        <x:f>W384*Q384</x:f>
        <x:v>0.006635745900662126</x:v>
      </x:c>
      <x:c r="AG384" s="245" t="n">
        <x:f>W384*S384</x:f>
        <x:v>0.05184748678495858</x:v>
      </x:c>
      <x:c r="AH384" s="245" t="n">
        <x:f>W384</x:f>
        <x:v>0.0603094987368948</x:v>
      </x:c>
      <x:c r="AI384" s="246" t="n">
        <x:f>G384-$B$4*Z384</x:f>
        <x:v>2.8555156047666883</x:v>
      </x:c>
      <x:c r="AJ384" s="246" t="n">
        <x:f>H384-$B$4*AA384</x:f>
        <x:v>-3.3086684920780733</x:v>
      </x:c>
      <x:c r="AK384" s="246" t="n">
        <x:f>I384-$B$4*AB384</x:f>
        <x:v>-1.7012858085713614</x:v>
      </x:c>
      <x:c r="AL384" s="246" t="n">
        <x:f>J384-$B$4*AC384</x:f>
        <x:v>3.159758089464644</x:v>
      </x:c>
      <x:c r="AM384" s="246" t="n">
        <x:f>K384-$B$4*AD384</x:f>
        <x:v>-3.0152373291634884</x:v>
      </x:c>
      <x:c r="AN384" s="246" t="n">
        <x:f>L384-$B$4*AE384</x:f>
        <x:v>1.7402772059246119</x:v>
      </x:c>
      <x:c r="AO384" s="246" t="n">
        <x:f>M384-$B$4*AF384</x:f>
        <x:v>3.60492950526924</x:v>
      </x:c>
      <x:c r="AP384" s="246" t="n">
        <x:f>N384-$B$4*AG384</x:f>
        <x:v>-3.3545440111192493</x:v>
      </x:c>
      <x:c r="AQ384" s="246" t="n">
        <x:f>O384-$B$4*AH384</x:f>
        <x:v>1.4950757447475607</x:v>
      </x:c>
      <x:c r="AR384" s="182" t="n">
        <x:f>IF(U384&gt;=$B$5,1,0)</x:f>
        <x:v>0</x:v>
      </x:c>
      <x:c r="AS384" s="182" t="n">
        <x:f>IF(AR384=F384,1,0)</x:f>
        <x:v>1</x:v>
      </x:c>
      <x:c r="AT384" s="252" t="n">
        <x:f>ABS(F384-U384)</x:f>
        <x:v>0.2918250589156795</x:v>
      </x:c>
    </x:row>
    <x:row r="385">
      <x:c r="A385" s="114" t="n">
        <x:v>369</x:v>
      </x:c>
      <x:c r="B385" s="114" t="n">
        <x:v>93</x:v>
      </x:c>
      <x:c r="C385" s="114" t="n">
        <x:v>1</x:v>
      </x:c>
      <x:c r="D385" s="168" t="n">
        <x:f>$I$5</x:f>
        <x:v>0</x:v>
      </x:c>
      <x:c r="E385" s="168" t="n">
        <x:f>$J$5</x:f>
        <x:v>0</x:v>
      </x:c>
      <x:c r="F385" s="168" t="n">
        <x:f>$K$5</x:f>
        <x:v>0</x:v>
      </x:c>
      <x:c r="G385" s="242" t="n">
        <x:f>AI384</x:f>
        <x:v>2.8555156047666883</x:v>
      </x:c>
      <x:c r="H385" s="242" t="n">
        <x:f>AJ384</x:f>
        <x:v>-3.3086684920780733</x:v>
      </x:c>
      <x:c r="I385" s="242" t="n">
        <x:f>AK384</x:f>
        <x:v>-1.7012858085713614</x:v>
      </x:c>
      <x:c r="J385" s="242" t="n">
        <x:f>AL384</x:f>
        <x:v>3.159758089464644</x:v>
      </x:c>
      <x:c r="K385" s="242" t="n">
        <x:f>AM384</x:f>
        <x:v>-3.0152373291634884</x:v>
      </x:c>
      <x:c r="L385" s="242" t="n">
        <x:f>AN384</x:f>
        <x:v>1.7402772059246119</x:v>
      </x:c>
      <x:c r="M385" s="242" t="n">
        <x:f>AO384</x:f>
        <x:v>3.60492950526924</x:v>
      </x:c>
      <x:c r="N385" s="242" t="n">
        <x:f>AP384</x:f>
        <x:v>-3.3545440111192493</x:v>
      </x:c>
      <x:c r="O385" s="242" t="n">
        <x:f>AQ384</x:f>
        <x:v>1.4950757447475607</x:v>
      </x:c>
      <x:c r="P385" s="243" t="n">
        <x:f>D385*G385+E385*H385+I385</x:f>
        <x:v>-1.7012858085713614</x:v>
      </x:c>
      <x:c r="Q385" s="243" t="n">
        <x:f>1/(1+EXP(-P385))</x:f>
        <x:v>0.15429740569624634</x:v>
      </x:c>
      <x:c r="R385" s="243" t="n">
        <x:f>D385*J385+E385*K385+L385</x:f>
        <x:v>1.7402772059246119</x:v>
      </x:c>
      <x:c r="S385" s="243" t="n">
        <x:f>1/(1+EXP(-R385))</x:f>
        <x:v>0.8507222723498782</x:v>
      </x:c>
      <x:c r="T385" s="243" t="n">
        <x:f>Q385*M385+S385*N385+O385</x:f>
        <x:v>-0.8024782887085855</x:v>
      </x:c>
      <x:c r="U385" s="243" t="n">
        <x:f>1/(1+EXP(-T385))</x:f>
        <x:v>0.3094956386318209</x:v>
      </x:c>
      <x:c r="V385" s="243" t="n">
        <x:f>0.5*(F385-U385)^2</x:f>
        <x:v>0.04789377516605933</x:v>
      </x:c>
      <x:c r="W385" s="244" t="n">
        <x:f>(U385-F385)*U385*(1-U385)</x:f>
        <x:v>0.06614172126910192</x:v>
      </x:c>
      <x:c r="X385" s="244" t="n">
        <x:f>W385*M385*Q385*(1-Q385)</x:f>
        <x:v>0.031113477641685244</x:v>
      </x:c>
      <x:c r="Y385" s="244" t="n">
        <x:f>W385*N385*S385*(1-S385)</x:f>
        <x:v>-0.028176808827557735</x:v>
      </x:c>
      <x:c r="Z385" s="245" t="n">
        <x:f>X385*D385</x:f>
        <x:v>0</x:v>
      </x:c>
      <x:c r="AA385" s="245" t="n">
        <x:f>X385*E385</x:f>
        <x:v>0</x:v>
      </x:c>
      <x:c r="AB385" s="245" t="n">
        <x:f>X385</x:f>
        <x:v>0.031113477641685244</x:v>
      </x:c>
      <x:c r="AC385" s="245" t="n">
        <x:f>Y385*D385</x:f>
        <x:v>0</x:v>
      </x:c>
      <x:c r="AD385" s="245" t="n">
        <x:f>Y385*E385</x:f>
        <x:v>0</x:v>
      </x:c>
      <x:c r="AE385" s="245" t="n">
        <x:f>Y385</x:f>
        <x:v>-0.028176808827557735</x:v>
      </x:c>
      <x:c r="AF385" s="245" t="n">
        <x:f>W385*Q385</x:f>
        <x:v>0.010205496000106664</x:v>
      </x:c>
      <x:c r="AG385" s="245" t="n">
        <x:f>W385*S385</x:f>
        <x:v>0.05626823541518266</x:v>
      </x:c>
      <x:c r="AH385" s="245" t="n">
        <x:f>W385</x:f>
        <x:v>0.06614172126910192</x:v>
      </x:c>
      <x:c r="AI385" s="246" t="n">
        <x:f>G385-$B$4*Z385</x:f>
        <x:v>2.8555156047666883</x:v>
      </x:c>
      <x:c r="AJ385" s="246" t="n">
        <x:f>H385-$B$4*AA385</x:f>
        <x:v>-3.3086684920780733</x:v>
      </x:c>
      <x:c r="AK385" s="246" t="n">
        <x:f>I385-$B$4*AB385</x:f>
        <x:v>-1.7323992862130466</x:v>
      </x:c>
      <x:c r="AL385" s="246" t="n">
        <x:f>J385-$B$4*AC385</x:f>
        <x:v>3.159758089464644</x:v>
      </x:c>
      <x:c r="AM385" s="246" t="n">
        <x:f>K385-$B$4*AD385</x:f>
        <x:v>-3.0152373291634884</x:v>
      </x:c>
      <x:c r="AN385" s="246" t="n">
        <x:f>L385-$B$4*AE385</x:f>
        <x:v>1.7684540147521697</x:v>
      </x:c>
      <x:c r="AO385" s="246" t="n">
        <x:f>M385-$B$4*AF385</x:f>
        <x:v>3.5947240092691333</x:v>
      </x:c>
      <x:c r="AP385" s="246" t="n">
        <x:f>N385-$B$4*AG385</x:f>
        <x:v>-3.410812246534432</x:v>
      </x:c>
      <x:c r="AQ385" s="246" t="n">
        <x:f>O385-$B$4*AH385</x:f>
        <x:v>1.4289340234784587</x:v>
      </x:c>
      <x:c r="AR385" s="182" t="n">
        <x:f>IF(U385&gt;=$B$5,1,0)</x:f>
        <x:v>0</x:v>
      </x:c>
      <x:c r="AS385" s="182" t="n">
        <x:f>IF(AR385=F385,1,0)</x:f>
        <x:v>1</x:v>
      </x:c>
      <x:c r="AT385" s="252" t="n">
        <x:f>ABS(F385-U385)</x:f>
        <x:v>0.3094956386318209</x:v>
      </x:c>
    </x:row>
    <x:row r="386">
      <x:c r="A386" s="114" t="n">
        <x:v>370</x:v>
      </x:c>
      <x:c r="B386" s="114" t="n">
        <x:v>93</x:v>
      </x:c>
      <x:c r="C386" s="114" t="n">
        <x:v>2</x:v>
      </x:c>
      <x:c r="D386" s="168" t="n">
        <x:f>$I$6</x:f>
        <x:v>0</x:v>
      </x:c>
      <x:c r="E386" s="168" t="n">
        <x:f>$J$6</x:f>
        <x:v>1</x:v>
      </x:c>
      <x:c r="F386" s="168" t="n">
        <x:f>$K$6</x:f>
        <x:v>1</x:v>
      </x:c>
      <x:c r="G386" s="242" t="n">
        <x:f>AI385</x:f>
        <x:v>2.8555156047666883</x:v>
      </x:c>
      <x:c r="H386" s="242" t="n">
        <x:f>AJ385</x:f>
        <x:v>-3.3086684920780733</x:v>
      </x:c>
      <x:c r="I386" s="242" t="n">
        <x:f>AK385</x:f>
        <x:v>-1.7323992862130466</x:v>
      </x:c>
      <x:c r="J386" s="242" t="n">
        <x:f>AL385</x:f>
        <x:v>3.159758089464644</x:v>
      </x:c>
      <x:c r="K386" s="242" t="n">
        <x:f>AM385</x:f>
        <x:v>-3.0152373291634884</x:v>
      </x:c>
      <x:c r="L386" s="242" t="n">
        <x:f>AN385</x:f>
        <x:v>1.7684540147521697</x:v>
      </x:c>
      <x:c r="M386" s="242" t="n">
        <x:f>AO385</x:f>
        <x:v>3.5947240092691333</x:v>
      </x:c>
      <x:c r="N386" s="242" t="n">
        <x:f>AP385</x:f>
        <x:v>-3.410812246534432</x:v>
      </x:c>
      <x:c r="O386" s="242" t="n">
        <x:f>AQ385</x:f>
        <x:v>1.4289340234784587</x:v>
      </x:c>
      <x:c r="P386" s="243" t="n">
        <x:f>D386*G386+E386*H386+I386</x:f>
        <x:v>-5.04106777829112</x:v>
      </x:c>
      <x:c r="Q386" s="243" t="n">
        <x:f>1/(1+EXP(-P386))</x:f>
        <x:v>0.006425288172362643</x:v>
      </x:c>
      <x:c r="R386" s="243" t="n">
        <x:f>D386*J386+E386*K386+L386</x:f>
        <x:v>-1.2467833144113187</x:v>
      </x:c>
      <x:c r="S386" s="243" t="n">
        <x:f>1/(1+EXP(-R386))</x:f>
        <x:v>0.22325745914058603</x:v>
      </x:c>
      <x:c r="T386" s="243" t="n">
        <x:f>Q386*M386+S386*N386+O386</x:f>
        <x:v>0.6905418853712523</x:v>
      </x:c>
      <x:c r="U386" s="243" t="n">
        <x:f>1/(1+EXP(-T386))</x:f>
        <x:v>0.6660874610076205</x:v>
      </x:c>
      <x:c r="V386" s="243" t="n">
        <x:f>0.5*(F386-U386)^2</x:f>
        <x:v>0.05574879184816868</x:v>
      </x:c>
      <x:c r="W386" s="244" t="n">
        <x:f>(U386-F386)*U386*(1-U386)</x:f>
        <x:v>-0.07426714243277802</x:v>
      </x:c>
      <x:c r="X386" s="244" t="n">
        <x:f>W386*M386*Q386*(1-Q386)</x:f>
        <x:v>-0.0017043367402415218</x:v>
      </x:c>
      <x:c r="Y386" s="244" t="n">
        <x:f>W386*N386*S386*(1-S386)</x:f>
        <x:v>0.043927612206305915</x:v>
      </x:c>
      <x:c r="Z386" s="245" t="n">
        <x:f>X386*D386</x:f>
        <x:v>0</x:v>
      </x:c>
      <x:c r="AA386" s="245" t="n">
        <x:f>X386*E386</x:f>
        <x:v>-0.0017043367402415218</x:v>
      </x:c>
      <x:c r="AB386" s="245" t="n">
        <x:f>X386</x:f>
        <x:v>-0.0017043367402415218</x:v>
      </x:c>
      <x:c r="AC386" s="245" t="n">
        <x:f>Y386*D386</x:f>
        <x:v>0</x:v>
      </x:c>
      <x:c r="AD386" s="245" t="n">
        <x:f>Y386*E386</x:f>
        <x:v>0.043927612206305915</x:v>
      </x:c>
      <x:c r="AE386" s="245" t="n">
        <x:f>Y386</x:f>
        <x:v>0.043927612206305915</x:v>
      </x:c>
      <x:c r="AF386" s="245" t="n">
        <x:f>W386*Q386</x:f>
        <x:v>-0.0004771877918685003</x:v>
      </x:c>
      <x:c r="AG386" s="245" t="n">
        <x:f>W386*S386</x:f>
        <x:v>-0.016580693517174023</x:v>
      </x:c>
      <x:c r="AH386" s="245" t="n">
        <x:f>W386</x:f>
        <x:v>-0.07426714243277802</x:v>
      </x:c>
      <x:c r="AI386" s="246" t="n">
        <x:f>G386-$B$4*Z386</x:f>
        <x:v>2.8555156047666883</x:v>
      </x:c>
      <x:c r="AJ386" s="246" t="n">
        <x:f>H386-$B$4*AA386</x:f>
        <x:v>-3.3069641553378317</x:v>
      </x:c>
      <x:c r="AK386" s="246" t="n">
        <x:f>I386-$B$4*AB386</x:f>
        <x:v>-1.730694949472805</x:v>
      </x:c>
      <x:c r="AL386" s="246" t="n">
        <x:f>J386-$B$4*AC386</x:f>
        <x:v>3.159758089464644</x:v>
      </x:c>
      <x:c r="AM386" s="246" t="n">
        <x:f>K386-$B$4*AD386</x:f>
        <x:v>-3.059164941369794</x:v>
      </x:c>
      <x:c r="AN386" s="246" t="n">
        <x:f>L386-$B$4*AE386</x:f>
        <x:v>1.7245264025458638</x:v>
      </x:c>
      <x:c r="AO386" s="246" t="n">
        <x:f>M386-$B$4*AF386</x:f>
        <x:v>3.5952011970610016</x:v>
      </x:c>
      <x:c r="AP386" s="246" t="n">
        <x:f>N386-$B$4*AG386</x:f>
        <x:v>-3.3942315530172578</x:v>
      </x:c>
      <x:c r="AQ386" s="246" t="n">
        <x:f>O386-$B$4*AH386</x:f>
        <x:v>1.5032011659112368</x:v>
      </x:c>
      <x:c r="AR386" s="182" t="n">
        <x:f>IF(U386&gt;=$B$5,1,0)</x:f>
        <x:v>1</x:v>
      </x:c>
      <x:c r="AS386" s="182" t="n">
        <x:f>IF(AR386=F386,1,0)</x:f>
        <x:v>1</x:v>
      </x:c>
      <x:c r="AT386" s="252" t="n">
        <x:f>ABS(F386-U386)</x:f>
        <x:v>0.3339125389923795</x:v>
      </x:c>
    </x:row>
    <x:row r="387">
      <x:c r="A387" s="114" t="n">
        <x:v>371</x:v>
      </x:c>
      <x:c r="B387" s="114" t="n">
        <x:v>93</x:v>
      </x:c>
      <x:c r="C387" s="114" t="n">
        <x:v>3</x:v>
      </x:c>
      <x:c r="D387" s="168" t="n">
        <x:f>$I$7</x:f>
        <x:v>1</x:v>
      </x:c>
      <x:c r="E387" s="168" t="n">
        <x:f>$J$7</x:f>
        <x:v>0</x:v>
      </x:c>
      <x:c r="F387" s="168" t="n">
        <x:f>$K$7</x:f>
        <x:v>1</x:v>
      </x:c>
      <x:c r="G387" s="242" t="n">
        <x:f>AI386</x:f>
        <x:v>2.8555156047666883</x:v>
      </x:c>
      <x:c r="H387" s="242" t="n">
        <x:f>AJ386</x:f>
        <x:v>-3.3069641553378317</x:v>
      </x:c>
      <x:c r="I387" s="242" t="n">
        <x:f>AK386</x:f>
        <x:v>-1.730694949472805</x:v>
      </x:c>
      <x:c r="J387" s="242" t="n">
        <x:f>AL386</x:f>
        <x:v>3.159758089464644</x:v>
      </x:c>
      <x:c r="K387" s="242" t="n">
        <x:f>AM386</x:f>
        <x:v>-3.059164941369794</x:v>
      </x:c>
      <x:c r="L387" s="242" t="n">
        <x:f>AN386</x:f>
        <x:v>1.7245264025458638</x:v>
      </x:c>
      <x:c r="M387" s="242" t="n">
        <x:f>AO386</x:f>
        <x:v>3.5952011970610016</x:v>
      </x:c>
      <x:c r="N387" s="242" t="n">
        <x:f>AP386</x:f>
        <x:v>-3.3942315530172578</x:v>
      </x:c>
      <x:c r="O387" s="242" t="n">
        <x:f>AQ386</x:f>
        <x:v>1.5032011659112368</x:v>
      </x:c>
      <x:c r="P387" s="243" t="n">
        <x:f>D387*G387+E387*H387+I387</x:f>
        <x:v>1.1248206552938833</x:v>
      </x:c>
      <x:c r="Q387" s="243" t="n">
        <x:f>1/(1+EXP(-P387))</x:f>
        <x:v>0.7548818032891299</x:v>
      </x:c>
      <x:c r="R387" s="243" t="n">
        <x:f>D387*J387+E387*K387+L387</x:f>
        <x:v>4.884284492010508</x:v>
      </x:c>
      <x:c r="S387" s="243" t="n">
        <x:f>1/(1+EXP(-R387))</x:f>
        <x:v>0.992492258259095</x:v>
      </x:c>
      <x:c r="T387" s="243" t="n">
        <x:f>Q387*M387+S387*N387+O387</x:f>
        <x:v>0.8484045896275105</x:v>
      </x:c>
      <x:c r="U387" s="243" t="n">
        <x:f>1/(1+EXP(-T387))</x:f>
        <x:v>0.700232361684453</x:v>
      </x:c>
      <x:c r="V387" s="243" t="n">
        <x:f>0.5*(F387-U387)^2</x:f>
        <x:v>0.044930318490640296</x:v>
      </x:c>
      <x:c r="W387" s="244" t="n">
        <x:f>(U387-F387)*U387*(1-U387)</x:f>
        <x:v>-0.0629233260558714</x:v>
      </x:c>
      <x:c r="X387" s="244" t="n">
        <x:f>W387*M387*Q387*(1-Q387)</x:f>
        <x:v>-0.041859051199744465</x:v>
      </x:c>
      <x:c r="Y387" s="244" t="n">
        <x:f>W387*N387*S387*(1-S387)</x:f>
        <x:v>0.0015914375094312867</x:v>
      </x:c>
      <x:c r="Z387" s="245" t="n">
        <x:f>X387*D387</x:f>
        <x:v>-0.041859051199744465</x:v>
      </x:c>
      <x:c r="AA387" s="245" t="n">
        <x:f>X387*E387</x:f>
        <x:v>0</x:v>
      </x:c>
      <x:c r="AB387" s="245" t="n">
        <x:f>X387</x:f>
        <x:v>-0.041859051199744465</x:v>
      </x:c>
      <x:c r="AC387" s="245" t="n">
        <x:f>Y387*D387</x:f>
        <x:v>0.0015914375094312867</x:v>
      </x:c>
      <x:c r="AD387" s="245" t="n">
        <x:f>Y387*E387</x:f>
        <x:v>0</x:v>
      </x:c>
      <x:c r="AE387" s="245" t="n">
        <x:f>Y387</x:f>
        <x:v>0.0015914375094312867</x:v>
      </x:c>
      <x:c r="AF387" s="245" t="n">
        <x:f>W387*Q387</x:f>
        <x:v>-0.0474996738420061</x:v>
      </x:c>
      <x:c r="AG387" s="245" t="n">
        <x:f>W387*S387</x:f>
        <x:v>-0.06245091397436517</x:v>
      </x:c>
      <x:c r="AH387" s="245" t="n">
        <x:f>W387</x:f>
        <x:v>-0.0629233260558714</x:v>
      </x:c>
      <x:c r="AI387" s="246" t="n">
        <x:f>G387-$B$4*Z387</x:f>
        <x:v>2.897374655966433</x:v>
      </x:c>
      <x:c r="AJ387" s="246" t="n">
        <x:f>H387-$B$4*AA387</x:f>
        <x:v>-3.3069641553378317</x:v>
      </x:c>
      <x:c r="AK387" s="246" t="n">
        <x:f>I387-$B$4*AB387</x:f>
        <x:v>-1.6888358982730605</x:v>
      </x:c>
      <x:c r="AL387" s="246" t="n">
        <x:f>J387-$B$4*AC387</x:f>
        <x:v>3.158166651955213</x:v>
      </x:c>
      <x:c r="AM387" s="246" t="n">
        <x:f>K387-$B$4*AD387</x:f>
        <x:v>-3.059164941369794</x:v>
      </x:c>
      <x:c r="AN387" s="246" t="n">
        <x:f>L387-$B$4*AE387</x:f>
        <x:v>1.7229349650364325</x:v>
      </x:c>
      <x:c r="AO387" s="246" t="n">
        <x:f>M387-$B$4*AF387</x:f>
        <x:v>3.6427008709030075</x:v>
      </x:c>
      <x:c r="AP387" s="246" t="n">
        <x:f>N387-$B$4*AG387</x:f>
        <x:v>-3.3317806390428926</x:v>
      </x:c>
      <x:c r="AQ387" s="246" t="n">
        <x:f>O387-$B$4*AH387</x:f>
        <x:v>1.5661244919671082</x:v>
      </x:c>
      <x:c r="AR387" s="182" t="n">
        <x:f>IF(U387&gt;=$B$5,1,0)</x:f>
        <x:v>1</x:v>
      </x:c>
      <x:c r="AS387" s="182" t="n">
        <x:f>IF(AR387=F387,1,0)</x:f>
        <x:v>1</x:v>
      </x:c>
      <x:c r="AT387" s="252" t="n">
        <x:f>ABS(F387-U387)</x:f>
        <x:v>0.299767638315547</x:v>
      </x:c>
    </x:row>
    <x:row r="388">
      <x:c r="A388" s="114" t="n">
        <x:v>372</x:v>
      </x:c>
      <x:c r="B388" s="114" t="n">
        <x:v>93</x:v>
      </x:c>
      <x:c r="C388" s="114" t="n">
        <x:v>4</x:v>
      </x:c>
      <x:c r="D388" s="168" t="n">
        <x:f>$I$8</x:f>
        <x:v>1</x:v>
      </x:c>
      <x:c r="E388" s="168" t="n">
        <x:f>$J$8</x:f>
        <x:v>1</x:v>
      </x:c>
      <x:c r="F388" s="168" t="n">
        <x:f>$K$8</x:f>
        <x:v>0</x:v>
      </x:c>
      <x:c r="G388" s="242" t="n">
        <x:f>AI387</x:f>
        <x:v>2.897374655966433</x:v>
      </x:c>
      <x:c r="H388" s="242" t="n">
        <x:f>AJ387</x:f>
        <x:v>-3.3069641553378317</x:v>
      </x:c>
      <x:c r="I388" s="242" t="n">
        <x:f>AK387</x:f>
        <x:v>-1.6888358982730605</x:v>
      </x:c>
      <x:c r="J388" s="242" t="n">
        <x:f>AL387</x:f>
        <x:v>3.158166651955213</x:v>
      </x:c>
      <x:c r="K388" s="242" t="n">
        <x:f>AM387</x:f>
        <x:v>-3.059164941369794</x:v>
      </x:c>
      <x:c r="L388" s="242" t="n">
        <x:f>AN387</x:f>
        <x:v>1.7229349650364325</x:v>
      </x:c>
      <x:c r="M388" s="242" t="n">
        <x:f>AO387</x:f>
        <x:v>3.6427008709030075</x:v>
      </x:c>
      <x:c r="N388" s="242" t="n">
        <x:f>AP387</x:f>
        <x:v>-3.3317806390428926</x:v>
      </x:c>
      <x:c r="O388" s="242" t="n">
        <x:f>AQ387</x:f>
        <x:v>1.5661244919671082</x:v>
      </x:c>
      <x:c r="P388" s="243" t="n">
        <x:f>D388*G388+E388*H388+I388</x:f>
        <x:v>-2.0984253976444593</x:v>
      </x:c>
      <x:c r="Q388" s="243" t="n">
        <x:f>1/(1+EXP(-P388))</x:f>
        <x:v>0.10924995843368121</x:v>
      </x:c>
      <x:c r="R388" s="243" t="n">
        <x:f>D388*J388+E388*K388+L388</x:f>
        <x:v>1.8219366756218514</x:v>
      </x:c>
      <x:c r="S388" s="243" t="n">
        <x:f>1/(1+EXP(-R388))</x:f>
        <x:v>0.8607983505171716</x:v>
      </x:c>
      <x:c r="T388" s="243" t="n">
        <x:f>Q388*M388+S388*N388+O388</x:f>
        <x:v>-0.9039018676735737</x:v>
      </x:c>
      <x:c r="U388" s="243" t="n">
        <x:f>1/(1+EXP(-T388))</x:f>
        <x:v>0.2882493228297299</x:v>
      </x:c>
      <x:c r="V388" s="243" t="n">
        <x:f>0.5*(F388-U388)^2</x:f>
        <x:v>0.04154383605589893</x:v>
      </x:c>
      <x:c r="W388" s="244" t="n">
        <x:f>(U388-F388)*U388*(1-U388)</x:f>
        <x:v>0.05913770689007349</x:v>
      </x:c>
      <x:c r="X388" s="244" t="n">
        <x:f>W388*M388*Q388*(1-Q388)</x:f>
        <x:v>0.020963564145504675</x:v>
      </x:c>
      <x:c r="Y388" s="244" t="n">
        <x:f>W388*N388*S388*(1-S388)</x:f>
        <x:v>-0.02360949448254367</x:v>
      </x:c>
      <x:c r="Z388" s="245" t="n">
        <x:f>X388*D388</x:f>
        <x:v>0.020963564145504675</x:v>
      </x:c>
      <x:c r="AA388" s="245" t="n">
        <x:f>X388*E388</x:f>
        <x:v>0.020963564145504675</x:v>
      </x:c>
      <x:c r="AB388" s="245" t="n">
        <x:f>X388</x:f>
        <x:v>0.020963564145504675</x:v>
      </x:c>
      <x:c r="AC388" s="245" t="n">
        <x:f>Y388*D388</x:f>
        <x:v>-0.02360949448254367</x:v>
      </x:c>
      <x:c r="AD388" s="245" t="n">
        <x:f>Y388*E388</x:f>
        <x:v>-0.02360949448254367</x:v>
      </x:c>
      <x:c r="AE388" s="245" t="n">
        <x:f>Y388</x:f>
        <x:v>-0.02360949448254367</x:v>
      </x:c>
      <x:c r="AF388" s="245" t="n">
        <x:f>W388*Q388</x:f>
        <x:v>0.006460792019603752</x:v>
      </x:c>
      <x:c r="AG388" s="245" t="n">
        <x:f>W388*S388</x:f>
        <x:v>0.05090564054434323</x:v>
      </x:c>
      <x:c r="AH388" s="245" t="n">
        <x:f>W388</x:f>
        <x:v>0.05913770689007349</x:v>
      </x:c>
      <x:c r="AI388" s="246" t="n">
        <x:f>G388-$B$4*Z388</x:f>
        <x:v>2.8764110918209282</x:v>
      </x:c>
      <x:c r="AJ388" s="246" t="n">
        <x:f>H388-$B$4*AA388</x:f>
        <x:v>-3.3279277194833363</x:v>
      </x:c>
      <x:c r="AK388" s="246" t="n">
        <x:f>I388-$B$4*AB388</x:f>
        <x:v>-1.709799462418565</x:v>
      </x:c>
      <x:c r="AL388" s="246" t="n">
        <x:f>J388-$B$4*AC388</x:f>
        <x:v>3.1817761464377567</x:v>
      </x:c>
      <x:c r="AM388" s="246" t="n">
        <x:f>K388-$B$4*AD388</x:f>
        <x:v>-3.0355554468872503</x:v>
      </x:c>
      <x:c r="AN388" s="246" t="n">
        <x:f>L388-$B$4*AE388</x:f>
        <x:v>1.746544459518976</x:v>
      </x:c>
      <x:c r="AO388" s="246" t="n">
        <x:f>M388-$B$4*AF388</x:f>
        <x:v>3.6362400788834037</x:v>
      </x:c>
      <x:c r="AP388" s="246" t="n">
        <x:f>N388-$B$4*AG388</x:f>
        <x:v>-3.3826862795872357</x:v>
      </x:c>
      <x:c r="AQ388" s="246" t="n">
        <x:f>O388-$B$4*AH388</x:f>
        <x:v>1.5069867850770347</x:v>
      </x:c>
      <x:c r="AR388" s="182" t="n">
        <x:f>IF(U388&gt;=$B$5,1,0)</x:f>
        <x:v>0</x:v>
      </x:c>
      <x:c r="AS388" s="182" t="n">
        <x:f>IF(AR388=F388,1,0)</x:f>
        <x:v>1</x:v>
      </x:c>
      <x:c r="AT388" s="252" t="n">
        <x:f>ABS(F388-U388)</x:f>
        <x:v>0.2882493228297299</x:v>
      </x:c>
    </x:row>
    <x:row r="389">
      <x:c r="A389" s="114" t="n">
        <x:v>373</x:v>
      </x:c>
      <x:c r="B389" s="114" t="n">
        <x:v>94</x:v>
      </x:c>
      <x:c r="C389" s="114" t="n">
        <x:v>1</x:v>
      </x:c>
      <x:c r="D389" s="168" t="n">
        <x:f>$I$5</x:f>
        <x:v>0</x:v>
      </x:c>
      <x:c r="E389" s="168" t="n">
        <x:f>$J$5</x:f>
        <x:v>0</x:v>
      </x:c>
      <x:c r="F389" s="168" t="n">
        <x:f>$K$5</x:f>
        <x:v>0</x:v>
      </x:c>
      <x:c r="G389" s="242" t="n">
        <x:f>AI388</x:f>
        <x:v>2.8764110918209282</x:v>
      </x:c>
      <x:c r="H389" s="242" t="n">
        <x:f>AJ388</x:f>
        <x:v>-3.3279277194833363</x:v>
      </x:c>
      <x:c r="I389" s="242" t="n">
        <x:f>AK388</x:f>
        <x:v>-1.709799462418565</x:v>
      </x:c>
      <x:c r="J389" s="242" t="n">
        <x:f>AL388</x:f>
        <x:v>3.1817761464377567</x:v>
      </x:c>
      <x:c r="K389" s="242" t="n">
        <x:f>AM388</x:f>
        <x:v>-3.0355554468872503</x:v>
      </x:c>
      <x:c r="L389" s="242" t="n">
        <x:f>AN388</x:f>
        <x:v>1.746544459518976</x:v>
      </x:c>
      <x:c r="M389" s="242" t="n">
        <x:f>AO388</x:f>
        <x:v>3.6362400788834037</x:v>
      </x:c>
      <x:c r="N389" s="242" t="n">
        <x:f>AP388</x:f>
        <x:v>-3.3826862795872357</x:v>
      </x:c>
      <x:c r="O389" s="242" t="n">
        <x:f>AQ388</x:f>
        <x:v>1.5069867850770347</x:v>
      </x:c>
      <x:c r="P389" s="243" t="n">
        <x:f>D389*G389+E389*H389+I389</x:f>
        <x:v>-1.709799462418565</x:v>
      </x:c>
      <x:c r="Q389" s="243" t="n">
        <x:f>1/(1+EXP(-P389))</x:f>
        <x:v>0.15318972821942997</x:v>
      </x:c>
      <x:c r="R389" s="243" t="n">
        <x:f>D389*J389+E389*K389+L389</x:f>
        <x:v>1.746544459518976</x:v>
      </x:c>
      <x:c r="S389" s="243" t="n">
        <x:f>1/(1+EXP(-R389))</x:f>
        <x:v>0.8515164270454827</x:v>
      </x:c>
      <x:c r="T389" s="243" t="n">
        <x:f>Q389*M389+S389*N389+O389</x:f>
        <x:v>-0.8163915201081176</x:v>
      </x:c>
      <x:c r="U389" s="243" t="n">
        <x:f>1/(1+EXP(-T389))</x:f>
        <x:v>0.30653017643481706</x:v>
      </x:c>
      <x:c r="V389" s="243" t="n">
        <x:f>0.5*(F389-U389)^2</x:f>
        <x:v>0.04698037453258004</x:v>
      </x:c>
      <x:c r="W389" s="244" t="n">
        <x:f>(U389-F389)*U389*(1-U389)</x:f>
        <x:v>0.06515894407626899</x:v>
      </x:c>
      <x:c r="X389" s="244" t="n">
        <x:f>W389*M389*Q389*(1-Q389)</x:f>
        <x:v>0.030735646327065026</x:v>
      </x:c>
      <x:c r="Y389" s="244" t="n">
        <x:f>W389*N389*S389*(1-S389)</x:f>
        <x:v>-0.027868089695903372</x:v>
      </x:c>
      <x:c r="Z389" s="245" t="n">
        <x:f>X389*D389</x:f>
        <x:v>0</x:v>
      </x:c>
      <x:c r="AA389" s="245" t="n">
        <x:f>X389*E389</x:f>
        <x:v>0</x:v>
      </x:c>
      <x:c r="AB389" s="245" t="n">
        <x:f>X389</x:f>
        <x:v>0.030735646327065026</x:v>
      </x:c>
      <x:c r="AC389" s="245" t="n">
        <x:f>Y389*D389</x:f>
        <x:v>0</x:v>
      </x:c>
      <x:c r="AD389" s="245" t="n">
        <x:f>Y389*E389</x:f>
        <x:v>0</x:v>
      </x:c>
      <x:c r="AE389" s="245" t="n">
        <x:f>Y389</x:f>
        <x:v>-0.027868089695903372</x:v>
      </x:c>
      <x:c r="AF389" s="245" t="n">
        <x:f>W389*Q389</x:f>
        <x:v>0.009981680934108682</x:v>
      </x:c>
      <x:c r="AG389" s="245" t="n">
        <x:f>W389*S389</x:f>
        <x:v>0.05548391124988099</x:v>
      </x:c>
      <x:c r="AH389" s="245" t="n">
        <x:f>W389</x:f>
        <x:v>0.06515894407626899</x:v>
      </x:c>
      <x:c r="AI389" s="246" t="n">
        <x:f>G389-$B$4*Z389</x:f>
        <x:v>2.8764110918209282</x:v>
      </x:c>
      <x:c r="AJ389" s="246" t="n">
        <x:f>H389-$B$4*AA389</x:f>
        <x:v>-3.3279277194833363</x:v>
      </x:c>
      <x:c r="AK389" s="246" t="n">
        <x:f>I389-$B$4*AB389</x:f>
        <x:v>-1.74053510874563</x:v>
      </x:c>
      <x:c r="AL389" s="246" t="n">
        <x:f>J389-$B$4*AC389</x:f>
        <x:v>3.1817761464377567</x:v>
      </x:c>
      <x:c r="AM389" s="246" t="n">
        <x:f>K389-$B$4*AD389</x:f>
        <x:v>-3.0355554468872503</x:v>
      </x:c>
      <x:c r="AN389" s="246" t="n">
        <x:f>L389-$B$4*AE389</x:f>
        <x:v>1.7744125492148795</x:v>
      </x:c>
      <x:c r="AO389" s="246" t="n">
        <x:f>M389-$B$4*AF389</x:f>
        <x:v>3.626258397949295</x:v>
      </x:c>
      <x:c r="AP389" s="246" t="n">
        <x:f>N389-$B$4*AG389</x:f>
        <x:v>-3.4381701908371167</x:v>
      </x:c>
      <x:c r="AQ389" s="246" t="n">
        <x:f>O389-$B$4*AH389</x:f>
        <x:v>1.4418278410007657</x:v>
      </x:c>
      <x:c r="AR389" s="182" t="n">
        <x:f>IF(U389&gt;=$B$5,1,0)</x:f>
        <x:v>0</x:v>
      </x:c>
      <x:c r="AS389" s="182" t="n">
        <x:f>IF(AR389=F389,1,0)</x:f>
        <x:v>1</x:v>
      </x:c>
      <x:c r="AT389" s="252" t="n">
        <x:f>ABS(F389-U389)</x:f>
        <x:v>0.30653017643481706</x:v>
      </x:c>
    </x:row>
    <x:row r="390">
      <x:c r="A390" s="114" t="n">
        <x:v>374</x:v>
      </x:c>
      <x:c r="B390" s="114" t="n">
        <x:v>94</x:v>
      </x:c>
      <x:c r="C390" s="114" t="n">
        <x:v>2</x:v>
      </x:c>
      <x:c r="D390" s="168" t="n">
        <x:f>$I$6</x:f>
        <x:v>0</x:v>
      </x:c>
      <x:c r="E390" s="168" t="n">
        <x:f>$J$6</x:f>
        <x:v>1</x:v>
      </x:c>
      <x:c r="F390" s="168" t="n">
        <x:f>$K$6</x:f>
        <x:v>1</x:v>
      </x:c>
      <x:c r="G390" s="242" t="n">
        <x:f>AI389</x:f>
        <x:v>2.8764110918209282</x:v>
      </x:c>
      <x:c r="H390" s="242" t="n">
        <x:f>AJ389</x:f>
        <x:v>-3.3279277194833363</x:v>
      </x:c>
      <x:c r="I390" s="242" t="n">
        <x:f>AK389</x:f>
        <x:v>-1.74053510874563</x:v>
      </x:c>
      <x:c r="J390" s="242" t="n">
        <x:f>AL389</x:f>
        <x:v>3.1817761464377567</x:v>
      </x:c>
      <x:c r="K390" s="242" t="n">
        <x:f>AM389</x:f>
        <x:v>-3.0355554468872503</x:v>
      </x:c>
      <x:c r="L390" s="242" t="n">
        <x:f>AN389</x:f>
        <x:v>1.7744125492148795</x:v>
      </x:c>
      <x:c r="M390" s="242" t="n">
        <x:f>AO389</x:f>
        <x:v>3.626258397949295</x:v>
      </x:c>
      <x:c r="N390" s="242" t="n">
        <x:f>AP389</x:f>
        <x:v>-3.4381701908371167</x:v>
      </x:c>
      <x:c r="O390" s="242" t="n">
        <x:f>AQ389</x:f>
        <x:v>1.4418278410007657</x:v>
      </x:c>
      <x:c r="P390" s="243" t="n">
        <x:f>D390*G390+E390*H390+I390</x:f>
        <x:v>-5.0684628282289665</x:v>
      </x:c>
      <x:c r="Q390" s="243" t="n">
        <x:f>1/(1+EXP(-P390))</x:f>
        <x:v>0.0062527419437768015</x:v>
      </x:c>
      <x:c r="R390" s="243" t="n">
        <x:f>D390*J390+E390*K390+L390</x:f>
        <x:v>-1.2611428976723709</x:v>
      </x:c>
      <x:c r="S390" s="243" t="n">
        <x:f>1/(1+EXP(-R390))</x:f>
        <x:v>0.22077721149304008</x:v>
      </x:c>
      <x:c r="T390" s="243" t="n">
        <x:f>Q390*M390+S390*N390+O390</x:f>
        <x:v>0.705432271613084</x:v>
      </x:c>
      <x:c r="U390" s="243" t="n">
        <x:f>1/(1+EXP(-T390))</x:f>
        <x:v>0.6693910743699133</x:v>
      </x:c>
      <x:c r="V390" s="243" t="n">
        <x:f>0.5*(F390-U390)^2</x:f>
        <x:v>0.0546511308531401</x:v>
      </x:c>
      <x:c r="W390" s="244" t="n">
        <x:f>(U390-F390)*U390*(1-U390)</x:f>
        <x:v>-0.07316595839462833</x:v>
      </x:c>
      <x:c r="X390" s="244" t="n">
        <x:f>W390*M390*Q390*(1-Q390)</x:f>
        <x:v>-0.0016485960768878353</x:v>
      </x:c>
      <x:c r="Y390" s="244" t="n">
        <x:f>W390*N390*S390*(1-S390)</x:f>
        <x:v>0.04327651946838772</x:v>
      </x:c>
      <x:c r="Z390" s="245" t="n">
        <x:f>X390*D390</x:f>
        <x:v>0</x:v>
      </x:c>
      <x:c r="AA390" s="245" t="n">
        <x:f>X390*E390</x:f>
        <x:v>-0.0016485960768878353</x:v>
      </x:c>
      <x:c r="AB390" s="245" t="n">
        <x:f>X390</x:f>
        <x:v>-0.0016485960768878353</x:v>
      </x:c>
      <x:c r="AC390" s="245" t="n">
        <x:f>Y390*D390</x:f>
        <x:v>0</x:v>
      </x:c>
      <x:c r="AD390" s="245" t="n">
        <x:f>Y390*E390</x:f>
        <x:v>0.04327651946838772</x:v>
      </x:c>
      <x:c r="AE390" s="245" t="n">
        <x:f>Y390</x:f>
        <x:v>0.04327651946838772</x:v>
      </x:c>
      <x:c r="AF390" s="245" t="n">
        <x:f>W390*Q390</x:f>
        <x:v>-0.00045748785691072095</x:v>
      </x:c>
      <x:c r="AG390" s="245" t="n">
        <x:f>W390*S390</x:f>
        <x:v>-0.016153376270581832</x:v>
      </x:c>
      <x:c r="AH390" s="245" t="n">
        <x:f>W390</x:f>
        <x:v>-0.07316595839462833</x:v>
      </x:c>
      <x:c r="AI390" s="246" t="n">
        <x:f>G390-$B$4*Z390</x:f>
        <x:v>2.8764110918209282</x:v>
      </x:c>
      <x:c r="AJ390" s="246" t="n">
        <x:f>H390-$B$4*AA390</x:f>
        <x:v>-3.3262791234064486</x:v>
      </x:c>
      <x:c r="AK390" s="246" t="n">
        <x:f>I390-$B$4*AB390</x:f>
        <x:v>-1.738886512668742</x:v>
      </x:c>
      <x:c r="AL390" s="246" t="n">
        <x:f>J390-$B$4*AC390</x:f>
        <x:v>3.1817761464377567</x:v>
      </x:c>
      <x:c r="AM390" s="246" t="n">
        <x:f>K390-$B$4*AD390</x:f>
        <x:v>-3.078831966355638</x:v>
      </x:c>
      <x:c r="AN390" s="246" t="n">
        <x:f>L390-$B$4*AE390</x:f>
        <x:v>1.7311360297464917</x:v>
      </x:c>
      <x:c r="AO390" s="246" t="n">
        <x:f>M390-$B$4*AF390</x:f>
        <x:v>3.6267158858062056</x:v>
      </x:c>
      <x:c r="AP390" s="246" t="n">
        <x:f>N390-$B$4*AG390</x:f>
        <x:v>-3.422016814566535</x:v>
      </x:c>
      <x:c r="AQ390" s="246" t="n">
        <x:f>O390-$B$4*AH390</x:f>
        <x:v>1.514993799395394</x:v>
      </x:c>
      <x:c r="AR390" s="182" t="n">
        <x:f>IF(U390&gt;=$B$5,1,0)</x:f>
        <x:v>1</x:v>
      </x:c>
      <x:c r="AS390" s="182" t="n">
        <x:f>IF(AR390=F390,1,0)</x:f>
        <x:v>1</x:v>
      </x:c>
      <x:c r="AT390" s="252" t="n">
        <x:f>ABS(F390-U390)</x:f>
        <x:v>0.3306089256300867</x:v>
      </x:c>
    </x:row>
    <x:row r="391">
      <x:c r="A391" s="114" t="n">
        <x:v>375</x:v>
      </x:c>
      <x:c r="B391" s="114" t="n">
        <x:v>94</x:v>
      </x:c>
      <x:c r="C391" s="114" t="n">
        <x:v>3</x:v>
      </x:c>
      <x:c r="D391" s="168" t="n">
        <x:f>$I$7</x:f>
        <x:v>1</x:v>
      </x:c>
      <x:c r="E391" s="168" t="n">
        <x:f>$J$7</x:f>
        <x:v>0</x:v>
      </x:c>
      <x:c r="F391" s="168" t="n">
        <x:f>$K$7</x:f>
        <x:v>1</x:v>
      </x:c>
      <x:c r="G391" s="242" t="n">
        <x:f>AI390</x:f>
        <x:v>2.8764110918209282</x:v>
      </x:c>
      <x:c r="H391" s="242" t="n">
        <x:f>AJ390</x:f>
        <x:v>-3.3262791234064486</x:v>
      </x:c>
      <x:c r="I391" s="242" t="n">
        <x:f>AK390</x:f>
        <x:v>-1.738886512668742</x:v>
      </x:c>
      <x:c r="J391" s="242" t="n">
        <x:f>AL390</x:f>
        <x:v>3.1817761464377567</x:v>
      </x:c>
      <x:c r="K391" s="242" t="n">
        <x:f>AM390</x:f>
        <x:v>-3.078831966355638</x:v>
      </x:c>
      <x:c r="L391" s="242" t="n">
        <x:f>AN390</x:f>
        <x:v>1.7311360297464917</x:v>
      </x:c>
      <x:c r="M391" s="242" t="n">
        <x:f>AO390</x:f>
        <x:v>3.6267158858062056</x:v>
      </x:c>
      <x:c r="N391" s="242" t="n">
        <x:f>AP390</x:f>
        <x:v>-3.422016814566535</x:v>
      </x:c>
      <x:c r="O391" s="242" t="n">
        <x:f>AQ390</x:f>
        <x:v>1.514993799395394</x:v>
      </x:c>
      <x:c r="P391" s="243" t="n">
        <x:f>D391*G391+E391*H391+I391</x:f>
        <x:v>1.1375245791521862</x:v>
      </x:c>
      <x:c r="Q391" s="243" t="n">
        <x:f>1/(1+EXP(-P391))</x:f>
        <x:v>0.7572248589001923</x:v>
      </x:c>
      <x:c r="R391" s="243" t="n">
        <x:f>D391*J391+E391*K391+L391</x:f>
        <x:v>4.912912176184248</x:v>
      </x:c>
      <x:c r="S391" s="243" t="n">
        <x:f>1/(1+EXP(-R391))</x:f>
        <x:v>0.9927025940148944</x:v>
      </x:c>
      <x:c r="T391" s="243" t="n">
        <x:f>Q391*M391+S391*N391+O391</x:f>
        <x:v>0.8641882557132989</x:v>
      </x:c>
      <x:c r="U391" s="243" t="n">
        <x:f>1/(1+EXP(-T391))</x:f>
        <x:v>0.7035349576132375</x:v>
      </x:c>
      <x:c r="V391" s="243" t="n">
        <x:f>0.5*(F391-U391)^2</x:f>
        <x:v>0.04394576067869245</x:v>
      </x:c>
      <x:c r="W391" s="244" t="n">
        <x:f>(U391-F391)*U391*(1-U391)</x:f>
        <x:v>-0.06183475775273074</x:v>
      </x:c>
      <x:c r="X391" s="244" t="n">
        <x:f>W391*M391*Q391*(1-Q391)</x:f>
        <x:v>-0.04122638706988051</x:v>
      </x:c>
      <x:c r="Y391" s="244" t="n">
        <x:f>W391*N391*S391*(1-S391)</x:f>
        <x:v>0.001532859917791416</x:v>
      </x:c>
      <x:c r="Z391" s="245" t="n">
        <x:f>X391*D391</x:f>
        <x:v>-0.04122638706988051</x:v>
      </x:c>
      <x:c r="AA391" s="245" t="n">
        <x:f>X391*E391</x:f>
        <x:v>0</x:v>
      </x:c>
      <x:c r="AB391" s="245" t="n">
        <x:f>X391</x:f>
        <x:v>-0.04122638706988051</x:v>
      </x:c>
      <x:c r="AC391" s="245" t="n">
        <x:f>Y391*D391</x:f>
        <x:v>0.001532859917791416</x:v>
      </x:c>
      <x:c r="AD391" s="245" t="n">
        <x:f>Y391*E391</x:f>
        <x:v>0</x:v>
      </x:c>
      <x:c r="AE391" s="245" t="n">
        <x:f>Y391</x:f>
        <x:v>0.001532859917791416</x:v>
      </x:c>
      <x:c r="AF391" s="245" t="n">
        <x:f>W391*Q391</x:f>
        <x:v>-0.04682281571443911</x:v>
      </x:c>
      <x:c r="AG391" s="245" t="n">
        <x:f>W391*S391</x:f>
        <x:v>-0.06138352442141841</x:v>
      </x:c>
      <x:c r="AH391" s="245" t="n">
        <x:f>W391</x:f>
        <x:v>-0.06183475775273074</x:v>
      </x:c>
      <x:c r="AI391" s="246" t="n">
        <x:f>G391-$B$4*Z391</x:f>
        <x:v>2.917637478890809</x:v>
      </x:c>
      <x:c r="AJ391" s="246" t="n">
        <x:f>H391-$B$4*AA391</x:f>
        <x:v>-3.3262791234064486</x:v>
      </x:c>
      <x:c r="AK391" s="246" t="n">
        <x:f>I391-$B$4*AB391</x:f>
        <x:v>-1.6976601255988615</x:v>
      </x:c>
      <x:c r="AL391" s="246" t="n">
        <x:f>J391-$B$4*AC391</x:f>
        <x:v>3.1802432865199655</x:v>
      </x:c>
      <x:c r="AM391" s="246" t="n">
        <x:f>K391-$B$4*AD391</x:f>
        <x:v>-3.078831966355638</x:v>
      </x:c>
      <x:c r="AN391" s="246" t="n">
        <x:f>L391-$B$4*AE391</x:f>
        <x:v>1.7296031698287002</x:v>
      </x:c>
      <x:c r="AO391" s="246" t="n">
        <x:f>M391-$B$4*AF391</x:f>
        <x:v>3.673538701520645</x:v>
      </x:c>
      <x:c r="AP391" s="246" t="n">
        <x:f>N391-$B$4*AG391</x:f>
        <x:v>-3.3606332901451164</x:v>
      </x:c>
      <x:c r="AQ391" s="246" t="n">
        <x:f>O391-$B$4*AH391</x:f>
        <x:v>1.5768285571481246</x:v>
      </x:c>
      <x:c r="AR391" s="182" t="n">
        <x:f>IF(U391&gt;=$B$5,1,0)</x:f>
        <x:v>1</x:v>
      </x:c>
      <x:c r="AS391" s="182" t="n">
        <x:f>IF(AR391=F391,1,0)</x:f>
        <x:v>1</x:v>
      </x:c>
      <x:c r="AT391" s="252" t="n">
        <x:f>ABS(F391-U391)</x:f>
        <x:v>0.2964650423867625</x:v>
      </x:c>
    </x:row>
    <x:row r="392">
      <x:c r="A392" s="114" t="n">
        <x:v>376</x:v>
      </x:c>
      <x:c r="B392" s="114" t="n">
        <x:v>94</x:v>
      </x:c>
      <x:c r="C392" s="114" t="n">
        <x:v>4</x:v>
      </x:c>
      <x:c r="D392" s="168" t="n">
        <x:f>$I$8</x:f>
        <x:v>1</x:v>
      </x:c>
      <x:c r="E392" s="168" t="n">
        <x:f>$J$8</x:f>
        <x:v>1</x:v>
      </x:c>
      <x:c r="F392" s="168" t="n">
        <x:f>$K$8</x:f>
        <x:v>0</x:v>
      </x:c>
      <x:c r="G392" s="242" t="n">
        <x:f>AI391</x:f>
        <x:v>2.917637478890809</x:v>
      </x:c>
      <x:c r="H392" s="242" t="n">
        <x:f>AJ391</x:f>
        <x:v>-3.3262791234064486</x:v>
      </x:c>
      <x:c r="I392" s="242" t="n">
        <x:f>AK391</x:f>
        <x:v>-1.6976601255988615</x:v>
      </x:c>
      <x:c r="J392" s="242" t="n">
        <x:f>AL391</x:f>
        <x:v>3.1802432865199655</x:v>
      </x:c>
      <x:c r="K392" s="242" t="n">
        <x:f>AM391</x:f>
        <x:v>-3.078831966355638</x:v>
      </x:c>
      <x:c r="L392" s="242" t="n">
        <x:f>AN391</x:f>
        <x:v>1.7296031698287002</x:v>
      </x:c>
      <x:c r="M392" s="242" t="n">
        <x:f>AO391</x:f>
        <x:v>3.673538701520645</x:v>
      </x:c>
      <x:c r="N392" s="242" t="n">
        <x:f>AP391</x:f>
        <x:v>-3.3606332901451164</x:v>
      </x:c>
      <x:c r="O392" s="242" t="n">
        <x:f>AQ391</x:f>
        <x:v>1.5768285571481246</x:v>
      </x:c>
      <x:c r="P392" s="243" t="n">
        <x:f>D392*G392+E392*H392+I392</x:f>
        <x:v>-2.1063017701145013</x:v>
      </x:c>
      <x:c r="Q392" s="243" t="n">
        <x:f>1/(1+EXP(-P392))</x:f>
        <x:v>0.10848582963719033</x:v>
      </x:c>
      <x:c r="R392" s="243" t="n">
        <x:f>D392*J392+E392*K392+L392</x:f>
        <x:v>1.8310144899930278</x:v>
      </x:c>
      <x:c r="S392" s="243" t="n">
        <x:f>1/(1+EXP(-R392))</x:f>
        <x:v>0.8618825371027885</x:v>
      </x:c>
      <x:c r="T392" s="243" t="n">
        <x:f>Q392*M392+S392*N392+O392</x:f>
        <x:v>-0.9211156954954458</x:v>
      </x:c>
      <x:c r="U392" s="243" t="n">
        <x:f>1/(1+EXP(-T392))</x:f>
        <x:v>0.28473061820357376</x:v>
      </x:c>
      <x:c r="V392" s="243" t="n">
        <x:f>0.5*(F392-U392)^2</x:f>
        <x:v>0.040535762471294645</x:v>
      </x:c>
      <x:c r="W392" s="244" t="n">
        <x:f>(U392-F392)*U392*(1-U392)</x:f>
        <x:v>0.057987979526979386</x:v>
      </x:c>
      <x:c r="X392" s="244" t="n">
        <x:f>W392*M392*Q392*(1-Q392)</x:f>
        <x:v>0.020602686853866358</x:v>
      </x:c>
      <x:c r="Y392" s="244" t="n">
        <x:f>W392*N392*S392*(1-S392)</x:f>
        <x:v>-0.023198279444160502</x:v>
      </x:c>
      <x:c r="Z392" s="245" t="n">
        <x:f>X392*D392</x:f>
        <x:v>0.020602686853866358</x:v>
      </x:c>
      <x:c r="AA392" s="245" t="n">
        <x:f>X392*E392</x:f>
        <x:v>0.020602686853866358</x:v>
      </x:c>
      <x:c r="AB392" s="245" t="n">
        <x:f>X392</x:f>
        <x:v>0.020602686853866358</x:v>
      </x:c>
      <x:c r="AC392" s="245" t="n">
        <x:f>Y392*D392</x:f>
        <x:v>-0.023198279444160502</x:v>
      </x:c>
      <x:c r="AD392" s="245" t="n">
        <x:f>Y392*E392</x:f>
        <x:v>-0.023198279444160502</x:v>
      </x:c>
      <x:c r="AE392" s="245" t="n">
        <x:f>Y392</x:f>
        <x:v>-0.023198279444160502</x:v>
      </x:c>
      <x:c r="AF392" s="245" t="n">
        <x:f>W392*Q392</x:f>
        <x:v>0.006290874067968766</x:v>
      </x:c>
      <x:c r="AG392" s="245" t="n">
        <x:f>W392*S392</x:f>
        <x:v>0.04997882691617755</x:v>
      </x:c>
      <x:c r="AH392" s="245" t="n">
        <x:f>W392</x:f>
        <x:v>0.057987979526979386</x:v>
      </x:c>
      <x:c r="AI392" s="246" t="n">
        <x:f>G392-$B$4*Z392</x:f>
        <x:v>2.8970347920369424</x:v>
      </x:c>
      <x:c r="AJ392" s="246" t="n">
        <x:f>H392-$B$4*AA392</x:f>
        <x:v>-3.346881810260315</x:v>
      </x:c>
      <x:c r="AK392" s="246" t="n">
        <x:f>I392-$B$4*AB392</x:f>
        <x:v>-1.718262812452728</x:v>
      </x:c>
      <x:c r="AL392" s="246" t="n">
        <x:f>J392-$B$4*AC392</x:f>
        <x:v>3.203441565964126</x:v>
      </x:c>
      <x:c r="AM392" s="246" t="n">
        <x:f>K392-$B$4*AD392</x:f>
        <x:v>-3.0556336869114773</x:v>
      </x:c>
      <x:c r="AN392" s="246" t="n">
        <x:f>L392-$B$4*AE392</x:f>
        <x:v>1.7528014492728607</x:v>
      </x:c>
      <x:c r="AO392" s="246" t="n">
        <x:f>M392-$B$4*AF392</x:f>
        <x:v>3.6672478274526763</x:v>
      </x:c>
      <x:c r="AP392" s="246" t="n">
        <x:f>N392-$B$4*AG392</x:f>
        <x:v>-3.410612117061294</x:v>
      </x:c>
      <x:c r="AQ392" s="246" t="n">
        <x:f>O392-$B$4*AH392</x:f>
        <x:v>1.5188405776211453</x:v>
      </x:c>
      <x:c r="AR392" s="182" t="n">
        <x:f>IF(U392&gt;=$B$5,1,0)</x:f>
        <x:v>0</x:v>
      </x:c>
      <x:c r="AS392" s="182" t="n">
        <x:f>IF(AR392=F392,1,0)</x:f>
        <x:v>1</x:v>
      </x:c>
      <x:c r="AT392" s="252" t="n">
        <x:f>ABS(F392-U392)</x:f>
        <x:v>0.28473061820357376</x:v>
      </x:c>
    </x:row>
    <x:row r="393">
      <x:c r="A393" s="114" t="n">
        <x:v>377</x:v>
      </x:c>
      <x:c r="B393" s="114" t="n">
        <x:v>95</x:v>
      </x:c>
      <x:c r="C393" s="114" t="n">
        <x:v>1</x:v>
      </x:c>
      <x:c r="D393" s="168" t="n">
        <x:f>$I$5</x:f>
        <x:v>0</x:v>
      </x:c>
      <x:c r="E393" s="168" t="n">
        <x:f>$J$5</x:f>
        <x:v>0</x:v>
      </x:c>
      <x:c r="F393" s="168" t="n">
        <x:f>$K$5</x:f>
        <x:v>0</x:v>
      </x:c>
      <x:c r="G393" s="242" t="n">
        <x:f>AI392</x:f>
        <x:v>2.8970347920369424</x:v>
      </x:c>
      <x:c r="H393" s="242" t="n">
        <x:f>AJ392</x:f>
        <x:v>-3.346881810260315</x:v>
      </x:c>
      <x:c r="I393" s="242" t="n">
        <x:f>AK392</x:f>
        <x:v>-1.718262812452728</x:v>
      </x:c>
      <x:c r="J393" s="242" t="n">
        <x:f>AL392</x:f>
        <x:v>3.203441565964126</x:v>
      </x:c>
      <x:c r="K393" s="242" t="n">
        <x:f>AM392</x:f>
        <x:v>-3.0556336869114773</x:v>
      </x:c>
      <x:c r="L393" s="242" t="n">
        <x:f>AN392</x:f>
        <x:v>1.7528014492728607</x:v>
      </x:c>
      <x:c r="M393" s="242" t="n">
        <x:f>AO392</x:f>
        <x:v>3.6672478274526763</x:v>
      </x:c>
      <x:c r="N393" s="242" t="n">
        <x:f>AP392</x:f>
        <x:v>-3.410612117061294</x:v>
      </x:c>
      <x:c r="O393" s="242" t="n">
        <x:f>AQ392</x:f>
        <x:v>1.5188405776211453</x:v>
      </x:c>
      <x:c r="P393" s="243" t="n">
        <x:f>D393*G393+E393*H393+I393</x:f>
        <x:v>-1.718262812452728</x:v>
      </x:c>
      <x:c r="Q393" s="243" t="n">
        <x:f>1/(1+EXP(-P393))</x:f>
        <x:v>0.15209505972836396</x:v>
      </x:c>
      <x:c r="R393" s="243" t="n">
        <x:f>D393*J393+E393*K393+L393</x:f>
        <x:v>1.7528014492728607</x:v>
      </x:c>
      <x:c r="S393" s="243" t="n">
        <x:f>1/(1+EXP(-R393))</x:f>
        <x:v>0.852305798317027</x:v>
      </x:c>
      <x:c r="T393" s="243" t="n">
        <x:f>Q393*M393+S393*N393+O393</x:f>
        <x:v>-0.8302736282053786</x:v>
      </x:c>
      <x:c r="U393" s="243" t="n">
        <x:f>1/(1+EXP(-T393))</x:f>
        <x:v>0.3035872160397655</x:v>
      </x:c>
      <x:c r="V393" s="243" t="n">
        <x:f>0.5*(F393-U393)^2</x:f>
        <x:v>0.04608259887138763</x:v>
      </x:c>
      <x:c r="W393" s="244" t="n">
        <x:f>(U393-F393)*U393*(1-U393)</x:f>
        <x:v>0.06418502194429164</x:v>
      </x:c>
      <x:c r="X393" s="244" t="n">
        <x:f>W393*M393*Q393*(1-Q393)</x:f>
        <x:v>0.030355418687574937</x:v>
      </x:c>
      <x:c r="Y393" s="244" t="n">
        <x:f>W393*N393*S393*(1-S393)</x:f>
        <x:v>-0.02755655438842174</x:v>
      </x:c>
      <x:c r="Z393" s="245" t="n">
        <x:f>X393*D393</x:f>
        <x:v>0</x:v>
      </x:c>
      <x:c r="AA393" s="245" t="n">
        <x:f>X393*E393</x:f>
        <x:v>0</x:v>
      </x:c>
      <x:c r="AB393" s="245" t="n">
        <x:f>X393</x:f>
        <x:v>0.030355418687574937</x:v>
      </x:c>
      <x:c r="AC393" s="245" t="n">
        <x:f>Y393*D393</x:f>
        <x:v>0</x:v>
      </x:c>
      <x:c r="AD393" s="245" t="n">
        <x:f>Y393*E393</x:f>
        <x:v>0</x:v>
      </x:c>
      <x:c r="AE393" s="245" t="n">
        <x:f>Y393</x:f>
        <x:v>-0.02755655438842174</x:v>
      </x:c>
      <x:c r="AF393" s="245" t="n">
        <x:f>W393*Q393</x:f>
        <x:v>0.009762224746283387</x:v>
      </x:c>
      <x:c r="AG393" s="245" t="n">
        <x:f>W393*S393</x:f>
        <x:v>0.05470526636822538</x:v>
      </x:c>
      <x:c r="AH393" s="245" t="n">
        <x:f>W393</x:f>
        <x:v>0.06418502194429164</x:v>
      </x:c>
      <x:c r="AI393" s="246" t="n">
        <x:f>G393-$B$4*Z393</x:f>
        <x:v>2.8970347920369424</x:v>
      </x:c>
      <x:c r="AJ393" s="246" t="n">
        <x:f>H393-$B$4*AA393</x:f>
        <x:v>-3.346881810260315</x:v>
      </x:c>
      <x:c r="AK393" s="246" t="n">
        <x:f>I393-$B$4*AB393</x:f>
        <x:v>-1.748618231140303</x:v>
      </x:c>
      <x:c r="AL393" s="246" t="n">
        <x:f>J393-$B$4*AC393</x:f>
        <x:v>3.203441565964126</x:v>
      </x:c>
      <x:c r="AM393" s="246" t="n">
        <x:f>K393-$B$4*AD393</x:f>
        <x:v>-3.0556336869114773</x:v>
      </x:c>
      <x:c r="AN393" s="246" t="n">
        <x:f>L393-$B$4*AE393</x:f>
        <x:v>1.7803580036612825</x:v>
      </x:c>
      <x:c r="AO393" s="246" t="n">
        <x:f>M393-$B$4*AF393</x:f>
        <x:v>3.657485602706393</x:v>
      </x:c>
      <x:c r="AP393" s="246" t="n">
        <x:f>N393-$B$4*AG393</x:f>
        <x:v>-3.4653173834295194</x:v>
      </x:c>
      <x:c r="AQ393" s="246" t="n">
        <x:f>O393-$B$4*AH393</x:f>
        <x:v>1.4546555556768537</x:v>
      </x:c>
      <x:c r="AR393" s="182" t="n">
        <x:f>IF(U393&gt;=$B$5,1,0)</x:f>
        <x:v>0</x:v>
      </x:c>
      <x:c r="AS393" s="182" t="n">
        <x:f>IF(AR393=F393,1,0)</x:f>
        <x:v>1</x:v>
      </x:c>
      <x:c r="AT393" s="252" t="n">
        <x:f>ABS(F393-U393)</x:f>
        <x:v>0.3035872160397655</x:v>
      </x:c>
    </x:row>
    <x:row r="394">
      <x:c r="A394" s="114" t="n">
        <x:v>378</x:v>
      </x:c>
      <x:c r="B394" s="114" t="n">
        <x:v>95</x:v>
      </x:c>
      <x:c r="C394" s="114" t="n">
        <x:v>2</x:v>
      </x:c>
      <x:c r="D394" s="168" t="n">
        <x:f>$I$6</x:f>
        <x:v>0</x:v>
      </x:c>
      <x:c r="E394" s="168" t="n">
        <x:f>$J$6</x:f>
        <x:v>1</x:v>
      </x:c>
      <x:c r="F394" s="168" t="n">
        <x:f>$K$6</x:f>
        <x:v>1</x:v>
      </x:c>
      <x:c r="G394" s="242" t="n">
        <x:f>AI393</x:f>
        <x:v>2.8970347920369424</x:v>
      </x:c>
      <x:c r="H394" s="242" t="n">
        <x:f>AJ393</x:f>
        <x:v>-3.346881810260315</x:v>
      </x:c>
      <x:c r="I394" s="242" t="n">
        <x:f>AK393</x:f>
        <x:v>-1.748618231140303</x:v>
      </x:c>
      <x:c r="J394" s="242" t="n">
        <x:f>AL393</x:f>
        <x:v>3.203441565964126</x:v>
      </x:c>
      <x:c r="K394" s="242" t="n">
        <x:f>AM393</x:f>
        <x:v>-3.0556336869114773</x:v>
      </x:c>
      <x:c r="L394" s="242" t="n">
        <x:f>AN393</x:f>
        <x:v>1.7803580036612825</x:v>
      </x:c>
      <x:c r="M394" s="242" t="n">
        <x:f>AO393</x:f>
        <x:v>3.657485602706393</x:v>
      </x:c>
      <x:c r="N394" s="242" t="n">
        <x:f>AP393</x:f>
        <x:v>-3.4653173834295194</x:v>
      </x:c>
      <x:c r="O394" s="242" t="n">
        <x:f>AQ393</x:f>
        <x:v>1.4546555556768537</x:v>
      </x:c>
      <x:c r="P394" s="243" t="n">
        <x:f>D394*G394+E394*H394+I394</x:f>
        <x:v>-5.0955000414006175</x:v>
      </x:c>
      <x:c r="Q394" s="243" t="n">
        <x:f>1/(1+EXP(-P394))</x:f>
        <x:v>0.006086965435306583</x:v>
      </x:c>
      <x:c r="R394" s="243" t="n">
        <x:f>D394*J394+E394*K394+L394</x:f>
        <x:v>-1.2752756832501948</x:v>
      </x:c>
      <x:c r="S394" s="243" t="n">
        <x:f>1/(1+EXP(-R394))</x:f>
        <x:v>0.2183554798294337</x:v>
      </x:c>
      <x:c r="T394" s="243" t="n">
        <x:f>Q394*M394+S394*N394+O394</x:f>
        <x:v>0.7202475041006285</x:v>
      </x:c>
      <x:c r="U394" s="243" t="n">
        <x:f>1/(1+EXP(-T394))</x:f>
        <x:v>0.6726615168295579</x:v>
      </x:c>
      <x:c r="V394" s="243" t="n">
        <x:f>0.5*(F394-U394)^2</x:f>
        <x:v>0.05357524128216291</x:v>
      </x:c>
      <x:c r="W394" s="244" t="n">
        <x:f>(U394-F394)*U394*(1-U394)</x:f>
        <x:v>-0.0720760061307385</x:v>
      </x:c>
      <x:c r="X394" s="244" t="n">
        <x:f>W394*M394*Q394*(1-Q394)</x:f>
        <x:v>-0.0015948599807039685</x:v>
      </x:c>
      <x:c r="Y394" s="244" t="n">
        <x:f>W394*N394*S394*(1-S394)</x:f>
        <x:v>0.04262919324093013</x:v>
      </x:c>
      <x:c r="Z394" s="245" t="n">
        <x:f>X394*D394</x:f>
        <x:v>0</x:v>
      </x:c>
      <x:c r="AA394" s="245" t="n">
        <x:f>X394*E394</x:f>
        <x:v>-0.0015948599807039685</x:v>
      </x:c>
      <x:c r="AB394" s="245" t="n">
        <x:f>X394</x:f>
        <x:v>-0.0015948599807039685</x:v>
      </x:c>
      <x:c r="AC394" s="245" t="n">
        <x:f>Y394*D394</x:f>
        <x:v>0</x:v>
      </x:c>
      <x:c r="AD394" s="245" t="n">
        <x:f>Y394*E394</x:f>
        <x:v>0.04262919324093013</x:v>
      </x:c>
      <x:c r="AE394" s="245" t="n">
        <x:f>Y394</x:f>
        <x:v>0.04262919324093013</x:v>
      </x:c>
      <x:c r="AF394" s="245" t="n">
        <x:f>W394*Q394</x:f>
        <x:v>-0.0004387241580327506</x:v>
      </x:c>
      <x:c r="AG394" s="245" t="n">
        <x:f>W394*S394</x:f>
        <x:v>-0.01573819090286661</x:v>
      </x:c>
      <x:c r="AH394" s="245" t="n">
        <x:f>W394</x:f>
        <x:v>-0.0720760061307385</x:v>
      </x:c>
      <x:c r="AI394" s="246" t="n">
        <x:f>G394-$B$4*Z394</x:f>
        <x:v>2.8970347920369424</x:v>
      </x:c>
      <x:c r="AJ394" s="246" t="n">
        <x:f>H394-$B$4*AA394</x:f>
        <x:v>-3.345286950279611</x:v>
      </x:c>
      <x:c r="AK394" s="246" t="n">
        <x:f>I394-$B$4*AB394</x:f>
        <x:v>-1.7470233711595988</x:v>
      </x:c>
      <x:c r="AL394" s="246" t="n">
        <x:f>J394-$B$4*AC394</x:f>
        <x:v>3.203441565964126</x:v>
      </x:c>
      <x:c r="AM394" s="246" t="n">
        <x:f>K394-$B$4*AD394</x:f>
        <x:v>-3.0982628801524075</x:v>
      </x:c>
      <x:c r="AN394" s="246" t="n">
        <x:f>L394-$B$4*AE394</x:f>
        <x:v>1.7377288104203523</x:v>
      </x:c>
      <x:c r="AO394" s="246" t="n">
        <x:f>M394-$B$4*AF394</x:f>
        <x:v>3.6579243268644257</x:v>
      </x:c>
      <x:c r="AP394" s="246" t="n">
        <x:f>N394-$B$4*AG394</x:f>
        <x:v>-3.449579192526653</x:v>
      </x:c>
      <x:c r="AQ394" s="246" t="n">
        <x:f>O394-$B$4*AH394</x:f>
        <x:v>1.5267315618075923</x:v>
      </x:c>
      <x:c r="AR394" s="182" t="n">
        <x:f>IF(U394&gt;=$B$5,1,0)</x:f>
        <x:v>1</x:v>
      </x:c>
      <x:c r="AS394" s="182" t="n">
        <x:f>IF(AR394=F394,1,0)</x:f>
        <x:v>1</x:v>
      </x:c>
      <x:c r="AT394" s="252" t="n">
        <x:f>ABS(F394-U394)</x:f>
        <x:v>0.3273384831704421</x:v>
      </x:c>
    </x:row>
    <x:row r="395">
      <x:c r="A395" s="114" t="n">
        <x:v>379</x:v>
      </x:c>
      <x:c r="B395" s="114" t="n">
        <x:v>95</x:v>
      </x:c>
      <x:c r="C395" s="114" t="n">
        <x:v>3</x:v>
      </x:c>
      <x:c r="D395" s="168" t="n">
        <x:f>$I$7</x:f>
        <x:v>1</x:v>
      </x:c>
      <x:c r="E395" s="168" t="n">
        <x:f>$J$7</x:f>
        <x:v>0</x:v>
      </x:c>
      <x:c r="F395" s="168" t="n">
        <x:f>$K$7</x:f>
        <x:v>1</x:v>
      </x:c>
      <x:c r="G395" s="242" t="n">
        <x:f>AI394</x:f>
        <x:v>2.8970347920369424</x:v>
      </x:c>
      <x:c r="H395" s="242" t="n">
        <x:f>AJ394</x:f>
        <x:v>-3.345286950279611</x:v>
      </x:c>
      <x:c r="I395" s="242" t="n">
        <x:f>AK394</x:f>
        <x:v>-1.7470233711595988</x:v>
      </x:c>
      <x:c r="J395" s="242" t="n">
        <x:f>AL394</x:f>
        <x:v>3.203441565964126</x:v>
      </x:c>
      <x:c r="K395" s="242" t="n">
        <x:f>AM394</x:f>
        <x:v>-3.0982628801524075</x:v>
      </x:c>
      <x:c r="L395" s="242" t="n">
        <x:f>AN394</x:f>
        <x:v>1.7377288104203523</x:v>
      </x:c>
      <x:c r="M395" s="242" t="n">
        <x:f>AO394</x:f>
        <x:v>3.6579243268644257</x:v>
      </x:c>
      <x:c r="N395" s="242" t="n">
        <x:f>AP394</x:f>
        <x:v>-3.449579192526653</x:v>
      </x:c>
      <x:c r="O395" s="242" t="n">
        <x:f>AQ394</x:f>
        <x:v>1.5267315618075923</x:v>
      </x:c>
      <x:c r="P395" s="243" t="n">
        <x:f>D395*G395+E395*H395+I395</x:f>
        <x:v>1.1500114208773435</x:v>
      </x:c>
      <x:c r="Q395" s="243" t="n">
        <x:f>1/(1+EXP(-P395))</x:f>
        <x:v>0.7595130030128179</x:v>
      </x:c>
      <x:c r="R395" s="243" t="n">
        <x:f>D395*J395+E395*K395+L395</x:f>
        <x:v>4.941170376384479</x:v>
      </x:c>
      <x:c r="S395" s="243" t="n">
        <x:f>1/(1+EXP(-R395))</x:f>
        <x:v>0.9929044765429045</x:v>
      </x:c>
      <x:c r="T395" s="243" t="n">
        <x:f>Q395*M395+S395*N395+O395</x:f>
        <x:v>0.8798700296490614</x:v>
      </x:c>
      <x:c r="U395" s="243" t="n">
        <x:f>1/(1+EXP(-T395))</x:f>
        <x:v>0.7067952873196671</x:v>
      </x:c>
      <x:c r="V395" s="243" t="n">
        <x:f>0.5*(F395-U395)^2</x:f>
        <x:v>0.04298450176897828</x:v>
      </x:c>
      <x:c r="W395" s="244" t="n">
        <x:f>(U395-F395)*U395*(1-U395)</x:f>
        <x:v>-0.06076248655619548</x:v>
      </x:c>
      <x:c r="X395" s="244" t="n">
        <x:f>W395*M395*Q395*(1-Q395)</x:f>
        <x:v>-0.04059729219864157</x:v>
      </x:c>
      <x:c r="Y395" s="244" t="n">
        <x:f>W395*N395*S395*(1-S395)</x:f>
        <x:v>0.001476704391509797</x:v>
      </x:c>
      <x:c r="Z395" s="245" t="n">
        <x:f>X395*D395</x:f>
        <x:v>-0.04059729219864157</x:v>
      </x:c>
      <x:c r="AA395" s="245" t="n">
        <x:f>X395*E395</x:f>
        <x:v>0</x:v>
      </x:c>
      <x:c r="AB395" s="245" t="n">
        <x:f>X395</x:f>
        <x:v>-0.04059729219864157</x:v>
      </x:c>
      <x:c r="AC395" s="245" t="n">
        <x:f>Y395*D395</x:f>
        <x:v>0.001476704391509797</x:v>
      </x:c>
      <x:c r="AD395" s="245" t="n">
        <x:f>Y395*E395</x:f>
        <x:v>0</x:v>
      </x:c>
      <x:c r="AE395" s="245" t="n">
        <x:f>Y395</x:f>
        <x:v>0.001476704391509797</x:v>
      </x:c>
      <x:c r="AF395" s="245" t="n">
        <x:f>W395*Q395</x:f>
        <x:v>-0.046149898634822</x:v>
      </x:c>
      <x:c r="AG395" s="245" t="n">
        <x:f>W395*S395</x:f>
        <x:v>-0.060331344907524544</x:v>
      </x:c>
      <x:c r="AH395" s="245" t="n">
        <x:f>W395</x:f>
        <x:v>-0.06076248655619548</x:v>
      </x:c>
      <x:c r="AI395" s="246" t="n">
        <x:f>G395-$B$4*Z395</x:f>
        <x:v>2.937632084235584</x:v>
      </x:c>
      <x:c r="AJ395" s="246" t="n">
        <x:f>H395-$B$4*AA395</x:f>
        <x:v>-3.345286950279611</x:v>
      </x:c>
      <x:c r="AK395" s="246" t="n">
        <x:f>I395-$B$4*AB395</x:f>
        <x:v>-1.7064260789609573</x:v>
      </x:c>
      <x:c r="AL395" s="246" t="n">
        <x:f>J395-$B$4*AC395</x:f>
        <x:v>3.201964861572616</x:v>
      </x:c>
      <x:c r="AM395" s="246" t="n">
        <x:f>K395-$B$4*AD395</x:f>
        <x:v>-3.0982628801524075</x:v>
      </x:c>
      <x:c r="AN395" s="246" t="n">
        <x:f>L395-$B$4*AE395</x:f>
        <x:v>1.7362521060288425</x:v>
      </x:c>
      <x:c r="AO395" s="246" t="n">
        <x:f>M395-$B$4*AF395</x:f>
        <x:v>3.7040742254992476</x:v>
      </x:c>
      <x:c r="AP395" s="246" t="n">
        <x:f>N395-$B$4*AG395</x:f>
        <x:v>-3.3892478476191283</x:v>
      </x:c>
      <x:c r="AQ395" s="246" t="n">
        <x:f>O395-$B$4*AH395</x:f>
        <x:v>1.5874940483637878</x:v>
      </x:c>
      <x:c r="AR395" s="182" t="n">
        <x:f>IF(U395&gt;=$B$5,1,0)</x:f>
        <x:v>1</x:v>
      </x:c>
      <x:c r="AS395" s="182" t="n">
        <x:f>IF(AR395=F395,1,0)</x:f>
        <x:v>1</x:v>
      </x:c>
      <x:c r="AT395" s="252" t="n">
        <x:f>ABS(F395-U395)</x:f>
        <x:v>0.2932047126803329</x:v>
      </x:c>
    </x:row>
    <x:row r="396">
      <x:c r="A396" s="114" t="n">
        <x:v>380</x:v>
      </x:c>
      <x:c r="B396" s="114" t="n">
        <x:v>95</x:v>
      </x:c>
      <x:c r="C396" s="114" t="n">
        <x:v>4</x:v>
      </x:c>
      <x:c r="D396" s="168" t="n">
        <x:f>$I$8</x:f>
        <x:v>1</x:v>
      </x:c>
      <x:c r="E396" s="168" t="n">
        <x:f>$J$8</x:f>
        <x:v>1</x:v>
      </x:c>
      <x:c r="F396" s="168" t="n">
        <x:f>$K$8</x:f>
        <x:v>0</x:v>
      </x:c>
      <x:c r="G396" s="242" t="n">
        <x:f>AI395</x:f>
        <x:v>2.937632084235584</x:v>
      </x:c>
      <x:c r="H396" s="242" t="n">
        <x:f>AJ395</x:f>
        <x:v>-3.345286950279611</x:v>
      </x:c>
      <x:c r="I396" s="242" t="n">
        <x:f>AK395</x:f>
        <x:v>-1.7064260789609573</x:v>
      </x:c>
      <x:c r="J396" s="242" t="n">
        <x:f>AL395</x:f>
        <x:v>3.201964861572616</x:v>
      </x:c>
      <x:c r="K396" s="242" t="n">
        <x:f>AM395</x:f>
        <x:v>-3.0982628801524075</x:v>
      </x:c>
      <x:c r="L396" s="242" t="n">
        <x:f>AN395</x:f>
        <x:v>1.7362521060288425</x:v>
      </x:c>
      <x:c r="M396" s="242" t="n">
        <x:f>AO395</x:f>
        <x:v>3.7040742254992476</x:v>
      </x:c>
      <x:c r="N396" s="242" t="n">
        <x:f>AP395</x:f>
        <x:v>-3.3892478476191283</x:v>
      </x:c>
      <x:c r="O396" s="242" t="n">
        <x:f>AQ395</x:f>
        <x:v>1.5874940483637878</x:v>
      </x:c>
      <x:c r="P396" s="243" t="n">
        <x:f>D396*G396+E396*H396+I396</x:f>
        <x:v>-2.1140809450049844</x:v>
      </x:c>
      <x:c r="Q396" s="243" t="n">
        <x:f>1/(1+EXP(-P396))</x:f>
        <x:v>0.10773574215973929</x:v>
      </x:c>
      <x:c r="R396" s="243" t="n">
        <x:f>D396*J396+E396*K396+L396</x:f>
        <x:v>1.8399540874490512</x:v>
      </x:c>
      <x:c r="S396" s="243" t="n">
        <x:f>1/(1+EXP(-R396))</x:f>
        <x:v>0.8629432773376541</x:v>
      </x:c>
      <x:c r="T396" s="243" t="n">
        <x:f>Q396*M396+S396*N396+O396</x:f>
        <x:v>-0.9381734112713296</x:v>
      </x:c>
      <x:c r="U396" s="243" t="n">
        <x:f>1/(1+EXP(-T396))</x:f>
        <x:v>0.2812694526121636</x:v>
      </x:c>
      <x:c r="V396" s="243" t="n">
        <x:f>0.5*(F396-U396)^2</x:f>
        <x:v>0.03955625248637307</x:v>
      </x:c>
      <x:c r="W396" s="244" t="n">
        <x:f>(U396-F396)*U396*(1-U396)</x:f>
        <x:v>0.056860574004284764</x:v>
      </x:c>
      <x:c r="X396" s="244" t="n">
        <x:f>W396*M396*Q396*(1-Q396)</x:f>
        <x:v>0.020246232723358487</x:v>
      </x:c>
      <x:c r="Y396" s="244" t="n">
        <x:f>W396*N396*S396*(1-S396)</x:f>
        <x:v>-0.022792772770513073</x:v>
      </x:c>
      <x:c r="Z396" s="245" t="n">
        <x:f>X396*D396</x:f>
        <x:v>0.020246232723358487</x:v>
      </x:c>
      <x:c r="AA396" s="245" t="n">
        <x:f>X396*E396</x:f>
        <x:v>0.020246232723358487</x:v>
      </x:c>
      <x:c r="AB396" s="245" t="n">
        <x:f>X396</x:f>
        <x:v>0.020246232723358487</x:v>
      </x:c>
      <x:c r="AC396" s="245" t="n">
        <x:f>Y396*D396</x:f>
        <x:v>-0.022792772770513073</x:v>
      </x:c>
      <x:c r="AD396" s="245" t="n">
        <x:f>Y396*E396</x:f>
        <x:v>-0.022792772770513073</x:v>
      </x:c>
      <x:c r="AE396" s="245" t="n">
        <x:f>Y396</x:f>
        <x:v>-0.022792772770513073</x:v>
      </x:c>
      <x:c r="AF396" s="245" t="n">
        <x:f>W396*Q396</x:f>
        <x:v>0.006125916139980397</x:v>
      </x:c>
      <x:c r="AG396" s="245" t="n">
        <x:f>W396*S396</x:f>
        <x:v>0.04906745008255771</x:v>
      </x:c>
      <x:c r="AH396" s="245" t="n">
        <x:f>W396</x:f>
        <x:v>0.056860574004284764</x:v>
      </x:c>
      <x:c r="AI396" s="246" t="n">
        <x:f>G396-$B$4*Z396</x:f>
        <x:v>2.9173858515122255</x:v>
      </x:c>
      <x:c r="AJ396" s="246" t="n">
        <x:f>H396-$B$4*AA396</x:f>
        <x:v>-3.3655331830029698</x:v>
      </x:c>
      <x:c r="AK396" s="246" t="n">
        <x:f>I396-$B$4*AB396</x:f>
        <x:v>-1.726672311684316</x:v>
      </x:c>
      <x:c r="AL396" s="246" t="n">
        <x:f>J396-$B$4*AC396</x:f>
        <x:v>3.2247576343431295</x:v>
      </x:c>
      <x:c r="AM396" s="246" t="n">
        <x:f>K396-$B$4*AD396</x:f>
        <x:v>-3.075470107381894</x:v>
      </x:c>
      <x:c r="AN396" s="246" t="n">
        <x:f>L396-$B$4*AE396</x:f>
        <x:v>1.7590448787993556</x:v>
      </x:c>
      <x:c r="AO396" s="246" t="n">
        <x:f>M396-$B$4*AF396</x:f>
        <x:v>3.6979483093592673</x:v>
      </x:c>
      <x:c r="AP396" s="246" t="n">
        <x:f>N396-$B$4*AG396</x:f>
        <x:v>-3.438315297701686</x:v>
      </x:c>
      <x:c r="AQ396" s="246" t="n">
        <x:f>O396-$B$4*AH396</x:f>
        <x:v>1.5306334743595031</x:v>
      </x:c>
      <x:c r="AR396" s="182" t="n">
        <x:f>IF(U396&gt;=$B$5,1,0)</x:f>
        <x:v>0</x:v>
      </x:c>
      <x:c r="AS396" s="182" t="n">
        <x:f>IF(AR396=F396,1,0)</x:f>
        <x:v>1</x:v>
      </x:c>
      <x:c r="AT396" s="252" t="n">
        <x:f>ABS(F396-U396)</x:f>
        <x:v>0.2812694526121636</x:v>
      </x:c>
    </x:row>
    <x:row r="397">
      <x:c r="A397" s="114" t="n">
        <x:v>381</x:v>
      </x:c>
      <x:c r="B397" s="114" t="n">
        <x:v>96</x:v>
      </x:c>
      <x:c r="C397" s="114" t="n">
        <x:v>1</x:v>
      </x:c>
      <x:c r="D397" s="168" t="n">
        <x:f>$I$5</x:f>
        <x:v>0</x:v>
      </x:c>
      <x:c r="E397" s="168" t="n">
        <x:f>$J$5</x:f>
        <x:v>0</x:v>
      </x:c>
      <x:c r="F397" s="168" t="n">
        <x:f>$K$5</x:f>
        <x:v>0</x:v>
      </x:c>
      <x:c r="G397" s="242" t="n">
        <x:f>AI396</x:f>
        <x:v>2.9173858515122255</x:v>
      </x:c>
      <x:c r="H397" s="242" t="n">
        <x:f>AJ396</x:f>
        <x:v>-3.3655331830029698</x:v>
      </x:c>
      <x:c r="I397" s="242" t="n">
        <x:f>AK396</x:f>
        <x:v>-1.726672311684316</x:v>
      </x:c>
      <x:c r="J397" s="242" t="n">
        <x:f>AL396</x:f>
        <x:v>3.2247576343431295</x:v>
      </x:c>
      <x:c r="K397" s="242" t="n">
        <x:f>AM396</x:f>
        <x:v>-3.075470107381894</x:v>
      </x:c>
      <x:c r="L397" s="242" t="n">
        <x:f>AN396</x:f>
        <x:v>1.7590448787993556</x:v>
      </x:c>
      <x:c r="M397" s="242" t="n">
        <x:f>AO396</x:f>
        <x:v>3.6979483093592673</x:v>
      </x:c>
      <x:c r="N397" s="242" t="n">
        <x:f>AP396</x:f>
        <x:v>-3.438315297701686</x:v>
      </x:c>
      <x:c r="O397" s="242" t="n">
        <x:f>AQ396</x:f>
        <x:v>1.5306334743595031</x:v>
      </x:c>
      <x:c r="P397" s="243" t="n">
        <x:f>D397*G397+E397*H397+I397</x:f>
        <x:v>-1.726672311684316</x:v>
      </x:c>
      <x:c r="Q397" s="243" t="n">
        <x:f>1/(1+EXP(-P397))</x:f>
        <x:v>0.15101372265308735</x:v>
      </x:c>
      <x:c r="R397" s="243" t="n">
        <x:f>D397*J397+E397*K397+L397</x:f>
        <x:v>1.7590448787993556</x:v>
      </x:c>
      <x:c r="S397" s="243" t="n">
        <x:f>1/(1+EXP(-R397))</x:f>
        <x:v>0.8530899976552446</x:v>
      </x:c>
      <x:c r="T397" s="243" t="n">
        <x:f>Q397*M397+S397*N397+O397</x:f>
        <x:v>-0.844117974519786</x:v>
      </x:c>
      <x:c r="U397" s="243" t="n">
        <x:f>1/(1+EXP(-T397))</x:f>
        <x:v>0.30066820042932607</x:v>
      </x:c>
      <x:c r="V397" s="243" t="n">
        <x:f>0.5*(F397-U397)^2</x:f>
        <x:v>0.045200683374704696</x:v>
      </x:c>
      <x:c r="W397" s="244" t="n">
        <x:f>(U397-F397)*U397*(1-U397)</x:f>
        <x:v>0.06322055049251296</x:v>
      </x:c>
      <x:c r="X397" s="244" t="n">
        <x:f>W397*M397*Q397*(1-Q397)</x:f>
        <x:v>0.029973412696694006</x:v>
      </x:c>
      <x:c r="Y397" s="244" t="n">
        <x:f>W397*N397*S397*(1-S397)</x:f>
        <x:v>-0.027242702531146246</x:v>
      </x:c>
      <x:c r="Z397" s="245" t="n">
        <x:f>X397*D397</x:f>
        <x:v>0</x:v>
      </x:c>
      <x:c r="AA397" s="245" t="n">
        <x:f>X397*E397</x:f>
        <x:v>0</x:v>
      </x:c>
      <x:c r="AB397" s="245" t="n">
        <x:f>X397</x:f>
        <x:v>0.029973412696694006</x:v>
      </x:c>
      <x:c r="AC397" s="245" t="n">
        <x:f>Y397*D397</x:f>
        <x:v>0</x:v>
      </x:c>
      <x:c r="AD397" s="245" t="n">
        <x:f>Y397*E397</x:f>
        <x:v>0</x:v>
      </x:c>
      <x:c r="AE397" s="245" t="n">
        <x:f>Y397</x:f>
        <x:v>-0.027242702531146246</x:v>
      </x:c>
      <x:c r="AF397" s="245" t="n">
        <x:f>W397*Q397</x:f>
        <x:v>0.009547170678051857</x:v>
      </x:c>
      <x:c r="AG397" s="245" t="n">
        <x:f>W397*S397</x:f>
        <x:v>0.053932819271421156</x:v>
      </x:c>
      <x:c r="AH397" s="245" t="n">
        <x:f>W397</x:f>
        <x:v>0.06322055049251296</x:v>
      </x:c>
      <x:c r="AI397" s="246" t="n">
        <x:f>G397-$B$4*Z397</x:f>
        <x:v>2.9173858515122255</x:v>
      </x:c>
      <x:c r="AJ397" s="246" t="n">
        <x:f>H397-$B$4*AA397</x:f>
        <x:v>-3.3655331830029698</x:v>
      </x:c>
      <x:c r="AK397" s="246" t="n">
        <x:f>I397-$B$4*AB397</x:f>
        <x:v>-1.7566457243810099</x:v>
      </x:c>
      <x:c r="AL397" s="246" t="n">
        <x:f>J397-$B$4*AC397</x:f>
        <x:v>3.2247576343431295</x:v>
      </x:c>
      <x:c r="AM397" s="246" t="n">
        <x:f>K397-$B$4*AD397</x:f>
        <x:v>-3.075470107381894</x:v>
      </x:c>
      <x:c r="AN397" s="246" t="n">
        <x:f>L397-$B$4*AE397</x:f>
        <x:v>1.7862875813305017</x:v>
      </x:c>
      <x:c r="AO397" s="246" t="n">
        <x:f>M397-$B$4*AF397</x:f>
        <x:v>3.6884011386812157</x:v>
      </x:c>
      <x:c r="AP397" s="246" t="n">
        <x:f>N397-$B$4*AG397</x:f>
        <x:v>-3.492248116973107</x:v>
      </x:c>
      <x:c r="AQ397" s="246" t="n">
        <x:f>O397-$B$4*AH397</x:f>
        <x:v>1.4674129238669902</x:v>
      </x:c>
      <x:c r="AR397" s="182" t="n">
        <x:f>IF(U397&gt;=$B$5,1,0)</x:f>
        <x:v>0</x:v>
      </x:c>
      <x:c r="AS397" s="182" t="n">
        <x:f>IF(AR397=F397,1,0)</x:f>
        <x:v>1</x:v>
      </x:c>
      <x:c r="AT397" s="252" t="n">
        <x:f>ABS(F397-U397)</x:f>
        <x:v>0.30066820042932607</x:v>
      </x:c>
    </x:row>
    <x:row r="398">
      <x:c r="A398" s="114" t="n">
        <x:v>382</x:v>
      </x:c>
      <x:c r="B398" s="114" t="n">
        <x:v>96</x:v>
      </x:c>
      <x:c r="C398" s="114" t="n">
        <x:v>2</x:v>
      </x:c>
      <x:c r="D398" s="168" t="n">
        <x:f>$I$6</x:f>
        <x:v>0</x:v>
      </x:c>
      <x:c r="E398" s="168" t="n">
        <x:f>$J$6</x:f>
        <x:v>1</x:v>
      </x:c>
      <x:c r="F398" s="168" t="n">
        <x:f>$K$6</x:f>
        <x:v>1</x:v>
      </x:c>
      <x:c r="G398" s="242" t="n">
        <x:f>AI397</x:f>
        <x:v>2.9173858515122255</x:v>
      </x:c>
      <x:c r="H398" s="242" t="n">
        <x:f>AJ397</x:f>
        <x:v>-3.3655331830029698</x:v>
      </x:c>
      <x:c r="I398" s="242" t="n">
        <x:f>AK397</x:f>
        <x:v>-1.7566457243810099</x:v>
      </x:c>
      <x:c r="J398" s="242" t="n">
        <x:f>AL397</x:f>
        <x:v>3.2247576343431295</x:v>
      </x:c>
      <x:c r="K398" s="242" t="n">
        <x:f>AM397</x:f>
        <x:v>-3.075470107381894</x:v>
      </x:c>
      <x:c r="L398" s="242" t="n">
        <x:f>AN397</x:f>
        <x:v>1.7862875813305017</x:v>
      </x:c>
      <x:c r="M398" s="242" t="n">
        <x:f>AO397</x:f>
        <x:v>3.6884011386812157</x:v>
      </x:c>
      <x:c r="N398" s="242" t="n">
        <x:f>AP397</x:f>
        <x:v>-3.492248116973107</x:v>
      </x:c>
      <x:c r="O398" s="242" t="n">
        <x:f>AQ397</x:f>
        <x:v>1.4674129238669902</x:v>
      </x:c>
      <x:c r="P398" s="243" t="n">
        <x:f>D398*G398+E398*H398+I398</x:f>
        <x:v>-5.122178907383979</x:v>
      </x:c>
      <x:c r="Q398" s="243" t="n">
        <x:f>1/(1+EXP(-P398))</x:f>
        <x:v>0.005927669085459909</x:v>
      </x:c>
      <x:c r="R398" s="243" t="n">
        <x:f>D398*J398+E398*K398+L398</x:f>
        <x:v>-1.2891825260513925</x:v>
      </x:c>
      <x:c r="S398" s="243" t="n">
        <x:f>1/(1+EXP(-R398))</x:f>
        <x:v>0.2159912089093178</x:v>
      </x:c>
      <x:c r="T398" s="243" t="n">
        <x:f>Q398*M398+S398*N398+O398</x:f>
        <x:v>0.7349816526752159</x:v>
      </x:c>
      <x:c r="U398" s="243" t="n">
        <x:f>1/(1+EXP(-T398))</x:f>
        <x:v>0.6758975085727248</x:v>
      </x:c>
      <x:c r="V398" s="243" t="n">
        <x:f>0.5*(F398-U398)^2</x:f>
        <x:v>0.0525212124746835</x:v>
      </x:c>
      <x:c r="W398" s="244" t="n">
        <x:f>(U398-F398)*U398*(1-U398)</x:f>
        <x:v>-0.07099791331771459</x:v>
      </x:c>
      <x:c r="X398" s="244" t="n">
        <x:f>W398*M398*Q398*(1-Q398)</x:f>
        <x:v>-0.00154307014552383</x:v>
      </x:c>
      <x:c r="Y398" s="244" t="n">
        <x:f>W398*N398*S398*(1-S398)</x:f>
        <x:v>0.04198630769850336</x:v>
      </x:c>
      <x:c r="Z398" s="245" t="n">
        <x:f>X398*D398</x:f>
        <x:v>0</x:v>
      </x:c>
      <x:c r="AA398" s="245" t="n">
        <x:f>X398*E398</x:f>
        <x:v>-0.00154307014552383</x:v>
      </x:c>
      <x:c r="AB398" s="245" t="n">
        <x:f>X398</x:f>
        <x:v>-0.00154307014552383</x:v>
      </x:c>
      <x:c r="AC398" s="245" t="n">
        <x:f>Y398*D398</x:f>
        <x:v>0</x:v>
      </x:c>
      <x:c r="AD398" s="245" t="n">
        <x:f>Y398*E398</x:f>
        <x:v>0.04198630769850336</x:v>
      </x:c>
      <x:c r="AE398" s="245" t="n">
        <x:f>Y398</x:f>
        <x:v>0.04198630769850336</x:v>
      </x:c>
      <x:c r="AF398" s="245" t="n">
        <x:f>W398*Q398</x:f>
        <x:v>-0.00042085213590557915</x:v>
      </x:c>
      <x:c r="AG398" s="245" t="n">
        <x:f>W398*S398</x:f>
        <x:v>-0.015334925127532128</x:v>
      </x:c>
      <x:c r="AH398" s="245" t="n">
        <x:f>W398</x:f>
        <x:v>-0.07099791331771459</x:v>
      </x:c>
      <x:c r="AI398" s="246" t="n">
        <x:f>G398-$B$4*Z398</x:f>
        <x:v>2.9173858515122255</x:v>
      </x:c>
      <x:c r="AJ398" s="246" t="n">
        <x:f>H398-$B$4*AA398</x:f>
        <x:v>-3.363990112857446</x:v>
      </x:c>
      <x:c r="AK398" s="246" t="n">
        <x:f>I398-$B$4*AB398</x:f>
        <x:v>-1.755102654235486</x:v>
      </x:c>
      <x:c r="AL398" s="246" t="n">
        <x:f>J398-$B$4*AC398</x:f>
        <x:v>3.2247576343431295</x:v>
      </x:c>
      <x:c r="AM398" s="246" t="n">
        <x:f>K398-$B$4*AD398</x:f>
        <x:v>-3.1174564150803974</x:v>
      </x:c>
      <x:c r="AN398" s="246" t="n">
        <x:f>L398-$B$4*AE398</x:f>
        <x:v>1.7443012736319983</x:v>
      </x:c>
      <x:c r="AO398" s="246" t="n">
        <x:f>M398-$B$4*AF398</x:f>
        <x:v>3.688821990817121</x:v>
      </x:c>
      <x:c r="AP398" s="246" t="n">
        <x:f>N398-$B$4*AG398</x:f>
        <x:v>-3.476913191845575</x:v>
      </x:c>
      <x:c r="AQ398" s="246" t="n">
        <x:f>O398-$B$4*AH398</x:f>
        <x:v>1.5384108371847047</x:v>
      </x:c>
      <x:c r="AR398" s="182" t="n">
        <x:f>IF(U398&gt;=$B$5,1,0)</x:f>
        <x:v>1</x:v>
      </x:c>
      <x:c r="AS398" s="182" t="n">
        <x:f>IF(AR398=F398,1,0)</x:f>
        <x:v>1</x:v>
      </x:c>
      <x:c r="AT398" s="252" t="n">
        <x:f>ABS(F398-U398)</x:f>
        <x:v>0.3241024914272752</x:v>
      </x:c>
    </x:row>
    <x:row r="399">
      <x:c r="A399" s="114" t="n">
        <x:v>383</x:v>
      </x:c>
      <x:c r="B399" s="114" t="n">
        <x:v>96</x:v>
      </x:c>
      <x:c r="C399" s="114" t="n">
        <x:v>3</x:v>
      </x:c>
      <x:c r="D399" s="168" t="n">
        <x:f>$I$7</x:f>
        <x:v>1</x:v>
      </x:c>
      <x:c r="E399" s="168" t="n">
        <x:f>$J$7</x:f>
        <x:v>0</x:v>
      </x:c>
      <x:c r="F399" s="168" t="n">
        <x:f>$K$7</x:f>
        <x:v>1</x:v>
      </x:c>
      <x:c r="G399" s="242" t="n">
        <x:f>AI398</x:f>
        <x:v>2.9173858515122255</x:v>
      </x:c>
      <x:c r="H399" s="242" t="n">
        <x:f>AJ398</x:f>
        <x:v>-3.363990112857446</x:v>
      </x:c>
      <x:c r="I399" s="242" t="n">
        <x:f>AK398</x:f>
        <x:v>-1.755102654235486</x:v>
      </x:c>
      <x:c r="J399" s="242" t="n">
        <x:f>AL398</x:f>
        <x:v>3.2247576343431295</x:v>
      </x:c>
      <x:c r="K399" s="242" t="n">
        <x:f>AM398</x:f>
        <x:v>-3.1174564150803974</x:v>
      </x:c>
      <x:c r="L399" s="242" t="n">
        <x:f>AN398</x:f>
        <x:v>1.7443012736319983</x:v>
      </x:c>
      <x:c r="M399" s="242" t="n">
        <x:f>AO398</x:f>
        <x:v>3.688821990817121</x:v>
      </x:c>
      <x:c r="N399" s="242" t="n">
        <x:f>AP398</x:f>
        <x:v>-3.476913191845575</x:v>
      </x:c>
      <x:c r="O399" s="242" t="n">
        <x:f>AQ398</x:f>
        <x:v>1.5384108371847047</x:v>
      </x:c>
      <x:c r="P399" s="243" t="n">
        <x:f>D399*G399+E399*H399+I399</x:f>
        <x:v>1.1622831972767396</x:v>
      </x:c>
      <x:c r="Q399" s="243" t="n">
        <x:f>1/(1+EXP(-P399))</x:f>
        <x:v>0.7617473361145572</x:v>
      </x:c>
      <x:c r="R399" s="243" t="n">
        <x:f>D399*J399+E399*K399+L399</x:f>
        <x:v>4.9690589079751275</x:v>
      </x:c>
      <x:c r="S399" s="243" t="n">
        <x:f>1/(1+EXP(-R399))</x:f>
        <x:v>0.9930982795333694</x:v>
      </x:c>
      <x:c r="T399" s="243" t="n">
        <x:f>Q399*M399+S399*N399+O399</x:f>
        <x:v>0.895444653181728</x:v>
      </x:c>
      <x:c r="U399" s="243" t="n">
        <x:f>1/(1+EXP(-T399))</x:f>
        <x:v>0.7100124786427028</x:v>
      </x:c>
      <x:c r="V399" s="243" t="n">
        <x:f>0.5*(F399-U399)^2</x:f>
        <x:v>0.042046381271474455</x:v>
      </x:c>
      <x:c r="W399" s="244" t="n">
        <x:f>(U399-F399)*U399*(1-U399)</x:f>
        <x:v>-0.05970691076903138</x:v>
      </x:c>
      <x:c r="X399" s="244" t="n">
        <x:f>W399*M399*Q399*(1-Q399)</x:f>
        <x:v>-0.03997247218145334</x:v>
      </x:c>
      <x:c r="Y399" s="244" t="n">
        <x:f>W399*N399*S399*(1-S399)</x:f>
        <x:v>0.0014228792439671943</x:v>
      </x:c>
      <x:c r="Z399" s="245" t="n">
        <x:f>X399*D399</x:f>
        <x:v>-0.03997247218145334</x:v>
      </x:c>
      <x:c r="AA399" s="245" t="n">
        <x:f>X399*E399</x:f>
        <x:v>0</x:v>
      </x:c>
      <x:c r="AB399" s="245" t="n">
        <x:f>X399</x:f>
        <x:v>-0.03997247218145334</x:v>
      </x:c>
      <x:c r="AC399" s="245" t="n">
        <x:f>Y399*D399</x:f>
        <x:v>0.0014228792439671943</x:v>
      </x:c>
      <x:c r="AD399" s="245" t="n">
        <x:f>Y399*E399</x:f>
        <x:v>0</x:v>
      </x:c>
      <x:c r="AE399" s="245" t="n">
        <x:f>Y399</x:f>
        <x:v>0.0014228792439671943</x:v>
      </x:c>
      <x:c r="AF399" s="245" t="n">
        <x:f>W399*Q399</x:f>
        <x:v>-0.045481580225939226</x:v>
      </x:c>
      <x:c r="AG399" s="245" t="n">
        <x:f>W399*S399</x:f>
        <x:v>-0.05929483036097747</x:v>
      </x:c>
      <x:c r="AH399" s="245" t="n">
        <x:f>W399</x:f>
        <x:v>-0.05970691076903138</x:v>
      </x:c>
      <x:c r="AI399" s="246" t="n">
        <x:f>G399-$B$4*Z399</x:f>
        <x:v>2.9573583236936787</x:v>
      </x:c>
      <x:c r="AJ399" s="246" t="n">
        <x:f>H399-$B$4*AA399</x:f>
        <x:v>-3.363990112857446</x:v>
      </x:c>
      <x:c r="AK399" s="246" t="n">
        <x:f>I399-$B$4*AB399</x:f>
        <x:v>-1.7151301820540326</x:v>
      </x:c>
      <x:c r="AL399" s="246" t="n">
        <x:f>J399-$B$4*AC399</x:f>
        <x:v>3.2233347550991622</x:v>
      </x:c>
      <x:c r="AM399" s="246" t="n">
        <x:f>K399-$B$4*AD399</x:f>
        <x:v>-3.1174564150803974</x:v>
      </x:c>
      <x:c r="AN399" s="246" t="n">
        <x:f>L399-$B$4*AE399</x:f>
        <x:v>1.742878394388031</x:v>
      </x:c>
      <x:c r="AO399" s="246" t="n">
        <x:f>M399-$B$4*AF399</x:f>
        <x:v>3.7343035710430605</x:v>
      </x:c>
      <x:c r="AP399" s="246" t="n">
        <x:f>N399-$B$4*AG399</x:f>
        <x:v>-3.417618361484598</x:v>
      </x:c>
      <x:c r="AQ399" s="246" t="n">
        <x:f>O399-$B$4*AH399</x:f>
        <x:v>1.598117747953736</x:v>
      </x:c>
      <x:c r="AR399" s="182" t="n">
        <x:f>IF(U399&gt;=$B$5,1,0)</x:f>
        <x:v>1</x:v>
      </x:c>
      <x:c r="AS399" s="182" t="n">
        <x:f>IF(AR399=F399,1,0)</x:f>
        <x:v>1</x:v>
      </x:c>
      <x:c r="AT399" s="252" t="n">
        <x:f>ABS(F399-U399)</x:f>
        <x:v>0.2899875213572972</x:v>
      </x:c>
    </x:row>
    <x:row r="400">
      <x:c r="A400" s="114" t="n">
        <x:v>384</x:v>
      </x:c>
      <x:c r="B400" s="114" t="n">
        <x:v>96</x:v>
      </x:c>
      <x:c r="C400" s="114" t="n">
        <x:v>4</x:v>
      </x:c>
      <x:c r="D400" s="168" t="n">
        <x:f>$I$8</x:f>
        <x:v>1</x:v>
      </x:c>
      <x:c r="E400" s="168" t="n">
        <x:f>$J$8</x:f>
        <x:v>1</x:v>
      </x:c>
      <x:c r="F400" s="168" t="n">
        <x:f>$K$8</x:f>
        <x:v>0</x:v>
      </x:c>
      <x:c r="G400" s="242" t="n">
        <x:f>AI399</x:f>
        <x:v>2.9573583236936787</x:v>
      </x:c>
      <x:c r="H400" s="242" t="n">
        <x:f>AJ399</x:f>
        <x:v>-3.363990112857446</x:v>
      </x:c>
      <x:c r="I400" s="242" t="n">
        <x:f>AK399</x:f>
        <x:v>-1.7151301820540326</x:v>
      </x:c>
      <x:c r="J400" s="242" t="n">
        <x:f>AL399</x:f>
        <x:v>3.2233347550991622</x:v>
      </x:c>
      <x:c r="K400" s="242" t="n">
        <x:f>AM399</x:f>
        <x:v>-3.1174564150803974</x:v>
      </x:c>
      <x:c r="L400" s="242" t="n">
        <x:f>AN399</x:f>
        <x:v>1.742878394388031</x:v>
      </x:c>
      <x:c r="M400" s="242" t="n">
        <x:f>AO399</x:f>
        <x:v>3.7343035710430605</x:v>
      </x:c>
      <x:c r="N400" s="242" t="n">
        <x:f>AP399</x:f>
        <x:v>-3.417618361484598</x:v>
      </x:c>
      <x:c r="O400" s="242" t="n">
        <x:f>AQ399</x:f>
        <x:v>1.598117747953736</x:v>
      </x:c>
      <x:c r="P400" s="243" t="n">
        <x:f>D400*G400+E400*H400+I400</x:f>
        <x:v>-2.1217619712177997</x:v>
      </x:c>
      <x:c r="Q400" s="243" t="n">
        <x:f>1/(1+EXP(-P400))</x:f>
        <x:v>0.10699959631649902</x:v>
      </x:c>
      <x:c r="R400" s="243" t="n">
        <x:f>D400*J400+E400*K400+L400</x:f>
        <x:v>1.8487567344067959</x:v>
      </x:c>
      <x:c r="S400" s="243" t="n">
        <x:f>1/(1+EXP(-R400))</x:f>
        <x:v>0.863981063276962</x:v>
      </x:c>
      <x:c r="T400" s="243" t="n">
        <x:f>Q400*M400+S400*N400+O400</x:f>
        <x:v>-0.9550708232517273</x:v>
      </x:c>
      <x:c r="U400" s="243" t="n">
        <x:f>1/(1+EXP(-T400))</x:f>
        <x:v>0.27786618277649916</x:v>
      </x:c>
      <x:c r="V400" s="243" t="n">
        <x:f>0.5*(F400-U400)^2</x:f>
        <x:v>0.03860480776539142</x:v>
      </x:c>
      <x:c r="W400" s="244" t="n">
        <x:f>(U400-F400)*U400*(1-U400)</x:f>
        <x:v>0.055755674389603105</x:v>
      </x:c>
      <x:c r="X400" s="244" t="n">
        <x:f>W400*M400*Q400*(1-Q400)</x:f>
        <x:v>0.01989447521067393</x:v>
      </x:c>
      <x:c r="Y400" s="244" t="n">
        <x:f>W400*N400*S400*(1-S400)</x:f>
        <x:v>-0.022393204014941208</x:v>
      </x:c>
      <x:c r="Z400" s="245" t="n">
        <x:f>X400*D400</x:f>
        <x:v>0.01989447521067393</x:v>
      </x:c>
      <x:c r="AA400" s="245" t="n">
        <x:f>X400*E400</x:f>
        <x:v>0.01989447521067393</x:v>
      </x:c>
      <x:c r="AB400" s="245" t="n">
        <x:f>X400</x:f>
        <x:v>0.01989447521067393</x:v>
      </x:c>
      <x:c r="AC400" s="245" t="n">
        <x:f>Y400*D400</x:f>
        <x:v>-0.022393204014941208</x:v>
      </x:c>
      <x:c r="AD400" s="245" t="n">
        <x:f>Y400*E400</x:f>
        <x:v>-0.022393204014941208</x:v>
      </x:c>
      <x:c r="AE400" s="245" t="n">
        <x:f>Y400</x:f>
        <x:v>-0.022393204014941208</x:v>
      </x:c>
      <x:c r="AF400" s="245" t="n">
        <x:f>W400*Q400</x:f>
        <x:v>0.0059658346520416955</x:v>
      </x:c>
      <x:c r="AG400" s="245" t="n">
        <x:f>W400*S400</x:f>
        <x:v>0.04817184684285337</x:v>
      </x:c>
      <x:c r="AH400" s="245" t="n">
        <x:f>W400</x:f>
        <x:v>0.055755674389603105</x:v>
      </x:c>
      <x:c r="AI400" s="246" t="n">
        <x:f>G400-$B$4*Z400</x:f>
        <x:v>2.937463848483005</x:v>
      </x:c>
      <x:c r="AJ400" s="246" t="n">
        <x:f>H400-$B$4*AA400</x:f>
        <x:v>-3.3838845880681196</x:v>
      </x:c>
      <x:c r="AK400" s="246" t="n">
        <x:f>I400-$B$4*AB400</x:f>
        <x:v>-1.7350246572647066</x:v>
      </x:c>
      <x:c r="AL400" s="246" t="n">
        <x:f>J400-$B$4*AC400</x:f>
        <x:v>3.2457279591141033</x:v>
      </x:c>
      <x:c r="AM400" s="246" t="n">
        <x:f>K400-$B$4*AD400</x:f>
        <x:v>-3.0950632110654563</x:v>
      </x:c>
      <x:c r="AN400" s="246" t="n">
        <x:f>L400-$B$4*AE400</x:f>
        <x:v>1.7652715984029723</x:v>
      </x:c>
      <x:c r="AO400" s="246" t="n">
        <x:f>M400-$B$4*AF400</x:f>
        <x:v>3.728337736391019</x:v>
      </x:c>
      <x:c r="AP400" s="246" t="n">
        <x:f>N400-$B$4*AG400</x:f>
        <x:v>-3.4657902083274514</x:v>
      </x:c>
      <x:c r="AQ400" s="246" t="n">
        <x:f>O400-$B$4*AH400</x:f>
        <x:v>1.542362073564133</x:v>
      </x:c>
      <x:c r="AR400" s="182" t="n">
        <x:f>IF(U400&gt;=$B$5,1,0)</x:f>
        <x:v>0</x:v>
      </x:c>
      <x:c r="AS400" s="182" t="n">
        <x:f>IF(AR400=F400,1,0)</x:f>
        <x:v>1</x:v>
      </x:c>
      <x:c r="AT400" s="252" t="n">
        <x:f>ABS(F400-U400)</x:f>
        <x:v>0.27786618277649916</x:v>
      </x:c>
    </x:row>
    <x:row r="401">
      <x:c r="A401" s="114" t="n">
        <x:v>385</x:v>
      </x:c>
      <x:c r="B401" s="114" t="n">
        <x:v>97</x:v>
      </x:c>
      <x:c r="C401" s="114" t="n">
        <x:v>1</x:v>
      </x:c>
      <x:c r="D401" s="168" t="n">
        <x:f>$I$5</x:f>
        <x:v>0</x:v>
      </x:c>
      <x:c r="E401" s="168" t="n">
        <x:f>$J$5</x:f>
        <x:v>0</x:v>
      </x:c>
      <x:c r="F401" s="168" t="n">
        <x:f>$K$5</x:f>
        <x:v>0</x:v>
      </x:c>
      <x:c r="G401" s="242" t="n">
        <x:f>AI400</x:f>
        <x:v>2.937463848483005</x:v>
      </x:c>
      <x:c r="H401" s="242" t="n">
        <x:f>AJ400</x:f>
        <x:v>-3.3838845880681196</x:v>
      </x:c>
      <x:c r="I401" s="242" t="n">
        <x:f>AK400</x:f>
        <x:v>-1.7350246572647066</x:v>
      </x:c>
      <x:c r="J401" s="242" t="n">
        <x:f>AL400</x:f>
        <x:v>3.2457279591141033</x:v>
      </x:c>
      <x:c r="K401" s="242" t="n">
        <x:f>AM400</x:f>
        <x:v>-3.0950632110654563</x:v>
      </x:c>
      <x:c r="L401" s="242" t="n">
        <x:f>AN400</x:f>
        <x:v>1.7652715984029723</x:v>
      </x:c>
      <x:c r="M401" s="242" t="n">
        <x:f>AO400</x:f>
        <x:v>3.728337736391019</x:v>
      </x:c>
      <x:c r="N401" s="242" t="n">
        <x:f>AP400</x:f>
        <x:v>-3.4657902083274514</x:v>
      </x:c>
      <x:c r="O401" s="242" t="n">
        <x:f>AQ400</x:f>
        <x:v>1.542362073564133</x:v>
      </x:c>
      <x:c r="P401" s="243" t="n">
        <x:f>D401*G401+E401*H401+I401</x:f>
        <x:v>-1.7350246572647066</x:v>
      </x:c>
      <x:c r="Q401" s="243" t="n">
        <x:f>1/(1+EXP(-P401))</x:f>
        <x:v>0.14994599876779913</x:v>
      </x:c>
      <x:c r="R401" s="243" t="n">
        <x:f>D401*J401+E401*K401+L401</x:f>
        <x:v>1.7652715984029723</x:v>
      </x:c>
      <x:c r="S401" s="243" t="n">
        <x:f>1/(1+EXP(-R401))</x:f>
        <x:v>0.8538686620855996</x:v>
      </x:c>
      <x:c r="T401" s="243" t="n">
        <x:f>Q401*M401+S401*N401+O401</x:f>
        <x:v>-0.8579182490629729</x:v>
      </x:c>
      <x:c r="U401" s="243" t="n">
        <x:f>1/(1+EXP(-T401))</x:f>
        <x:v>0.29777446650285205</x:v>
      </x:c>
      <x:c r="V401" s="243" t="n">
        <x:f>0.5*(F401-U401)^2</x:f>
        <x:v>0.04433481645052908</x:v>
      </x:c>
      <x:c r="W401" s="244" t="n">
        <x:f>(U401-F401)*U401*(1-U401)</x:f>
        <x:v>0.06226608026894182</x:v>
      </x:c>
      <x:c r="X401" s="244" t="n">
        <x:f>W401*M401*Q401*(1-Q401)</x:f>
        <x:v>0.02959021842885372</x:v>
      </x:c>
      <x:c r="Y401" s="244" t="n">
        <x:f>W401*N401*S401*(1-S401)</x:f>
        <x:v>-0.02692701627679285</x:v>
      </x:c>
      <x:c r="Z401" s="245" t="n">
        <x:f>X401*D401</x:f>
        <x:v>0</x:v>
      </x:c>
      <x:c r="AA401" s="245" t="n">
        <x:f>X401*E401</x:f>
        <x:v>0</x:v>
      </x:c>
      <x:c r="AB401" s="245" t="n">
        <x:f>X401</x:f>
        <x:v>0.02959021842885372</x:v>
      </x:c>
      <x:c r="AC401" s="245" t="n">
        <x:f>Y401*D401</x:f>
        <x:v>0</x:v>
      </x:c>
      <x:c r="AD401" s="245" t="n">
        <x:f>Y401*E401</x:f>
        <x:v>0</x:v>
      </x:c>
      <x:c r="AE401" s="245" t="n">
        <x:f>Y401</x:f>
        <x:v>-0.02692701627679285</x:v>
      </x:c>
      <x:c r="AF401" s="245" t="n">
        <x:f>W401*Q401</x:f>
        <x:v>0.009336549595282432</x:v>
      </x:c>
      <x:c r="AG401" s="245" t="n">
        <x:f>W401*S401</x:f>
        <x:v>0.05316705465255591</x:v>
      </x:c>
      <x:c r="AH401" s="245" t="n">
        <x:f>W401</x:f>
        <x:v>0.06226608026894182</x:v>
      </x:c>
      <x:c r="AI401" s="246" t="n">
        <x:f>G401-$B$4*Z401</x:f>
        <x:v>2.937463848483005</x:v>
      </x:c>
      <x:c r="AJ401" s="246" t="n">
        <x:f>H401-$B$4*AA401</x:f>
        <x:v>-3.3838845880681196</x:v>
      </x:c>
      <x:c r="AK401" s="246" t="n">
        <x:f>I401-$B$4*AB401</x:f>
        <x:v>-1.7646148756935602</x:v>
      </x:c>
      <x:c r="AL401" s="246" t="n">
        <x:f>J401-$B$4*AC401</x:f>
        <x:v>3.2457279591141033</x:v>
      </x:c>
      <x:c r="AM401" s="246" t="n">
        <x:f>K401-$B$4*AD401</x:f>
        <x:v>-3.0950632110654563</x:v>
      </x:c>
      <x:c r="AN401" s="246" t="n">
        <x:f>L401-$B$4*AE401</x:f>
        <x:v>1.7921986146797653</x:v>
      </x:c>
      <x:c r="AO401" s="246" t="n">
        <x:f>M401-$B$4*AF401</x:f>
        <x:v>3.7190011867957367</x:v>
      </x:c>
      <x:c r="AP401" s="246" t="n">
        <x:f>N401-$B$4*AG401</x:f>
        <x:v>-3.5189572629800074</x:v>
      </x:c>
      <x:c r="AQ401" s="246" t="n">
        <x:f>O401-$B$4*AH401</x:f>
        <x:v>1.4800959932951911</x:v>
      </x:c>
      <x:c r="AR401" s="182" t="n">
        <x:f>IF(U401&gt;=$B$5,1,0)</x:f>
        <x:v>0</x:v>
      </x:c>
      <x:c r="AS401" s="182" t="n">
        <x:f>IF(AR401=F401,1,0)</x:f>
        <x:v>1</x:v>
      </x:c>
      <x:c r="AT401" s="252" t="n">
        <x:f>ABS(F401-U401)</x:f>
        <x:v>0.29777446650285205</x:v>
      </x:c>
    </x:row>
    <x:row r="402">
      <x:c r="A402" s="114" t="n">
        <x:v>386</x:v>
      </x:c>
      <x:c r="B402" s="114" t="n">
        <x:v>97</x:v>
      </x:c>
      <x:c r="C402" s="114" t="n">
        <x:v>2</x:v>
      </x:c>
      <x:c r="D402" s="168" t="n">
        <x:f>$I$6</x:f>
        <x:v>0</x:v>
      </x:c>
      <x:c r="E402" s="168" t="n">
        <x:f>$J$6</x:f>
        <x:v>1</x:v>
      </x:c>
      <x:c r="F402" s="168" t="n">
        <x:f>$K$6</x:f>
        <x:v>1</x:v>
      </x:c>
      <x:c r="G402" s="242" t="n">
        <x:f>AI401</x:f>
        <x:v>2.937463848483005</x:v>
      </x:c>
      <x:c r="H402" s="242" t="n">
        <x:f>AJ401</x:f>
        <x:v>-3.3838845880681196</x:v>
      </x:c>
      <x:c r="I402" s="242" t="n">
        <x:f>AK401</x:f>
        <x:v>-1.7646148756935602</x:v>
      </x:c>
      <x:c r="J402" s="242" t="n">
        <x:f>AL401</x:f>
        <x:v>3.2457279591141033</x:v>
      </x:c>
      <x:c r="K402" s="242" t="n">
        <x:f>AM401</x:f>
        <x:v>-3.0950632110654563</x:v>
      </x:c>
      <x:c r="L402" s="242" t="n">
        <x:f>AN401</x:f>
        <x:v>1.7921986146797653</x:v>
      </x:c>
      <x:c r="M402" s="242" t="n">
        <x:f>AO401</x:f>
        <x:v>3.7190011867957367</x:v>
      </x:c>
      <x:c r="N402" s="242" t="n">
        <x:f>AP401</x:f>
        <x:v>-3.5189572629800074</x:v>
      </x:c>
      <x:c r="O402" s="242" t="n">
        <x:f>AQ401</x:f>
        <x:v>1.4800959932951911</x:v>
      </x:c>
      <x:c r="P402" s="243" t="n">
        <x:f>D402*G402+E402*H402+I402</x:f>
        <x:v>-5.14849946376168</x:v>
      </x:c>
      <x:c r="Q402" s="243" t="n">
        <x:f>1/(1+EXP(-P402))</x:f>
        <x:v>0.005774574094441867</x:v>
      </x:c>
      <x:c r="R402" s="243" t="n">
        <x:f>D402*J402+E402*K402+L402</x:f>
        <x:v>-1.302864596385691</x:v>
      </x:c>
      <x:c r="S402" s="243" t="n">
        <x:f>1/(1+EXP(-R402))</x:f>
        <x:v>0.21368330483278533</x:v>
      </x:c>
      <x:c r="T402" s="243" t="n">
        <x:f>Q402*M402+S402*N402+O402</x:f>
        <x:v>0.7496292236867594</x:v>
      </x:c>
      <x:c r="U402" s="243" t="n">
        <x:f>1/(1+EXP(-T402))</x:f>
        <x:v>0.6790979035061802</x:v>
      </x:c>
      <x:c r="V402" s="243" t="n">
        <x:f>0.5*(F402-U402)^2</x:f>
        <x:v>0.051489077767064434</x:v>
      </x:c>
      <x:c r="W402" s="244" t="n">
        <x:f>(U402-F402)*U402*(1-U402)</x:f>
        <x:v>-0.06993224953016025</x:v>
      </x:c>
      <x:c r="X402" s="244" t="n">
        <x:f>W402*M402*Q402*(1-Q402)</x:f>
        <x:v>-0.0014931678800108896</x:v>
      </x:c>
      <x:c r="Y402" s="244" t="n">
        <x:f>W402*N402*S402*(1-S402)</x:f>
        <x:v>0.04134848289576943</x:v>
      </x:c>
      <x:c r="Z402" s="245" t="n">
        <x:f>X402*D402</x:f>
        <x:v>0</x:v>
      </x:c>
      <x:c r="AA402" s="245" t="n">
        <x:f>X402*E402</x:f>
        <x:v>-0.0014931678800108896</x:v>
      </x:c>
      <x:c r="AB402" s="245" t="n">
        <x:f>X402</x:f>
        <x:v>-0.0014931678800108896</x:v>
      </x:c>
      <x:c r="AC402" s="245" t="n">
        <x:f>Y402*D402</x:f>
        <x:v>0</x:v>
      </x:c>
      <x:c r="AD402" s="245" t="n">
        <x:f>Y402*E402</x:f>
        <x:v>0.04134848289576943</x:v>
      </x:c>
      <x:c r="AE402" s="245" t="n">
        <x:f>Y402</x:f>
        <x:v>0.04134848289576943</x:v>
      </x:c>
      <x:c r="AF402" s="245" t="n">
        <x:f>W402*Q402</x:f>
        <x:v>-0.0004038289565029078</x:v>
      </x:c>
      <x:c r="AG402" s="245" t="n">
        <x:f>W402*S402</x:f>
        <x:v>-0.014943354193995641</x:v>
      </x:c>
      <x:c r="AH402" s="245" t="n">
        <x:f>W402</x:f>
        <x:v>-0.06993224953016025</x:v>
      </x:c>
      <x:c r="AI402" s="246" t="n">
        <x:f>G402-$B$4*Z402</x:f>
        <x:v>2.937463848483005</x:v>
      </x:c>
      <x:c r="AJ402" s="246" t="n">
        <x:f>H402-$B$4*AA402</x:f>
        <x:v>-3.382391420188109</x:v>
      </x:c>
      <x:c r="AK402" s="246" t="n">
        <x:f>I402-$B$4*AB402</x:f>
        <x:v>-1.7631217078135493</x:v>
      </x:c>
      <x:c r="AL402" s="246" t="n">
        <x:f>J402-$B$4*AC402</x:f>
        <x:v>3.2457279591141033</x:v>
      </x:c>
      <x:c r="AM402" s="246" t="n">
        <x:f>K402-$B$4*AD402</x:f>
        <x:v>-3.1364116939612257</x:v>
      </x:c>
      <x:c r="AN402" s="246" t="n">
        <x:f>L402-$B$4*AE402</x:f>
        <x:v>1.7508501317839957</x:v>
      </x:c>
      <x:c r="AO402" s="246" t="n">
        <x:f>M402-$B$4*AF402</x:f>
        <x:v>3.7194050157522396</x:v>
      </x:c>
      <x:c r="AP402" s="246" t="n">
        <x:f>N402-$B$4*AG402</x:f>
        <x:v>-3.504013908786012</x:v>
      </x:c>
      <x:c r="AQ402" s="246" t="n">
        <x:f>O402-$B$4*AH402</x:f>
        <x:v>1.5500282428253513</x:v>
      </x:c>
      <x:c r="AR402" s="182" t="n">
        <x:f>IF(U402&gt;=$B$5,1,0)</x:f>
        <x:v>1</x:v>
      </x:c>
      <x:c r="AS402" s="182" t="n">
        <x:f>IF(AR402=F402,1,0)</x:f>
        <x:v>1</x:v>
      </x:c>
      <x:c r="AT402" s="252" t="n">
        <x:f>ABS(F402-U402)</x:f>
        <x:v>0.32090209649381984</x:v>
      </x:c>
    </x:row>
    <x:row r="403">
      <x:c r="A403" s="114" t="n">
        <x:v>387</x:v>
      </x:c>
      <x:c r="B403" s="114" t="n">
        <x:v>97</x:v>
      </x:c>
      <x:c r="C403" s="114" t="n">
        <x:v>3</x:v>
      </x:c>
      <x:c r="D403" s="168" t="n">
        <x:f>$I$7</x:f>
        <x:v>1</x:v>
      </x:c>
      <x:c r="E403" s="168" t="n">
        <x:f>$J$7</x:f>
        <x:v>0</x:v>
      </x:c>
      <x:c r="F403" s="168" t="n">
        <x:f>$K$7</x:f>
        <x:v>1</x:v>
      </x:c>
      <x:c r="G403" s="242" t="n">
        <x:f>AI402</x:f>
        <x:v>2.937463848483005</x:v>
      </x:c>
      <x:c r="H403" s="242" t="n">
        <x:f>AJ402</x:f>
        <x:v>-3.382391420188109</x:v>
      </x:c>
      <x:c r="I403" s="242" t="n">
        <x:f>AK402</x:f>
        <x:v>-1.7631217078135493</x:v>
      </x:c>
      <x:c r="J403" s="242" t="n">
        <x:f>AL402</x:f>
        <x:v>3.2457279591141033</x:v>
      </x:c>
      <x:c r="K403" s="242" t="n">
        <x:f>AM402</x:f>
        <x:v>-3.1364116939612257</x:v>
      </x:c>
      <x:c r="L403" s="242" t="n">
        <x:f>AN402</x:f>
        <x:v>1.7508501317839957</x:v>
      </x:c>
      <x:c r="M403" s="242" t="n">
        <x:f>AO402</x:f>
        <x:v>3.7194050157522396</x:v>
      </x:c>
      <x:c r="N403" s="242" t="n">
        <x:f>AP402</x:f>
        <x:v>-3.504013908786012</x:v>
      </x:c>
      <x:c r="O403" s="242" t="n">
        <x:f>AQ402</x:f>
        <x:v>1.5500282428253513</x:v>
      </x:c>
      <x:c r="P403" s="243" t="n">
        <x:f>D403*G403+E403*H403+I403</x:f>
        <x:v>1.1743421406694556</x:v>
      </x:c>
      <x:c r="Q403" s="243" t="n">
        <x:f>1/(1+EXP(-P403))</x:f>
        <x:v>0.7639289810634698</x:v>
      </x:c>
      <x:c r="R403" s="243" t="n">
        <x:f>D403*J403+E403*K403+L403</x:f>
        <x:v>4.996578090898099</x:v>
      </x:c>
      <x:c r="S403" s="243" t="n">
        <x:f>1/(1+EXP(-R403))</x:f>
        <x:v>0.9932843615858462</x:v>
      </x:c>
      <x:c r="T403" s="243" t="n">
        <x:f>Q403*M403+S403*N403+O403</x:f>
        <x:v>0.9109073082948791</x:v>
      </x:c>
      <x:c r="U403" s="243" t="n">
        <x:f>1/(1+EXP(-T403))</x:f>
        <x:v>0.7131857902065605</x:v>
      </x:c>
      <x:c r="V403" s="243" t="n">
        <x:f>0.5*(F403-U403)^2</x:f>
        <x:v>0.04113119546971757</x:v>
      </x:c>
      <x:c r="W403" s="244" t="n">
        <x:f>(U403-F403)*U403*(1-U403)</x:f>
        <x:v>-0.05866836828642205</x:v>
      </x:c>
      <x:c r="X403" s="244" t="n">
        <x:f>W403*M403*Q403*(1-Q403)</x:f>
        <x:v>-0.039352573852396655</x:v>
      </x:c>
      <x:c r="Y403" s="244" t="n">
        <x:f>W403*N403*S403*(1-S403)</x:f>
        <x:v>0.0013712944980982275</x:v>
      </x:c>
      <x:c r="Z403" s="245" t="n">
        <x:f>X403*D403</x:f>
        <x:v>-0.039352573852396655</x:v>
      </x:c>
      <x:c r="AA403" s="245" t="n">
        <x:f>X403*E403</x:f>
        <x:v>0</x:v>
      </x:c>
      <x:c r="AB403" s="245" t="n">
        <x:f>X403</x:f>
        <x:v>-0.039352573852396655</x:v>
      </x:c>
      <x:c r="AC403" s="245" t="n">
        <x:f>Y403*D403</x:f>
        <x:v>0.0013712944980982275</x:v>
      </x:c>
      <x:c r="AD403" s="245" t="n">
        <x:f>Y403*E403</x:f>
        <x:v>0</x:v>
      </x:c>
      <x:c r="AE403" s="245" t="n">
        <x:f>Y403</x:f>
        <x:v>0.0013712944980982275</x:v>
      </x:c>
      <x:c r="AF403" s="245" t="n">
        <x:f>W403*Q403</x:f>
        <x:v>-0.044818466805702784</x:v>
      </x:c>
      <x:c r="AG403" s="245" t="n">
        <x:f>W403*S403</x:f>
        <x:v>-0.05827437273866203</x:v>
      </x:c>
      <x:c r="AH403" s="245" t="n">
        <x:f>W403</x:f>
        <x:v>-0.05866836828642205</x:v>
      </x:c>
      <x:c r="AI403" s="246" t="n">
        <x:f>G403-$B$4*Z403</x:f>
        <x:v>2.9768164223354017</x:v>
      </x:c>
      <x:c r="AJ403" s="246" t="n">
        <x:f>H403-$B$4*AA403</x:f>
        <x:v>-3.382391420188109</x:v>
      </x:c>
      <x:c r="AK403" s="246" t="n">
        <x:f>I403-$B$4*AB403</x:f>
        <x:v>-1.7237691339611527</x:v>
      </x:c>
      <x:c r="AL403" s="246" t="n">
        <x:f>J403-$B$4*AC403</x:f>
        <x:v>3.244356664616005</x:v>
      </x:c>
      <x:c r="AM403" s="246" t="n">
        <x:f>K403-$B$4*AD403</x:f>
        <x:v>-3.1364116939612257</x:v>
      </x:c>
      <x:c r="AN403" s="246" t="n">
        <x:f>L403-$B$4*AE403</x:f>
        <x:v>1.7494788372858976</x:v>
      </x:c>
      <x:c r="AO403" s="246" t="n">
        <x:f>M403-$B$4*AF403</x:f>
        <x:v>3.7642234825579424</x:v>
      </x:c>
      <x:c r="AP403" s="246" t="n">
        <x:f>N403-$B$4*AG403</x:f>
        <x:v>-3.4457395360473497</x:v>
      </x:c>
      <x:c r="AQ403" s="246" t="n">
        <x:f>O403-$B$4*AH403</x:f>
        <x:v>1.6086966111117733</x:v>
      </x:c>
      <x:c r="AR403" s="182" t="n">
        <x:f>IF(U403&gt;=$B$5,1,0)</x:f>
        <x:v>1</x:v>
      </x:c>
      <x:c r="AS403" s="182" t="n">
        <x:f>IF(AR403=F403,1,0)</x:f>
        <x:v>1</x:v>
      </x:c>
      <x:c r="AT403" s="252" t="n">
        <x:f>ABS(F403-U403)</x:f>
        <x:v>0.2868142097934395</x:v>
      </x:c>
    </x:row>
    <x:row r="404">
      <x:c r="A404" s="114" t="n">
        <x:v>388</x:v>
      </x:c>
      <x:c r="B404" s="114" t="n">
        <x:v>97</x:v>
      </x:c>
      <x:c r="C404" s="114" t="n">
        <x:v>4</x:v>
      </x:c>
      <x:c r="D404" s="168" t="n">
        <x:f>$I$8</x:f>
        <x:v>1</x:v>
      </x:c>
      <x:c r="E404" s="168" t="n">
        <x:f>$J$8</x:f>
        <x:v>1</x:v>
      </x:c>
      <x:c r="F404" s="168" t="n">
        <x:f>$K$8</x:f>
        <x:v>0</x:v>
      </x:c>
      <x:c r="G404" s="242" t="n">
        <x:f>AI403</x:f>
        <x:v>2.9768164223354017</x:v>
      </x:c>
      <x:c r="H404" s="242" t="n">
        <x:f>AJ403</x:f>
        <x:v>-3.382391420188109</x:v>
      </x:c>
      <x:c r="I404" s="242" t="n">
        <x:f>AK403</x:f>
        <x:v>-1.7237691339611527</x:v>
      </x:c>
      <x:c r="J404" s="242" t="n">
        <x:f>AL403</x:f>
        <x:v>3.244356664616005</x:v>
      </x:c>
      <x:c r="K404" s="242" t="n">
        <x:f>AM403</x:f>
        <x:v>-3.1364116939612257</x:v>
      </x:c>
      <x:c r="L404" s="242" t="n">
        <x:f>AN403</x:f>
        <x:v>1.7494788372858976</x:v>
      </x:c>
      <x:c r="M404" s="242" t="n">
        <x:f>AO403</x:f>
        <x:v>3.7642234825579424</x:v>
      </x:c>
      <x:c r="N404" s="242" t="n">
        <x:f>AP403</x:f>
        <x:v>-3.4457395360473497</x:v>
      </x:c>
      <x:c r="O404" s="242" t="n">
        <x:f>AQ403</x:f>
        <x:v>1.6086966111117733</x:v>
      </x:c>
      <x:c r="P404" s="243" t="n">
        <x:f>D404*G404+E404*H404+I404</x:f>
        <x:v>-2.12934413181386</x:v>
      </x:c>
      <x:c r="Q404" s="243" t="n">
        <x:f>1/(1+EXP(-P404))</x:f>
        <x:v>0.1062772715333898</x:v>
      </x:c>
      <x:c r="R404" s="243" t="n">
        <x:f>D404*J404+E404*K404+L404</x:f>
        <x:v>1.857423807940677</x:v>
      </x:c>
      <x:c r="S404" s="243" t="n">
        <x:f>1/(1+EXP(-R404))</x:f>
        <x:v>0.8649963892116989</x:v>
      </x:c>
      <x:c r="T404" s="243" t="n">
        <x:f>Q404*M404+S404*N404+O404</x:f>
        <x:v>-0.9718042445650057</x:v>
      </x:c>
      <x:c r="U404" s="243" t="n">
        <x:f>1/(1+EXP(-T404))</x:f>
        <x:v>0.2745210241042163</x:v>
      </x:c>
      <x:c r="V404" s="243" t="n">
        <x:f>0.5*(F404-U404)^2</x:f>
        <x:v>0.03768089633761385</x:v>
      </x:c>
      <x:c r="W404" s="244" t="n">
        <x:f>(U404-F404)*U404*(1-U404)</x:f>
        <x:v>0.05467339617169457</x:v>
      </x:c>
      <x:c r="X404" s="244" t="n">
        <x:f>W404*M404*Q404*(1-Q404)</x:f>
        <x:v>0.019547654328360944</x:v>
      </x:c>
      <x:c r="Y404" s="244" t="n">
        <x:f>W404*N404*S404*(1-S404)</x:f>
        <x:v>-0.021999771840024444</x:v>
      </x:c>
      <x:c r="Z404" s="245" t="n">
        <x:f>X404*D404</x:f>
        <x:v>0.019547654328360944</x:v>
      </x:c>
      <x:c r="AA404" s="245" t="n">
        <x:f>X404*E404</x:f>
        <x:v>0.019547654328360944</x:v>
      </x:c>
      <x:c r="AB404" s="245" t="n">
        <x:f>X404</x:f>
        <x:v>0.019547654328360944</x:v>
      </x:c>
      <x:c r="AC404" s="245" t="n">
        <x:f>Y404*D404</x:f>
        <x:v>-0.021999771840024444</x:v>
      </x:c>
      <x:c r="AD404" s="245" t="n">
        <x:f>Y404*E404</x:f>
        <x:v>-0.021999771840024444</x:v>
      </x:c>
      <x:c r="AE404" s="245" t="n">
        <x:f>Y404</x:f>
        <x:v>-0.021999771840024444</x:v>
      </x:c>
      <x:c r="AF404" s="245" t="n">
        <x:f>W404*Q404</x:f>
        <x:v>0.005810539370591778</x:v>
      </x:c>
      <x:c r="AG404" s="245" t="n">
        <x:f>W404*S404</x:f>
        <x:v>0.04729229027445652</x:v>
      </x:c>
      <x:c r="AH404" s="245" t="n">
        <x:f>W404</x:f>
        <x:v>0.05467339617169457</x:v>
      </x:c>
      <x:c r="AI404" s="246" t="n">
        <x:f>G404-$B$4*Z404</x:f>
        <x:v>2.9572687680070406</x:v>
      </x:c>
      <x:c r="AJ404" s="246" t="n">
        <x:f>H404-$B$4*AA404</x:f>
        <x:v>-3.40193907451647</x:v>
      </x:c>
      <x:c r="AK404" s="246" t="n">
        <x:f>I404-$B$4*AB404</x:f>
        <x:v>-1.7433167882895138</x:v>
      </x:c>
      <x:c r="AL404" s="246" t="n">
        <x:f>J404-$B$4*AC404</x:f>
        <x:v>3.2663564364560296</x:v>
      </x:c>
      <x:c r="AM404" s="246" t="n">
        <x:f>K404-$B$4*AD404</x:f>
        <x:v>-3.114411922121201</x:v>
      </x:c>
      <x:c r="AN404" s="246" t="n">
        <x:f>L404-$B$4*AE404</x:f>
        <x:v>1.771478609125922</x:v>
      </x:c>
      <x:c r="AO404" s="246" t="n">
        <x:f>M404-$B$4*AF404</x:f>
        <x:v>3.7584129431873508</x:v>
      </x:c>
      <x:c r="AP404" s="246" t="n">
        <x:f>N404-$B$4*AG404</x:f>
        <x:v>-3.4930318263218063</x:v>
      </x:c>
      <x:c r="AQ404" s="246" t="n">
        <x:f>O404-$B$4*AH404</x:f>
        <x:v>1.5540232149400788</x:v>
      </x:c>
      <x:c r="AR404" s="182" t="n">
        <x:f>IF(U404&gt;=$B$5,1,0)</x:f>
        <x:v>0</x:v>
      </x:c>
      <x:c r="AS404" s="182" t="n">
        <x:f>IF(AR404=F404,1,0)</x:f>
        <x:v>1</x:v>
      </x:c>
      <x:c r="AT404" s="252" t="n">
        <x:f>ABS(F404-U404)</x:f>
        <x:v>0.2745210241042163</x:v>
      </x:c>
    </x:row>
    <x:row r="405">
      <x:c r="A405" s="114" t="n">
        <x:v>389</x:v>
      </x:c>
      <x:c r="B405" s="114" t="n">
        <x:v>98</x:v>
      </x:c>
      <x:c r="C405" s="114" t="n">
        <x:v>1</x:v>
      </x:c>
      <x:c r="D405" s="168" t="n">
        <x:f>$I$5</x:f>
        <x:v>0</x:v>
      </x:c>
      <x:c r="E405" s="168" t="n">
        <x:f>$J$5</x:f>
        <x:v>0</x:v>
      </x:c>
      <x:c r="F405" s="168" t="n">
        <x:f>$K$5</x:f>
        <x:v>0</x:v>
      </x:c>
      <x:c r="G405" s="242" t="n">
        <x:f>AI404</x:f>
        <x:v>2.9572687680070406</x:v>
      </x:c>
      <x:c r="H405" s="242" t="n">
        <x:f>AJ404</x:f>
        <x:v>-3.40193907451647</x:v>
      </x:c>
      <x:c r="I405" s="242" t="n">
        <x:f>AK404</x:f>
        <x:v>-1.7433167882895138</x:v>
      </x:c>
      <x:c r="J405" s="242" t="n">
        <x:f>AL404</x:f>
        <x:v>3.2663564364560296</x:v>
      </x:c>
      <x:c r="K405" s="242" t="n">
        <x:f>AM404</x:f>
        <x:v>-3.114411922121201</x:v>
      </x:c>
      <x:c r="L405" s="242" t="n">
        <x:f>AN404</x:f>
        <x:v>1.771478609125922</x:v>
      </x:c>
      <x:c r="M405" s="242" t="n">
        <x:f>AO404</x:f>
        <x:v>3.7584129431873508</x:v>
      </x:c>
      <x:c r="N405" s="242" t="n">
        <x:f>AP404</x:f>
        <x:v>-3.4930318263218063</x:v>
      </x:c>
      <x:c r="O405" s="242" t="n">
        <x:f>AQ404</x:f>
        <x:v>1.5540232149400788</x:v>
      </x:c>
      <x:c r="P405" s="243" t="n">
        <x:f>D405*G405+E405*H405+I405</x:f>
        <x:v>-1.7433167882895138</x:v>
      </x:c>
      <x:c r="Q405" s="243" t="n">
        <x:f>1/(1+EXP(-P405))</x:f>
        <x:v>0.1488921306309726</x:v>
      </x:c>
      <x:c r="R405" s="243" t="n">
        <x:f>D405*J405+E405*K405+L405</x:f>
        <x:v>1.771478609125922</x:v>
      </x:c>
      <x:c r="S405" s="243" t="n">
        <x:f>1/(1+EXP(-R405))</x:f>
        <x:v>0.8546414541832017</x:v>
      </x:c>
      <x:c r="T405" s="243" t="n">
        <x:f>Q405*M405+S405*N405+O405</x:f>
        <x:v>-0.8716684737136051</x:v>
      </x:c>
      <x:c r="U405" s="243" t="n">
        <x:f>1/(1+EXP(-T405))</x:f>
        <x:v>0.29490724596707746</x:v>
      </x:c>
      <x:c r="V405" s="243" t="n">
        <x:f>0.5*(F405-U405)^2</x:f>
        <x:v>0.04348514186194316</x:v>
      </x:c>
      <x:c r="W405" s="244" t="n">
        <x:f>(U405-F405)*U405*(1-U405)</x:f>
        <x:v>0.06132211686989967</x:v>
      </x:c>
      <x:c r="X405" s="244" t="n">
        <x:f>W405*M405*Q405*(1-Q405)</x:f>
        <x:v>0.029206397001441328</x:v>
      </x:c>
      <x:c r="Y405" s="244" t="n">
        <x:f>W405*N405*S405*(1-S405)</x:f>
        <x:v>-0.02660995898231535</x:v>
      </x:c>
      <x:c r="Z405" s="245" t="n">
        <x:f>X405*D405</x:f>
        <x:v>0</x:v>
      </x:c>
      <x:c r="AA405" s="245" t="n">
        <x:f>X405*E405</x:f>
        <x:v>0</x:v>
      </x:c>
      <x:c r="AB405" s="245" t="n">
        <x:f>X405</x:f>
        <x:v>0.029206397001441328</x:v>
      </x:c>
      <x:c r="AC405" s="245" t="n">
        <x:f>Y405*D405</x:f>
        <x:v>0</x:v>
      </x:c>
      <x:c r="AD405" s="245" t="n">
        <x:f>Y405*E405</x:f>
        <x:v>0</x:v>
      </x:c>
      <x:c r="AE405" s="245" t="n">
        <x:f>Y405</x:f>
        <x:v>-0.02660995898231535</x:v>
      </x:c>
      <x:c r="AF405" s="245" t="n">
        <x:f>W405*Q405</x:f>
        <x:v>0.00913038063556087</x:v>
      </x:c>
      <x:c r="AG405" s="245" t="n">
        <x:f>W405*S405</x:f>
        <x:v>0.0524084231352833</x:v>
      </x:c>
      <x:c r="AH405" s="245" t="n">
        <x:f>W405</x:f>
        <x:v>0.06132211686989967</x:v>
      </x:c>
      <x:c r="AI405" s="246" t="n">
        <x:f>G405-$B$4*Z405</x:f>
        <x:v>2.9572687680070406</x:v>
      </x:c>
      <x:c r="AJ405" s="246" t="n">
        <x:f>H405-$B$4*AA405</x:f>
        <x:v>-3.40193907451647</x:v>
      </x:c>
      <x:c r="AK405" s="246" t="n">
        <x:f>I405-$B$4*AB405</x:f>
        <x:v>-1.772523185290955</x:v>
      </x:c>
      <x:c r="AL405" s="246" t="n">
        <x:f>J405-$B$4*AC405</x:f>
        <x:v>3.2663564364560296</x:v>
      </x:c>
      <x:c r="AM405" s="246" t="n">
        <x:f>K405-$B$4*AD405</x:f>
        <x:v>-3.114411922121201</x:v>
      </x:c>
      <x:c r="AN405" s="246" t="n">
        <x:f>L405-$B$4*AE405</x:f>
        <x:v>1.7980885681082375</x:v>
      </x:c>
      <x:c r="AO405" s="246" t="n">
        <x:f>M405-$B$4*AF405</x:f>
        <x:v>3.74928256255179</x:v>
      </x:c>
      <x:c r="AP405" s="246" t="n">
        <x:f>N405-$B$4*AG405</x:f>
        <x:v>-3.54544024945709</x:v>
      </x:c>
      <x:c r="AQ405" s="246" t="n">
        <x:f>O405-$B$4*AH405</x:f>
        <x:v>1.4927010980701791</x:v>
      </x:c>
      <x:c r="AR405" s="182" t="n">
        <x:f>IF(U405&gt;=$B$5,1,0)</x:f>
        <x:v>0</x:v>
      </x:c>
      <x:c r="AS405" s="182" t="n">
        <x:f>IF(AR405=F405,1,0)</x:f>
        <x:v>1</x:v>
      </x:c>
      <x:c r="AT405" s="252" t="n">
        <x:f>ABS(F405-U405)</x:f>
        <x:v>0.29490724596707746</x:v>
      </x:c>
    </x:row>
    <x:row r="406">
      <x:c r="A406" s="114" t="n">
        <x:v>390</x:v>
      </x:c>
      <x:c r="B406" s="114" t="n">
        <x:v>98</x:v>
      </x:c>
      <x:c r="C406" s="114" t="n">
        <x:v>2</x:v>
      </x:c>
      <x:c r="D406" s="168" t="n">
        <x:f>$I$6</x:f>
        <x:v>0</x:v>
      </x:c>
      <x:c r="E406" s="168" t="n">
        <x:f>$J$6</x:f>
        <x:v>1</x:v>
      </x:c>
      <x:c r="F406" s="168" t="n">
        <x:f>$K$6</x:f>
        <x:v>1</x:v>
      </x:c>
      <x:c r="G406" s="242" t="n">
        <x:f>AI405</x:f>
        <x:v>2.9572687680070406</x:v>
      </x:c>
      <x:c r="H406" s="242" t="n">
        <x:f>AJ405</x:f>
        <x:v>-3.40193907451647</x:v>
      </x:c>
      <x:c r="I406" s="242" t="n">
        <x:f>AK405</x:f>
        <x:v>-1.772523185290955</x:v>
      </x:c>
      <x:c r="J406" s="242" t="n">
        <x:f>AL405</x:f>
        <x:v>3.2663564364560296</x:v>
      </x:c>
      <x:c r="K406" s="242" t="n">
        <x:f>AM405</x:f>
        <x:v>-3.114411922121201</x:v>
      </x:c>
      <x:c r="L406" s="242" t="n">
        <x:f>AN405</x:f>
        <x:v>1.7980885681082375</x:v>
      </x:c>
      <x:c r="M406" s="242" t="n">
        <x:f>AO405</x:f>
        <x:v>3.74928256255179</x:v>
      </x:c>
      <x:c r="N406" s="242" t="n">
        <x:f>AP405</x:f>
        <x:v>-3.54544024945709</x:v>
      </x:c>
      <x:c r="O406" s="242" t="n">
        <x:f>AQ405</x:f>
        <x:v>1.4927010980701791</x:v>
      </x:c>
      <x:c r="P406" s="243" t="n">
        <x:f>D406*G406+E406*H406+I406</x:f>
        <x:v>-5.1744622598074255</x:v>
      </x:c>
      <x:c r="Q406" s="243" t="n">
        <x:f>1/(1+EXP(-P406))</x:f>
        <x:v>0.005627412321505725</x:v>
      </x:c>
      <x:c r="R406" s="243" t="n">
        <x:f>D406*J406+E406*K406+L406</x:f>
        <x:v>-1.3163233540129637</x:v>
      </x:c>
      <x:c r="S406" s="243" t="n">
        <x:f>1/(1+EXP(-R406))</x:f>
        <x:v>0.21143064192941446</x:v>
      </x:c>
      <x:c r="T406" s="243" t="n">
        <x:f>Q406*M406+S406*N406+O406</x:f>
        <x:v>0.7641851490943937</x:v>
      </x:c>
      <x:c r="U406" s="243" t="n">
        <x:f>1/(1+EXP(-T406))</x:f>
        <x:v>0.6822616845013261</x:v>
      </x:c>
      <x:c r="V406" s="243" t="n">
        <x:f>0.5*(F406-U406)^2</x:f>
        <x:v>0.050478818567967425</x:v>
      </x:c>
      <x:c r="W406" s="244" t="n">
        <x:f>(U406-F406)*U406*(1-U406)</x:f>
        <x:v>-0.06887952757563655</x:v>
      </x:c>
      <x:c r="X406" s="244" t="n">
        <x:f>W406*M406*Q406*(1-Q406)</x:f>
        <x:v>-0.001445094380903261</x:v>
      </x:c>
      <x:c r="Y406" s="244" t="n">
        <x:f>W406*N406*S406*(1-S406)</x:f>
        <x:v>0.04071628599604587</x:v>
      </x:c>
      <x:c r="Z406" s="245" t="n">
        <x:f>X406*D406</x:f>
        <x:v>0</x:v>
      </x:c>
      <x:c r="AA406" s="245" t="n">
        <x:f>X406*E406</x:f>
        <x:v>-0.001445094380903261</x:v>
      </x:c>
      <x:c r="AB406" s="245" t="n">
        <x:f>X406</x:f>
        <x:v>-0.001445094380903261</x:v>
      </x:c>
      <x:c r="AC406" s="245" t="n">
        <x:f>Y406*D406</x:f>
        <x:v>0</x:v>
      </x:c>
      <x:c r="AD406" s="245" t="n">
        <x:f>Y406*E406</x:f>
        <x:v>0.04071628599604587</x:v>
      </x:c>
      <x:c r="AE406" s="245" t="n">
        <x:f>Y406</x:f>
        <x:v>0.04071628599604587</x:v>
      </x:c>
      <x:c r="AF406" s="245" t="n">
        <x:f>W406*Q406</x:f>
        <x:v>-0.00038761350217863047</x:v>
      </x:c>
      <x:c r="AG406" s="245" t="n">
        <x:f>W406*S406</x:f>
        <x:v>-0.01456324273111164</x:v>
      </x:c>
      <x:c r="AH406" s="245" t="n">
        <x:f>W406</x:f>
        <x:v>-0.06887952757563655</x:v>
      </x:c>
      <x:c r="AI406" s="246" t="n">
        <x:f>G406-$B$4*Z406</x:f>
        <x:v>2.9572687680070406</x:v>
      </x:c>
      <x:c r="AJ406" s="246" t="n">
        <x:f>H406-$B$4*AA406</x:f>
        <x:v>-3.4004939801355665</x:v>
      </x:c>
      <x:c r="AK406" s="246" t="n">
        <x:f>I406-$B$4*AB406</x:f>
        <x:v>-1.7710780909100519</x:v>
      </x:c>
      <x:c r="AL406" s="246" t="n">
        <x:f>J406-$B$4*AC406</x:f>
        <x:v>3.2663564364560296</x:v>
      </x:c>
      <x:c r="AM406" s="246" t="n">
        <x:f>K406-$B$4*AD406</x:f>
        <x:v>-3.155128208117247</x:v>
      </x:c>
      <x:c r="AN406" s="246" t="n">
        <x:f>L406-$B$4*AE406</x:f>
        <x:v>1.7573722821121915</x:v>
      </x:c>
      <x:c r="AO406" s="246" t="n">
        <x:f>M406-$B$4*AF406</x:f>
        <x:v>3.749670176053969</x:v>
      </x:c>
      <x:c r="AP406" s="246" t="n">
        <x:f>N406-$B$4*AG406</x:f>
        <x:v>-3.5308770067259783</x:v>
      </x:c>
      <x:c r="AQ406" s="246" t="n">
        <x:f>O406-$B$4*AH406</x:f>
        <x:v>1.5615806256458158</x:v>
      </x:c>
      <x:c r="AR406" s="182" t="n">
        <x:f>IF(U406&gt;=$B$5,1,0)</x:f>
        <x:v>1</x:v>
      </x:c>
      <x:c r="AS406" s="182" t="n">
        <x:f>IF(AR406=F406,1,0)</x:f>
        <x:v>1</x:v>
      </x:c>
      <x:c r="AT406" s="252" t="n">
        <x:f>ABS(F406-U406)</x:f>
        <x:v>0.31773831549867393</x:v>
      </x:c>
    </x:row>
    <x:row r="407">
      <x:c r="A407" s="114" t="n">
        <x:v>391</x:v>
      </x:c>
      <x:c r="B407" s="114" t="n">
        <x:v>98</x:v>
      </x:c>
      <x:c r="C407" s="114" t="n">
        <x:v>3</x:v>
      </x:c>
      <x:c r="D407" s="168" t="n">
        <x:f>$I$7</x:f>
        <x:v>1</x:v>
      </x:c>
      <x:c r="E407" s="168" t="n">
        <x:f>$J$7</x:f>
        <x:v>0</x:v>
      </x:c>
      <x:c r="F407" s="168" t="n">
        <x:f>$K$7</x:f>
        <x:v>1</x:v>
      </x:c>
      <x:c r="G407" s="242" t="n">
        <x:f>AI406</x:f>
        <x:v>2.9572687680070406</x:v>
      </x:c>
      <x:c r="H407" s="242" t="n">
        <x:f>AJ406</x:f>
        <x:v>-3.4004939801355665</x:v>
      </x:c>
      <x:c r="I407" s="242" t="n">
        <x:f>AK406</x:f>
        <x:v>-1.7710780909100519</x:v>
      </x:c>
      <x:c r="J407" s="242" t="n">
        <x:f>AL406</x:f>
        <x:v>3.2663564364560296</x:v>
      </x:c>
      <x:c r="K407" s="242" t="n">
        <x:f>AM406</x:f>
        <x:v>-3.155128208117247</x:v>
      </x:c>
      <x:c r="L407" s="242" t="n">
        <x:f>AN406</x:f>
        <x:v>1.7573722821121915</x:v>
      </x:c>
      <x:c r="M407" s="242" t="n">
        <x:f>AO406</x:f>
        <x:v>3.749670176053969</x:v>
      </x:c>
      <x:c r="N407" s="242" t="n">
        <x:f>AP406</x:f>
        <x:v>-3.5308770067259783</x:v>
      </x:c>
      <x:c r="O407" s="242" t="n">
        <x:f>AQ406</x:f>
        <x:v>1.5615806256458158</x:v>
      </x:c>
      <x:c r="P407" s="243" t="n">
        <x:f>D407*G407+E407*H407+I407</x:f>
        <x:v>1.1861906770969888</x:v>
      </x:c>
      <x:c r="Q407" s="243" t="n">
        <x:f>1/(1+EXP(-P407))</x:f>
        <x:v>0.7660590777133183</x:v>
      </x:c>
      <x:c r="R407" s="243" t="n">
        <x:f>D407*J407+E407*K407+L407</x:f>
        <x:v>5.023728718568221</x:v>
      </x:c>
      <x:c r="S407" s="243" t="n">
        <x:f>1/(1+EXP(-R407))</x:f>
        <x:v>0.993463066526772</x:v>
      </x:c>
      <x:c r="T407" s="243" t="n">
        <x:f>Q407*M407+S407*N407+O407</x:f>
        <x:v>0.9262536038119946</x:v>
      </x:c>
      <x:c r="U407" s="243" t="n">
        <x:f>1/(1+EXP(-T407))</x:f>
        <x:v>0.7163146051931305</x:v>
      </x:c>
      <x:c r="V407" s="243" t="n">
        <x:f>0.5*(F407-U407)^2</x:f>
        <x:v>0.04023870161336471</x:v>
      </x:c>
      <x:c r="W407" s="244" t="n">
        <x:f>(U407-F407)*U407*(1-U407)</x:f>
        <x:v>-0.05764713931932305</x:v>
      </x:c>
      <x:c r="X407" s="244" t="n">
        <x:f>W407*M407*Q407*(1-Q407)</x:f>
        <x:v>-0.03873818691056968</x:v>
      </x:c>
      <x:c r="Y407" s="244" t="n">
        <x:f>W407*N407*S407*(1-S407)</x:f>
        <x:v>0.0013218620727558673</x:v>
      </x:c>
      <x:c r="Z407" s="245" t="n">
        <x:f>X407*D407</x:f>
        <x:v>-0.03873818691056968</x:v>
      </x:c>
      <x:c r="AA407" s="245" t="n">
        <x:f>X407*E407</x:f>
        <x:v>0</x:v>
      </x:c>
      <x:c r="AB407" s="245" t="n">
        <x:f>X407</x:f>
        <x:v>-0.03873818691056968</x:v>
      </x:c>
      <x:c r="AC407" s="245" t="n">
        <x:f>Y407*D407</x:f>
        <x:v>0.0013218620727558673</x:v>
      </x:c>
      <x:c r="AD407" s="245" t="n">
        <x:f>Y407*E407</x:f>
        <x:v>0</x:v>
      </x:c>
      <x:c r="AE407" s="245" t="n">
        <x:f>Y407</x:f>
        <x:v>0.0013218620727558673</x:v>
      </x:c>
      <x:c r="AF407" s="245" t="n">
        <x:f>W407*Q407</x:f>
        <x:v>-0.04416111437977178</x:v>
      </x:c>
      <x:c r="AG407" s="245" t="n">
        <x:f>W407*S407</x:f>
        <x:v>-0.05727030380467073</x:v>
      </x:c>
      <x:c r="AH407" s="245" t="n">
        <x:f>W407</x:f>
        <x:v>-0.05764713931932305</x:v>
      </x:c>
      <x:c r="AI407" s="246" t="n">
        <x:f>G407-$B$4*Z407</x:f>
        <x:v>2.9960069549176103</x:v>
      </x:c>
      <x:c r="AJ407" s="246" t="n">
        <x:f>H407-$B$4*AA407</x:f>
        <x:v>-3.4004939801355665</x:v>
      </x:c>
      <x:c r="AK407" s="246" t="n">
        <x:f>I407-$B$4*AB407</x:f>
        <x:v>-1.7323399039994822</x:v>
      </x:c>
      <x:c r="AL407" s="246" t="n">
        <x:f>J407-$B$4*AC407</x:f>
        <x:v>3.265034574383274</x:v>
      </x:c>
      <x:c r="AM407" s="246" t="n">
        <x:f>K407-$B$4*AD407</x:f>
        <x:v>-3.155128208117247</x:v>
      </x:c>
      <x:c r="AN407" s="246" t="n">
        <x:f>L407-$B$4*AE407</x:f>
        <x:v>1.7560504200394356</x:v>
      </x:c>
      <x:c r="AO407" s="246" t="n">
        <x:f>M407-$B$4*AF407</x:f>
        <x:v>3.7938312904337406</x:v>
      </x:c>
      <x:c r="AP407" s="246" t="n">
        <x:f>N407-$B$4*AG407</x:f>
        <x:v>-3.4736067029213076</x:v>
      </x:c>
      <x:c r="AQ407" s="246" t="n">
        <x:f>O407-$B$4*AH407</x:f>
        <x:v>1.6192277649651388</x:v>
      </x:c>
      <x:c r="AR407" s="182" t="n">
        <x:f>IF(U407&gt;=$B$5,1,0)</x:f>
        <x:v>1</x:v>
      </x:c>
      <x:c r="AS407" s="182" t="n">
        <x:f>IF(AR407=F407,1,0)</x:f>
        <x:v>1</x:v>
      </x:c>
      <x:c r="AT407" s="252" t="n">
        <x:f>ABS(F407-U407)</x:f>
        <x:v>0.2836853948068695</x:v>
      </x:c>
    </x:row>
    <x:row r="408">
      <x:c r="A408" s="114" t="n">
        <x:v>392</x:v>
      </x:c>
      <x:c r="B408" s="114" t="n">
        <x:v>98</x:v>
      </x:c>
      <x:c r="C408" s="114" t="n">
        <x:v>4</x:v>
      </x:c>
      <x:c r="D408" s="168" t="n">
        <x:f>$I$8</x:f>
        <x:v>1</x:v>
      </x:c>
      <x:c r="E408" s="168" t="n">
        <x:f>$J$8</x:f>
        <x:v>1</x:v>
      </x:c>
      <x:c r="F408" s="168" t="n">
        <x:f>$K$8</x:f>
        <x:v>0</x:v>
      </x:c>
      <x:c r="G408" s="242" t="n">
        <x:f>AI407</x:f>
        <x:v>2.9960069549176103</x:v>
      </x:c>
      <x:c r="H408" s="242" t="n">
        <x:f>AJ407</x:f>
        <x:v>-3.4004939801355665</x:v>
      </x:c>
      <x:c r="I408" s="242" t="n">
        <x:f>AK407</x:f>
        <x:v>-1.7323399039994822</x:v>
      </x:c>
      <x:c r="J408" s="242" t="n">
        <x:f>AL407</x:f>
        <x:v>3.265034574383274</x:v>
      </x:c>
      <x:c r="K408" s="242" t="n">
        <x:f>AM407</x:f>
        <x:v>-3.155128208117247</x:v>
      </x:c>
      <x:c r="L408" s="242" t="n">
        <x:f>AN407</x:f>
        <x:v>1.7560504200394356</x:v>
      </x:c>
      <x:c r="M408" s="242" t="n">
        <x:f>AO407</x:f>
        <x:v>3.7938312904337406</x:v>
      </x:c>
      <x:c r="N408" s="242" t="n">
        <x:f>AP407</x:f>
        <x:v>-3.4736067029213076</x:v>
      </x:c>
      <x:c r="O408" s="242" t="n">
        <x:f>AQ407</x:f>
        <x:v>1.6192277649651388</x:v>
      </x:c>
      <x:c r="P408" s="243" t="n">
        <x:f>D408*G408+E408*H408+I408</x:f>
        <x:v>-2.136826929217438</x:v>
      </x:c>
      <x:c r="Q408" s="243" t="n">
        <x:f>1/(1+EXP(-P408))</x:f>
        <x:v>0.10556862845286051</x:v>
      </x:c>
      <x:c r="R408" s="243" t="n">
        <x:f>D408*J408+E408*K408+L408</x:f>
        <x:v>1.8659567863054625</x:v>
      </x:c>
      <x:c r="S408" s="243" t="n">
        <x:f>1/(1+EXP(-R408))</x:f>
        <x:v>0.8659897503949937</x:v>
      </x:c>
      <x:c r="T408" s="243" t="n">
        <x:f>Q408*M408+S408*N408+O408</x:f>
        <x:v>-0.9883704707554255</x:v>
      </x:c>
      <x:c r="U408" s="243" t="n">
        <x:f>1/(1+EXP(-T408))</x:f>
        <x:v>0.27123406031417224</x:v>
      </x:c>
      <x:c r="V408" s="243" t="n">
        <x:f>0.5*(F408-U408)^2</x:f>
        <x:v>0.03678395773725601</x:v>
      </x:c>
      <x:c r="W408" s="244" t="n">
        <x:f>(U408-F408)*U408*(1-U408)</x:f>
        <x:v>0.053613791051510304</x:v>
      </x:c>
      <x:c r="X408" s="244" t="n">
        <x:f>W408*M408*Q408*(1-Q408)</x:f>
        <x:v>0.01920597831635307</x:v>
      </x:c>
      <x:c r="Y408" s="244" t="n">
        <x:f>W408*N408*S408*(1-S408)</x:f>
        <x:v>-0.0216126454763263</x:v>
      </x:c>
      <x:c r="Z408" s="245" t="n">
        <x:f>X408*D408</x:f>
        <x:v>0.01920597831635307</x:v>
      </x:c>
      <x:c r="AA408" s="245" t="n">
        <x:f>X408*E408</x:f>
        <x:v>0.01920597831635307</x:v>
      </x:c>
      <x:c r="AB408" s="245" t="n">
        <x:f>X408</x:f>
        <x:v>0.01920597831635307</x:v>
      </x:c>
      <x:c r="AC408" s="245" t="n">
        <x:f>Y408*D408</x:f>
        <x:v>-0.0216126454763263</x:v>
      </x:c>
      <x:c r="AD408" s="245" t="n">
        <x:f>Y408*E408</x:f>
        <x:v>-0.0216126454763263</x:v>
      </x:c>
      <x:c r="AE408" s="245" t="n">
        <x:f>Y408</x:f>
        <x:v>-0.0216126454763263</x:v>
      </x:c>
      <x:c r="AF408" s="245" t="n">
        <x:f>W408*Q408</x:f>
        <x:v>0.005659934387466189</x:v>
      </x:c>
      <x:c r="AG408" s="245" t="n">
        <x:f>W408*S408</x:f>
        <x:v>0.04642899353042675</x:v>
      </x:c>
      <x:c r="AH408" s="245" t="n">
        <x:f>W408</x:f>
        <x:v>0.053613791051510304</x:v>
      </x:c>
      <x:c r="AI408" s="246" t="n">
        <x:f>G408-$B$4*Z408</x:f>
        <x:v>2.976800976601257</x:v>
      </x:c>
      <x:c r="AJ408" s="246" t="n">
        <x:f>H408-$B$4*AA408</x:f>
        <x:v>-3.4196999584519197</x:v>
      </x:c>
      <x:c r="AK408" s="246" t="n">
        <x:f>I408-$B$4*AB408</x:f>
        <x:v>-1.7515458823158354</x:v>
      </x:c>
      <x:c r="AL408" s="246" t="n">
        <x:f>J408-$B$4*AC408</x:f>
        <x:v>3.2866472198596</x:v>
      </x:c>
      <x:c r="AM408" s="246" t="n">
        <x:f>K408-$B$4*AD408</x:f>
        <x:v>-3.1335155626409206</x:v>
      </x:c>
      <x:c r="AN408" s="246" t="n">
        <x:f>L408-$B$4*AE408</x:f>
        <x:v>1.777663065515762</x:v>
      </x:c>
      <x:c r="AO408" s="246" t="n">
        <x:f>M408-$B$4*AF408</x:f>
        <x:v>3.7881713560462744</x:v>
      </x:c>
      <x:c r="AP408" s="246" t="n">
        <x:f>N408-$B$4*AG408</x:f>
        <x:v>-3.5200356964517345</x:v>
      </x:c>
      <x:c r="AQ408" s="246" t="n">
        <x:f>O408-$B$4*AH408</x:f>
        <x:v>1.5656139739136286</x:v>
      </x:c>
      <x:c r="AR408" s="182" t="n">
        <x:f>IF(U408&gt;=$B$5,1,0)</x:f>
        <x:v>0</x:v>
      </x:c>
      <x:c r="AS408" s="182" t="n">
        <x:f>IF(AR408=F408,1,0)</x:f>
        <x:v>1</x:v>
      </x:c>
      <x:c r="AT408" s="252" t="n">
        <x:f>ABS(F408-U408)</x:f>
        <x:v>0.27123406031417224</x:v>
      </x:c>
    </x:row>
    <x:row r="409">
      <x:c r="A409" s="114" t="n">
        <x:v>393</x:v>
      </x:c>
      <x:c r="B409" s="114" t="n">
        <x:v>99</x:v>
      </x:c>
      <x:c r="C409" s="114" t="n">
        <x:v>1</x:v>
      </x:c>
      <x:c r="D409" s="168" t="n">
        <x:f>$I$5</x:f>
        <x:v>0</x:v>
      </x:c>
      <x:c r="E409" s="168" t="n">
        <x:f>$J$5</x:f>
        <x:v>0</x:v>
      </x:c>
      <x:c r="F409" s="168" t="n">
        <x:f>$K$5</x:f>
        <x:v>0</x:v>
      </x:c>
      <x:c r="G409" s="242" t="n">
        <x:f>AI408</x:f>
        <x:v>2.976800976601257</x:v>
      </x:c>
      <x:c r="H409" s="242" t="n">
        <x:f>AJ408</x:f>
        <x:v>-3.4196999584519197</x:v>
      </x:c>
      <x:c r="I409" s="242" t="n">
        <x:f>AK408</x:f>
        <x:v>-1.7515458823158354</x:v>
      </x:c>
      <x:c r="J409" s="242" t="n">
        <x:f>AL408</x:f>
        <x:v>3.2866472198596</x:v>
      </x:c>
      <x:c r="K409" s="242" t="n">
        <x:f>AM408</x:f>
        <x:v>-3.1335155626409206</x:v>
      </x:c>
      <x:c r="L409" s="242" t="n">
        <x:f>AN408</x:f>
        <x:v>1.777663065515762</x:v>
      </x:c>
      <x:c r="M409" s="242" t="n">
        <x:f>AO408</x:f>
        <x:v>3.7881713560462744</x:v>
      </x:c>
      <x:c r="N409" s="242" t="n">
        <x:f>AP408</x:f>
        <x:v>-3.5200356964517345</x:v>
      </x:c>
      <x:c r="O409" s="242" t="n">
        <x:f>AQ408</x:f>
        <x:v>1.5656139739136286</x:v>
      </x:c>
      <x:c r="P409" s="243" t="n">
        <x:f>D409*G409+E409*H409+I409</x:f>
        <x:v>-1.7515458823158354</x:v>
      </x:c>
      <x:c r="Q409" s="243" t="n">
        <x:f>1/(1+EXP(-P409))</x:f>
        <x:v>0.14785232315882754</x:v>
      </x:c>
      <x:c r="R409" s="243" t="n">
        <x:f>D409*J409+E409*K409+L409</x:f>
        <x:v>1.777663065515762</x:v>
      </x:c>
      <x:c r="S409" s="243" t="n">
        <x:f>1/(1+EXP(-R409))</x:f>
        <x:v>0.8554080619138713</x:v>
      </x:c>
      <x:c r="T409" s="243" t="n">
        <x:f>Q409*M409+S409*N409+O409</x:f>
        <x:v>-0.8853630035406261</x:v>
      </x:c>
      <x:c r="U409" s="243" t="n">
        <x:f>1/(1+EXP(-T409))</x:f>
        <x:v>0.292067666794027</x:v>
      </x:c>
      <x:c r="V409" s="243" t="n">
        <x:f>0.5*(F409-U409)^2</x:f>
        <x:v>0.04265176099325339</x:v>
      </x:c>
      <x:c r="W409" s="244" t="n">
        <x:f>(U409-F409)*U409*(1-U409)</x:f>
        <x:v>0.06038912135059477</x:v>
      </x:c>
      <x:c r="X409" s="244" t="n">
        <x:f>W409*M409*Q409*(1-Q409)</x:f>
        <x:v>0.02882247982265126</x:v>
      </x:c>
      <x:c r="Y409" s="244" t="n">
        <x:f>W409*N409*S409*(1-S409)</x:f>
        <x:v>-0.02629197413658667</x:v>
      </x:c>
      <x:c r="Z409" s="245" t="n">
        <x:f>X409*D409</x:f>
        <x:v>0</x:v>
      </x:c>
      <x:c r="AA409" s="245" t="n">
        <x:f>X409*E409</x:f>
        <x:v>0</x:v>
      </x:c>
      <x:c r="AB409" s="245" t="n">
        <x:f>X409</x:f>
        <x:v>0.02882247982265126</x:v>
      </x:c>
      <x:c r="AC409" s="245" t="n">
        <x:f>Y409*D409</x:f>
        <x:v>0</x:v>
      </x:c>
      <x:c r="AD409" s="245" t="n">
        <x:f>Y409*E409</x:f>
        <x:v>0</x:v>
      </x:c>
      <x:c r="AE409" s="245" t="n">
        <x:f>Y409</x:f>
        <x:v>-0.02629197413658667</x:v>
      </x:c>
      <x:c r="AF409" s="245" t="n">
        <x:f>W409*Q409</x:f>
        <x:v>0.00892867188520579</x:v>
      </x:c>
      <x:c r="AG409" s="245" t="n">
        <x:f>W409*S409</x:f>
        <x:v>0.05165734125519386</x:v>
      </x:c>
      <x:c r="AH409" s="245" t="n">
        <x:f>W409</x:f>
        <x:v>0.06038912135059477</x:v>
      </x:c>
      <x:c r="AI409" s="246" t="n">
        <x:f>G409-$B$4*Z409</x:f>
        <x:v>2.976800976601257</x:v>
      </x:c>
      <x:c r="AJ409" s="246" t="n">
        <x:f>H409-$B$4*AA409</x:f>
        <x:v>-3.4196999584519197</x:v>
      </x:c>
      <x:c r="AK409" s="246" t="n">
        <x:f>I409-$B$4*AB409</x:f>
        <x:v>-1.7803683621384867</x:v>
      </x:c>
      <x:c r="AL409" s="246" t="n">
        <x:f>J409-$B$4*AC409</x:f>
        <x:v>3.2866472198596</x:v>
      </x:c>
      <x:c r="AM409" s="246" t="n">
        <x:f>K409-$B$4*AD409</x:f>
        <x:v>-3.1335155626409206</x:v>
      </x:c>
      <x:c r="AN409" s="246" t="n">
        <x:f>L409-$B$4*AE409</x:f>
        <x:v>1.8039550396523485</x:v>
      </x:c>
      <x:c r="AO409" s="246" t="n">
        <x:f>M409-$B$4*AF409</x:f>
        <x:v>3.7792426841610687</x:v>
      </x:c>
      <x:c r="AP409" s="246" t="n">
        <x:f>N409-$B$4*AG409</x:f>
        <x:v>-3.5716930377069285</x:v>
      </x:c>
      <x:c r="AQ409" s="246" t="n">
        <x:f>O409-$B$4*AH409</x:f>
        <x:v>1.5052248525630338</x:v>
      </x:c>
      <x:c r="AR409" s="182" t="n">
        <x:f>IF(U409&gt;=$B$5,1,0)</x:f>
        <x:v>0</x:v>
      </x:c>
      <x:c r="AS409" s="182" t="n">
        <x:f>IF(AR409=F409,1,0)</x:f>
        <x:v>1</x:v>
      </x:c>
      <x:c r="AT409" s="252" t="n">
        <x:f>ABS(F409-U409)</x:f>
        <x:v>0.292067666794027</x:v>
      </x:c>
    </x:row>
    <x:row r="410">
      <x:c r="A410" s="114" t="n">
        <x:v>394</x:v>
      </x:c>
      <x:c r="B410" s="114" t="n">
        <x:v>99</x:v>
      </x:c>
      <x:c r="C410" s="114" t="n">
        <x:v>2</x:v>
      </x:c>
      <x:c r="D410" s="168" t="n">
        <x:f>$I$6</x:f>
        <x:v>0</x:v>
      </x:c>
      <x:c r="E410" s="168" t="n">
        <x:f>$J$6</x:f>
        <x:v>1</x:v>
      </x:c>
      <x:c r="F410" s="168" t="n">
        <x:f>$K$6</x:f>
        <x:v>1</x:v>
      </x:c>
      <x:c r="G410" s="242" t="n">
        <x:f>AI409</x:f>
        <x:v>2.976800976601257</x:v>
      </x:c>
      <x:c r="H410" s="242" t="n">
        <x:f>AJ409</x:f>
        <x:v>-3.4196999584519197</x:v>
      </x:c>
      <x:c r="I410" s="242" t="n">
        <x:f>AK409</x:f>
        <x:v>-1.7803683621384867</x:v>
      </x:c>
      <x:c r="J410" s="242" t="n">
        <x:f>AL409</x:f>
        <x:v>3.2866472198596</x:v>
      </x:c>
      <x:c r="K410" s="242" t="n">
        <x:f>AM409</x:f>
        <x:v>-3.1335155626409206</x:v>
      </x:c>
      <x:c r="L410" s="242" t="n">
        <x:f>AN409</x:f>
        <x:v>1.8039550396523485</x:v>
      </x:c>
      <x:c r="M410" s="242" t="n">
        <x:f>AO409</x:f>
        <x:v>3.7792426841610687</x:v>
      </x:c>
      <x:c r="N410" s="242" t="n">
        <x:f>AP409</x:f>
        <x:v>-3.5716930377069285</x:v>
      </x:c>
      <x:c r="O410" s="242" t="n">
        <x:f>AQ409</x:f>
        <x:v>1.5052248525630338</x:v>
      </x:c>
      <x:c r="P410" s="243" t="n">
        <x:f>D410*G410+E410*H410+I410</x:f>
        <x:v>-5.200068320590407</x:v>
      </x:c>
      <x:c r="Q410" s="243" t="n">
        <x:f>1/(1+EXP(-P410))</x:f>
        <x:v>0.005485926141278347</x:v>
      </x:c>
      <x:c r="R410" s="243" t="n">
        <x:f>D410*J410+E410*K410+L410</x:f>
        <x:v>-1.329560522988572</x:v>
      </x:c>
      <x:c r="S410" s="243" t="n">
        <x:f>1/(1+EXP(-R410))</x:f>
        <x:v>0.20923206915537612</x:v>
      </x:c>
      <x:c r="T410" s="243" t="n">
        <x:f>Q410*M410+S410*N410+O410</x:f>
        <x:v>0.7786447741310365</x:v>
      </x:c>
      <x:c r="U410" s="243" t="n">
        <x:f>1/(1+EXP(-T410))</x:f>
        <x:v>0.6853879582623069</x:v>
      </x:c>
      <x:c r="V410" s="243" t="n">
        <x:f>0.5*(F410-U410)^2</x:f>
        <x:v>0.04949036840317997</x:v>
      </x:c>
      <x:c r="W410" s="244" t="n">
        <x:f>(U410-F410)*U410*(1-U410)</x:f>
        <x:v>-0.0678402051070098</x:v>
      </x:c>
      <x:c r="X410" s="244" t="n">
        <x:f>W410*M410*Q410*(1-Q410)</x:f>
        <x:v>-0.001398790979640936</x:v>
      </x:c>
      <x:c r="Y410" s="244" t="n">
        <x:f>W410*N410*S410*(1-S410)</x:f>
        <x:v>0.04009023277283473</x:v>
      </x:c>
      <x:c r="Z410" s="245" t="n">
        <x:f>X410*D410</x:f>
        <x:v>0</x:v>
      </x:c>
      <x:c r="AA410" s="245" t="n">
        <x:f>X410*E410</x:f>
        <x:v>-0.001398790979640936</x:v>
      </x:c>
      <x:c r="AB410" s="245" t="n">
        <x:f>X410</x:f>
        <x:v>-0.001398790979640936</x:v>
      </x:c>
      <x:c r="AC410" s="245" t="n">
        <x:f>Y410*D410</x:f>
        <x:v>0</x:v>
      </x:c>
      <x:c r="AD410" s="245" t="n">
        <x:f>Y410*E410</x:f>
        <x:v>0.04009023277283473</x:v>
      </x:c>
      <x:c r="AE410" s="245" t="n">
        <x:f>Y410</x:f>
        <x:v>0.04009023277283473</x:v>
      </x:c>
      <x:c r="AF410" s="245" t="n">
        <x:f>W410*Q410</x:f>
        <x:v>-0.0003721663546262299</x:v>
      </x:c>
      <x:c r="AG410" s="245" t="n">
        <x:f>W410*S410</x:f>
        <x:v>-0.014194346486464776</x:v>
      </x:c>
      <x:c r="AH410" s="245" t="n">
        <x:f>W410</x:f>
        <x:v>-0.0678402051070098</x:v>
      </x:c>
      <x:c r="AI410" s="246" t="n">
        <x:f>G410-$B$4*Z410</x:f>
        <x:v>2.976800976601257</x:v>
      </x:c>
      <x:c r="AJ410" s="246" t="n">
        <x:f>H410-$B$4*AA410</x:f>
        <x:v>-3.4183011674722787</x:v>
      </x:c>
      <x:c r="AK410" s="246" t="n">
        <x:f>I410-$B$4*AB410</x:f>
        <x:v>-1.7789695711588458</x:v>
      </x:c>
      <x:c r="AL410" s="246" t="n">
        <x:f>J410-$B$4*AC410</x:f>
        <x:v>3.2866472198596</x:v>
      </x:c>
      <x:c r="AM410" s="246" t="n">
        <x:f>K410-$B$4*AD410</x:f>
        <x:v>-3.173605795413755</x:v>
      </x:c>
      <x:c r="AN410" s="246" t="n">
        <x:f>L410-$B$4*AE410</x:f>
        <x:v>1.7638648068795137</x:v>
      </x:c>
      <x:c r="AO410" s="246" t="n">
        <x:f>M410-$B$4*AF410</x:f>
        <x:v>3.779614850515695</x:v>
      </x:c>
      <x:c r="AP410" s="246" t="n">
        <x:f>N410-$B$4*AG410</x:f>
        <x:v>-3.557498691220464</x:v>
      </x:c>
      <x:c r="AQ410" s="246" t="n">
        <x:f>O410-$B$4*AH410</x:f>
        <x:v>1.5730650576700436</x:v>
      </x:c>
      <x:c r="AR410" s="182" t="n">
        <x:f>IF(U410&gt;=$B$5,1,0)</x:f>
        <x:v>1</x:v>
      </x:c>
      <x:c r="AS410" s="182" t="n">
        <x:f>IF(AR410=F410,1,0)</x:f>
        <x:v>1</x:v>
      </x:c>
      <x:c r="AT410" s="252" t="n">
        <x:f>ABS(F410-U410)</x:f>
        <x:v>0.3146120417376931</x:v>
      </x:c>
    </x:row>
    <x:row r="411">
      <x:c r="A411" s="114" t="n">
        <x:v>395</x:v>
      </x:c>
      <x:c r="B411" s="114" t="n">
        <x:v>99</x:v>
      </x:c>
      <x:c r="C411" s="114" t="n">
        <x:v>3</x:v>
      </x:c>
      <x:c r="D411" s="168" t="n">
        <x:f>$I$7</x:f>
        <x:v>1</x:v>
      </x:c>
      <x:c r="E411" s="168" t="n">
        <x:f>$J$7</x:f>
        <x:v>0</x:v>
      </x:c>
      <x:c r="F411" s="168" t="n">
        <x:f>$K$7</x:f>
        <x:v>1</x:v>
      </x:c>
      <x:c r="G411" s="242" t="n">
        <x:f>AI410</x:f>
        <x:v>2.976800976601257</x:v>
      </x:c>
      <x:c r="H411" s="242" t="n">
        <x:f>AJ410</x:f>
        <x:v>-3.4183011674722787</x:v>
      </x:c>
      <x:c r="I411" s="242" t="n">
        <x:f>AK410</x:f>
        <x:v>-1.7789695711588458</x:v>
      </x:c>
      <x:c r="J411" s="242" t="n">
        <x:f>AL410</x:f>
        <x:v>3.2866472198596</x:v>
      </x:c>
      <x:c r="K411" s="242" t="n">
        <x:f>AM410</x:f>
        <x:v>-3.173605795413755</x:v>
      </x:c>
      <x:c r="L411" s="242" t="n">
        <x:f>AN410</x:f>
        <x:v>1.7638648068795137</x:v>
      </x:c>
      <x:c r="M411" s="242" t="n">
        <x:f>AO410</x:f>
        <x:v>3.779614850515695</x:v>
      </x:c>
      <x:c r="N411" s="242" t="n">
        <x:f>AP410</x:f>
        <x:v>-3.557498691220464</x:v>
      </x:c>
      <x:c r="O411" s="242" t="n">
        <x:f>AQ410</x:f>
        <x:v>1.5730650576700436</x:v>
      </x:c>
      <x:c r="P411" s="243" t="n">
        <x:f>D411*G411+E411*H411+I411</x:f>
        <x:v>1.1978314054424113</x:v>
      </x:c>
      <x:c r="Q411" s="243" t="n">
        <x:f>1/(1+EXP(-P411))</x:f>
        <x:v>0.7681387779551988</x:v>
      </x:c>
      <x:c r="R411" s="243" t="n">
        <x:f>D411*J411+E411*K411+L411</x:f>
        <x:v>5.0505120267391135</x:v>
      </x:c>
      <x:c r="S411" s="243" t="n">
        <x:f>1/(1+EXP(-R411))</x:f>
        <x:v>0.9936347237578342</x:v>
      </x:c>
      <x:c r="T411" s="243" t="n">
        <x:f>Q411*M411+S411*N411+O411</x:f>
        <x:v>0.9414795607667883</x:v>
      </x:c>
      <x:c r="U411" s="243" t="n">
        <x:f>1/(1+EXP(-T411))</x:f>
        <x:v>0.7193984248903692</x:v>
      </x:c>
      <x:c r="V411" s="243" t="n">
        <x:f>0.5*(F411-U411)^2</x:f>
        <x:v>0.03936862197700289</x:v>
      </x:c>
      <x:c r="W411" s="244" t="n">
        <x:f>(U411-F411)*U411*(1-U411)</x:f>
        <x:v>-0.0566434492807205</x:v>
      </x:c>
      <x:c r="X411" s="244" t="n">
        <x:f>W411*M411*Q411*(1-Q411)</x:f>
        <x:v>-0.03812984580971263</x:v>
      </x:c>
      <x:c r="Y411" s="244" t="n">
        <x:f>W411*N411*S411*(1-S411)</x:f>
        <x:v>0.0012744959412084567</x:v>
      </x:c>
      <x:c r="Z411" s="245" t="n">
        <x:f>X411*D411</x:f>
        <x:v>-0.03812984580971263</x:v>
      </x:c>
      <x:c r="AA411" s="245" t="n">
        <x:f>X411*E411</x:f>
        <x:v>0</x:v>
      </x:c>
      <x:c r="AB411" s="245" t="n">
        <x:f>X411</x:f>
        <x:v>-0.03812984580971263</x:v>
      </x:c>
      <x:c r="AC411" s="245" t="n">
        <x:f>Y411*D411</x:f>
        <x:v>0.0012744959412084567</x:v>
      </x:c>
      <x:c r="AD411" s="245" t="n">
        <x:f>Y411*E411</x:f>
        <x:v>0</x:v>
      </x:c>
      <x:c r="AE411" s="245" t="n">
        <x:f>Y411</x:f>
        <x:v>0.0012744959412084567</x:v>
      </x:c>
      <x:c r="AF411" s="245" t="n">
        <x:f>W411*Q411</x:f>
        <x:v>-0.04351002990965993</x:v>
      </x:c>
      <x:c r="AG411" s="245" t="n">
        <x:f>W411*S411</x:f>
        <x:v>-0.05628289807873961</x:v>
      </x:c>
      <x:c r="AH411" s="245" t="n">
        <x:f>W411</x:f>
        <x:v>-0.0566434492807205</x:v>
      </x:c>
      <x:c r="AI411" s="246" t="n">
        <x:f>G411-$B$4*Z411</x:f>
        <x:v>3.0149308224109697</x:v>
      </x:c>
      <x:c r="AJ411" s="246" t="n">
        <x:f>H411-$B$4*AA411</x:f>
        <x:v>-3.4183011674722787</x:v>
      </x:c>
      <x:c r="AK411" s="246" t="n">
        <x:f>I411-$B$4*AB411</x:f>
        <x:v>-1.7408397253491332</x:v>
      </x:c>
      <x:c r="AL411" s="246" t="n">
        <x:f>J411-$B$4*AC411</x:f>
        <x:v>3.2853727239183916</x:v>
      </x:c>
      <x:c r="AM411" s="246" t="n">
        <x:f>K411-$B$4*AD411</x:f>
        <x:v>-3.173605795413755</x:v>
      </x:c>
      <x:c r="AN411" s="246" t="n">
        <x:f>L411-$B$4*AE411</x:f>
        <x:v>1.7625903109383052</x:v>
      </x:c>
      <x:c r="AO411" s="246" t="n">
        <x:f>M411-$B$4*AF411</x:f>
        <x:v>3.823124880425355</x:v>
      </x:c>
      <x:c r="AP411" s="246" t="n">
        <x:f>N411-$B$4*AG411</x:f>
        <x:v>-3.501215793141724</x:v>
      </x:c>
      <x:c r="AQ411" s="246" t="n">
        <x:f>O411-$B$4*AH411</x:f>
        <x:v>1.629708506950764</x:v>
      </x:c>
      <x:c r="AR411" s="182" t="n">
        <x:f>IF(U411&gt;=$B$5,1,0)</x:f>
        <x:v>1</x:v>
      </x:c>
      <x:c r="AS411" s="182" t="n">
        <x:f>IF(AR411=F411,1,0)</x:f>
        <x:v>1</x:v>
      </x:c>
      <x:c r="AT411" s="252" t="n">
        <x:f>ABS(F411-U411)</x:f>
        <x:v>0.2806015751096308</x:v>
      </x:c>
    </x:row>
    <x:row r="412">
      <x:c r="A412" s="114" t="n">
        <x:v>396</x:v>
      </x:c>
      <x:c r="B412" s="114" t="n">
        <x:v>99</x:v>
      </x:c>
      <x:c r="C412" s="114" t="n">
        <x:v>4</x:v>
      </x:c>
      <x:c r="D412" s="168" t="n">
        <x:f>$I$8</x:f>
        <x:v>1</x:v>
      </x:c>
      <x:c r="E412" s="168" t="n">
        <x:f>$J$8</x:f>
        <x:v>1</x:v>
      </x:c>
      <x:c r="F412" s="168" t="n">
        <x:f>$K$8</x:f>
        <x:v>0</x:v>
      </x:c>
      <x:c r="G412" s="242" t="n">
        <x:f>AI411</x:f>
        <x:v>3.0149308224109697</x:v>
      </x:c>
      <x:c r="H412" s="242" t="n">
        <x:f>AJ411</x:f>
        <x:v>-3.4183011674722787</x:v>
      </x:c>
      <x:c r="I412" s="242" t="n">
        <x:f>AK411</x:f>
        <x:v>-1.7408397253491332</x:v>
      </x:c>
      <x:c r="J412" s="242" t="n">
        <x:f>AL411</x:f>
        <x:v>3.2853727239183916</x:v>
      </x:c>
      <x:c r="K412" s="242" t="n">
        <x:f>AM411</x:f>
        <x:v>-3.173605795413755</x:v>
      </x:c>
      <x:c r="L412" s="242" t="n">
        <x:f>AN411</x:f>
        <x:v>1.7625903109383052</x:v>
      </x:c>
      <x:c r="M412" s="242" t="n">
        <x:f>AO411</x:f>
        <x:v>3.823124880425355</x:v>
      </x:c>
      <x:c r="N412" s="242" t="n">
        <x:f>AP411</x:f>
        <x:v>-3.501215793141724</x:v>
      </x:c>
      <x:c r="O412" s="242" t="n">
        <x:f>AQ411</x:f>
        <x:v>1.629708506950764</x:v>
      </x:c>
      <x:c r="P412" s="243" t="n">
        <x:f>D412*G412+E412*H412+I412</x:f>
        <x:v>-2.144210070410442</x:v>
      </x:c>
      <x:c r="Q412" s="243" t="n">
        <x:f>1/(1+EXP(-P412))</x:f>
        <x:v>0.10487351095664023</x:v>
      </x:c>
      <x:c r="R412" s="243" t="n">
        <x:f>D412*J412+E412*K412+L412</x:f>
        <x:v>1.8743572394429417</x:v>
      </x:c>
      <x:c r="S412" s="243" t="n">
        <x:f>1/(1+EXP(-R412))</x:f>
        <x:v>0.8669616418283084</x:v>
      </x:c>
      <x:c r="T412" s="243" t="n">
        <x:f>Q412*M412+S412*N412+O412</x:f>
        <x:v>-1.0047667564306955</x:v>
      </x:c>
      <x:c r="U412" s="243" t="n">
        <x:f>1/(1+EXP(-T412))</x:f>
        <x:v>0.2680052530412613</x:v>
      </x:c>
      <x:c r="V412" s="243" t="n">
        <x:f>0.5*(F412-U412)^2</x:f>
        <x:v>0.03591340782885526</x:v>
      </x:c>
      <x:c r="W412" s="244" t="n">
        <x:f>(U412-F412)*U412*(1-U412)</x:f>
        <x:v>0.052576851752217775</x:v>
      </x:c>
      <x:c r="X412" s="244" t="n">
        <x:f>W412*M412*Q412*(1-Q412)</x:f>
        <x:v>0.018869625392028907</x:v>
      </x:c>
      <x:c r="Y412" s="244" t="n">
        <x:f>W412*N412*S412*(1-S412)</x:f>
        <x:v>-0.02123196627406618</x:v>
      </x:c>
      <x:c r="Z412" s="245" t="n">
        <x:f>X412*D412</x:f>
        <x:v>0.018869625392028907</x:v>
      </x:c>
      <x:c r="AA412" s="245" t="n">
        <x:f>X412*E412</x:f>
        <x:v>0.018869625392028907</x:v>
      </x:c>
      <x:c r="AB412" s="245" t="n">
        <x:f>X412</x:f>
        <x:v>0.018869625392028907</x:v>
      </x:c>
      <x:c r="AC412" s="245" t="n">
        <x:f>Y412*D412</x:f>
        <x:v>-0.02123196627406618</x:v>
      </x:c>
      <x:c r="AD412" s="245" t="n">
        <x:f>Y412*E412</x:f>
        <x:v>-0.02123196627406618</x:v>
      </x:c>
      <x:c r="AE412" s="245" t="n">
        <x:f>Y412</x:f>
        <x:v>-0.02123196627406618</x:v>
      </x:c>
      <x:c r="AF412" s="245" t="n">
        <x:f>W412*Q412</x:f>
        <x:v>0.00551391903830186</x:v>
      </x:c>
      <x:c r="AG412" s="245" t="n">
        <x:f>W412*S412</x:f>
        <x:v>0.045582113717266295</x:v>
      </x:c>
      <x:c r="AH412" s="245" t="n">
        <x:f>W412</x:f>
        <x:v>0.052576851752217775</x:v>
      </x:c>
      <x:c r="AI412" s="246" t="n">
        <x:f>G412-$B$4*Z412</x:f>
        <x:v>2.996061197018941</x:v>
      </x:c>
      <x:c r="AJ412" s="246" t="n">
        <x:f>H412-$B$4*AA412</x:f>
        <x:v>-3.4371707928643076</x:v>
      </x:c>
      <x:c r="AK412" s="246" t="n">
        <x:f>I412-$B$4*AB412</x:f>
        <x:v>-1.759709350741162</x:v>
      </x:c>
      <x:c r="AL412" s="246" t="n">
        <x:f>J412-$B$4*AC412</x:f>
        <x:v>3.306604690192458</x:v>
      </x:c>
      <x:c r="AM412" s="246" t="n">
        <x:f>K412-$B$4*AD412</x:f>
        <x:v>-3.1523738291396888</x:v>
      </x:c>
      <x:c r="AN412" s="246" t="n">
        <x:f>L412-$B$4*AE412</x:f>
        <x:v>1.7838222772123713</x:v>
      </x:c>
      <x:c r="AO412" s="246" t="n">
        <x:f>M412-$B$4*AF412</x:f>
        <x:v>3.817610961387053</x:v>
      </x:c>
      <x:c r="AP412" s="246" t="n">
        <x:f>N412-$B$4*AG412</x:f>
        <x:v>-3.5467979068589903</x:v>
      </x:c>
      <x:c r="AQ412" s="246" t="n">
        <x:f>O412-$B$4*AH412</x:f>
        <x:v>1.5771316551985461</x:v>
      </x:c>
      <x:c r="AR412" s="182" t="n">
        <x:f>IF(U412&gt;=$B$5,1,0)</x:f>
        <x:v>0</x:v>
      </x:c>
      <x:c r="AS412" s="182" t="n">
        <x:f>IF(AR412=F412,1,0)</x:f>
        <x:v>1</x:v>
      </x:c>
      <x:c r="AT412" s="252" t="n">
        <x:f>ABS(F412-U412)</x:f>
        <x:v>0.2680052530412613</x:v>
      </x:c>
    </x:row>
    <x:row r="413">
      <x:c r="A413" s="114" t="n">
        <x:v>397</x:v>
      </x:c>
      <x:c r="B413" s="114" t="n">
        <x:v>100</x:v>
      </x:c>
      <x:c r="C413" s="114" t="n">
        <x:v>1</x:v>
      </x:c>
      <x:c r="D413" s="168" t="n">
        <x:f>$I$5</x:f>
        <x:v>0</x:v>
      </x:c>
      <x:c r="E413" s="168" t="n">
        <x:f>$J$5</x:f>
        <x:v>0</x:v>
      </x:c>
      <x:c r="F413" s="168" t="n">
        <x:f>$K$5</x:f>
        <x:v>0</x:v>
      </x:c>
      <x:c r="G413" s="242" t="n">
        <x:f>AI412</x:f>
        <x:v>2.996061197018941</x:v>
      </x:c>
      <x:c r="H413" s="242" t="n">
        <x:f>AJ412</x:f>
        <x:v>-3.4371707928643076</x:v>
      </x:c>
      <x:c r="I413" s="242" t="n">
        <x:f>AK412</x:f>
        <x:v>-1.759709350741162</x:v>
      </x:c>
      <x:c r="J413" s="242" t="n">
        <x:f>AL412</x:f>
        <x:v>3.306604690192458</x:v>
      </x:c>
      <x:c r="K413" s="242" t="n">
        <x:f>AM412</x:f>
        <x:v>-3.1523738291396888</x:v>
      </x:c>
      <x:c r="L413" s="242" t="n">
        <x:f>AN412</x:f>
        <x:v>1.7838222772123713</x:v>
      </x:c>
      <x:c r="M413" s="242" t="n">
        <x:f>AO412</x:f>
        <x:v>3.817610961387053</x:v>
      </x:c>
      <x:c r="N413" s="242" t="n">
        <x:f>AP412</x:f>
        <x:v>-3.5467979068589903</x:v>
      </x:c>
      <x:c r="O413" s="242" t="n">
        <x:f>AQ412</x:f>
        <x:v>1.5771316551985461</x:v>
      </x:c>
      <x:c r="P413" s="243" t="n">
        <x:f>D413*G413+E413*H413+I413</x:f>
        <x:v>-1.759709350741162</x:v>
      </x:c>
      <x:c r="Q413" s="243" t="n">
        <x:f>1/(1+EXP(-P413))</x:f>
        <x:v>0.146826745305026</x:v>
      </x:c>
      <x:c r="R413" s="243" t="n">
        <x:f>D413*J413+E413*K413+L413</x:f>
        <x:v>1.7838222772123713</x:v>
      </x:c>
      <x:c r="S413" s="243" t="n">
        <x:f>1/(1+EXP(-R413))</x:f>
        <x:v>0.8561681983200765</x:v>
      </x:c>
      <x:c r="T413" s="243" t="n">
        <x:f>Q413*M413+S413*N413+O413</x:f>
        <x:v>-0.8989965262210817</x:v>
      </x:c>
      <x:c r="U413" s="243" t="n">
        <x:f>1/(1+EXP(-T413))</x:f>
        <x:v>0.2892567551887932</x:v>
      </x:c>
      <x:c r="V413" s="243" t="n">
        <x:f>0.5*(F413-U413)^2</x:f>
        <x:v>0.041834735211174714</x:v>
      </x:c>
      <x:c r="W413" s="244" t="n">
        <x:f>(U413-F413)*U413*(1-U413)</x:f>
        <x:v>0.059467510899615925</x:v>
      </x:c>
      <x:c r="X413" s="244" t="n">
        <x:f>W413*M413*Q413*(1-Q413)</x:f>
        <x:v>0.028438968123955338</x:v>
      </x:c>
      <x:c r="Y413" s="244" t="n">
        <x:f>W413*N413*S413*(1-S413)</x:f>
        <x:v>-0.02597348452608096</x:v>
      </x:c>
      <x:c r="Z413" s="245" t="n">
        <x:f>X413*D413</x:f>
        <x:v>0</x:v>
      </x:c>
      <x:c r="AA413" s="245" t="n">
        <x:f>X413*E413</x:f>
        <x:v>0</x:v>
      </x:c>
      <x:c r="AB413" s="245" t="n">
        <x:f>X413</x:f>
        <x:v>0.028438968123955338</x:v>
      </x:c>
      <x:c r="AC413" s="245" t="n">
        <x:f>Y413*D413</x:f>
        <x:v>0</x:v>
      </x:c>
      <x:c r="AD413" s="245" t="n">
        <x:f>Y413*E413</x:f>
        <x:v>0</x:v>
      </x:c>
      <x:c r="AE413" s="245" t="n">
        <x:f>Y413</x:f>
        <x:v>-0.02597348452608096</x:v>
      </x:c>
      <x:c r="AF413" s="245" t="n">
        <x:f>W413*Q413</x:f>
        <x:v>0.008731421076781766</x:v>
      </x:c>
      <x:c r="AG413" s="245" t="n">
        <x:f>W413*S413</x:f>
        <x:v>0.05091419166550368</x:v>
      </x:c>
      <x:c r="AH413" s="245" t="n">
        <x:f>W413</x:f>
        <x:v>0.059467510899615925</x:v>
      </x:c>
      <x:c r="AI413" s="246" t="n">
        <x:f>G413-$B$4*Z413</x:f>
        <x:v>2.996061197018941</x:v>
      </x:c>
      <x:c r="AJ413" s="246" t="n">
        <x:f>H413-$B$4*AA413</x:f>
        <x:v>-3.4371707928643076</x:v>
      </x:c>
      <x:c r="AK413" s="246" t="n">
        <x:f>I413-$B$4*AB413</x:f>
        <x:v>-1.7881483188651175</x:v>
      </x:c>
      <x:c r="AL413" s="246" t="n">
        <x:f>J413-$B$4*AC413</x:f>
        <x:v>3.306604690192458</x:v>
      </x:c>
      <x:c r="AM413" s="246" t="n">
        <x:f>K413-$B$4*AD413</x:f>
        <x:v>-3.1523738291396888</x:v>
      </x:c>
      <x:c r="AN413" s="246" t="n">
        <x:f>L413-$B$4*AE413</x:f>
        <x:v>1.8097957617384524</x:v>
      </x:c>
      <x:c r="AO413" s="246" t="n">
        <x:f>M413-$B$4*AF413</x:f>
        <x:v>3.808879540310271</x:v>
      </x:c>
      <x:c r="AP413" s="246" t="n">
        <x:f>N413-$B$4*AG413</x:f>
        <x:v>-3.597712098524494</x:v>
      </x:c>
      <x:c r="AQ413" s="246" t="n">
        <x:f>O413-$B$4*AH413</x:f>
        <x:v>1.5176641442989303</x:v>
      </x:c>
      <x:c r="AR413" s="182" t="n">
        <x:f>IF(U413&gt;=$B$5,1,0)</x:f>
        <x:v>0</x:v>
      </x:c>
      <x:c r="AS413" s="182" t="n">
        <x:f>IF(AR413=F413,1,0)</x:f>
        <x:v>1</x:v>
      </x:c>
      <x:c r="AT413" s="252" t="n">
        <x:f>ABS(F413-U413)</x:f>
        <x:v>0.2892567551887932</x:v>
      </x:c>
    </x:row>
    <x:row r="414">
      <x:c r="A414" s="114" t="n">
        <x:v>398</x:v>
      </x:c>
      <x:c r="B414" s="114" t="n">
        <x:v>100</x:v>
      </x:c>
      <x:c r="C414" s="114" t="n">
        <x:v>2</x:v>
      </x:c>
      <x:c r="D414" s="168" t="n">
        <x:f>$I$6</x:f>
        <x:v>0</x:v>
      </x:c>
      <x:c r="E414" s="168" t="n">
        <x:f>$J$6</x:f>
        <x:v>1</x:v>
      </x:c>
      <x:c r="F414" s="168" t="n">
        <x:f>$K$6</x:f>
        <x:v>1</x:v>
      </x:c>
      <x:c r="G414" s="242" t="n">
        <x:f>AI413</x:f>
        <x:v>2.996061197018941</x:v>
      </x:c>
      <x:c r="H414" s="242" t="n">
        <x:f>AJ413</x:f>
        <x:v>-3.4371707928643076</x:v>
      </x:c>
      <x:c r="I414" s="242" t="n">
        <x:f>AK413</x:f>
        <x:v>-1.7881483188651175</x:v>
      </x:c>
      <x:c r="J414" s="242" t="n">
        <x:f>AL413</x:f>
        <x:v>3.306604690192458</x:v>
      </x:c>
      <x:c r="K414" s="242" t="n">
        <x:f>AM413</x:f>
        <x:v>-3.1523738291396888</x:v>
      </x:c>
      <x:c r="L414" s="242" t="n">
        <x:f>AN413</x:f>
        <x:v>1.8097957617384524</x:v>
      </x:c>
      <x:c r="M414" s="242" t="n">
        <x:f>AO413</x:f>
        <x:v>3.808879540310271</x:v>
      </x:c>
      <x:c r="N414" s="242" t="n">
        <x:f>AP413</x:f>
        <x:v>-3.597712098524494</x:v>
      </x:c>
      <x:c r="O414" s="242" t="n">
        <x:f>AQ413</x:f>
        <x:v>1.5176641442989303</x:v>
      </x:c>
      <x:c r="P414" s="243" t="n">
        <x:f>D414*G414+E414*H414+I414</x:f>
        <x:v>-5.225319111729425</x:v>
      </x:c>
      <x:c r="Q414" s="243" t="n">
        <x:f>1/(1+EXP(-P414))</x:f>
        <x:v>0.005349868264770425</x:v>
      </x:c>
      <x:c r="R414" s="243" t="n">
        <x:f>D414*J414+E414*K414+L414</x:f>
        <x:v>-1.3425780674012364</x:v>
      </x:c>
      <x:c r="S414" s="243" t="n">
        <x:f>1/(1+EXP(-R414))</x:f>
        <x:v>0.20708641600470432</x:v>
      </x:c>
      <x:c r="T414" s="243" t="n">
        <x:f>Q414*M414+S414*N414+O414</x:f>
        <x:v>0.7930038437757685</x:v>
      </x:c>
      <x:c r="U414" s="243" t="n">
        <x:f>1/(1+EXP(-T414))</x:f>
        <x:v>0.6884759499005682</x:v>
      </x:c>
      <x:c r="V414" s="243" t="n">
        <x:f>0.5*(F414-U414)^2</x:f>
        <x:v>0.04852361689517666</x:v>
      </x:c>
      <x:c r="W414" s="244" t="n">
        <x:f>(U414-F414)*U414*(1-U414)</x:f>
        <x:v>-0.06681468646903602</x:v>
      </x:c>
      <x:c r="X414" s="244" t="n">
        <x:f>W414*M414*Q414*(1-Q414)</x:f>
        <x:v>-0.001354199363212338</x:v>
      </x:c>
      <x:c r="Y414" s="244" t="n">
        <x:f>W414*N414*S414*(1-S414)</x:f>
        <x:v>0.039470789338587484</x:v>
      </x:c>
      <x:c r="Z414" s="245" t="n">
        <x:f>X414*D414</x:f>
        <x:v>0</x:v>
      </x:c>
      <x:c r="AA414" s="245" t="n">
        <x:f>X414*E414</x:f>
        <x:v>-0.001354199363212338</x:v>
      </x:c>
      <x:c r="AB414" s="245" t="n">
        <x:f>X414</x:f>
        <x:v>-0.001354199363212338</x:v>
      </x:c>
      <x:c r="AC414" s="245" t="n">
        <x:f>Y414*D414</x:f>
        <x:v>0</x:v>
      </x:c>
      <x:c r="AD414" s="245" t="n">
        <x:f>Y414*E414</x:f>
        <x:v>0.039470789338587484</x:v>
      </x:c>
      <x:c r="AE414" s="245" t="n">
        <x:f>Y414</x:f>
        <x:v>0.039470789338587484</x:v>
      </x:c>
      <x:c r="AF414" s="245" t="n">
        <x:f>W414*Q414</x:f>
        <x:v>-0.0003574497707612817</x:v>
      </x:c>
      <x:c r="AG414" s="245" t="n">
        <x:f>W414*S414</x:f>
        <x:v>-0.01383641395735068</x:v>
      </x:c>
      <x:c r="AH414" s="245" t="n">
        <x:f>W414</x:f>
        <x:v>-0.06681468646903602</x:v>
      </x:c>
      <x:c r="AI414" s="246" t="n">
        <x:f>G414-$B$4*Z414</x:f>
        <x:v>2.996061197018941</x:v>
      </x:c>
      <x:c r="AJ414" s="246" t="n">
        <x:f>H414-$B$4*AA414</x:f>
        <x:v>-3.4358165935010954</x:v>
      </x:c>
      <x:c r="AK414" s="246" t="n">
        <x:f>I414-$B$4*AB414</x:f>
        <x:v>-1.7867941195019053</x:v>
      </x:c>
      <x:c r="AL414" s="246" t="n">
        <x:f>J414-$B$4*AC414</x:f>
        <x:v>3.306604690192458</x:v>
      </x:c>
      <x:c r="AM414" s="246" t="n">
        <x:f>K414-$B$4*AD414</x:f>
        <x:v>-3.1918446184782763</x:v>
      </x:c>
      <x:c r="AN414" s="246" t="n">
        <x:f>L414-$B$4*AE414</x:f>
        <x:v>1.7703249723998649</x:v>
      </x:c>
      <x:c r="AO414" s="246" t="n">
        <x:f>M414-$B$4*AF414</x:f>
        <x:v>3.809236990081032</x:v>
      </x:c>
      <x:c r="AP414" s="246" t="n">
        <x:f>N414-$B$4*AG414</x:f>
        <x:v>-3.5838756845671433</x:v>
      </x:c>
      <x:c r="AQ414" s="246" t="n">
        <x:f>O414-$B$4*AH414</x:f>
        <x:v>1.5844788307679663</x:v>
      </x:c>
      <x:c r="AR414" s="182" t="n">
        <x:f>IF(U414&gt;=$B$5,1,0)</x:f>
        <x:v>1</x:v>
      </x:c>
      <x:c r="AS414" s="182" t="n">
        <x:f>IF(AR414=F414,1,0)</x:f>
        <x:v>1</x:v>
      </x:c>
      <x:c r="AT414" s="252" t="n">
        <x:f>ABS(F414-U414)</x:f>
        <x:v>0.31152405009943185</x:v>
      </x:c>
    </x:row>
    <x:row r="415">
      <x:c r="A415" s="114" t="n">
        <x:v>399</x:v>
      </x:c>
      <x:c r="B415" s="114" t="n">
        <x:v>100</x:v>
      </x:c>
      <x:c r="C415" s="114" t="n">
        <x:v>3</x:v>
      </x:c>
      <x:c r="D415" s="168" t="n">
        <x:f>$I$7</x:f>
        <x:v>1</x:v>
      </x:c>
      <x:c r="E415" s="168" t="n">
        <x:f>$J$7</x:f>
        <x:v>0</x:v>
      </x:c>
      <x:c r="F415" s="168" t="n">
        <x:f>$K$7</x:f>
        <x:v>1</x:v>
      </x:c>
      <x:c r="G415" s="242" t="n">
        <x:f>AI414</x:f>
        <x:v>2.996061197018941</x:v>
      </x:c>
      <x:c r="H415" s="242" t="n">
        <x:f>AJ414</x:f>
        <x:v>-3.4358165935010954</x:v>
      </x:c>
      <x:c r="I415" s="242" t="n">
        <x:f>AK414</x:f>
        <x:v>-1.7867941195019053</x:v>
      </x:c>
      <x:c r="J415" s="242" t="n">
        <x:f>AL414</x:f>
        <x:v>3.306604690192458</x:v>
      </x:c>
      <x:c r="K415" s="242" t="n">
        <x:f>AM414</x:f>
        <x:v>-3.1918446184782763</x:v>
      </x:c>
      <x:c r="L415" s="242" t="n">
        <x:f>AN414</x:f>
        <x:v>1.7703249723998649</x:v>
      </x:c>
      <x:c r="M415" s="242" t="n">
        <x:f>AO414</x:f>
        <x:v>3.809236990081032</x:v>
      </x:c>
      <x:c r="N415" s="242" t="n">
        <x:f>AP414</x:f>
        <x:v>-3.5838756845671433</x:v>
      </x:c>
      <x:c r="O415" s="242" t="n">
        <x:f>AQ414</x:f>
        <x:v>1.5844788307679663</x:v>
      </x:c>
      <x:c r="P415" s="243" t="n">
        <x:f>D415*G415+E415*H415+I415</x:f>
        <x:v>1.2092670775170355</x:v>
      </x:c>
      <x:c r="Q415" s="243" t="n">
        <x:f>1/(1+EXP(-P415))</x:f>
        <x:v>0.7701692411674833</x:v>
      </x:c>
      <x:c r="R415" s="243" t="n">
        <x:f>D415*J415+E415*K415+L415</x:f>
        <x:v>5.076929662592323</x:v>
      </x:c>
      <x:c r="S415" s="243" t="n">
        <x:f>1/(1+EXP(-R415))</x:f>
        <x:v>0.9937996486300745</x:v>
      </x:c>
      <x:c r="T415" s="243" t="n">
        <x:f>Q415*M415+S415*N415+O415</x:f>
        <x:v>0.9565815967890878</x:v>
      </x:c>
      <x:c r="U415" s="243" t="n">
        <x:f>1/(1+EXP(-T415))</x:f>
        <x:v>0.7224368620977442</x:v>
      </x:c>
      <x:c r="V415" s="243" t="n">
        <x:f>0.5*(F415-U415)^2</x:f>
        <x:v>0.03852064776107335</x:v>
      </x:c>
      <x:c r="W415" s="244" t="n">
        <x:f>(U415-F415)*U415*(1-U415)</x:f>
        <x:v>-0.055657471788964644</x:v>
      </x:c>
      <x:c r="X415" s="244" t="n">
        <x:f>W415*M415*Q415*(1-Q415)</x:f>
        <x:v>-0.03752803186157392</x:v>
      </x:c>
      <x:c r="Y415" s="244" t="n">
        <x:f>W415*N415*S415*(1-S415)</x:f>
        <x:v>0.001229112263239189</x:v>
      </x:c>
      <x:c r="Z415" s="245" t="n">
        <x:f>X415*D415</x:f>
        <x:v>-0.03752803186157392</x:v>
      </x:c>
      <x:c r="AA415" s="245" t="n">
        <x:f>X415*E415</x:f>
        <x:v>0</x:v>
      </x:c>
      <x:c r="AB415" s="245" t="n">
        <x:f>X415</x:f>
        <x:v>-0.03752803186157392</x:v>
      </x:c>
      <x:c r="AC415" s="245" t="n">
        <x:f>Y415*D415</x:f>
        <x:v>0.001229112263239189</x:v>
      </x:c>
      <x:c r="AD415" s="245" t="n">
        <x:f>Y415*E415</x:f>
        <x:v>0</x:v>
      </x:c>
      <x:c r="AE415" s="245" t="n">
        <x:f>Y415</x:f>
        <x:v>0.001229112263239189</x:v>
      </x:c>
      <x:c r="AF415" s="245" t="n">
        <x:f>W415*Q415</x:f>
        <x:v>-0.04286567281300751</x:v>
      </x:c>
      <x:c r="AG415" s="245" t="n">
        <x:f>W415*S415</x:f>
        <x:v>-0.05531237590751135</x:v>
      </x:c>
      <x:c r="AH415" s="245" t="n">
        <x:f>W415</x:f>
        <x:v>-0.055657471788964644</x:v>
      </x:c>
      <x:c r="AI415" s="246" t="n">
        <x:f>G415-$B$4*Z415</x:f>
        <x:v>3.0335892288805146</x:v>
      </x:c>
      <x:c r="AJ415" s="246" t="n">
        <x:f>H415-$B$4*AA415</x:f>
        <x:v>-3.4358165935010954</x:v>
      </x:c>
      <x:c r="AK415" s="246" t="n">
        <x:f>I415-$B$4*AB415</x:f>
        <x:v>-1.7492660876403314</x:v>
      </x:c>
      <x:c r="AL415" s="246" t="n">
        <x:f>J415-$B$4*AC415</x:f>
        <x:v>3.305375577929219</x:v>
      </x:c>
      <x:c r="AM415" s="246" t="n">
        <x:f>K415-$B$4*AD415</x:f>
        <x:v>-3.1918446184782763</x:v>
      </x:c>
      <x:c r="AN415" s="246" t="n">
        <x:f>L415-$B$4*AE415</x:f>
        <x:v>1.7690958601366256</x:v>
      </x:c>
      <x:c r="AO415" s="246" t="n">
        <x:f>M415-$B$4*AF415</x:f>
        <x:v>3.8521026628940396</x:v>
      </x:c>
      <x:c r="AP415" s="246" t="n">
        <x:f>N415-$B$4*AG415</x:f>
        <x:v>-3.528563308659632</x:v>
      </x:c>
      <x:c r="AQ415" s="246" t="n">
        <x:f>O415-$B$4*AH415</x:f>
        <x:v>1.6401363025569309</x:v>
      </x:c>
      <x:c r="AR415" s="182" t="n">
        <x:f>IF(U415&gt;=$B$5,1,0)</x:f>
        <x:v>1</x:v>
      </x:c>
      <x:c r="AS415" s="182" t="n">
        <x:f>IF(AR415=F415,1,0)</x:f>
        <x:v>1</x:v>
      </x:c>
      <x:c r="AT415" s="252" t="n">
        <x:f>ABS(F415-U415)</x:f>
        <x:v>0.27756313790225584</x:v>
      </x:c>
    </x:row>
    <x:row r="416">
      <x:c r="A416" s="114" t="n">
        <x:v>400</x:v>
      </x:c>
      <x:c r="B416" s="114" t="n">
        <x:v>100</x:v>
      </x:c>
      <x:c r="C416" s="114" t="n">
        <x:v>4</x:v>
      </x:c>
      <x:c r="D416" s="168" t="n">
        <x:f>$I$8</x:f>
        <x:v>1</x:v>
      </x:c>
      <x:c r="E416" s="168" t="n">
        <x:f>$J$8</x:f>
        <x:v>1</x:v>
      </x:c>
      <x:c r="F416" s="168" t="n">
        <x:f>$K$8</x:f>
        <x:v>0</x:v>
      </x:c>
      <x:c r="G416" s="242" t="n">
        <x:f>AI415</x:f>
        <x:v>3.0335892288805146</x:v>
      </x:c>
      <x:c r="H416" s="242" t="n">
        <x:f>AJ415</x:f>
        <x:v>-3.4358165935010954</x:v>
      </x:c>
      <x:c r="I416" s="242" t="n">
        <x:f>AK415</x:f>
        <x:v>-1.7492660876403314</x:v>
      </x:c>
      <x:c r="J416" s="242" t="n">
        <x:f>AL415</x:f>
        <x:v>3.305375577929219</x:v>
      </x:c>
      <x:c r="K416" s="242" t="n">
        <x:f>AM415</x:f>
        <x:v>-3.1918446184782763</x:v>
      </x:c>
      <x:c r="L416" s="242" t="n">
        <x:f>AN415</x:f>
        <x:v>1.7690958601366256</x:v>
      </x:c>
      <x:c r="M416" s="242" t="n">
        <x:f>AO415</x:f>
        <x:v>3.8521026628940396</x:v>
      </x:c>
      <x:c r="N416" s="242" t="n">
        <x:f>AP415</x:f>
        <x:v>-3.528563308659632</x:v>
      </x:c>
      <x:c r="O416" s="242" t="n">
        <x:f>AQ415</x:f>
        <x:v>1.6401363025569309</x:v>
      </x:c>
      <x:c r="P416" s="243" t="n">
        <x:f>D416*G416+E416*H416+I416</x:f>
        <x:v>-2.151493452260912</x:v>
      </x:c>
      <x:c r="Q416" s="243" t="n">
        <x:f>1/(1+EXP(-P416))</x:f>
        <x:v>0.1041917480954086</x:v>
      </x:c>
      <x:c r="R416" s="243" t="n">
        <x:f>D416*J416+E416*K416+L416</x:f>
        <x:v>1.8826268195875682</x:v>
      </x:c>
      <x:c r="S416" s="243" t="n">
        <x:f>1/(1+EXP(-R416))</x:f>
        <x:v>0.8679125571169618</x:v>
      </x:c>
      <x:c r="T416" s="243" t="n">
        <x:f>Q416*M416+S416*N416+O416</x:f>
        <x:v>-1.0209907913210297</x:v>
      </x:c>
      <x:c r="U416" s="243" t="n">
        <x:f>1/(1+EXP(-T416))</x:f>
        <x:v>0.2648344513310714</x:v>
      </x:c>
      <x:c r="V416" s="243" t="n">
        <x:f>0.5*(F416-U416)^2</x:f>
        <x:v>0.03506864330591482</x:v>
      </x:c>
      <x:c r="W416" s="244" t="n">
        <x:f>(U416-F416)*U416*(1-U416)</x:f>
        <x:v>0.051562516794135635</x:v>
      </x:c>
      <x:c r="X416" s="244" t="n">
        <x:f>W416*M416*Q416*(1-Q416)</x:f>
        <x:v>0.0185387455493339</x:v>
      </x:c>
      <x:c r="Y416" s="244" t="n">
        <x:f>W416*N416*S416*(1-S416)</x:f>
        <x:v>-0.020857849318365092</x:v>
      </x:c>
      <x:c r="Z416" s="245" t="n">
        <x:f>X416*D416</x:f>
        <x:v>0.0185387455493339</x:v>
      </x:c>
      <x:c r="AA416" s="245" t="n">
        <x:f>X416*E416</x:f>
        <x:v>0.0185387455493339</x:v>
      </x:c>
      <x:c r="AB416" s="245" t="n">
        <x:f>X416</x:f>
        <x:v>0.0185387455493339</x:v>
      </x:c>
      <x:c r="AC416" s="245" t="n">
        <x:f>Y416*D416</x:f>
        <x:v>-0.020857849318365092</x:v>
      </x:c>
      <x:c r="AD416" s="245" t="n">
        <x:f>Y416*E416</x:f>
        <x:v>-0.020857849318365092</x:v>
      </x:c>
      <x:c r="AE416" s="245" t="n">
        <x:f>Y416</x:f>
        <x:v>-0.020857849318365092</x:v>
      </x:c>
      <x:c r="AF416" s="245" t="n">
        <x:f>W416*Q416</x:f>
        <x:v>0.005372388760979855</x:v>
      </x:c>
      <x:c r="AG416" s="245" t="n">
        <x:f>W416*S416</x:f>
        <x:v>0.044751755802184545</x:v>
      </x:c>
      <x:c r="AH416" s="245" t="n">
        <x:f>W416</x:f>
        <x:v>0.051562516794135635</x:v>
      </x:c>
      <x:c r="AI416" s="246" t="n">
        <x:f>G416-$B$4*Z416</x:f>
        <x:v>3.015050483331181</x:v>
      </x:c>
      <x:c r="AJ416" s="246" t="n">
        <x:f>H416-$B$4*AA416</x:f>
        <x:v>-3.454355339050429</x:v>
      </x:c>
      <x:c r="AK416" s="246" t="n">
        <x:f>I416-$B$4*AB416</x:f>
        <x:v>-1.7678048331896654</x:v>
      </x:c>
      <x:c r="AL416" s="246" t="n">
        <x:f>J416-$B$4*AC416</x:f>
        <x:v>3.3262334272475838</x:v>
      </x:c>
      <x:c r="AM416" s="246" t="n">
        <x:f>K416-$B$4*AD416</x:f>
        <x:v>-3.1709867691599114</x:v>
      </x:c>
      <x:c r="AN416" s="246" t="n">
        <x:f>L416-$B$4*AE416</x:f>
        <x:v>1.7899537094549907</x:v>
      </x:c>
      <x:c r="AO416" s="246" t="n">
        <x:f>M416-$B$4*AF416</x:f>
        <x:v>3.84673027413306</x:v>
      </x:c>
      <x:c r="AP416" s="246" t="n">
        <x:f>N416-$B$4*AG416</x:f>
        <x:v>-3.573315064461817</x:v>
      </x:c>
      <x:c r="AQ416" s="246" t="n">
        <x:f>O416-$B$4*AH416</x:f>
        <x:v>1.5885737857627953</x:v>
      </x:c>
      <x:c r="AR416" s="182" t="n">
        <x:f>IF(U416&gt;=$B$5,1,0)</x:f>
        <x:v>0</x:v>
      </x:c>
      <x:c r="AS416" s="182" t="n">
        <x:f>IF(AR416=F416,1,0)</x:f>
        <x:v>1</x:v>
      </x:c>
      <x:c r="AT416" s="252" t="n">
        <x:f>ABS(F416-U416)</x:f>
        <x:v>0.2648344513310714</x:v>
      </x:c>
    </x:row>
    <x:row r="417">
      <x:c r="A417" s="114" t="n">
        <x:v>401</x:v>
      </x:c>
      <x:c r="B417" s="114" t="n">
        <x:v>101</x:v>
      </x:c>
      <x:c r="C417" s="114" t="n">
        <x:v>1</x:v>
      </x:c>
      <x:c r="D417" s="168" t="n">
        <x:f>$I$5</x:f>
        <x:v>0</x:v>
      </x:c>
      <x:c r="E417" s="168" t="n">
        <x:f>$J$5</x:f>
        <x:v>0</x:v>
      </x:c>
      <x:c r="F417" s="168" t="n">
        <x:f>$K$5</x:f>
        <x:v>0</x:v>
      </x:c>
      <x:c r="G417" s="242" t="n">
        <x:f>AI416</x:f>
        <x:v>3.015050483331181</x:v>
      </x:c>
      <x:c r="H417" s="242" t="n">
        <x:f>AJ416</x:f>
        <x:v>-3.454355339050429</x:v>
      </x:c>
      <x:c r="I417" s="242" t="n">
        <x:f>AK416</x:f>
        <x:v>-1.7678048331896654</x:v>
      </x:c>
      <x:c r="J417" s="242" t="n">
        <x:f>AL416</x:f>
        <x:v>3.3262334272475838</x:v>
      </x:c>
      <x:c r="K417" s="242" t="n">
        <x:f>AM416</x:f>
        <x:v>-3.1709867691599114</x:v>
      </x:c>
      <x:c r="L417" s="242" t="n">
        <x:f>AN416</x:f>
        <x:v>1.7899537094549907</x:v>
      </x:c>
      <x:c r="M417" s="242" t="n">
        <x:f>AO416</x:f>
        <x:v>3.84673027413306</x:v>
      </x:c>
      <x:c r="N417" s="242" t="n">
        <x:f>AP416</x:f>
        <x:v>-3.573315064461817</x:v>
      </x:c>
      <x:c r="O417" s="242" t="n">
        <x:f>AQ416</x:f>
        <x:v>1.5885737857627953</x:v>
      </x:c>
      <x:c r="P417" s="243" t="n">
        <x:f>D417*G417+E417*H417+I417</x:f>
        <x:v>-1.7678048331896654</x:v>
      </x:c>
      <x:c r="Q417" s="243" t="n">
        <x:f>1/(1+EXP(-P417))</x:f>
        <x:v>0.14581553182113421</x:v>
      </x:c>
      <x:c r="R417" s="243" t="n">
        <x:f>D417*J417+E417*K417+L417</x:f>
        <x:v>1.7899537094549907</x:v>
      </x:c>
      <x:c r="S417" s="243" t="n">
        <x:f>1/(1+EXP(-R417))</x:f>
        <x:v>0.8569216010701953</x:v>
      </x:c>
      <x:c r="T417" s="243" t="n">
        <x:f>Q417*M417+S417*N417+O417</x:f>
        <x:v>-0.9125640597089035</x:v>
      </x:c>
      <x:c r="U417" s="243" t="n">
        <x:f>1/(1+EXP(-T417))</x:f>
        <x:v>0.2864754380085927</x:v>
      </x:c>
      <x:c r="V417" s="243" t="n">
        <x:f>0.5*(F417-U417)^2</x:f>
        <x:v>0.04103408829110752</x:v>
      </x:c>
      <x:c r="W417" s="244" t="n">
        <x:f>(U417-F417)*U417*(1-U417)</x:f>
        <x:v>0.05855765974925846</x:v>
      </x:c>
      <x:c r="X417" s="244" t="n">
        <x:f>W417*M417*Q417*(1-Q417)</x:f>
        <x:v>0.028056332754225904</x:v>
      </x:c>
      <x:c r="Y417" s="244" t="n">
        <x:f>W417*N417*S417*(1-S417)</x:f>
        <x:v>-0.02565489162437184</x:v>
      </x:c>
      <x:c r="Z417" s="245" t="n">
        <x:f>X417*D417</x:f>
        <x:v>0</x:v>
      </x:c>
      <x:c r="AA417" s="245" t="n">
        <x:f>X417*E417</x:f>
        <x:v>0</x:v>
      </x:c>
      <x:c r="AB417" s="245" t="n">
        <x:f>X417</x:f>
        <x:v>0.028056332754225904</x:v>
      </x:c>
      <x:c r="AC417" s="245" t="n">
        <x:f>Y417*D417</x:f>
        <x:v>0</x:v>
      </x:c>
      <x:c r="AD417" s="245" t="n">
        <x:f>Y417*E417</x:f>
        <x:v>0</x:v>
      </x:c>
      <x:c r="AE417" s="245" t="n">
        <x:f>Y417</x:f>
        <x:v>-0.02565489162437184</x:v>
      </x:c>
      <x:c r="AF417" s="245" t="n">
        <x:f>W417*Q417</x:f>
        <x:v>0.008538616298539147</x:v>
      </x:c>
      <x:c r="AG417" s="245" t="n">
        <x:f>W417*S417</x:f>
        <x:v>0.05017932354725829</x:v>
      </x:c>
      <x:c r="AH417" s="245" t="n">
        <x:f>W417</x:f>
        <x:v>0.05855765974925846</x:v>
      </x:c>
      <x:c r="AI417" s="246" t="n">
        <x:f>G417-$B$4*Z417</x:f>
        <x:v>3.015050483331181</x:v>
      </x:c>
      <x:c r="AJ417" s="246" t="n">
        <x:f>H417-$B$4*AA417</x:f>
        <x:v>-3.454355339050429</x:v>
      </x:c>
      <x:c r="AK417" s="246" t="n">
        <x:f>I417-$B$4*AB417</x:f>
        <x:v>-1.7958611659438912</x:v>
      </x:c>
      <x:c r="AL417" s="246" t="n">
        <x:f>J417-$B$4*AC417</x:f>
        <x:v>3.3262334272475838</x:v>
      </x:c>
      <x:c r="AM417" s="246" t="n">
        <x:f>K417-$B$4*AD417</x:f>
        <x:v>-3.1709867691599114</x:v>
      </x:c>
      <x:c r="AN417" s="246" t="n">
        <x:f>L417-$B$4*AE417</x:f>
        <x:v>1.8156086010793624</x:v>
      </x:c>
      <x:c r="AO417" s="246" t="n">
        <x:f>M417-$B$4*AF417</x:f>
        <x:v>3.8381916578345208</x:v>
      </x:c>
      <x:c r="AP417" s="246" t="n">
        <x:f>N417-$B$4*AG417</x:f>
        <x:v>-3.623494388009075</x:v>
      </x:c>
      <x:c r="AQ417" s="246" t="n">
        <x:f>O417-$B$4*AH417</x:f>
        <x:v>1.5300161260135368</x:v>
      </x:c>
      <x:c r="AR417" s="182" t="n">
        <x:f>IF(U417&gt;=$B$5,1,0)</x:f>
        <x:v>0</x:v>
      </x:c>
      <x:c r="AS417" s="182" t="n">
        <x:f>IF(AR417=F417,1,0)</x:f>
        <x:v>1</x:v>
      </x:c>
      <x:c r="AT417" s="252" t="n">
        <x:f>ABS(F417-U417)</x:f>
        <x:v>0.2864754380085927</x:v>
      </x:c>
    </x:row>
    <x:row r="418">
      <x:c r="A418" s="114" t="n">
        <x:v>402</x:v>
      </x:c>
      <x:c r="B418" s="114" t="n">
        <x:v>101</x:v>
      </x:c>
      <x:c r="C418" s="114" t="n">
        <x:v>2</x:v>
      </x:c>
      <x:c r="D418" s="168" t="n">
        <x:f>$I$6</x:f>
        <x:v>0</x:v>
      </x:c>
      <x:c r="E418" s="168" t="n">
        <x:f>$J$6</x:f>
        <x:v>1</x:v>
      </x:c>
      <x:c r="F418" s="168" t="n">
        <x:f>$K$6</x:f>
        <x:v>1</x:v>
      </x:c>
      <x:c r="G418" s="242" t="n">
        <x:f>AI417</x:f>
        <x:v>3.015050483331181</x:v>
      </x:c>
      <x:c r="H418" s="242" t="n">
        <x:f>AJ417</x:f>
        <x:v>-3.454355339050429</x:v>
      </x:c>
      <x:c r="I418" s="242" t="n">
        <x:f>AK417</x:f>
        <x:v>-1.7958611659438912</x:v>
      </x:c>
      <x:c r="J418" s="242" t="n">
        <x:f>AL417</x:f>
        <x:v>3.3262334272475838</x:v>
      </x:c>
      <x:c r="K418" s="242" t="n">
        <x:f>AM417</x:f>
        <x:v>-3.1709867691599114</x:v>
      </x:c>
      <x:c r="L418" s="242" t="n">
        <x:f>AN417</x:f>
        <x:v>1.8156086010793624</x:v>
      </x:c>
      <x:c r="M418" s="242" t="n">
        <x:f>AO417</x:f>
        <x:v>3.8381916578345208</x:v>
      </x:c>
      <x:c r="N418" s="242" t="n">
        <x:f>AP417</x:f>
        <x:v>-3.623494388009075</x:v>
      </x:c>
      <x:c r="O418" s="242" t="n">
        <x:f>AQ417</x:f>
        <x:v>1.5300161260135368</x:v>
      </x:c>
      <x:c r="P418" s="243" t="n">
        <x:f>D418*G418+E418*H418+I418</x:f>
        <x:v>-5.25021650499432</x:v>
      </x:c>
      <x:c r="Q418" s="243" t="n">
        <x:f>1/(1+EXP(-P418))</x:f>
        <x:v>0.00521900153040091</x:v>
      </x:c>
      <x:c r="R418" s="243" t="n">
        <x:f>D418*J418+E418*K418+L418</x:f>
        <x:v>-1.355378168080549</x:v>
      </x:c>
      <x:c r="S418" s="243" t="n">
        <x:f>1/(1+EXP(-R418))</x:f>
        <x:v>0.2049924979446565</x:v>
      </x:c>
      <x:c r="T418" s="243" t="n">
        <x:f>Q418*M418+S418*N418+O418</x:f>
        <x:v>0.8072584882633225</x:v>
      </x:c>
      <x:c r="U418" s="243" t="n">
        <x:f>1/(1+EXP(-T418))</x:f>
        <x:v>0.6915249972922825</x:v>
      </x:c>
      <x:c r="V418" s="243" t="n">
        <x:f>0.5*(F418-U418)^2</x:f>
        <x:v>0.047578413647763176</x:v>
      </x:c>
      <x:c r="W418" s="244" t="n">
        <x:f>(U418-F418)*U418*(1-U418)</x:f>
        <x:v>-0.06580332473788104</x:v>
      </x:c>
      <x:c r="X418" s="244" t="n">
        <x:f>W418*M418*Q418*(1-Q418)</x:f>
        <x:v>-0.0013112617702589959</x:v>
      </x:c>
      <x:c r="Y418" s="244" t="n">
        <x:f>W418*N418*S418*(1-S418)</x:f>
        <x:v>0.03885837405764662</x:v>
      </x:c>
      <x:c r="Z418" s="245" t="n">
        <x:f>X418*D418</x:f>
        <x:v>0</x:v>
      </x:c>
      <x:c r="AA418" s="245" t="n">
        <x:f>X418*E418</x:f>
        <x:v>-0.0013112617702589959</x:v>
      </x:c>
      <x:c r="AB418" s="245" t="n">
        <x:f>X418</x:f>
        <x:v>-0.0013112617702589959</x:v>
      </x:c>
      <x:c r="AC418" s="245" t="n">
        <x:f>Y418*D418</x:f>
        <x:v>0</x:v>
      </x:c>
      <x:c r="AD418" s="245" t="n">
        <x:f>Y418*E418</x:f>
        <x:v>0.03885837405764662</x:v>
      </x:c>
      <x:c r="AE418" s="245" t="n">
        <x:f>Y418</x:f>
        <x:v>0.03885837405764662</x:v>
      </x:c>
      <x:c r="AF418" s="245" t="n">
        <x:f>W418*Q418</x:f>
        <x:v>-0.00034342765251246923</x:v>
      </x:c>
      <x:c r="AG418" s="245" t="n">
        <x:f>W418*S418</x:f>
        <x:v>-0.013489187911081644</x:v>
      </x:c>
      <x:c r="AH418" s="245" t="n">
        <x:f>W418</x:f>
        <x:v>-0.06580332473788104</x:v>
      </x:c>
      <x:c r="AI418" s="246" t="n">
        <x:f>G418-$B$4*Z418</x:f>
        <x:v>3.015050483331181</x:v>
      </x:c>
      <x:c r="AJ418" s="246" t="n">
        <x:f>H418-$B$4*AA418</x:f>
        <x:v>-3.45304407728017</x:v>
      </x:c>
      <x:c r="AK418" s="246" t="n">
        <x:f>I418-$B$4*AB418</x:f>
        <x:v>-1.7945499041736321</x:v>
      </x:c>
      <x:c r="AL418" s="246" t="n">
        <x:f>J418-$B$4*AC418</x:f>
        <x:v>3.3262334272475838</x:v>
      </x:c>
      <x:c r="AM418" s="246" t="n">
        <x:f>K418-$B$4*AD418</x:f>
        <x:v>-3.209845143217558</x:v>
      </x:c>
      <x:c r="AN418" s="246" t="n">
        <x:f>L418-$B$4*AE418</x:f>
        <x:v>1.7767502270217157</x:v>
      </x:c>
      <x:c r="AO418" s="246" t="n">
        <x:f>M418-$B$4*AF418</x:f>
        <x:v>3.8385350854870333</x:v>
      </x:c>
      <x:c r="AP418" s="246" t="n">
        <x:f>N418-$B$4*AG418</x:f>
        <x:v>-3.6100052000979934</x:v>
      </x:c>
      <x:c r="AQ418" s="246" t="n">
        <x:f>O418-$B$4*AH418</x:f>
        <x:v>1.5958194507514178</x:v>
      </x:c>
      <x:c r="AR418" s="182" t="n">
        <x:f>IF(U418&gt;=$B$5,1,0)</x:f>
        <x:v>1</x:v>
      </x:c>
      <x:c r="AS418" s="182" t="n">
        <x:f>IF(AR418=F418,1,0)</x:f>
        <x:v>1</x:v>
      </x:c>
      <x:c r="AT418" s="252" t="n">
        <x:f>ABS(F418-U418)</x:f>
        <x:v>0.30847500270771755</x:v>
      </x:c>
    </x:row>
    <x:row r="419">
      <x:c r="A419" s="114" t="n">
        <x:v>403</x:v>
      </x:c>
      <x:c r="B419" s="114" t="n">
        <x:v>101</x:v>
      </x:c>
      <x:c r="C419" s="114" t="n">
        <x:v>3</x:v>
      </x:c>
      <x:c r="D419" s="168" t="n">
        <x:f>$I$7</x:f>
        <x:v>1</x:v>
      </x:c>
      <x:c r="E419" s="168" t="n">
        <x:f>$J$7</x:f>
        <x:v>0</x:v>
      </x:c>
      <x:c r="F419" s="168" t="n">
        <x:f>$K$7</x:f>
        <x:v>1</x:v>
      </x:c>
      <x:c r="G419" s="242" t="n">
        <x:f>AI418</x:f>
        <x:v>3.015050483331181</x:v>
      </x:c>
      <x:c r="H419" s="242" t="n">
        <x:f>AJ418</x:f>
        <x:v>-3.45304407728017</x:v>
      </x:c>
      <x:c r="I419" s="242" t="n">
        <x:f>AK418</x:f>
        <x:v>-1.7945499041736321</x:v>
      </x:c>
      <x:c r="J419" s="242" t="n">
        <x:f>AL418</x:f>
        <x:v>3.3262334272475838</x:v>
      </x:c>
      <x:c r="K419" s="242" t="n">
        <x:f>AM418</x:f>
        <x:v>-3.209845143217558</x:v>
      </x:c>
      <x:c r="L419" s="242" t="n">
        <x:f>AN418</x:f>
        <x:v>1.7767502270217157</x:v>
      </x:c>
      <x:c r="M419" s="242" t="n">
        <x:f>AO418</x:f>
        <x:v>3.8385350854870333</x:v>
      </x:c>
      <x:c r="N419" s="242" t="n">
        <x:f>AP418</x:f>
        <x:v>-3.6100052000979934</x:v>
      </x:c>
      <x:c r="O419" s="242" t="n">
        <x:f>AQ418</x:f>
        <x:v>1.5958194507514178</x:v>
      </x:c>
      <x:c r="P419" s="243" t="n">
        <x:f>D419*G419+E419*H419+I419</x:f>
        <x:v>1.2205005791575487</x:v>
      </x:c>
      <x:c r="Q419" s="243" t="n">
        <x:f>1/(1+EXP(-P419))</x:f>
        <x:v>0.772151630062808</x:v>
      </x:c>
      <x:c r="R419" s="243" t="n">
        <x:f>D419*J419+E419*K419+L419</x:f>
        <x:v>5.102983654269299</x:v>
      </x:c>
      <x:c r="S419" s="243" t="n">
        <x:f>1/(1+EXP(-R419))</x:f>
        <x:v>0.9939581428389485</x:v>
      </x:c>
      <x:c r="T419" s="243" t="n">
        <x:f>Q419*M419+S419*N419+O419</x:f>
        <x:v>0.9715565097351624</x:v>
      </x:c>
      <x:c r="U419" s="243" t="n">
        <x:f>1/(1+EXP(-T419))</x:f>
        <x:v>0.7254296344615634</x:v>
      </x:c>
      <x:c r="V419" s="243" t="n">
        <x:f>0.5*(F419-U419)^2</x:f>
        <x:v>0.03769444281595535</x:v>
      </x:c>
      <x:c r="W419" s="244" t="n">
        <x:f>(U419-F419)*U419*(1-U419)</x:f>
        <x:v>-0.054689331746421585</x:v>
      </x:c>
      <x:c r="X419" s="244" t="n">
        <x:f>W419*M419*Q419*(1-Q419)</x:f>
        <x:v>-0.03693317550703518</x:v>
      </x:c>
      <x:c r="Y419" s="244" t="n">
        <x:f>W419*N419*S419*(1-S419)</x:f>
        <x:v>0.0011856294924861722</x:v>
      </x:c>
      <x:c r="Z419" s="245" t="n">
        <x:f>X419*D419</x:f>
        <x:v>-0.03693317550703518</x:v>
      </x:c>
      <x:c r="AA419" s="245" t="n">
        <x:f>X419*E419</x:f>
        <x:v>0</x:v>
      </x:c>
      <x:c r="AB419" s="245" t="n">
        <x:f>X419</x:f>
        <x:v>-0.03693317550703518</x:v>
      </x:c>
      <x:c r="AC419" s="245" t="n">
        <x:f>Y419*D419</x:f>
        <x:v>0.0011856294924861722</x:v>
      </x:c>
      <x:c r="AD419" s="245" t="n">
        <x:f>Y419*E419</x:f>
        <x:v>0</x:v>
      </x:c>
      <x:c r="AE419" s="245" t="n">
        <x:f>Y419</x:f>
        <x:v>0.0011856294924861722</x:v>
      </x:c>
      <x:c r="AF419" s="245" t="n">
        <x:f>W419*Q419</x:f>
        <x:v>-0.0422284566550451</x:v>
      </x:c>
      <x:c r="AG419" s="245" t="n">
        <x:f>W419*S419</x:f>
        <x:v>-0.054358906615776345</x:v>
      </x:c>
      <x:c r="AH419" s="245" t="n">
        <x:f>W419</x:f>
        <x:v>-0.054689331746421585</x:v>
      </x:c>
      <x:c r="AI419" s="246" t="n">
        <x:f>G419-$B$4*Z419</x:f>
        <x:v>3.051983658838216</x:v>
      </x:c>
      <x:c r="AJ419" s="246" t="n">
        <x:f>H419-$B$4*AA419</x:f>
        <x:v>-3.45304407728017</x:v>
      </x:c>
      <x:c r="AK419" s="246" t="n">
        <x:f>I419-$B$4*AB419</x:f>
        <x:v>-1.757616728666597</x:v>
      </x:c>
      <x:c r="AL419" s="246" t="n">
        <x:f>J419-$B$4*AC419</x:f>
        <x:v>3.3250477977550976</x:v>
      </x:c>
      <x:c r="AM419" s="246" t="n">
        <x:f>K419-$B$4*AD419</x:f>
        <x:v>-3.209845143217558</x:v>
      </x:c>
      <x:c r="AN419" s="246" t="n">
        <x:f>L419-$B$4*AE419</x:f>
        <x:v>1.7755645975292296</x:v>
      </x:c>
      <x:c r="AO419" s="246" t="n">
        <x:f>M419-$B$4*AF419</x:f>
        <x:v>3.8807635421420783</x:v>
      </x:c>
      <x:c r="AP419" s="246" t="n">
        <x:f>N419-$B$4*AG419</x:f>
        <x:v>-3.555646293482217</x:v>
      </x:c>
      <x:c r="AQ419" s="246" t="n">
        <x:f>O419-$B$4*AH419</x:f>
        <x:v>1.6505087824978395</x:v>
      </x:c>
      <x:c r="AR419" s="182" t="n">
        <x:f>IF(U419&gt;=$B$5,1,0)</x:f>
        <x:v>1</x:v>
      </x:c>
      <x:c r="AS419" s="182" t="n">
        <x:f>IF(AR419=F419,1,0)</x:f>
        <x:v>1</x:v>
      </x:c>
      <x:c r="AT419" s="252" t="n">
        <x:f>ABS(F419-U419)</x:f>
        <x:v>0.2745703655384366</x:v>
      </x:c>
    </x:row>
    <x:row r="420">
      <x:c r="A420" s="114" t="n">
        <x:v>404</x:v>
      </x:c>
      <x:c r="B420" s="114" t="n">
        <x:v>101</x:v>
      </x:c>
      <x:c r="C420" s="114" t="n">
        <x:v>4</x:v>
      </x:c>
      <x:c r="D420" s="168" t="n">
        <x:f>$I$8</x:f>
        <x:v>1</x:v>
      </x:c>
      <x:c r="E420" s="168" t="n">
        <x:f>$J$8</x:f>
        <x:v>1</x:v>
      </x:c>
      <x:c r="F420" s="168" t="n">
        <x:f>$K$8</x:f>
        <x:v>0</x:v>
      </x:c>
      <x:c r="G420" s="242" t="n">
        <x:f>AI419</x:f>
        <x:v>3.051983658838216</x:v>
      </x:c>
      <x:c r="H420" s="242" t="n">
        <x:f>AJ419</x:f>
        <x:v>-3.45304407728017</x:v>
      </x:c>
      <x:c r="I420" s="242" t="n">
        <x:f>AK419</x:f>
        <x:v>-1.757616728666597</x:v>
      </x:c>
      <x:c r="J420" s="242" t="n">
        <x:f>AL419</x:f>
        <x:v>3.3250477977550976</x:v>
      </x:c>
      <x:c r="K420" s="242" t="n">
        <x:f>AM419</x:f>
        <x:v>-3.209845143217558</x:v>
      </x:c>
      <x:c r="L420" s="242" t="n">
        <x:f>AN419</x:f>
        <x:v>1.7755645975292296</x:v>
      </x:c>
      <x:c r="M420" s="242" t="n">
        <x:f>AO419</x:f>
        <x:v>3.8807635421420783</x:v>
      </x:c>
      <x:c r="N420" s="242" t="n">
        <x:f>AP419</x:f>
        <x:v>-3.555646293482217</x:v>
      </x:c>
      <x:c r="O420" s="242" t="n">
        <x:f>AQ419</x:f>
        <x:v>1.6505087824978395</x:v>
      </x:c>
      <x:c r="P420" s="243" t="n">
        <x:f>D420*G420+E420*H420+I420</x:f>
        <x:v>-2.158677147108551</x:v>
      </x:c>
      <x:c r="Q420" s="243" t="n">
        <x:f>1/(1+EXP(-P420))</x:f>
        <x:v>0.10352315591799911</x:v>
      </x:c>
      <x:c r="R420" s="243" t="n">
        <x:f>D420*J420+E420*K420+L420</x:f>
        <x:v>1.8907672520667693</x:v>
      </x:c>
      <x:c r="S420" s="243" t="n">
        <x:f>1/(1+EXP(-R420))</x:f>
        <x:v>0.8688429874017579</x:v>
      </x:c>
      <x:c r="T420" s="243" t="n">
        <x:f>Q420*M420+S420*N420+O420</x:f>
        <x:v>-1.0370406760211768</x:v>
      </x:c>
      <x:c r="U420" s="243" t="n">
        <x:f>1/(1+EXP(-T420))</x:f>
        <x:v>0.2617214009470251</x:v>
      </x:c>
      <x:c r="V420" s="243" t="n">
        <x:f>0.5*(F420-U420)^2</x:f>
        <x:v>0.03424904585683674</x:v>
      </x:c>
      <x:c r="W420" s="244" t="n">
        <x:f>(U420-F420)*U420*(1-U420)</x:f>
        <x:v>0.05057067518817304</x:v>
      </x:c>
      <x:c r="X420" s="244" t="n">
        <x:f>W420*M420*Q420*(1-Q420)</x:f>
        <x:v>0.018213462380928264</x:v>
      </x:c>
      <x:c r="Y420" s="244" t="n">
        <x:f>W420*N420*S420*(1-S420)</x:f>
        <x:v>-0.02049038508191731</x:v>
      </x:c>
      <x:c r="Z420" s="245" t="n">
        <x:f>X420*D420</x:f>
        <x:v>0.018213462380928264</x:v>
      </x:c>
      <x:c r="AA420" s="245" t="n">
        <x:f>X420*E420</x:f>
        <x:v>0.018213462380928264</x:v>
      </x:c>
      <x:c r="AB420" s="245" t="n">
        <x:f>X420</x:f>
        <x:v>0.018213462380928264</x:v>
      </x:c>
      <x:c r="AC420" s="245" t="n">
        <x:f>Y420*D420</x:f>
        <x:v>-0.02049038508191731</x:v>
      </x:c>
      <x:c r="AD420" s="245" t="n">
        <x:f>Y420*E420</x:f>
        <x:v>-0.02049038508191731</x:v>
      </x:c>
      <x:c r="AE420" s="245" t="n">
        <x:f>Y420</x:f>
        <x:v>-0.02049038508191731</x:v>
      </x:c>
      <x:c r="AF420" s="245" t="n">
        <x:f>W420*Q420</x:f>
        <x:v>0.005235235892383727</x:v>
      </x:c>
      <x:c r="AG420" s="245" t="n">
        <x:f>W420*S420</x:f>
        <x:v>0.04393797650541622</x:v>
      </x:c>
      <x:c r="AH420" s="245" t="n">
        <x:f>W420</x:f>
        <x:v>0.05057067518817304</x:v>
      </x:c>
      <x:c r="AI420" s="246" t="n">
        <x:f>G420-$B$4*Z420</x:f>
        <x:v>3.0337701964572874</x:v>
      </x:c>
      <x:c r="AJ420" s="246" t="n">
        <x:f>H420-$B$4*AA420</x:f>
        <x:v>-3.4712575396610985</x:v>
      </x:c>
      <x:c r="AK420" s="246" t="n">
        <x:f>I420-$B$4*AB420</x:f>
        <x:v>-1.7758301910475252</x:v>
      </x:c>
      <x:c r="AL420" s="246" t="n">
        <x:f>J420-$B$4*AC420</x:f>
        <x:v>3.3455381828370148</x:v>
      </x:c>
      <x:c r="AM420" s="246" t="n">
        <x:f>K420-$B$4*AD420</x:f>
        <x:v>-3.1893547581356407</x:v>
      </x:c>
      <x:c r="AN420" s="246" t="n">
        <x:f>L420-$B$4*AE420</x:f>
        <x:v>1.796054982611147</x:v>
      </x:c>
      <x:c r="AO420" s="246" t="n">
        <x:f>M420-$B$4*AF420</x:f>
        <x:v>3.8755283062496946</x:v>
      </x:c>
      <x:c r="AP420" s="246" t="n">
        <x:f>N420-$B$4*AG420</x:f>
        <x:v>-3.5995842699876333</x:v>
      </x:c>
      <x:c r="AQ420" s="246" t="n">
        <x:f>O420-$B$4*AH420</x:f>
        <x:v>1.5999381073096663</x:v>
      </x:c>
      <x:c r="AR420" s="182" t="n">
        <x:f>IF(U420&gt;=$B$5,1,0)</x:f>
        <x:v>0</x:v>
      </x:c>
      <x:c r="AS420" s="182" t="n">
        <x:f>IF(AR420=F420,1,0)</x:f>
        <x:v>1</x:v>
      </x:c>
      <x:c r="AT420" s="252" t="n">
        <x:f>ABS(F420-U420)</x:f>
        <x:v>0.2617214009470251</x:v>
      </x:c>
    </x:row>
    <x:row r="421">
      <x:c r="A421" s="114" t="n">
        <x:v>405</x:v>
      </x:c>
      <x:c r="B421" s="114" t="n">
        <x:v>102</x:v>
      </x:c>
      <x:c r="C421" s="114" t="n">
        <x:v>1</x:v>
      </x:c>
      <x:c r="D421" s="168" t="n">
        <x:f>$I$5</x:f>
        <x:v>0</x:v>
      </x:c>
      <x:c r="E421" s="168" t="n">
        <x:f>$J$5</x:f>
        <x:v>0</x:v>
      </x:c>
      <x:c r="F421" s="168" t="n">
        <x:f>$K$5</x:f>
        <x:v>0</x:v>
      </x:c>
      <x:c r="G421" s="242" t="n">
        <x:f>AI420</x:f>
        <x:v>3.0337701964572874</x:v>
      </x:c>
      <x:c r="H421" s="242" t="n">
        <x:f>AJ420</x:f>
        <x:v>-3.4712575396610985</x:v>
      </x:c>
      <x:c r="I421" s="242" t="n">
        <x:f>AK420</x:f>
        <x:v>-1.7758301910475252</x:v>
      </x:c>
      <x:c r="J421" s="242" t="n">
        <x:f>AL420</x:f>
        <x:v>3.3455381828370148</x:v>
      </x:c>
      <x:c r="K421" s="242" t="n">
        <x:f>AM420</x:f>
        <x:v>-3.1893547581356407</x:v>
      </x:c>
      <x:c r="L421" s="242" t="n">
        <x:f>AN420</x:f>
        <x:v>1.796054982611147</x:v>
      </x:c>
      <x:c r="M421" s="242" t="n">
        <x:f>AO420</x:f>
        <x:v>3.8755283062496946</x:v>
      </x:c>
      <x:c r="N421" s="242" t="n">
        <x:f>AP420</x:f>
        <x:v>-3.5995842699876333</x:v>
      </x:c>
      <x:c r="O421" s="242" t="n">
        <x:f>AQ420</x:f>
        <x:v>1.5999381073096663</x:v>
      </x:c>
      <x:c r="P421" s="243" t="n">
        <x:f>D421*G421+E421*H421+I421</x:f>
        <x:v>-1.7758301910475252</x:v>
      </x:c>
      <x:c r="Q421" s="243" t="n">
        <x:f>1/(1+EXP(-P421))</x:f>
        <x:v>0.1448187850742683</x:v>
      </x:c>
      <x:c r="R421" s="243" t="n">
        <x:f>D421*J421+E421*K421+L421</x:f>
        <x:v>1.796054982611147</x:v>
      </x:c>
      <x:c r="S421" s="243" t="n">
        <x:f>1/(1+EXP(-R421))</x:f>
        <x:v>0.8576680318890816</x:v>
      </x:c>
      <x:c r="T421" s="243" t="n">
        <x:f>Q421*M421+S421*N421+O421</x:f>
        <x:v>-0.926060948317506</x:v>
      </x:c>
      <x:c r="U421" s="243" t="n">
        <x:f>1/(1+EXP(-T421))</x:f>
        <x:v>0.2837245455744272</x:v>
      </x:c>
      <x:c r="V421" s="243" t="n">
        <x:f>0.5*(F421-U421)^2</x:f>
        <x:v>0.040249808880707616</x:v>
      </x:c>
      <x:c r="W421" s="244" t="n">
        <x:f>(U421-F421)*U421*(1-U421)</x:f>
        <x:v>0.0576599002931426</x:v>
      </x:c>
      <x:c r="X421" s="244" t="n">
        <x:f>W421*M421*Q421*(1-Q421)</x:f>
        <x:v>0.027675014211447774</x:v>
      </x:c>
      <x:c r="Y421" s="244" t="n">
        <x:f>W421*N421*S421*(1-S421)</x:f>
        <x:v>-0.02533657518970406</x:v>
      </x:c>
      <x:c r="Z421" s="245" t="n">
        <x:f>X421*D421</x:f>
        <x:v>0</x:v>
      </x:c>
      <x:c r="AA421" s="245" t="n">
        <x:f>X421*E421</x:f>
        <x:v>0</x:v>
      </x:c>
      <x:c r="AB421" s="245" t="n">
        <x:f>X421</x:f>
        <x:v>0.027675014211447774</x:v>
      </x:c>
      <x:c r="AC421" s="245" t="n">
        <x:f>Y421*D421</x:f>
        <x:v>0</x:v>
      </x:c>
      <x:c r="AD421" s="245" t="n">
        <x:f>Y421*E421</x:f>
        <x:v>0</x:v>
      </x:c>
      <x:c r="AE421" s="245" t="n">
        <x:f>Y421</x:f>
        <x:v>-0.02533657518970406</x:v>
      </x:c>
      <x:c r="AF421" s="245" t="n">
        <x:f>W421*Q421</x:f>
        <x:v>0.008350236707956357</x:v>
      </x:c>
      <x:c r="AG421" s="245" t="n">
        <x:f>W421*S421</x:f>
        <x:v>0.04945305320334029</x:v>
      </x:c>
      <x:c r="AH421" s="245" t="n">
        <x:f>W421</x:f>
        <x:v>0.0576599002931426</x:v>
      </x:c>
      <x:c r="AI421" s="246" t="n">
        <x:f>G421-$B$4*Z421</x:f>
        <x:v>3.0337701964572874</x:v>
      </x:c>
      <x:c r="AJ421" s="246" t="n">
        <x:f>H421-$B$4*AA421</x:f>
        <x:v>-3.4712575396610985</x:v>
      </x:c>
      <x:c r="AK421" s="246" t="n">
        <x:f>I421-$B$4*AB421</x:f>
        <x:v>-1.8035052052589728</x:v>
      </x:c>
      <x:c r="AL421" s="246" t="n">
        <x:f>J421-$B$4*AC421</x:f>
        <x:v>3.3455381828370148</x:v>
      </x:c>
      <x:c r="AM421" s="246" t="n">
        <x:f>K421-$B$4*AD421</x:f>
        <x:v>-3.1893547581356407</x:v>
      </x:c>
      <x:c r="AN421" s="246" t="n">
        <x:f>L421-$B$4*AE421</x:f>
        <x:v>1.821391557800851</x:v>
      </x:c>
      <x:c r="AO421" s="246" t="n">
        <x:f>M421-$B$4*AF421</x:f>
        <x:v>3.867178069541738</x:v>
      </x:c>
      <x:c r="AP421" s="246" t="n">
        <x:f>N421-$B$4*AG421</x:f>
        <x:v>-3.6490373231909734</x:v>
      </x:c>
      <x:c r="AQ421" s="246" t="n">
        <x:f>O421-$B$4*AH421</x:f>
        <x:v>1.5422782070165237</x:v>
      </x:c>
      <x:c r="AR421" s="182" t="n">
        <x:f>IF(U421&gt;=$B$5,1,0)</x:f>
        <x:v>0</x:v>
      </x:c>
      <x:c r="AS421" s="182" t="n">
        <x:f>IF(AR421=F421,1,0)</x:f>
        <x:v>1</x:v>
      </x:c>
      <x:c r="AT421" s="252" t="n">
        <x:f>ABS(F421-U421)</x:f>
        <x:v>0.2837245455744272</x:v>
      </x:c>
    </x:row>
    <x:row r="422">
      <x:c r="A422" s="114" t="n">
        <x:v>406</x:v>
      </x:c>
      <x:c r="B422" s="114" t="n">
        <x:v>102</x:v>
      </x:c>
      <x:c r="C422" s="114" t="n">
        <x:v>2</x:v>
      </x:c>
      <x:c r="D422" s="168" t="n">
        <x:f>$I$6</x:f>
        <x:v>0</x:v>
      </x:c>
      <x:c r="E422" s="168" t="n">
        <x:f>$J$6</x:f>
        <x:v>1</x:v>
      </x:c>
      <x:c r="F422" s="168" t="n">
        <x:f>$K$6</x:f>
        <x:v>1</x:v>
      </x:c>
      <x:c r="G422" s="242" t="n">
        <x:f>AI421</x:f>
        <x:v>3.0337701964572874</x:v>
      </x:c>
      <x:c r="H422" s="242" t="n">
        <x:f>AJ421</x:f>
        <x:v>-3.4712575396610985</x:v>
      </x:c>
      <x:c r="I422" s="242" t="n">
        <x:f>AK421</x:f>
        <x:v>-1.8035052052589728</x:v>
      </x:c>
      <x:c r="J422" s="242" t="n">
        <x:f>AL421</x:f>
        <x:v>3.3455381828370148</x:v>
      </x:c>
      <x:c r="K422" s="242" t="n">
        <x:f>AM421</x:f>
        <x:v>-3.1893547581356407</x:v>
      </x:c>
      <x:c r="L422" s="242" t="n">
        <x:f>AN421</x:f>
        <x:v>1.821391557800851</x:v>
      </x:c>
      <x:c r="M422" s="242" t="n">
        <x:f>AO421</x:f>
        <x:v>3.867178069541738</x:v>
      </x:c>
      <x:c r="N422" s="242" t="n">
        <x:f>AP421</x:f>
        <x:v>-3.6490373231909734</x:v>
      </x:c>
      <x:c r="O422" s="242" t="n">
        <x:f>AQ421</x:f>
        <x:v>1.5422782070165237</x:v>
      </x:c>
      <x:c r="P422" s="243" t="n">
        <x:f>D422*G422+E422*H422+I422</x:f>
        <x:v>-5.274762744920071</x:v>
      </x:c>
      <x:c r="Q422" s="243" t="n">
        <x:f>1/(1+EXP(-P422))</x:f>
        <x:v>0.0050930986699669716</x:v>
      </x:c>
      <x:c r="R422" s="243" t="n">
        <x:f>D422*J422+E422*K422+L422</x:f>
        <x:v>-1.3679632003347897</x:v>
      </x:c>
      <x:c r="S422" s="243" t="n">
        <x:f>1/(1+EXP(-R422))</x:f>
        <x:v>0.2029491213884532</x:v>
      </x:c>
      <x:c r="T422" s="243" t="n">
        <x:f>Q422*M422+S422*N422+O422</x:f>
        <x:v>0.821405207843751</x:v>
      </x:c>
      <x:c r="U422" s="243" t="n">
        <x:f>1/(1+EXP(-T422))</x:f>
        <x:v>0.6945345452886488</x:v>
      </x:c>
      <x:c r="V422" s="243" t="n">
        <x:f>0.5*(F422-U422)^2</x:f>
        <x:v>0.046654572011006284</x:v>
      </x:c>
      <x:c r="W422" s="244" t="n">
        <x:f>(U422-F422)*U422*(1-U422)</x:f>
        <x:v>-0.06480642391460154</x:v>
      </x:c>
      <x:c r="X422" s="244" t="n">
        <x:f>W422*M422*Q422*(1-Q422)</x:f>
        <x:v>-0.0012699211636339337</x:v>
      </x:c>
      <x:c r="Y422" s="244" t="n">
        <x:f>W422*N422*S422*(1-S422)</x:f>
        <x:v>0.03825335960335632</x:v>
      </x:c>
      <x:c r="Z422" s="245" t="n">
        <x:f>X422*D422</x:f>
        <x:v>0</x:v>
      </x:c>
      <x:c r="AA422" s="245" t="n">
        <x:f>X422*E422</x:f>
        <x:v>-0.0012699211636339337</x:v>
      </x:c>
      <x:c r="AB422" s="245" t="n">
        <x:f>X422</x:f>
        <x:v>-0.0012699211636339337</x:v>
      </x:c>
      <x:c r="AC422" s="245" t="n">
        <x:f>Y422*D422</x:f>
        <x:v>0</x:v>
      </x:c>
      <x:c r="AD422" s="245" t="n">
        <x:f>Y422*E422</x:f>
        <x:v>0.03825335960335632</x:v>
      </x:c>
      <x:c r="AE422" s="245" t="n">
        <x:f>Y422</x:f>
        <x:v>0.03825335960335632</x:v>
      </x:c>
      <x:c r="AF422" s="245" t="n">
        <x:f>W422*Q422</x:f>
        <x:v>-0.0003300655114447728</x:v>
      </x:c>
      <x:c r="AG422" s="245" t="n">
        <x:f>W422*S422</x:f>
        <x:v>-0.013152406793796024</x:v>
      </x:c>
      <x:c r="AH422" s="245" t="n">
        <x:f>W422</x:f>
        <x:v>-0.06480642391460154</x:v>
      </x:c>
      <x:c r="AI422" s="246" t="n">
        <x:f>G422-$B$4*Z422</x:f>
        <x:v>3.0337701964572874</x:v>
      </x:c>
      <x:c r="AJ422" s="246" t="n">
        <x:f>H422-$B$4*AA422</x:f>
        <x:v>-3.4699876184974645</x:v>
      </x:c>
      <x:c r="AK422" s="246" t="n">
        <x:f>I422-$B$4*AB422</x:f>
        <x:v>-1.8022352840953388</x:v>
      </x:c>
      <x:c r="AL422" s="246" t="n">
        <x:f>J422-$B$4*AC422</x:f>
        <x:v>3.3455381828370148</x:v>
      </x:c>
      <x:c r="AM422" s="246" t="n">
        <x:f>K422-$B$4*AD422</x:f>
        <x:v>-3.2276081177389973</x:v>
      </x:c>
      <x:c r="AN422" s="246" t="n">
        <x:f>L422-$B$4*AE422</x:f>
        <x:v>1.7831381981974948</x:v>
      </x:c>
      <x:c r="AO422" s="246" t="n">
        <x:f>M422-$B$4*AF422</x:f>
        <x:v>3.867508135053183</x:v>
      </x:c>
      <x:c r="AP422" s="246" t="n">
        <x:f>N422-$B$4*AG422</x:f>
        <x:v>-3.6358849163971776</x:v>
      </x:c>
      <x:c r="AQ422" s="246" t="n">
        <x:f>O422-$B$4*AH422</x:f>
        <x:v>1.6070846309311253</x:v>
      </x:c>
      <x:c r="AR422" s="182" t="n">
        <x:f>IF(U422&gt;=$B$5,1,0)</x:f>
        <x:v>1</x:v>
      </x:c>
      <x:c r="AS422" s="182" t="n">
        <x:f>IF(AR422=F422,1,0)</x:f>
        <x:v>1</x:v>
      </x:c>
      <x:c r="AT422" s="252" t="n">
        <x:f>ABS(F422-U422)</x:f>
        <x:v>0.3054654547113512</x:v>
      </x:c>
    </x:row>
    <x:row r="423">
      <x:c r="A423" s="114" t="n">
        <x:v>407</x:v>
      </x:c>
      <x:c r="B423" s="114" t="n">
        <x:v>102</x:v>
      </x:c>
      <x:c r="C423" s="114" t="n">
        <x:v>3</x:v>
      </x:c>
      <x:c r="D423" s="168" t="n">
        <x:f>$I$7</x:f>
        <x:v>1</x:v>
      </x:c>
      <x:c r="E423" s="168" t="n">
        <x:f>$J$7</x:f>
        <x:v>0</x:v>
      </x:c>
      <x:c r="F423" s="168" t="n">
        <x:f>$K$7</x:f>
        <x:v>1</x:v>
      </x:c>
      <x:c r="G423" s="242" t="n">
        <x:f>AI422</x:f>
        <x:v>3.0337701964572874</x:v>
      </x:c>
      <x:c r="H423" s="242" t="n">
        <x:f>AJ422</x:f>
        <x:v>-3.4699876184974645</x:v>
      </x:c>
      <x:c r="I423" s="242" t="n">
        <x:f>AK422</x:f>
        <x:v>-1.8022352840953388</x:v>
      </x:c>
      <x:c r="J423" s="242" t="n">
        <x:f>AL422</x:f>
        <x:v>3.3455381828370148</x:v>
      </x:c>
      <x:c r="K423" s="242" t="n">
        <x:f>AM422</x:f>
        <x:v>-3.2276081177389973</x:v>
      </x:c>
      <x:c r="L423" s="242" t="n">
        <x:f>AN422</x:f>
        <x:v>1.7831381981974948</x:v>
      </x:c>
      <x:c r="M423" s="242" t="n">
        <x:f>AO422</x:f>
        <x:v>3.867508135053183</x:v>
      </x:c>
      <x:c r="N423" s="242" t="n">
        <x:f>AP422</x:f>
        <x:v>-3.6358849163971776</x:v>
      </x:c>
      <x:c r="O423" s="242" t="n">
        <x:f>AQ422</x:f>
        <x:v>1.6070846309311253</x:v>
      </x:c>
      <x:c r="P423" s="243" t="n">
        <x:f>D423*G423+E423*H423+I423</x:f>
        <x:v>1.2315349123619486</x:v>
      </x:c>
      <x:c r="Q423" s="243" t="n">
        <x:f>1/(1+EXP(-P423))</x:f>
        <x:v>0.7740871069182756</x:v>
      </x:c>
      <x:c r="R423" s="243" t="n">
        <x:f>D423*J423+E423*K423+L423</x:f>
        <x:v>5.128676381034509</x:v>
      </x:c>
      <x:c r="S423" s="243" t="n">
        <x:f>1/(1+EXP(-R423))</x:f>
        <x:v>0.9941104948358835</x:v>
      </x:c>
      <x:c r="T423" s="243" t="n">
        <x:f>Q423*M423+S423*N423+O423</x:f>
        <x:v>0.9864014607714162</x:v>
      </x:c>
      <x:c r="U423" s="243" t="n">
        <x:f>1/(1+EXP(-T423))</x:f>
        <x:v>0.7283765578048241</x:v>
      </x:c>
      <x:c r="V423" s="243" t="n">
        <x:f>0.5*(F423-U423)^2</x:f>
        <x:v>0.03688964717497802</x:v>
      </x:c>
      <x:c r="W423" s="244" t="n">
        <x:f>(U423-F423)*U423*(1-U423)</x:f>
        <x:v>-0.05373910845588989</x:v>
      </x:c>
      <x:c r="X423" s="244" t="n">
        <x:f>W423*M423*Q423*(1-Q423)</x:f>
        <x:v>-0.036345658712822915</x:v>
      </x:c>
      <x:c r="Y423" s="244" t="n">
        <x:f>W423*N423*S423*(1-S423)</x:f>
        <x:v>0.0011439684607765098</x:v>
      </x:c>
      <x:c r="Z423" s="245" t="n">
        <x:f>X423*D423</x:f>
        <x:v>-0.036345658712822915</x:v>
      </x:c>
      <x:c r="AA423" s="245" t="n">
        <x:f>X423*E423</x:f>
        <x:v>0</x:v>
      </x:c>
      <x:c r="AB423" s="245" t="n">
        <x:f>X423</x:f>
        <x:v>-0.036345658712822915</x:v>
      </x:c>
      <x:c r="AC423" s="245" t="n">
        <x:f>Y423*D423</x:f>
        <x:v>0.0011439684607765098</x:v>
      </x:c>
      <x:c r="AD423" s="245" t="n">
        <x:f>Y423*E423</x:f>
        <x:v>0</x:v>
      </x:c>
      <x:c r="AE423" s="245" t="n">
        <x:f>Y423</x:f>
        <x:v>0.0011439684607765098</x:v>
      </x:c>
      <x:c r="AF423" s="245" t="n">
        <x:f>W423*Q423</x:f>
        <x:v>-0.041598750992987245</x:v>
      </x:c>
      <x:c r="AG423" s="245" t="n">
        <x:f>W423*S423</x:f>
        <x:v>-0.05342261169912391</x:v>
      </x:c>
      <x:c r="AH423" s="245" t="n">
        <x:f>W423</x:f>
        <x:v>-0.05373910845588989</x:v>
      </x:c>
      <x:c r="AI423" s="246" t="n">
        <x:f>G423-$B$4*Z423</x:f>
        <x:v>3.07011585517011</x:v>
      </x:c>
      <x:c r="AJ423" s="246" t="n">
        <x:f>H423-$B$4*AA423</x:f>
        <x:v>-3.4699876184974645</x:v>
      </x:c>
      <x:c r="AK423" s="246" t="n">
        <x:f>I423-$B$4*AB423</x:f>
        <x:v>-1.765889625382516</x:v>
      </x:c>
      <x:c r="AL423" s="246" t="n">
        <x:f>J423-$B$4*AC423</x:f>
        <x:v>3.3443942143762384</x:v>
      </x:c>
      <x:c r="AM423" s="246" t="n">
        <x:f>K423-$B$4*AD423</x:f>
        <x:v>-3.2276081177389973</x:v>
      </x:c>
      <x:c r="AN423" s="246" t="n">
        <x:f>L423-$B$4*AE423</x:f>
        <x:v>1.7819942297367182</x:v>
      </x:c>
      <x:c r="AO423" s="246" t="n">
        <x:f>M423-$B$4*AF423</x:f>
        <x:v>3.90910688604617</x:v>
      </x:c>
      <x:c r="AP423" s="246" t="n">
        <x:f>N423-$B$4*AG423</x:f>
        <x:v>-3.5824623046980535</x:v>
      </x:c>
      <x:c r="AQ423" s="246" t="n">
        <x:f>O423-$B$4*AH423</x:f>
        <x:v>1.660823739387015</x:v>
      </x:c>
      <x:c r="AR423" s="182" t="n">
        <x:f>IF(U423&gt;=$B$5,1,0)</x:f>
        <x:v>1</x:v>
      </x:c>
      <x:c r="AS423" s="182" t="n">
        <x:f>IF(AR423=F423,1,0)</x:f>
        <x:v>1</x:v>
      </x:c>
      <x:c r="AT423" s="252" t="n">
        <x:f>ABS(F423-U423)</x:f>
        <x:v>0.27162344219517587</x:v>
      </x:c>
    </x:row>
    <x:row r="424">
      <x:c r="A424" s="114" t="n">
        <x:v>408</x:v>
      </x:c>
      <x:c r="B424" s="114" t="n">
        <x:v>102</x:v>
      </x:c>
      <x:c r="C424" s="114" t="n">
        <x:v>4</x:v>
      </x:c>
      <x:c r="D424" s="168" t="n">
        <x:f>$I$8</x:f>
        <x:v>1</x:v>
      </x:c>
      <x:c r="E424" s="168" t="n">
        <x:f>$J$8</x:f>
        <x:v>1</x:v>
      </x:c>
      <x:c r="F424" s="168" t="n">
        <x:f>$K$8</x:f>
        <x:v>0</x:v>
      </x:c>
      <x:c r="G424" s="242" t="n">
        <x:f>AI423</x:f>
        <x:v>3.07011585517011</x:v>
      </x:c>
      <x:c r="H424" s="242" t="n">
        <x:f>AJ423</x:f>
        <x:v>-3.4699876184974645</x:v>
      </x:c>
      <x:c r="I424" s="242" t="n">
        <x:f>AK423</x:f>
        <x:v>-1.765889625382516</x:v>
      </x:c>
      <x:c r="J424" s="242" t="n">
        <x:f>AL423</x:f>
        <x:v>3.3443942143762384</x:v>
      </x:c>
      <x:c r="K424" s="242" t="n">
        <x:f>AM423</x:f>
        <x:v>-3.2276081177389973</x:v>
      </x:c>
      <x:c r="L424" s="242" t="n">
        <x:f>AN423</x:f>
        <x:v>1.7819942297367182</x:v>
      </x:c>
      <x:c r="M424" s="242" t="n">
        <x:f>AO423</x:f>
        <x:v>3.90910688604617</x:v>
      </x:c>
      <x:c r="N424" s="242" t="n">
        <x:f>AP423</x:f>
        <x:v>-3.5824623046980535</x:v>
      </x:c>
      <x:c r="O424" s="242" t="n">
        <x:f>AQ423</x:f>
        <x:v>1.660823739387015</x:v>
      </x:c>
      <x:c r="P424" s="243" t="n">
        <x:f>D424*G424+E424*H424+I424</x:f>
        <x:v>-2.1657613887098703</x:v>
      </x:c>
      <x:c r="Q424" s="243" t="n">
        <x:f>1/(1+EXP(-P424))</x:f>
        <x:v>0.10286753919511879</x:v>
      </x:c>
      <x:c r="R424" s="243" t="n">
        <x:f>D424*J424+E424*K424+L424</x:f>
        <x:v>1.8987803263739593</x:v>
      </x:c>
      <x:c r="S424" s="243" t="n">
        <x:f>1/(1+EXP(-R424))</x:f>
        <x:v>0.8697534203711446</x:v>
      </x:c>
      <x:c r="T424" s="243" t="n">
        <x:f>Q424*M424+S424*N424+O424</x:f>
        <x:v>-1.052914897656547</x:v>
      </x:c>
      <x:c r="U424" s="243" t="n">
        <x:f>1/(1+EXP(-T424))</x:f>
        <x:v>0.25866575342507137</x:v>
      </x:c>
      <x:c r="V424" s="243" t="n">
        <x:f>0.5*(F424-U424)^2</x:f>
        <x:v>0.03345398599747991</x:v>
      </x:c>
      <x:c r="W424" s="244" t="n">
        <x:f>(U424-F424)*U424*(1-U424)</x:f>
        <x:v>0.04960117100873996</x:v>
      </x:c>
      <x:c r="X424" s="244" t="n">
        <x:f>W424*M424*Q424*(1-Q424)</x:f>
        <x:v>0.01789387490070427</x:v>
      </x:c>
      <x:c r="Y424" s="244" t="n">
        <x:f>W424*N424*S424*(1-S424)</x:f>
        <x:v>-0.02012964109212463</x:v>
      </x:c>
      <x:c r="Z424" s="245" t="n">
        <x:f>X424*D424</x:f>
        <x:v>0.01789387490070427</x:v>
      </x:c>
      <x:c r="AA424" s="245" t="n">
        <x:f>X424*E424</x:f>
        <x:v>0.01789387490070427</x:v>
      </x:c>
      <x:c r="AB424" s="245" t="n">
        <x:f>X424</x:f>
        <x:v>0.01789387490070427</x:v>
      </x:c>
      <x:c r="AC424" s="245" t="n">
        <x:f>Y424*D424</x:f>
        <x:v>-0.02012964109212463</x:v>
      </x:c>
      <x:c r="AD424" s="245" t="n">
        <x:f>Y424*E424</x:f>
        <x:v>-0.02012964109212463</x:v>
      </x:c>
      <x:c r="AE424" s="245" t="n">
        <x:f>Y424</x:f>
        <x:v>-0.02012964109212463</x:v>
      </x:c>
      <x:c r="AF424" s="245" t="n">
        <x:f>W424*Q424</x:f>
        <x:v>0.005102350402865347</x:v>
      </x:c>
      <x:c r="AG424" s="245" t="n">
        <x:f>W424*S424</x:f>
        <x:v>0.04314078813926563</x:v>
      </x:c>
      <x:c r="AH424" s="245" t="n">
        <x:f>W424</x:f>
        <x:v>0.04960117100873996</x:v>
      </x:c>
      <x:c r="AI424" s="246" t="n">
        <x:f>G424-$B$4*Z424</x:f>
        <x:v>3.052221980269406</x:v>
      </x:c>
      <x:c r="AJ424" s="246" t="n">
        <x:f>H424-$B$4*AA424</x:f>
        <x:v>-3.4878814933981688</x:v>
      </x:c>
      <x:c r="AK424" s="246" t="n">
        <x:f>I424-$B$4*AB424</x:f>
        <x:v>-1.7837835002832203</x:v>
      </x:c>
      <x:c r="AL424" s="246" t="n">
        <x:f>J424-$B$4*AC424</x:f>
        <x:v>3.364523855468363</x:v>
      </x:c>
      <x:c r="AM424" s="246" t="n">
        <x:f>K424-$B$4*AD424</x:f>
        <x:v>-3.2074784766468727</x:v>
      </x:c>
      <x:c r="AN424" s="246" t="n">
        <x:f>L424-$B$4*AE424</x:f>
        <x:v>1.8021238708288427</x:v>
      </x:c>
      <x:c r="AO424" s="246" t="n">
        <x:f>M424-$B$4*AF424</x:f>
        <x:v>3.904004535643305</x:v>
      </x:c>
      <x:c r="AP424" s="246" t="n">
        <x:f>N424-$B$4*AG424</x:f>
        <x:v>-3.625603092837319</x:v>
      </x:c>
      <x:c r="AQ424" s="246" t="n">
        <x:f>O424-$B$4*AH424</x:f>
        <x:v>1.611222568378275</x:v>
      </x:c>
      <x:c r="AR424" s="182" t="n">
        <x:f>IF(U424&gt;=$B$5,1,0)</x:f>
        <x:v>0</x:v>
      </x:c>
      <x:c r="AS424" s="182" t="n">
        <x:f>IF(AR424=F424,1,0)</x:f>
        <x:v>1</x:v>
      </x:c>
      <x:c r="AT424" s="252" t="n">
        <x:f>ABS(F424-U424)</x:f>
        <x:v>0.25866575342507137</x:v>
      </x:c>
    </x:row>
    <x:row r="425">
      <x:c r="A425" s="114" t="n">
        <x:v>409</x:v>
      </x:c>
      <x:c r="B425" s="114" t="n">
        <x:v>103</x:v>
      </x:c>
      <x:c r="C425" s="114" t="n">
        <x:v>1</x:v>
      </x:c>
      <x:c r="D425" s="168" t="n">
        <x:f>$I$5</x:f>
        <x:v>0</x:v>
      </x:c>
      <x:c r="E425" s="168" t="n">
        <x:f>$J$5</x:f>
        <x:v>0</x:v>
      </x:c>
      <x:c r="F425" s="168" t="n">
        <x:f>$K$5</x:f>
        <x:v>0</x:v>
      </x:c>
      <x:c r="G425" s="242" t="n">
        <x:f>AI424</x:f>
        <x:v>3.052221980269406</x:v>
      </x:c>
      <x:c r="H425" s="242" t="n">
        <x:f>AJ424</x:f>
        <x:v>-3.4878814933981688</x:v>
      </x:c>
      <x:c r="I425" s="242" t="n">
        <x:f>AK424</x:f>
        <x:v>-1.7837835002832203</x:v>
      </x:c>
      <x:c r="J425" s="242" t="n">
        <x:f>AL424</x:f>
        <x:v>3.364523855468363</x:v>
      </x:c>
      <x:c r="K425" s="242" t="n">
        <x:f>AM424</x:f>
        <x:v>-3.2074784766468727</x:v>
      </x:c>
      <x:c r="L425" s="242" t="n">
        <x:f>AN424</x:f>
        <x:v>1.8021238708288427</x:v>
      </x:c>
      <x:c r="M425" s="242" t="n">
        <x:f>AO424</x:f>
        <x:v>3.904004535643305</x:v>
      </x:c>
      <x:c r="N425" s="242" t="n">
        <x:f>AP424</x:f>
        <x:v>-3.625603092837319</x:v>
      </x:c>
      <x:c r="O425" s="242" t="n">
        <x:f>AQ424</x:f>
        <x:v>1.611222568378275</x:v>
      </x:c>
      <x:c r="P425" s="243" t="n">
        <x:f>D425*G425+E425*H425+I425</x:f>
        <x:v>-1.7837835002832203</x:v>
      </x:c>
      <x:c r="Q425" s="243" t="n">
        <x:f>1/(1+EXP(-P425))</x:f>
        <x:v>0.14383657690035528</x:v>
      </x:c>
      <x:c r="R425" s="243" t="n">
        <x:f>D425*J425+E425*K425+L425</x:f>
        <x:v>1.8021238708288427</x:v>
      </x:c>
      <x:c r="S425" s="243" t="n">
        <x:f>1/(1+EXP(-R425))</x:f>
        <x:v>0.8584072758872116</x:v>
      </x:c>
      <x:c r="T425" s="243" t="n">
        <x:f>Q425*M425+S425*N425+O425</x:f>
        <x:v>-0.9394828573820633</x:v>
      </x:c>
      <x:c r="U425" s="243" t="n">
        <x:f>1/(1+EXP(-T425))</x:f>
        <x:v>0.2810048148175955</x:v>
      </x:c>
      <x:c r="V425" s="243" t="n">
        <x:f>0.5*(F425-U425)^2</x:f>
        <x:v>0.03948185297533557</x:v>
      </x:c>
      <x:c r="W425" s="244" t="n">
        <x:f>(U425-F425)*U425*(1-U425)</x:f>
        <x:v>0.05677452438269173</x:v>
      </x:c>
      <x:c r="X425" s="244" t="n">
        <x:f>W425*M425*Q425*(1-Q425)</x:f>
        <x:v>0.027295422887433914</x:v>
      </x:c>
      <x:c r="Y425" s="244" t="n">
        <x:f>W425*N425*S425*(1-S425)</x:f>
        <x:v>-0.02501889305381607</x:v>
      </x:c>
      <x:c r="Z425" s="245" t="n">
        <x:f>X425*D425</x:f>
        <x:v>0</x:v>
      </x:c>
      <x:c r="AA425" s="245" t="n">
        <x:f>X425*E425</x:f>
        <x:v>0</x:v>
      </x:c>
      <x:c r="AB425" s="245" t="n">
        <x:f>X425</x:f>
        <x:v>0.027295422887433914</x:v>
      </x:c>
      <x:c r="AC425" s="245" t="n">
        <x:f>Y425*D425</x:f>
        <x:v>0</x:v>
      </x:c>
      <x:c r="AD425" s="245" t="n">
        <x:f>Y425*E425</x:f>
        <x:v>0</x:v>
      </x:c>
      <x:c r="AE425" s="245" t="n">
        <x:f>Y425</x:f>
        <x:v>-0.02501889305381607</x:v>
      </x:c>
      <x:c r="AF425" s="245" t="n">
        <x:f>W425*Q425</x:f>
        <x:v>0.008166253242352135</x:v>
      </x:c>
      <x:c r="AG425" s="245" t="n">
        <x:f>W425*S425</x:f>
        <x:v>0.04873566481513848</x:v>
      </x:c>
      <x:c r="AH425" s="245" t="n">
        <x:f>W425</x:f>
        <x:v>0.05677452438269173</x:v>
      </x:c>
      <x:c r="AI425" s="246" t="n">
        <x:f>G425-$B$4*Z425</x:f>
        <x:v>3.052221980269406</x:v>
      </x:c>
      <x:c r="AJ425" s="246" t="n">
        <x:f>H425-$B$4*AA425</x:f>
        <x:v>-3.4878814933981688</x:v>
      </x:c>
      <x:c r="AK425" s="246" t="n">
        <x:f>I425-$B$4*AB425</x:f>
        <x:v>-1.811078923170654</x:v>
      </x:c>
      <x:c r="AL425" s="246" t="n">
        <x:f>J425-$B$4*AC425</x:f>
        <x:v>3.364523855468363</x:v>
      </x:c>
      <x:c r="AM425" s="246" t="n">
        <x:f>K425-$B$4*AD425</x:f>
        <x:v>-3.2074784766468727</x:v>
      </x:c>
      <x:c r="AN425" s="246" t="n">
        <x:f>L425-$B$4*AE425</x:f>
        <x:v>1.8271427638826587</x:v>
      </x:c>
      <x:c r="AO425" s="246" t="n">
        <x:f>M425-$B$4*AF425</x:f>
        <x:v>3.8958382824009528</x:v>
      </x:c>
      <x:c r="AP425" s="246" t="n">
        <x:f>N425-$B$4*AG425</x:f>
        <x:v>-3.6743387576524578</x:v>
      </x:c>
      <x:c r="AQ425" s="246" t="n">
        <x:f>O425-$B$4*AH425</x:f>
        <x:v>1.5544480439955832</x:v>
      </x:c>
      <x:c r="AR425" s="182" t="n">
        <x:f>IF(U425&gt;=$B$5,1,0)</x:f>
        <x:v>0</x:v>
      </x:c>
      <x:c r="AS425" s="182" t="n">
        <x:f>IF(AR425=F425,1,0)</x:f>
        <x:v>1</x:v>
      </x:c>
      <x:c r="AT425" s="252" t="n">
        <x:f>ABS(F425-U425)</x:f>
        <x:v>0.2810048148175955</x:v>
      </x:c>
    </x:row>
    <x:row r="426">
      <x:c r="A426" s="114" t="n">
        <x:v>410</x:v>
      </x:c>
      <x:c r="B426" s="114" t="n">
        <x:v>103</x:v>
      </x:c>
      <x:c r="C426" s="114" t="n">
        <x:v>2</x:v>
      </x:c>
      <x:c r="D426" s="168" t="n">
        <x:f>$I$6</x:f>
        <x:v>0</x:v>
      </x:c>
      <x:c r="E426" s="168" t="n">
        <x:f>$J$6</x:f>
        <x:v>1</x:v>
      </x:c>
      <x:c r="F426" s="168" t="n">
        <x:f>$K$6</x:f>
        <x:v>1</x:v>
      </x:c>
      <x:c r="G426" s="242" t="n">
        <x:f>AI425</x:f>
        <x:v>3.052221980269406</x:v>
      </x:c>
      <x:c r="H426" s="242" t="n">
        <x:f>AJ425</x:f>
        <x:v>-3.4878814933981688</x:v>
      </x:c>
      <x:c r="I426" s="242" t="n">
        <x:f>AK425</x:f>
        <x:v>-1.811078923170654</x:v>
      </x:c>
      <x:c r="J426" s="242" t="n">
        <x:f>AL425</x:f>
        <x:v>3.364523855468363</x:v>
      </x:c>
      <x:c r="K426" s="242" t="n">
        <x:f>AM425</x:f>
        <x:v>-3.2074784766468727</x:v>
      </x:c>
      <x:c r="L426" s="242" t="n">
        <x:f>AN425</x:f>
        <x:v>1.8271427638826587</x:v>
      </x:c>
      <x:c r="M426" s="242" t="n">
        <x:f>AO425</x:f>
        <x:v>3.8958382824009528</x:v>
      </x:c>
      <x:c r="N426" s="242" t="n">
        <x:f>AP425</x:f>
        <x:v>-3.6743387576524578</x:v>
      </x:c>
      <x:c r="O426" s="242" t="n">
        <x:f>AQ425</x:f>
        <x:v>1.5544480439955832</x:v>
      </x:c>
      <x:c r="P426" s="243" t="n">
        <x:f>D426*G426+E426*H426+I426</x:f>
        <x:v>-5.298960416568823</x:v>
      </x:c>
      <x:c r="Q426" s="243" t="n">
        <x:f>1/(1+EXP(-P426))</x:f>
        <x:v>0.004971942054085803</x:v>
      </x:c>
      <x:c r="R426" s="243" t="n">
        <x:f>D426*J426+E426*K426+L426</x:f>
        <x:v>-1.380335712764214</x:v>
      </x:c>
      <x:c r="S426" s="243" t="n">
        <x:f>1/(1+EXP(-R426))</x:f>
        <x:v>0.20095508822146171</x:v>
      </x:c>
      <x:c r="T426" s="243" t="n">
        <x:f>Q426*M426+S426*N426+O426</x:f>
        <x:v>0.8354408569881843</x:v>
      </x:c>
      <x:c r="U426" s="243" t="n">
        <x:f>1/(1+EXP(-T426))</x:f>
        <x:v>0.6975041398424389</x:v>
      </x:c>
      <x:c r="V426" s="243" t="n">
        <x:f>0.5*(F426-U426)^2</x:f>
        <x:v>0.04575187270623139</x:v>
      </x:c>
      <x:c r="W426" s="244" t="n">
        <x:f>(U426-F426)*U426*(1-U426)</x:f>
        <x:v>-0.06382424123628136</x:v>
      </x:c>
      <x:c r="X426" s="244" t="n">
        <x:f>W426*M426*Q426*(1-Q426)</x:f>
        <x:v>-0.0012301213807253382</x:v>
      </x:c>
      <x:c r="Y426" s="244" t="n">
        <x:f>W426*N426*S426*(1-S426)</x:f>
        <x:v>0.037656075122630715</x:v>
      </x:c>
      <x:c r="Z426" s="245" t="n">
        <x:f>X426*D426</x:f>
        <x:v>0</x:v>
      </x:c>
      <x:c r="AA426" s="245" t="n">
        <x:f>X426*E426</x:f>
        <x:v>-0.0012301213807253382</x:v>
      </x:c>
      <x:c r="AB426" s="245" t="n">
        <x:f>X426</x:f>
        <x:v>-0.0012301213807253382</x:v>
      </x:c>
      <x:c r="AC426" s="245" t="n">
        <x:f>Y426*D426</x:f>
        <x:v>0</x:v>
      </x:c>
      <x:c r="AD426" s="245" t="n">
        <x:f>Y426*E426</x:f>
        <x:v>0.037656075122630715</x:v>
      </x:c>
      <x:c r="AE426" s="245" t="n">
        <x:f>Y426</x:f>
        <x:v>0.037656075122630715</x:v>
      </x:c>
      <x:c r="AF426" s="245" t="n">
        <x:f>W426*Q426</x:f>
        <x:v>-0.0003173304290727845</x:v>
      </x:c>
      <x:c r="AG426" s="245" t="n">
        <x:f>W426*S426</x:f>
        <x:v>-0.012825806028304776</x:v>
      </x:c>
      <x:c r="AH426" s="245" t="n">
        <x:f>W426</x:f>
        <x:v>-0.06382424123628136</x:v>
      </x:c>
      <x:c r="AI426" s="246" t="n">
        <x:f>G426-$B$4*Z426</x:f>
        <x:v>3.052221980269406</x:v>
      </x:c>
      <x:c r="AJ426" s="246" t="n">
        <x:f>H426-$B$4*AA426</x:f>
        <x:v>-3.4866513720174432</x:v>
      </x:c>
      <x:c r="AK426" s="246" t="n">
        <x:f>I426-$B$4*AB426</x:f>
        <x:v>-1.8098488017899288</x:v>
      </x:c>
      <x:c r="AL426" s="246" t="n">
        <x:f>J426-$B$4*AC426</x:f>
        <x:v>3.364523855468363</x:v>
      </x:c>
      <x:c r="AM426" s="246" t="n">
        <x:f>K426-$B$4*AD426</x:f>
        <x:v>-3.2451345517695036</x:v>
      </x:c>
      <x:c r="AN426" s="246" t="n">
        <x:f>L426-$B$4*AE426</x:f>
        <x:v>1.789486688760028</x:v>
      </x:c>
      <x:c r="AO426" s="246" t="n">
        <x:f>M426-$B$4*AF426</x:f>
        <x:v>3.8961556128300256</x:v>
      </x:c>
      <x:c r="AP426" s="246" t="n">
        <x:f>N426-$B$4*AG426</x:f>
        <x:v>-3.661512951624153</x:v>
      </x:c>
      <x:c r="AQ426" s="246" t="n">
        <x:f>O426-$B$4*AH426</x:f>
        <x:v>1.6182722852318645</x:v>
      </x:c>
      <x:c r="AR426" s="182" t="n">
        <x:f>IF(U426&gt;=$B$5,1,0)</x:f>
        <x:v>1</x:v>
      </x:c>
      <x:c r="AS426" s="182" t="n">
        <x:f>IF(AR426=F426,1,0)</x:f>
        <x:v>1</x:v>
      </x:c>
      <x:c r="AT426" s="252" t="n">
        <x:f>ABS(F426-U426)</x:f>
        <x:v>0.30249586015756114</x:v>
      </x:c>
    </x:row>
    <x:row r="427">
      <x:c r="A427" s="114" t="n">
        <x:v>411</x:v>
      </x:c>
      <x:c r="B427" s="114" t="n">
        <x:v>103</x:v>
      </x:c>
      <x:c r="C427" s="114" t="n">
        <x:v>3</x:v>
      </x:c>
      <x:c r="D427" s="168" t="n">
        <x:f>$I$7</x:f>
        <x:v>1</x:v>
      </x:c>
      <x:c r="E427" s="168" t="n">
        <x:f>$J$7</x:f>
        <x:v>0</x:v>
      </x:c>
      <x:c r="F427" s="168" t="n">
        <x:f>$K$7</x:f>
        <x:v>1</x:v>
      </x:c>
      <x:c r="G427" s="242" t="n">
        <x:f>AI426</x:f>
        <x:v>3.052221980269406</x:v>
      </x:c>
      <x:c r="H427" s="242" t="n">
        <x:f>AJ426</x:f>
        <x:v>-3.4866513720174432</x:v>
      </x:c>
      <x:c r="I427" s="242" t="n">
        <x:f>AK426</x:f>
        <x:v>-1.8098488017899288</x:v>
      </x:c>
      <x:c r="J427" s="242" t="n">
        <x:f>AL426</x:f>
        <x:v>3.364523855468363</x:v>
      </x:c>
      <x:c r="K427" s="242" t="n">
        <x:f>AM426</x:f>
        <x:v>-3.2451345517695036</x:v>
      </x:c>
      <x:c r="L427" s="242" t="n">
        <x:f>AN426</x:f>
        <x:v>1.789486688760028</x:v>
      </x:c>
      <x:c r="M427" s="242" t="n">
        <x:f>AO426</x:f>
        <x:v>3.8961556128300256</x:v>
      </x:c>
      <x:c r="N427" s="242" t="n">
        <x:f>AP426</x:f>
        <x:v>-3.661512951624153</x:v>
      </x:c>
      <x:c r="O427" s="242" t="n">
        <x:f>AQ426</x:f>
        <x:v>1.6182722852318645</x:v>
      </x:c>
      <x:c r="P427" s="243" t="n">
        <x:f>D427*G427+E427*H427+I427</x:f>
        <x:v>1.2423731784794771</x:v>
      </x:c>
      <x:c r="Q427" s="243" t="n">
        <x:f>1/(1+EXP(-P427))</x:f>
        <x:v>0.7759768301730021</x:v>
      </x:c>
      <x:c r="R427" s="243" t="n">
        <x:f>D427*J427+E427*K427+L427</x:f>
        <x:v>5.154010544228391</x:v>
      </x:c>
      <x:c r="S427" s="243" t="n">
        <x:f>1/(1+EXP(-R427))</x:f>
        <x:v>0.9942569802522389</x:v>
      </x:c>
      <x:c r="T427" s="243" t="n">
        <x:f>Q427*M427+S427*N427+O427</x:f>
        <x:v>1.0011139571001664</x:v>
      </x:c>
      <x:c r="U427" s="243" t="n">
        <x:f>1/(1+EXP(-T427))</x:f>
        <x:v>0.7312775395081774</x:v>
      </x:c>
      <x:c r="V427" s="243" t="n">
        <x:f>0.5*(F427-U427)^2</x:f>
        <x:v>0.03610588038638957</x:v>
      </x:c>
      <x:c r="W427" s="244" t="n">
        <x:f>(U427-F427)*U427*(1-U427)</x:f>
        <x:v>-0.05280683874147105</x:v>
      </x:c>
      <x:c r="X427" s="244" t="n">
        <x:f>W427*M427*Q427*(1-Q427)</x:f>
        <x:v>-0.035765817455604094</x:v>
      </x:c>
      <x:c r="Y427" s="244" t="n">
        <x:f>W427*N427*S427*(1-S427)</x:f>
        <x:v>0.0011040524412701154</x:v>
      </x:c>
      <x:c r="Z427" s="245" t="n">
        <x:f>X427*D427</x:f>
        <x:v>-0.035765817455604094</x:v>
      </x:c>
      <x:c r="AA427" s="245" t="n">
        <x:f>X427*E427</x:f>
        <x:v>0</x:v>
      </x:c>
      <x:c r="AB427" s="245" t="n">
        <x:f>X427</x:f>
        <x:v>-0.035765817455604094</x:v>
      </x:c>
      <x:c r="AC427" s="245" t="n">
        <x:f>Y427*D427</x:f>
        <x:v>0.0011040524412701154</x:v>
      </x:c>
      <x:c r="AD427" s="245" t="n">
        <x:f>Y427*E427</x:f>
        <x:v>0</x:v>
      </x:c>
      <x:c r="AE427" s="245" t="n">
        <x:f>Y427</x:f>
        <x:v>0.0011040524412701154</x:v>
      </x:c>
      <x:c r="AF427" s="245" t="n">
        <x:f>W427*Q427</x:f>
        <x:v>-0.04097688333806359</x:v>
      </x:c>
      <x:c r="AG427" s="245" t="n">
        <x:f>W427*S427</x:f>
        <x:v>-0.052503568023761944</x:v>
      </x:c>
      <x:c r="AH427" s="245" t="n">
        <x:f>W427</x:f>
        <x:v>-0.05280683874147105</x:v>
      </x:c>
      <x:c r="AI427" s="246" t="n">
        <x:f>G427-$B$4*Z427</x:f>
        <x:v>3.08798779772501</x:v>
      </x:c>
      <x:c r="AJ427" s="246" t="n">
        <x:f>H427-$B$4*AA427</x:f>
        <x:v>-3.4866513720174432</x:v>
      </x:c>
      <x:c r="AK427" s="246" t="n">
        <x:f>I427-$B$4*AB427</x:f>
        <x:v>-1.7740829843343247</x:v>
      </x:c>
      <x:c r="AL427" s="246" t="n">
        <x:f>J427-$B$4*AC427</x:f>
        <x:v>3.3634198030270928</x:v>
      </x:c>
      <x:c r="AM427" s="246" t="n">
        <x:f>K427-$B$4*AD427</x:f>
        <x:v>-3.2451345517695036</x:v>
      </x:c>
      <x:c r="AN427" s="246" t="n">
        <x:f>L427-$B$4*AE427</x:f>
        <x:v>1.7883826363187578</x:v>
      </x:c>
      <x:c r="AO427" s="246" t="n">
        <x:f>M427-$B$4*AF427</x:f>
        <x:v>3.9371324961680894</x:v>
      </x:c>
      <x:c r="AP427" s="246" t="n">
        <x:f>N427-$B$4*AG427</x:f>
        <x:v>-3.609009383600391</x:v>
      </x:c>
      <x:c r="AQ427" s="246" t="n">
        <x:f>O427-$B$4*AH427</x:f>
        <x:v>1.6710791239733356</x:v>
      </x:c>
      <x:c r="AR427" s="182" t="n">
        <x:f>IF(U427&gt;=$B$5,1,0)</x:f>
        <x:v>1</x:v>
      </x:c>
      <x:c r="AS427" s="182" t="n">
        <x:f>IF(AR427=F427,1,0)</x:f>
        <x:v>1</x:v>
      </x:c>
      <x:c r="AT427" s="252" t="n">
        <x:f>ABS(F427-U427)</x:f>
        <x:v>0.2687224604918226</x:v>
      </x:c>
    </x:row>
    <x:row r="428">
      <x:c r="A428" s="114" t="n">
        <x:v>412</x:v>
      </x:c>
      <x:c r="B428" s="114" t="n">
        <x:v>103</x:v>
      </x:c>
      <x:c r="C428" s="114" t="n">
        <x:v>4</x:v>
      </x:c>
      <x:c r="D428" s="168" t="n">
        <x:f>$I$8</x:f>
        <x:v>1</x:v>
      </x:c>
      <x:c r="E428" s="168" t="n">
        <x:f>$J$8</x:f>
        <x:v>1</x:v>
      </x:c>
      <x:c r="F428" s="168" t="n">
        <x:f>$K$8</x:f>
        <x:v>0</x:v>
      </x:c>
      <x:c r="G428" s="242" t="n">
        <x:f>AI427</x:f>
        <x:v>3.08798779772501</x:v>
      </x:c>
      <x:c r="H428" s="242" t="n">
        <x:f>AJ427</x:f>
        <x:v>-3.4866513720174432</x:v>
      </x:c>
      <x:c r="I428" s="242" t="n">
        <x:f>AK427</x:f>
        <x:v>-1.7740829843343247</x:v>
      </x:c>
      <x:c r="J428" s="242" t="n">
        <x:f>AL427</x:f>
        <x:v>3.3634198030270928</x:v>
      </x:c>
      <x:c r="K428" s="242" t="n">
        <x:f>AM427</x:f>
        <x:v>-3.2451345517695036</x:v>
      </x:c>
      <x:c r="L428" s="242" t="n">
        <x:f>AN427</x:f>
        <x:v>1.7883826363187578</x:v>
      </x:c>
      <x:c r="M428" s="242" t="n">
        <x:f>AO427</x:f>
        <x:v>3.9371324961680894</x:v>
      </x:c>
      <x:c r="N428" s="242" t="n">
        <x:f>AP427</x:f>
        <x:v>-3.609009383600391</x:v>
      </x:c>
      <x:c r="O428" s="242" t="n">
        <x:f>AQ427</x:f>
        <x:v>1.6710791239733356</x:v>
      </x:c>
      <x:c r="P428" s="243" t="n">
        <x:f>D428*G428+E428*H428+I428</x:f>
        <x:v>-2.172746558626758</x:v>
      </x:c>
      <x:c r="Q428" s="243" t="n">
        <x:f>1/(1+EXP(-P428))</x:f>
        <x:v>0.10222469303464328</x:v>
      </x:c>
      <x:c r="R428" s="243" t="n">
        <x:f>D428*J428+E428*K428+L428</x:f>
        <x:v>1.906667887576347</x:v>
      </x:c>
      <x:c r="S428" s="243" t="n">
        <x:f>1/(1+EXP(-R428))</x:f>
        <x:v>0.8706443393563293</x:v>
      </x:c>
      <x:c r="T428" s="243" t="n">
        <x:f>Q428*M428+S428*N428+O428</x:f>
        <x:v>-1.068612305684718</x:v>
      </x:c>
      <x:c r="U428" s="243" t="n">
        <x:f>1/(1+EXP(-T428))</x:f>
        <x:v>0.2556670748226933</x:v>
      </x:c>
      <x:c r="V428" s="243" t="n">
        <x:f>0.5*(F428-U428)^2</x:f>
        <x:v>0.03268282657419633</x:v>
      </x:c>
      <x:c r="W428" s="244" t="n">
        <x:f>(U428-F428)*U428*(1-U428)</x:f>
        <x:v>0.048653807814068334</x:v>
      </x:c>
      <x:c r="X428" s="244" t="n">
        <x:f>W428*M428*Q428*(1-Q428)</x:f>
        <x:v>0.017580059347279665</x:v>
      </x:c>
      <x:c r="Y428" s="244" t="n">
        <x:f>W428*N428*S428*(1-S428)</x:f>
        <x:v>-0.0197756635928332</x:v>
      </x:c>
      <x:c r="Z428" s="245" t="n">
        <x:f>X428*D428</x:f>
        <x:v>0.017580059347279665</x:v>
      </x:c>
      <x:c r="AA428" s="245" t="n">
        <x:f>X428*E428</x:f>
        <x:v>0.017580059347279665</x:v>
      </x:c>
      <x:c r="AB428" s="245" t="n">
        <x:f>X428</x:f>
        <x:v>0.017580059347279665</x:v>
      </x:c>
      <x:c r="AC428" s="245" t="n">
        <x:f>Y428*D428</x:f>
        <x:v>-0.0197756635928332</x:v>
      </x:c>
      <x:c r="AD428" s="245" t="n">
        <x:f>Y428*E428</x:f>
        <x:v>-0.0197756635928332</x:v>
      </x:c>
      <x:c r="AE428" s="245" t="n">
        <x:f>Y428</x:f>
        <x:v>-0.0197756635928332</x:v>
      </x:c>
      <x:c r="AF428" s="245" t="n">
        <x:f>W428*Q428</x:f>
        <x:v>0.004973620568759664</x:v>
      </x:c>
      <x:c r="AG428" s="245" t="n">
        <x:f>W428*S428</x:f>
        <x:v>0.042360162361449336</x:v>
      </x:c>
      <x:c r="AH428" s="245" t="n">
        <x:f>W428</x:f>
        <x:v>0.048653807814068334</x:v>
      </x:c>
      <x:c r="AI428" s="246" t="n">
        <x:f>G428-$B$4*Z428</x:f>
        <x:v>3.0704077383777304</x:v>
      </x:c>
      <x:c r="AJ428" s="246" t="n">
        <x:f>H428-$B$4*AA428</x:f>
        <x:v>-3.504231431364723</x:v>
      </x:c>
      <x:c r="AK428" s="246" t="n">
        <x:f>I428-$B$4*AB428</x:f>
        <x:v>-1.7916630436816043</x:v>
      </x:c>
      <x:c r="AL428" s="246" t="n">
        <x:f>J428-$B$4*AC428</x:f>
        <x:v>3.383195466619926</x:v>
      </x:c>
      <x:c r="AM428" s="246" t="n">
        <x:f>K428-$B$4*AD428</x:f>
        <x:v>-3.2253588881766704</x:v>
      </x:c>
      <x:c r="AN428" s="246" t="n">
        <x:f>L428-$B$4*AE428</x:f>
        <x:v>1.808158299911591</x:v>
      </x:c>
      <x:c r="AO428" s="246" t="n">
        <x:f>M428-$B$4*AF428</x:f>
        <x:v>3.9321588755993298</x:v>
      </x:c>
      <x:c r="AP428" s="246" t="n">
        <x:f>N428-$B$4*AG428</x:f>
        <x:v>-3.65136954596184</x:v>
      </x:c>
      <x:c r="AQ428" s="246" t="n">
        <x:f>O428-$B$4*AH428</x:f>
        <x:v>1.6224253161592672</x:v>
      </x:c>
      <x:c r="AR428" s="182" t="n">
        <x:f>IF(U428&gt;=$B$5,1,0)</x:f>
        <x:v>0</x:v>
      </x:c>
      <x:c r="AS428" s="182" t="n">
        <x:f>IF(AR428=F428,1,0)</x:f>
        <x:v>1</x:v>
      </x:c>
      <x:c r="AT428" s="252" t="n">
        <x:f>ABS(F428-U428)</x:f>
        <x:v>0.2556670748226933</x:v>
      </x:c>
    </x:row>
    <x:row r="429">
      <x:c r="A429" s="114" t="n">
        <x:v>413</x:v>
      </x:c>
      <x:c r="B429" s="114" t="n">
        <x:v>104</x:v>
      </x:c>
      <x:c r="C429" s="114" t="n">
        <x:v>1</x:v>
      </x:c>
      <x:c r="D429" s="168" t="n">
        <x:f>$I$5</x:f>
        <x:v>0</x:v>
      </x:c>
      <x:c r="E429" s="168" t="n">
        <x:f>$J$5</x:f>
        <x:v>0</x:v>
      </x:c>
      <x:c r="F429" s="168" t="n">
        <x:f>$K$5</x:f>
        <x:v>0</x:v>
      </x:c>
      <x:c r="G429" s="242" t="n">
        <x:f>AI428</x:f>
        <x:v>3.0704077383777304</x:v>
      </x:c>
      <x:c r="H429" s="242" t="n">
        <x:f>AJ428</x:f>
        <x:v>-3.504231431364723</x:v>
      </x:c>
      <x:c r="I429" s="242" t="n">
        <x:f>AK428</x:f>
        <x:v>-1.7916630436816043</x:v>
      </x:c>
      <x:c r="J429" s="242" t="n">
        <x:f>AL428</x:f>
        <x:v>3.383195466619926</x:v>
      </x:c>
      <x:c r="K429" s="242" t="n">
        <x:f>AM428</x:f>
        <x:v>-3.2253588881766704</x:v>
      </x:c>
      <x:c r="L429" s="242" t="n">
        <x:f>AN428</x:f>
        <x:v>1.808158299911591</x:v>
      </x:c>
      <x:c r="M429" s="242" t="n">
        <x:f>AO428</x:f>
        <x:v>3.9321588755993298</x:v>
      </x:c>
      <x:c r="N429" s="242" t="n">
        <x:f>AP428</x:f>
        <x:v>-3.65136954596184</x:v>
      </x:c>
      <x:c r="O429" s="242" t="n">
        <x:f>AQ428</x:f>
        <x:v>1.6224253161592672</x:v>
      </x:c>
      <x:c r="P429" s="243" t="n">
        <x:f>D429*G429+E429*H429+I429</x:f>
        <x:v>-1.7916630436816043</x:v>
      </x:c>
      <x:c r="Q429" s="243" t="n">
        <x:f>1/(1+EXP(-P429))</x:f>
        <x:v>0.14286895047353027</x:v>
      </x:c>
      <x:c r="R429" s="243" t="n">
        <x:f>D429*J429+E429*K429+L429</x:f>
        <x:v>1.808158299911591</x:v>
      </x:c>
      <x:c r="S429" s="243" t="n">
        <x:f>1/(1+EXP(-R429))</x:f>
        <x:v>0.8591391408048473</x:v>
      </x:c>
      <x:c r="T429" s="243" t="n">
        <x:f>Q429*M429+S429*N429+O429</x:f>
        <x:v>-0.9528257666673203</x:v>
      </x:c>
      <x:c r="U429" s="243" t="n">
        <x:f>1/(1+EXP(-T429))</x:f>
        <x:v>0.2783168927050786</x:v>
      </x:c>
      <x:c r="V429" s="243" t="n">
        <x:f>0.5*(F429-U429)^2</x:f>
        <x:v>0.03873014638250511</x:v>
      </x:c>
      <x:c r="W429" s="244" t="n">
        <x:f>(U429-F429)*U429*(1-U429)</x:f>
        <x:v>0.0559017847746269</x:v>
      </x:c>
      <x:c r="X429" s="244" t="n">
        <x:f>W429*M429*Q429*(1-Q429)</x:f>
        <x:v>0.026917939500943212</x:v>
      </x:c>
      <x:c r="Y429" s="244" t="n">
        <x:f>W429*N429*S429*(1-S429)</x:f>
        <x:v>-0.024702181084539386</x:v>
      </x:c>
      <x:c r="Z429" s="245" t="n">
        <x:f>X429*D429</x:f>
        <x:v>0</x:v>
      </x:c>
      <x:c r="AA429" s="245" t="n">
        <x:f>X429*E429</x:f>
        <x:v>0</x:v>
      </x:c>
      <x:c r="AB429" s="245" t="n">
        <x:f>X429</x:f>
        <x:v>0.026917939500943212</x:v>
      </x:c>
      <x:c r="AC429" s="245" t="n">
        <x:f>Y429*D429</x:f>
        <x:v>0</x:v>
      </x:c>
      <x:c r="AD429" s="245" t="n">
        <x:f>Y429*E429</x:f>
        <x:v>0</x:v>
      </x:c>
      <x:c r="AE429" s="245" t="n">
        <x:f>Y429</x:f>
        <x:v>-0.024702181084539386</x:v>
      </x:c>
      <x:c r="AF429" s="245" t="n">
        <x:f>W429*Q429</x:f>
        <x:v>0.007986629320348118</x:v>
      </x:c>
      <x:c r="AG429" s="245" t="n">
        <x:f>W429*S429</x:f>
        <x:v>0.04802741134073045</x:v>
      </x:c>
      <x:c r="AH429" s="245" t="n">
        <x:f>W429</x:f>
        <x:v>0.0559017847746269</x:v>
      </x:c>
      <x:c r="AI429" s="246" t="n">
        <x:f>G429-$B$4*Z429</x:f>
        <x:v>3.0704077383777304</x:v>
      </x:c>
      <x:c r="AJ429" s="246" t="n">
        <x:f>H429-$B$4*AA429</x:f>
        <x:v>-3.504231431364723</x:v>
      </x:c>
      <x:c r="AK429" s="246" t="n">
        <x:f>I429-$B$4*AB429</x:f>
        <x:v>-1.8185809831825475</x:v>
      </x:c>
      <x:c r="AL429" s="246" t="n">
        <x:f>J429-$B$4*AC429</x:f>
        <x:v>3.383195466619926</x:v>
      </x:c>
      <x:c r="AM429" s="246" t="n">
        <x:f>K429-$B$4*AD429</x:f>
        <x:v>-3.2253588881766704</x:v>
      </x:c>
      <x:c r="AN429" s="246" t="n">
        <x:f>L429-$B$4*AE429</x:f>
        <x:v>1.8328604809961304</x:v>
      </x:c>
      <x:c r="AO429" s="246" t="n">
        <x:f>M429-$B$4*AF429</x:f>
        <x:v>3.9241722462789816</x:v>
      </x:c>
      <x:c r="AP429" s="246" t="n">
        <x:f>N429-$B$4*AG429</x:f>
        <x:v>-3.6993969573025707</x:v>
      </x:c>
      <x:c r="AQ429" s="246" t="n">
        <x:f>O429-$B$4*AH429</x:f>
        <x:v>1.5665235313846404</x:v>
      </x:c>
      <x:c r="AR429" s="182" t="n">
        <x:f>IF(U429&gt;=$B$5,1,0)</x:f>
        <x:v>0</x:v>
      </x:c>
      <x:c r="AS429" s="182" t="n">
        <x:f>IF(AR429=F429,1,0)</x:f>
        <x:v>1</x:v>
      </x:c>
      <x:c r="AT429" s="252" t="n">
        <x:f>ABS(F429-U429)</x:f>
        <x:v>0.2783168927050786</x:v>
      </x:c>
    </x:row>
    <x:row r="430">
      <x:c r="A430" s="114" t="n">
        <x:v>414</x:v>
      </x:c>
      <x:c r="B430" s="114" t="n">
        <x:v>104</x:v>
      </x:c>
      <x:c r="C430" s="114" t="n">
        <x:v>2</x:v>
      </x:c>
      <x:c r="D430" s="168" t="n">
        <x:f>$I$6</x:f>
        <x:v>0</x:v>
      </x:c>
      <x:c r="E430" s="168" t="n">
        <x:f>$J$6</x:f>
        <x:v>1</x:v>
      </x:c>
      <x:c r="F430" s="168" t="n">
        <x:f>$K$6</x:f>
        <x:v>1</x:v>
      </x:c>
      <x:c r="G430" s="242" t="n">
        <x:f>AI429</x:f>
        <x:v>3.0704077383777304</x:v>
      </x:c>
      <x:c r="H430" s="242" t="n">
        <x:f>AJ429</x:f>
        <x:v>-3.504231431364723</x:v>
      </x:c>
      <x:c r="I430" s="242" t="n">
        <x:f>AK429</x:f>
        <x:v>-1.8185809831825475</x:v>
      </x:c>
      <x:c r="J430" s="242" t="n">
        <x:f>AL429</x:f>
        <x:v>3.383195466619926</x:v>
      </x:c>
      <x:c r="K430" s="242" t="n">
        <x:f>AM429</x:f>
        <x:v>-3.2253588881766704</x:v>
      </x:c>
      <x:c r="L430" s="242" t="n">
        <x:f>AN429</x:f>
        <x:v>1.8328604809961304</x:v>
      </x:c>
      <x:c r="M430" s="242" t="n">
        <x:f>AO429</x:f>
        <x:v>3.9241722462789816</x:v>
      </x:c>
      <x:c r="N430" s="242" t="n">
        <x:f>AP429</x:f>
        <x:v>-3.6993969573025707</x:v>
      </x:c>
      <x:c r="O430" s="242" t="n">
        <x:f>AQ429</x:f>
        <x:v>1.5665235313846404</x:v>
      </x:c>
      <x:c r="P430" s="243" t="n">
        <x:f>D430*G430+E430*H430+I430</x:f>
        <x:v>-5.32281241454727</x:v>
      </x:c>
      <x:c r="Q430" s="243" t="n">
        <x:f>1/(1+EXP(-P430))</x:f>
        <x:v>0.004855323421230866</x:v>
      </x:c>
      <x:c r="R430" s="243" t="n">
        <x:f>D430*J430+E430*K430+L430</x:f>
        <x:v>-1.39249840718054</x:v>
      </x:c>
      <x:c r="S430" s="243" t="n">
        <x:f>1/(1+EXP(-R430))</x:f>
        <x:v>0.19900919989913968</x:v>
      </x:c>
      <x:c r="T430" s="243" t="n">
        <x:f>Q430*M430+S430*N430+O430</x:f>
        <x:v>0.8493626282188464</x:v>
      </x:c>
      <x:c r="U430" s="243" t="n">
        <x:f>1/(1+EXP(-T430))</x:f>
        <x:v>0.7004334221074572</x:v>
      </x:c>
      <x:c r="V430" s="243" t="n">
        <x:f>0.5*(F430-U430)^2</x:f>
        <x:v>0.04487006729512446</x:v>
      </x:c>
      <x:c r="W430" s="244" t="n">
        <x:f>(U430-F430)*U430*(1-U430)</x:f>
        <x:v>-0.06285698957143183</x:v>
      </x:c>
      <x:c r="X430" s="244" t="n">
        <x:f>W430*M430*Q430*(1-Q430)</x:f>
        <x:v>-0.001191807262936625</x:v>
      </x:c>
      <x:c r="Y430" s="244" t="n">
        <x:f>W430*N430*S430*(1-S430)</x:f>
        <x:v>0.03706680847470852</x:v>
      </x:c>
      <x:c r="Z430" s="245" t="n">
        <x:f>X430*D430</x:f>
        <x:v>0</x:v>
      </x:c>
      <x:c r="AA430" s="245" t="n">
        <x:f>X430*E430</x:f>
        <x:v>-0.001191807262936625</x:v>
      </x:c>
      <x:c r="AB430" s="245" t="n">
        <x:f>X430</x:f>
        <x:v>-0.001191807262936625</x:v>
      </x:c>
      <x:c r="AC430" s="245" t="n">
        <x:f>Y430*D430</x:f>
        <x:v>0</x:v>
      </x:c>
      <x:c r="AD430" s="245" t="n">
        <x:f>Y430*E430</x:f>
        <x:v>0.03706680847470852</x:v>
      </x:c>
      <x:c r="AE430" s="245" t="n">
        <x:f>Y430</x:f>
        <x:v>0.03706680847470852</x:v>
      </x:c>
      <x:c r="AF430" s="245" t="n">
        <x:f>W430*Q430</x:f>
        <x:v>-0.00030519101365423726</x:v>
      </x:c>
      <x:c r="AG430" s="245" t="n">
        <x:f>W430*S430</x:f>
        <x:v>-0.012509119202679216</x:v>
      </x:c>
      <x:c r="AH430" s="245" t="n">
        <x:f>W430</x:f>
        <x:v>-0.06285698957143183</x:v>
      </x:c>
      <x:c r="AI430" s="246" t="n">
        <x:f>G430-$B$4*Z430</x:f>
        <x:v>3.0704077383777304</x:v>
      </x:c>
      <x:c r="AJ430" s="246" t="n">
        <x:f>H430-$B$4*AA430</x:f>
        <x:v>-3.5030396241017865</x:v>
      </x:c>
      <x:c r="AK430" s="246" t="n">
        <x:f>I430-$B$4*AB430</x:f>
        <x:v>-1.8173891759196108</x:v>
      </x:c>
      <x:c r="AL430" s="246" t="n">
        <x:f>J430-$B$4*AC430</x:f>
        <x:v>3.383195466619926</x:v>
      </x:c>
      <x:c r="AM430" s="246" t="n">
        <x:f>K430-$B$4*AD430</x:f>
        <x:v>-3.2624256966513787</x:v>
      </x:c>
      <x:c r="AN430" s="246" t="n">
        <x:f>L430-$B$4*AE430</x:f>
        <x:v>1.7957936725214219</x:v>
      </x:c>
      <x:c r="AO430" s="246" t="n">
        <x:f>M430-$B$4*AF430</x:f>
        <x:v>3.924477437292636</x:v>
      </x:c>
      <x:c r="AP430" s="246" t="n">
        <x:f>N430-$B$4*AG430</x:f>
        <x:v>-3.6868878380998913</x:v>
      </x:c>
      <x:c r="AQ430" s="246" t="n">
        <x:f>O430-$B$4*AH430</x:f>
        <x:v>1.6293805209560723</x:v>
      </x:c>
      <x:c r="AR430" s="182" t="n">
        <x:f>IF(U430&gt;=$B$5,1,0)</x:f>
        <x:v>1</x:v>
      </x:c>
      <x:c r="AS430" s="182" t="n">
        <x:f>IF(AR430=F430,1,0)</x:f>
        <x:v>1</x:v>
      </x:c>
      <x:c r="AT430" s="252" t="n">
        <x:f>ABS(F430-U430)</x:f>
        <x:v>0.2995665778925428</x:v>
      </x:c>
    </x:row>
    <x:row r="431">
      <x:c r="A431" s="114" t="n">
        <x:v>415</x:v>
      </x:c>
      <x:c r="B431" s="114" t="n">
        <x:v>104</x:v>
      </x:c>
      <x:c r="C431" s="114" t="n">
        <x:v>3</x:v>
      </x:c>
      <x:c r="D431" s="168" t="n">
        <x:f>$I$7</x:f>
        <x:v>1</x:v>
      </x:c>
      <x:c r="E431" s="168" t="n">
        <x:f>$J$7</x:f>
        <x:v>0</x:v>
      </x:c>
      <x:c r="F431" s="168" t="n">
        <x:f>$K$7</x:f>
        <x:v>1</x:v>
      </x:c>
      <x:c r="G431" s="242" t="n">
        <x:f>AI430</x:f>
        <x:v>3.0704077383777304</x:v>
      </x:c>
      <x:c r="H431" s="242" t="n">
        <x:f>AJ430</x:f>
        <x:v>-3.5030396241017865</x:v>
      </x:c>
      <x:c r="I431" s="242" t="n">
        <x:f>AK430</x:f>
        <x:v>-1.8173891759196108</x:v>
      </x:c>
      <x:c r="J431" s="242" t="n">
        <x:f>AL430</x:f>
        <x:v>3.383195466619926</x:v>
      </x:c>
      <x:c r="K431" s="242" t="n">
        <x:f>AM430</x:f>
        <x:v>-3.2624256966513787</x:v>
      </x:c>
      <x:c r="L431" s="242" t="n">
        <x:f>AN430</x:f>
        <x:v>1.7957936725214219</x:v>
      </x:c>
      <x:c r="M431" s="242" t="n">
        <x:f>AO430</x:f>
        <x:v>3.924477437292636</x:v>
      </x:c>
      <x:c r="N431" s="242" t="n">
        <x:f>AP430</x:f>
        <x:v>-3.6868878380998913</x:v>
      </x:c>
      <x:c r="O431" s="242" t="n">
        <x:f>AQ430</x:f>
        <x:v>1.6293805209560723</x:v>
      </x:c>
      <x:c r="P431" s="243" t="n">
        <x:f>D431*G431+E431*H431+I431</x:f>
        <x:v>1.2530185624581196</x:v>
      </x:c>
      <x:c r="Q431" s="243" t="n">
        <x:f>1/(1+EXP(-P431))</x:f>
        <x:v>0.7778219513755886</x:v>
      </x:c>
      <x:c r="R431" s="243" t="n">
        <x:f>D431*J431+E431*K431+L431</x:f>
        <x:v>5.178989139141348</x:v>
      </x:c>
      <x:c r="S431" s="243" t="n">
        <x:f>1/(1+EXP(-R431))</x:f>
        <x:v>0.994397862331912</x:v>
      </x:c>
      <x:c r="T431" s="243" t="n">
        <x:f>Q431*M431+S431*N431+O431</x:f>
        <x:v>1.0156918344964434</x:v>
      </x:c>
      <x:c r="U431" s="243" t="n">
        <x:f>1/(1+EXP(-T431))</x:f>
        <x:v>0.7341325719908997</x:v>
      </x:c>
      <x:c r="V431" s="243" t="n">
        <x:f>0.5*(F431-U431)^2</x:f>
        <x:v>0.03534274463808708</x:v>
      </x:c>
      <x:c r="W431" s="244" t="n">
        <x:f>(U431-F431)*U431*(1-U431)</x:f>
        <x:v>-0.051892520044752886</x:v>
      </x:c>
      <x:c r="X431" s="244" t="n">
        <x:f>W431*M431*Q431*(1-Q431)</x:f>
        <x:v>-0.03519394425926899</x:v>
      </x:c>
      <x:c r="Y431" s="244" t="n">
        <x:f>W431*N431*S431*(1-S431)</x:f>
        <x:v>0.0010658071922565653</x:v>
      </x:c>
      <x:c r="Z431" s="245" t="n">
        <x:f>X431*D431</x:f>
        <x:v>-0.03519394425926899</x:v>
      </x:c>
      <x:c r="AA431" s="245" t="n">
        <x:f>X431*E431</x:f>
        <x:v>0</x:v>
      </x:c>
      <x:c r="AB431" s="245" t="n">
        <x:f>X431</x:f>
        <x:v>-0.03519394425926899</x:v>
      </x:c>
      <x:c r="AC431" s="245" t="n">
        <x:f>Y431*D431</x:f>
        <x:v>0.0010658071922565653</x:v>
      </x:c>
      <x:c r="AD431" s="245" t="n">
        <x:f>Y431*E431</x:f>
        <x:v>0</x:v>
      </x:c>
      <x:c r="AE431" s="245" t="n">
        <x:f>Y431</x:f>
        <x:v>0.0010658071922565653</x:v>
      </x:c>
      <x:c r="AF431" s="245" t="n">
        <x:f>W431*Q431</x:f>
        <x:v>-0.04036314120300654</x:v>
      </x:c>
      <x:c r="AG431" s="245" t="n">
        <x:f>W431*S431</x:f>
        <x:v>-0.05160181100351816</x:v>
      </x:c>
      <x:c r="AH431" s="245" t="n">
        <x:f>W431</x:f>
        <x:v>-0.051892520044752886</x:v>
      </x:c>
      <x:c r="AI431" s="246" t="n">
        <x:f>G431-$B$4*Z431</x:f>
        <x:v>3.1056016826369994</x:v>
      </x:c>
      <x:c r="AJ431" s="246" t="n">
        <x:f>H431-$B$4*AA431</x:f>
        <x:v>-3.5030396241017865</x:v>
      </x:c>
      <x:c r="AK431" s="246" t="n">
        <x:f>I431-$B$4*AB431</x:f>
        <x:v>-1.7821952316603418</x:v>
      </x:c>
      <x:c r="AL431" s="246" t="n">
        <x:f>J431-$B$4*AC431</x:f>
        <x:v>3.3821296594276693</x:v>
      </x:c>
      <x:c r="AM431" s="246" t="n">
        <x:f>K431-$B$4*AD431</x:f>
        <x:v>-3.2624256966513787</x:v>
      </x:c>
      <x:c r="AN431" s="246" t="n">
        <x:f>L431-$B$4*AE431</x:f>
        <x:v>1.7947278653291654</x:v>
      </x:c>
      <x:c r="AO431" s="246" t="n">
        <x:f>M431-$B$4*AF431</x:f>
        <x:v>3.964840578495642</x:v>
      </x:c>
      <x:c r="AP431" s="246" t="n">
        <x:f>N431-$B$4*AG431</x:f>
        <x:v>-3.635286027096373</x:v>
      </x:c>
      <x:c r="AQ431" s="246" t="n">
        <x:f>O431-$B$4*AH431</x:f>
        <x:v>1.6812730410008252</x:v>
      </x:c>
      <x:c r="AR431" s="182" t="n">
        <x:f>IF(U431&gt;=$B$5,1,0)</x:f>
        <x:v>1</x:v>
      </x:c>
      <x:c r="AS431" s="182" t="n">
        <x:f>IF(AR431=F431,1,0)</x:f>
        <x:v>1</x:v>
      </x:c>
      <x:c r="AT431" s="252" t="n">
        <x:f>ABS(F431-U431)</x:f>
        <x:v>0.26586742800910035</x:v>
      </x:c>
    </x:row>
    <x:row r="432">
      <x:c r="A432" s="114" t="n">
        <x:v>416</x:v>
      </x:c>
      <x:c r="B432" s="114" t="n">
        <x:v>104</x:v>
      </x:c>
      <x:c r="C432" s="114" t="n">
        <x:v>4</x:v>
      </x:c>
      <x:c r="D432" s="168" t="n">
        <x:f>$I$8</x:f>
        <x:v>1</x:v>
      </x:c>
      <x:c r="E432" s="168" t="n">
        <x:f>$J$8</x:f>
        <x:v>1</x:v>
      </x:c>
      <x:c r="F432" s="168" t="n">
        <x:f>$K$8</x:f>
        <x:v>0</x:v>
      </x:c>
      <x:c r="G432" s="242" t="n">
        <x:f>AI431</x:f>
        <x:v>3.1056016826369994</x:v>
      </x:c>
      <x:c r="H432" s="242" t="n">
        <x:f>AJ431</x:f>
        <x:v>-3.5030396241017865</x:v>
      </x:c>
      <x:c r="I432" s="242" t="n">
        <x:f>AK431</x:f>
        <x:v>-1.7821952316603418</x:v>
      </x:c>
      <x:c r="J432" s="242" t="n">
        <x:f>AL431</x:f>
        <x:v>3.3821296594276693</x:v>
      </x:c>
      <x:c r="K432" s="242" t="n">
        <x:f>AM431</x:f>
        <x:v>-3.2624256966513787</x:v>
      </x:c>
      <x:c r="L432" s="242" t="n">
        <x:f>AN431</x:f>
        <x:v>1.7947278653291654</x:v>
      </x:c>
      <x:c r="M432" s="242" t="n">
        <x:f>AO431</x:f>
        <x:v>3.964840578495642</x:v>
      </x:c>
      <x:c r="N432" s="242" t="n">
        <x:f>AP431</x:f>
        <x:v>-3.635286027096373</x:v>
      </x:c>
      <x:c r="O432" s="242" t="n">
        <x:f>AQ431</x:f>
        <x:v>1.6812730410008252</x:v>
      </x:c>
      <x:c r="P432" s="243" t="n">
        <x:f>D432*G432+E432*H432+I432</x:f>
        <x:v>-2.179633173125129</x:v>
      </x:c>
      <x:c r="Q432" s="243" t="n">
        <x:f>1/(1+EXP(-P432))</x:f>
        <x:v>0.10159440438733168</x:v>
      </x:c>
      <x:c r="R432" s="243" t="n">
        <x:f>D432*J432+E432*K432+L432</x:f>
        <x:v>1.914431828105456</x:v>
      </x:c>
      <x:c r="S432" s="243" t="n">
        <x:f>1/(1+EXP(-R432))</x:f>
        <x:v>0.871516222510111</x:v>
      </x:c>
      <x:c r="T432" s="243" t="n">
        <x:f>Q432*M432+S432*N432+O432</x:f>
        <x:v>-1.084132088015006</x:v>
      </x:c>
      <x:c r="U432" s="243" t="n">
        <x:f>1/(1+EXP(-T432))</x:f>
        <x:v>0.25272485411980067</x:v>
      </x:c>
      <x:c r="V432" s="243" t="n">
        <x:f>0.5*(F432-U432)^2</x:f>
        <x:v>0.03193492594493726</x:v>
      </x:c>
      <x:c r="W432" s="244" t="n">
        <x:f>(U432-F432)*U432*(1-U432)</x:f>
        <x:v>0.04772835288835271</x:v>
      </x:c>
      <x:c r="X432" s="244" t="n">
        <x:f>W432*M432*Q432*(1-Q432)</x:f>
        <x:v>0.017272070952159952</x:v>
      </x:c>
      <x:c r="Y432" s="244" t="n">
        <x:f>W432*N432*S432*(1-S432)</x:f>
        <x:v>-0.019428479183770924</x:v>
      </x:c>
      <x:c r="Z432" s="245" t="n">
        <x:f>X432*D432</x:f>
        <x:v>0.017272070952159952</x:v>
      </x:c>
      <x:c r="AA432" s="245" t="n">
        <x:f>X432*E432</x:f>
        <x:v>0.017272070952159952</x:v>
      </x:c>
      <x:c r="AB432" s="245" t="n">
        <x:f>X432</x:f>
        <x:v>0.017272070952159952</x:v>
      </x:c>
      <x:c r="AC432" s="245" t="n">
        <x:f>Y432*D432</x:f>
        <x:v>-0.019428479183770924</x:v>
      </x:c>
      <x:c r="AD432" s="245" t="n">
        <x:f>Y432*E432</x:f>
        <x:v>-0.019428479183770924</x:v>
      </x:c>
      <x:c r="AE432" s="245" t="n">
        <x:f>Y432</x:f>
        <x:v>-0.019428479183770924</x:v>
      </x:c>
      <x:c r="AF432" s="245" t="n">
        <x:f>W432*Q432</x:f>
        <x:v>0.004848933584080575</x:v>
      </x:c>
      <x:c r="AG432" s="245" t="n">
        <x:f>W432*S432</x:f>
        <x:v>0.0415960338158867</x:v>
      </x:c>
      <x:c r="AH432" s="245" t="n">
        <x:f>W432</x:f>
        <x:v>0.04772835288835271</x:v>
      </x:c>
      <x:c r="AI432" s="246" t="n">
        <x:f>G432-$B$4*Z432</x:f>
        <x:v>3.0883296116848395</x:v>
      </x:c>
      <x:c r="AJ432" s="246" t="n">
        <x:f>H432-$B$4*AA432</x:f>
        <x:v>-3.5203116950539464</x:v>
      </x:c>
      <x:c r="AK432" s="246" t="n">
        <x:f>I432-$B$4*AB432</x:f>
        <x:v>-1.7994673026125017</x:v>
      </x:c>
      <x:c r="AL432" s="246" t="n">
        <x:f>J432-$B$4*AC432</x:f>
        <x:v>3.40155813861144</x:v>
      </x:c>
      <x:c r="AM432" s="246" t="n">
        <x:f>K432-$B$4*AD432</x:f>
        <x:v>-3.242997217467608</x:v>
      </x:c>
      <x:c r="AN432" s="246" t="n">
        <x:f>L432-$B$4*AE432</x:f>
        <x:v>1.8141563445129363</x:v>
      </x:c>
      <x:c r="AO432" s="246" t="n">
        <x:f>M432-$B$4*AF432</x:f>
        <x:v>3.9599916449115615</x:v>
      </x:c>
      <x:c r="AP432" s="246" t="n">
        <x:f>N432-$B$4*AG432</x:f>
        <x:v>-3.6768820609122597</x:v>
      </x:c>
      <x:c r="AQ432" s="246" t="n">
        <x:f>O432-$B$4*AH432</x:f>
        <x:v>1.6335446881124724</x:v>
      </x:c>
      <x:c r="AR432" s="182" t="n">
        <x:f>IF(U432&gt;=$B$5,1,0)</x:f>
        <x:v>0</x:v>
      </x:c>
      <x:c r="AS432" s="182" t="n">
        <x:f>IF(AR432=F432,1,0)</x:f>
        <x:v>1</x:v>
      </x:c>
      <x:c r="AT432" s="252" t="n">
        <x:f>ABS(F432-U432)</x:f>
        <x:v>0.25272485411980067</x:v>
      </x:c>
    </x:row>
    <x:row r="433">
      <x:c r="A433" s="114" t="n">
        <x:v>417</x:v>
      </x:c>
      <x:c r="B433" s="114" t="n">
        <x:v>105</x:v>
      </x:c>
      <x:c r="C433" s="114" t="n">
        <x:v>1</x:v>
      </x:c>
      <x:c r="D433" s="168" t="n">
        <x:f>$I$5</x:f>
        <x:v>0</x:v>
      </x:c>
      <x:c r="E433" s="168" t="n">
        <x:f>$J$5</x:f>
        <x:v>0</x:v>
      </x:c>
      <x:c r="F433" s="168" t="n">
        <x:f>$K$5</x:f>
        <x:v>0</x:v>
      </x:c>
      <x:c r="G433" s="242" t="n">
        <x:f>AI432</x:f>
        <x:v>3.0883296116848395</x:v>
      </x:c>
      <x:c r="H433" s="242" t="n">
        <x:f>AJ432</x:f>
        <x:v>-3.5203116950539464</x:v>
      </x:c>
      <x:c r="I433" s="242" t="n">
        <x:f>AK432</x:f>
        <x:v>-1.7994673026125017</x:v>
      </x:c>
      <x:c r="J433" s="242" t="n">
        <x:f>AL432</x:f>
        <x:v>3.40155813861144</x:v>
      </x:c>
      <x:c r="K433" s="242" t="n">
        <x:f>AM432</x:f>
        <x:v>-3.242997217467608</x:v>
      </x:c>
      <x:c r="L433" s="242" t="n">
        <x:f>AN432</x:f>
        <x:v>1.8141563445129363</x:v>
      </x:c>
      <x:c r="M433" s="242" t="n">
        <x:f>AO432</x:f>
        <x:v>3.9599916449115615</x:v>
      </x:c>
      <x:c r="N433" s="242" t="n">
        <x:f>AP432</x:f>
        <x:v>-3.6768820609122597</x:v>
      </x:c>
      <x:c r="O433" s="242" t="n">
        <x:f>AQ432</x:f>
        <x:v>1.6335446881124724</x:v>
      </x:c>
      <x:c r="P433" s="243" t="n">
        <x:f>D433*G433+E433*H433+I433</x:f>
        <x:v>-1.7994673026125017</x:v>
      </x:c>
      <x:c r="Q433" s="243" t="n">
        <x:f>1/(1+EXP(-P433))</x:f>
        <x:v>0.14191592217430204</x:v>
      </x:c>
      <x:c r="R433" s="243" t="n">
        <x:f>D433*J433+E433*K433+L433</x:f>
        <x:v>1.8141563445129363</x:v>
      </x:c>
      <x:c r="S433" s="243" t="n">
        <x:f>1/(1+EXP(-R433))</x:f>
        <x:v>0.8598634561866633</x:v>
      </x:c>
      <x:c r="T433" s="243" t="n">
        <x:f>Q433*M433+S433*N433+O433</x:f>
        <x:v>-0.9660859626841289</x:v>
      </x:c>
      <x:c r="U433" s="243" t="n">
        <x:f>1/(1+EXP(-T433))</x:f>
        <x:v>0.27566133989029606</x:v>
      </x:c>
      <x:c r="V433" s="243" t="n">
        <x:f>0.5*(F433-U433)^2</x:f>
        <x:v>0.037994587155056665</x:v>
      </x:c>
      <x:c r="W433" s="244" t="n">
        <x:f>(U433-F433)*U433*(1-U433)</x:f>
        <x:v>0.055041896702630225</x:v>
      </x:c>
      <x:c r="X433" s="244" t="n">
        <x:f>W433*M433*Q433*(1-Q433)</x:f>
        <x:v>0.026542915695014414</x:v>
      </x:c>
      <x:c r="Y433" s="244" t="n">
        <x:f>W433*N433*S433*(1-S433)</x:f>
        <x:v>-0.024386753304439273</x:v>
      </x:c>
      <x:c r="Z433" s="245" t="n">
        <x:f>X433*D433</x:f>
        <x:v>0</x:v>
      </x:c>
      <x:c r="AA433" s="245" t="n">
        <x:f>X433*E433</x:f>
        <x:v>0</x:v>
      </x:c>
      <x:c r="AB433" s="245" t="n">
        <x:f>X433</x:f>
        <x:v>0.026542915695014414</x:v>
      </x:c>
      <x:c r="AC433" s="245" t="n">
        <x:f>Y433*D433</x:f>
        <x:v>0</x:v>
      </x:c>
      <x:c r="AD433" s="245" t="n">
        <x:f>Y433*E433</x:f>
        <x:v>0</x:v>
      </x:c>
      <x:c r="AE433" s="245" t="n">
        <x:f>Y433</x:f>
        <x:v>-0.024386753304439273</x:v>
      </x:c>
      <x:c r="AF433" s="245" t="n">
        <x:f>W433*Q433</x:f>
        <x:v>0.007811321528776443</x:v>
      </x:c>
      <x:c r="AG433" s="245" t="n">
        <x:f>W433*S433</x:f>
        <x:v>0.04732851553379293</x:v>
      </x:c>
      <x:c r="AH433" s="245" t="n">
        <x:f>W433</x:f>
        <x:v>0.055041896702630225</x:v>
      </x:c>
      <x:c r="AI433" s="246" t="n">
        <x:f>G433-$B$4*Z433</x:f>
        <x:v>3.0883296116848395</x:v>
      </x:c>
      <x:c r="AJ433" s="246" t="n">
        <x:f>H433-$B$4*AA433</x:f>
        <x:v>-3.5203116950539464</x:v>
      </x:c>
      <x:c r="AK433" s="246" t="n">
        <x:f>I433-$B$4*AB433</x:f>
        <x:v>-1.826010218307516</x:v>
      </x:c>
      <x:c r="AL433" s="246" t="n">
        <x:f>J433-$B$4*AC433</x:f>
        <x:v>3.40155813861144</x:v>
      </x:c>
      <x:c r="AM433" s="246" t="n">
        <x:f>K433-$B$4*AD433</x:f>
        <x:v>-3.242997217467608</x:v>
      </x:c>
      <x:c r="AN433" s="246" t="n">
        <x:f>L433-$B$4*AE433</x:f>
        <x:v>1.8385430978173756</x:v>
      </x:c>
      <x:c r="AO433" s="246" t="n">
        <x:f>M433-$B$4*AF433</x:f>
        <x:v>3.9521803233827852</x:v>
      </x:c>
      <x:c r="AP433" s="246" t="n">
        <x:f>N433-$B$4*AG433</x:f>
        <x:v>-3.7242105764460525</x:v>
      </x:c>
      <x:c r="AQ433" s="246" t="n">
        <x:f>O433-$B$4*AH433</x:f>
        <x:v>1.5785027914098422</x:v>
      </x:c>
      <x:c r="AR433" s="182" t="n">
        <x:f>IF(U433&gt;=$B$5,1,0)</x:f>
        <x:v>0</x:v>
      </x:c>
      <x:c r="AS433" s="182" t="n">
        <x:f>IF(AR433=F433,1,0)</x:f>
        <x:v>1</x:v>
      </x:c>
      <x:c r="AT433" s="252" t="n">
        <x:f>ABS(F433-U433)</x:f>
        <x:v>0.27566133989029606</x:v>
      </x:c>
    </x:row>
    <x:row r="434">
      <x:c r="A434" s="114" t="n">
        <x:v>418</x:v>
      </x:c>
      <x:c r="B434" s="114" t="n">
        <x:v>105</x:v>
      </x:c>
      <x:c r="C434" s="114" t="n">
        <x:v>2</x:v>
      </x:c>
      <x:c r="D434" s="168" t="n">
        <x:f>$I$6</x:f>
        <x:v>0</x:v>
      </x:c>
      <x:c r="E434" s="168" t="n">
        <x:f>$J$6</x:f>
        <x:v>1</x:v>
      </x:c>
      <x:c r="F434" s="168" t="n">
        <x:f>$K$6</x:f>
        <x:v>1</x:v>
      </x:c>
      <x:c r="G434" s="242" t="n">
        <x:f>AI433</x:f>
        <x:v>3.0883296116848395</x:v>
      </x:c>
      <x:c r="H434" s="242" t="n">
        <x:f>AJ433</x:f>
        <x:v>-3.5203116950539464</x:v>
      </x:c>
      <x:c r="I434" s="242" t="n">
        <x:f>AK433</x:f>
        <x:v>-1.826010218307516</x:v>
      </x:c>
      <x:c r="J434" s="242" t="n">
        <x:f>AL433</x:f>
        <x:v>3.40155813861144</x:v>
      </x:c>
      <x:c r="K434" s="242" t="n">
        <x:f>AM433</x:f>
        <x:v>-3.242997217467608</x:v>
      </x:c>
      <x:c r="L434" s="242" t="n">
        <x:f>AN433</x:f>
        <x:v>1.8385430978173756</x:v>
      </x:c>
      <x:c r="M434" s="242" t="n">
        <x:f>AO433</x:f>
        <x:v>3.9521803233827852</x:v>
      </x:c>
      <x:c r="N434" s="242" t="n">
        <x:f>AP433</x:f>
        <x:v>-3.7242105764460525</x:v>
      </x:c>
      <x:c r="O434" s="242" t="n">
        <x:f>AQ433</x:f>
        <x:v>1.5785027914098422</x:v>
      </x:c>
      <x:c r="P434" s="243" t="n">
        <x:f>D434*G434+E434*H434+I434</x:f>
        <x:v>-5.346321913361463</x:v>
      </x:c>
      <x:c r="Q434" s="243" t="n">
        <x:f>1/(1+EXP(-P434))</x:f>
        <x:v>0.004743043594088665</x:v>
      </x:c>
      <x:c r="R434" s="243" t="n">
        <x:f>D434*J434+E434*K434+L434</x:f>
        <x:v>-1.4044541196502323</x:v>
      </x:c>
      <x:c r="S434" s="243" t="n">
        <x:f>1/(1+EXP(-R434))</x:f>
        <x:v>0.1971102611367772</x:v>
      </x:c>
      <x:c r="T434" s="243" t="n">
        <x:f>Q434*M434+S434*N434+O434</x:f>
        <x:v>0.8631680357237171</x:v>
      </x:c>
      <x:c r="U434" s="243" t="n">
        <x:f>1/(1+EXP(-T434))</x:f>
        <x:v>0.7033221225609559</x:v>
      </x:c>
      <x:c r="V434" s="243" t="n">
        <x:f>0.5*(F434-U434)^2</x:f>
        <x:v>0.04400888148086823</x:v>
      </x:c>
      <x:c r="W434" s="244" t="n">
        <x:f>(U434-F434)*U434*(1-U434)</x:f>
        <x:v>-0.061904839869315574</x:v>
      </x:c>
      <x:c r="X434" s="244" t="n">
        <x:f>W434*M434*Q434*(1-Q434)</x:f>
        <x:v>-0.0011549247657612833</x:v>
      </x:c>
      <x:c r="Y434" s="244" t="n">
        <x:f>W434*N434*S434*(1-S434)</x:f>
        <x:v>0.036485808514303136</x:v>
      </x:c>
      <x:c r="Z434" s="245" t="n">
        <x:f>X434*D434</x:f>
        <x:v>0</x:v>
      </x:c>
      <x:c r="AA434" s="245" t="n">
        <x:f>X434*E434</x:f>
        <x:v>-0.0011549247657612833</x:v>
      </x:c>
      <x:c r="AB434" s="245" t="n">
        <x:f>X434</x:f>
        <x:v>-0.0011549247657612833</x:v>
      </x:c>
      <x:c r="AC434" s="245" t="n">
        <x:f>Y434*D434</x:f>
        <x:v>0</x:v>
      </x:c>
      <x:c r="AD434" s="245" t="n">
        <x:f>Y434*E434</x:f>
        <x:v>0.036485808514303136</x:v>
      </x:c>
      <x:c r="AE434" s="245" t="n">
        <x:f>Y434</x:f>
        <x:v>0.036485808514303136</x:v>
      </x:c>
      <x:c r="AF434" s="245" t="n">
        <x:f>W434*Q434</x:f>
        <x:v>-0.0002936173541852418</x:v>
      </x:c>
      <x:c r="AG434" s="245" t="n">
        <x:f>W434*S434</x:f>
        <x:v>-0.01220207915227117</x:v>
      </x:c>
      <x:c r="AH434" s="245" t="n">
        <x:f>W434</x:f>
        <x:v>-0.061904839869315574</x:v>
      </x:c>
      <x:c r="AI434" s="246" t="n">
        <x:f>G434-$B$4*Z434</x:f>
        <x:v>3.0883296116848395</x:v>
      </x:c>
      <x:c r="AJ434" s="246" t="n">
        <x:f>H434-$B$4*AA434</x:f>
        <x:v>-3.519156770288185</x:v>
      </x:c>
      <x:c r="AK434" s="246" t="n">
        <x:f>I434-$B$4*AB434</x:f>
        <x:v>-1.8248552935417548</x:v>
      </x:c>
      <x:c r="AL434" s="246" t="n">
        <x:f>J434-$B$4*AC434</x:f>
        <x:v>3.40155813861144</x:v>
      </x:c>
      <x:c r="AM434" s="246" t="n">
        <x:f>K434-$B$4*AD434</x:f>
        <x:v>-3.2794830259819108</x:v>
      </x:c>
      <x:c r="AN434" s="246" t="n">
        <x:f>L434-$B$4*AE434</x:f>
        <x:v>1.8020572893030724</x:v>
      </x:c>
      <x:c r="AO434" s="246" t="n">
        <x:f>M434-$B$4*AF434</x:f>
        <x:v>3.9524739407369704</x:v>
      </x:c>
      <x:c r="AP434" s="246" t="n">
        <x:f>N434-$B$4*AG434</x:f>
        <x:v>-3.7120084972937812</x:v>
      </x:c>
      <x:c r="AQ434" s="246" t="n">
        <x:f>O434-$B$4*AH434</x:f>
        <x:v>1.6404076312791578</x:v>
      </x:c>
      <x:c r="AR434" s="182" t="n">
        <x:f>IF(U434&gt;=$B$5,1,0)</x:f>
        <x:v>1</x:v>
      </x:c>
      <x:c r="AS434" s="182" t="n">
        <x:f>IF(AR434=F434,1,0)</x:f>
        <x:v>1</x:v>
      </x:c>
      <x:c r="AT434" s="252" t="n">
        <x:f>ABS(F434-U434)</x:f>
        <x:v>0.29667787743904406</x:v>
      </x:c>
    </x:row>
    <x:row r="435">
      <x:c r="A435" s="114" t="n">
        <x:v>419</x:v>
      </x:c>
      <x:c r="B435" s="114" t="n">
        <x:v>105</x:v>
      </x:c>
      <x:c r="C435" s="114" t="n">
        <x:v>3</x:v>
      </x:c>
      <x:c r="D435" s="168" t="n">
        <x:f>$I$7</x:f>
        <x:v>1</x:v>
      </x:c>
      <x:c r="E435" s="168" t="n">
        <x:f>$J$7</x:f>
        <x:v>0</x:v>
      </x:c>
      <x:c r="F435" s="168" t="n">
        <x:f>$K$7</x:f>
        <x:v>1</x:v>
      </x:c>
      <x:c r="G435" s="242" t="n">
        <x:f>AI434</x:f>
        <x:v>3.0883296116848395</x:v>
      </x:c>
      <x:c r="H435" s="242" t="n">
        <x:f>AJ434</x:f>
        <x:v>-3.519156770288185</x:v>
      </x:c>
      <x:c r="I435" s="242" t="n">
        <x:f>AK434</x:f>
        <x:v>-1.8248552935417548</x:v>
      </x:c>
      <x:c r="J435" s="242" t="n">
        <x:f>AL434</x:f>
        <x:v>3.40155813861144</x:v>
      </x:c>
      <x:c r="K435" s="242" t="n">
        <x:f>AM434</x:f>
        <x:v>-3.2794830259819108</x:v>
      </x:c>
      <x:c r="L435" s="242" t="n">
        <x:f>AN434</x:f>
        <x:v>1.8020572893030724</x:v>
      </x:c>
      <x:c r="M435" s="242" t="n">
        <x:f>AO434</x:f>
        <x:v>3.9524739407369704</x:v>
      </x:c>
      <x:c r="N435" s="242" t="n">
        <x:f>AP434</x:f>
        <x:v>-3.7120084972937812</x:v>
      </x:c>
      <x:c r="O435" s="242" t="n">
        <x:f>AQ434</x:f>
        <x:v>1.6404076312791578</x:v>
      </x:c>
      <x:c r="P435" s="243" t="n">
        <x:f>D435*G435+E435*H435+I435</x:f>
        <x:v>1.2634743181430848</x:v>
      </x:c>
      <x:c r="Q435" s="243" t="n">
        <x:f>1/(1+EXP(-P435))</x:f>
        <x:v>0.7796236124629907</x:v>
      </x:c>
      <x:c r="R435" s="243" t="n">
        <x:f>D435*J435+E435*K435+L435</x:f>
        <x:v>5.203615427914513</x:v>
      </x:c>
      <x:c r="S435" s="243" t="n">
        <x:f>1/(1+EXP(-R435))</x:f>
        <x:v>0.9945333923692058</x:v>
      </x:c>
      <x:c r="T435" s="243" t="n">
        <x:f>Q435*M435+S435*N435+O435</x:f>
        <x:v>1.0301332398054452</x:v>
      </x:c>
      <x:c r="U435" s="243" t="n">
        <x:f>1/(1+EXP(-T435))</x:f>
        <x:v>0.7369417263334418</x:v>
      </x:c>
      <x:c r="V435" s="243" t="n">
        <x:f>0.5*(F435-U435)^2</x:f>
        <x:v>0.034599827672214915</x:v>
      </x:c>
      <x:c r="W435" s="244" t="n">
        <x:f>(U435-F435)*U435*(1-U435)</x:f>
        <x:v>-0.050996113471203294</x:v>
      </x:c>
      <x:c r="X435" s="244" t="n">
        <x:f>W435*M435*Q435*(1-Q435)</x:f>
        <x:v>-0.034630290755168706</x:v>
      </x:c>
      <x:c r="Y435" s="244" t="n">
        <x:f>W435*N435*S435*(1-S435)</x:f>
        <x:v>0.0010291609834369555</x:v>
      </x:c>
      <x:c r="Z435" s="245" t="n">
        <x:f>X435*D435</x:f>
        <x:v>-0.034630290755168706</x:v>
      </x:c>
      <x:c r="AA435" s="245" t="n">
        <x:f>X435*E435</x:f>
        <x:v>0</x:v>
      </x:c>
      <x:c r="AB435" s="245" t="n">
        <x:f>X435</x:f>
        <x:v>-0.034630290755168706</x:v>
      </x:c>
      <x:c r="AC435" s="245" t="n">
        <x:f>Y435*D435</x:f>
        <x:v>0.0010291609834369555</x:v>
      </x:c>
      <x:c r="AD435" s="245" t="n">
        <x:f>Y435*E435</x:f>
        <x:v>0</x:v>
      </x:c>
      <x:c r="AE435" s="245" t="n">
        <x:f>Y435</x:f>
        <x:v>0.0010291609834369555</x:v>
      </x:c>
      <x:c r="AF435" s="245" t="n">
        <x:f>W435*Q435</x:f>
        <x:v>-0.0397577742059921</x:v>
      </x:c>
      <x:c r="AG435" s="245" t="n">
        <x:f>W435*S435</x:f>
        <x:v>-0.05071733772816077</x:v>
      </x:c>
      <x:c r="AH435" s="245" t="n">
        <x:f>W435</x:f>
        <x:v>-0.050996113471203294</x:v>
      </x:c>
      <x:c r="AI435" s="246" t="n">
        <x:f>G435-$B$4*Z435</x:f>
        <x:v>3.1229599024400083</x:v>
      </x:c>
      <x:c r="AJ435" s="246" t="n">
        <x:f>H435-$B$4*AA435</x:f>
        <x:v>-3.519156770288185</x:v>
      </x:c>
      <x:c r="AK435" s="246" t="n">
        <x:f>I435-$B$4*AB435</x:f>
        <x:v>-1.790225002786586</x:v>
      </x:c>
      <x:c r="AL435" s="246" t="n">
        <x:f>J435-$B$4*AC435</x:f>
        <x:v>3.4005289776280034</x:v>
      </x:c>
      <x:c r="AM435" s="246" t="n">
        <x:f>K435-$B$4*AD435</x:f>
        <x:v>-3.2794830259819108</x:v>
      </x:c>
      <x:c r="AN435" s="246" t="n">
        <x:f>L435-$B$4*AE435</x:f>
        <x:v>1.8010281283196354</x:v>
      </x:c>
      <x:c r="AO435" s="246" t="n">
        <x:f>M435-$B$4*AF435</x:f>
        <x:v>3.9922317149429625</x:v>
      </x:c>
      <x:c r="AP435" s="246" t="n">
        <x:f>N435-$B$4*AG435</x:f>
        <x:v>-3.6612911595656206</x:v>
      </x:c>
      <x:c r="AQ435" s="246" t="n">
        <x:f>O435-$B$4*AH435</x:f>
        <x:v>1.6914037447503611</x:v>
      </x:c>
      <x:c r="AR435" s="182" t="n">
        <x:f>IF(U435&gt;=$B$5,1,0)</x:f>
        <x:v>1</x:v>
      </x:c>
      <x:c r="AS435" s="182" t="n">
        <x:f>IF(AR435=F435,1,0)</x:f>
        <x:v>1</x:v>
      </x:c>
      <x:c r="AT435" s="252" t="n">
        <x:f>ABS(F435-U435)</x:f>
        <x:v>0.2630582736665582</x:v>
      </x:c>
    </x:row>
    <x:row r="436">
      <x:c r="A436" s="114" t="n">
        <x:v>420</x:v>
      </x:c>
      <x:c r="B436" s="114" t="n">
        <x:v>105</x:v>
      </x:c>
      <x:c r="C436" s="114" t="n">
        <x:v>4</x:v>
      </x:c>
      <x:c r="D436" s="168" t="n">
        <x:f>$I$8</x:f>
        <x:v>1</x:v>
      </x:c>
      <x:c r="E436" s="168" t="n">
        <x:f>$J$8</x:f>
        <x:v>1</x:v>
      </x:c>
      <x:c r="F436" s="168" t="n">
        <x:f>$K$8</x:f>
        <x:v>0</x:v>
      </x:c>
      <x:c r="G436" s="242" t="n">
        <x:f>AI435</x:f>
        <x:v>3.1229599024400083</x:v>
      </x:c>
      <x:c r="H436" s="242" t="n">
        <x:f>AJ435</x:f>
        <x:v>-3.519156770288185</x:v>
      </x:c>
      <x:c r="I436" s="242" t="n">
        <x:f>AK435</x:f>
        <x:v>-1.790225002786586</x:v>
      </x:c>
      <x:c r="J436" s="242" t="n">
        <x:f>AL435</x:f>
        <x:v>3.4005289776280034</x:v>
      </x:c>
      <x:c r="K436" s="242" t="n">
        <x:f>AM435</x:f>
        <x:v>-3.2794830259819108</x:v>
      </x:c>
      <x:c r="L436" s="242" t="n">
        <x:f>AN435</x:f>
        <x:v>1.8010281283196354</x:v>
      </x:c>
      <x:c r="M436" s="242" t="n">
        <x:f>AO435</x:f>
        <x:v>3.9922317149429625</x:v>
      </x:c>
      <x:c r="N436" s="242" t="n">
        <x:f>AP435</x:f>
        <x:v>-3.6612911595656206</x:v>
      </x:c>
      <x:c r="O436" s="242" t="n">
        <x:f>AQ435</x:f>
        <x:v>1.6914037447503611</x:v>
      </x:c>
      <x:c r="P436" s="243" t="n">
        <x:f>D436*G436+E436*H436+I436</x:f>
        <x:v>-2.1864218706347627</x:v>
      </x:c>
      <x:c r="Q436" s="243" t="n">
        <x:f>1/(1+EXP(-P436))</x:f>
        <x:v>0.10097645344332652</x:v>
      </x:c>
      <x:c r="R436" s="243" t="n">
        <x:f>D436*J436+E436*K436+L436</x:f>
        <x:v>1.922074079965728</x:v>
      </x:c>
      <x:c r="S436" s="243" t="n">
        <x:f>1/(1+EXP(-R436))</x:f>
        <x:v>0.8723695420687958</x:v>
      </x:c>
      <x:c r="T436" s="243" t="n">
        <x:f>Q436*M436+S436*N436+O436</x:f>
        <x:v>-1.09947374760152</x:v>
      </x:c>
      <x:c r="U436" s="243" t="n">
        <x:f>1/(1+EXP(-T436))</x:f>
        <x:v>0.2498385112389564</x:v>
      </x:c>
      <x:c r="V436" s="243" t="n">
        <x:f>0.5*(F436-U436)^2</x:f>
        <x:v>0.03120964084904907</x:v>
      </x:c>
      <x:c r="W436" s="244" t="n">
        <x:f>(U436-F436)*U436*(1-U436)</x:f>
        <x:v>0.046824541286040265</x:v>
      </x:c>
      <x:c r="X436" s="244" t="n">
        <x:f>W436*M436*Q436*(1-Q436)</x:f>
        <x:v>0.016969945659141165</x:v>
      </x:c>
      <x:c r="Y436" s="244" t="n">
        <x:f>W436*N436*S436*(1-S436)</x:f>
        <x:v>-0.019088096423565806</x:v>
      </x:c>
      <x:c r="Z436" s="245" t="n">
        <x:f>X436*D436</x:f>
        <x:v>0.016969945659141165</x:v>
      </x:c>
      <x:c r="AA436" s="245" t="n">
        <x:f>X436*E436</x:f>
        <x:v>0.016969945659141165</x:v>
      </x:c>
      <x:c r="AB436" s="245" t="n">
        <x:f>X436</x:f>
        <x:v>0.016969945659141165</x:v>
      </x:c>
      <x:c r="AC436" s="245" t="n">
        <x:f>Y436*D436</x:f>
        <x:v>-0.019088096423565806</x:v>
      </x:c>
      <x:c r="AD436" s="245" t="n">
        <x:f>Y436*E436</x:f>
        <x:v>-0.019088096423565806</x:v>
      </x:c>
      <x:c r="AE436" s="245" t="n">
        <x:f>Y436</x:f>
        <x:v>-0.019088096423565806</x:v>
      </x:c>
      <x:c r="AF436" s="245" t="n">
        <x:f>W436*Q436</x:f>
        <x:v>0.004728176113174966</x:v>
      </x:c>
      <x:c r="AG436" s="245" t="n">
        <x:f>W436*S436</x:f>
        <x:v>0.04084830363928437</x:v>
      </x:c>
      <x:c r="AH436" s="245" t="n">
        <x:f>W436</x:f>
        <x:v>0.046824541286040265</x:v>
      </x:c>
      <x:c r="AI436" s="246" t="n">
        <x:f>G436-$B$4*Z436</x:f>
        <x:v>3.105989956780867</x:v>
      </x:c>
      <x:c r="AJ436" s="246" t="n">
        <x:f>H436-$B$4*AA436</x:f>
        <x:v>-3.536126715947326</x:v>
      </x:c>
      <x:c r="AK436" s="246" t="n">
        <x:f>I436-$B$4*AB436</x:f>
        <x:v>-1.8071949484457273</x:v>
      </x:c>
      <x:c r="AL436" s="246" t="n">
        <x:f>J436-$B$4*AC436</x:f>
        <x:v>3.4196170740515694</x:v>
      </x:c>
      <x:c r="AM436" s="246" t="n">
        <x:f>K436-$B$4*AD436</x:f>
        <x:v>-3.2603949295583448</x:v>
      </x:c>
      <x:c r="AN436" s="246" t="n">
        <x:f>L436-$B$4*AE436</x:f>
        <x:v>1.8201162247432012</x:v>
      </x:c>
      <x:c r="AO436" s="246" t="n">
        <x:f>M436-$B$4*AF436</x:f>
        <x:v>3.9875035388297877</x:v>
      </x:c>
      <x:c r="AP436" s="246" t="n">
        <x:f>N436-$B$4*AG436</x:f>
        <x:v>-3.702139463204905</x:v>
      </x:c>
      <x:c r="AQ436" s="246" t="n">
        <x:f>O436-$B$4*AH436</x:f>
        <x:v>1.644579203464321</x:v>
      </x:c>
      <x:c r="AR436" s="182" t="n">
        <x:f>IF(U436&gt;=$B$5,1,0)</x:f>
        <x:v>0</x:v>
      </x:c>
      <x:c r="AS436" s="182" t="n">
        <x:f>IF(AR436=F436,1,0)</x:f>
        <x:v>1</x:v>
      </x:c>
      <x:c r="AT436" s="252" t="n">
        <x:f>ABS(F436-U436)</x:f>
        <x:v>0.2498385112389564</x:v>
      </x:c>
    </x:row>
    <x:row r="437">
      <x:c r="A437" s="114" t="n">
        <x:v>421</x:v>
      </x:c>
      <x:c r="B437" s="114" t="n">
        <x:v>106</x:v>
      </x:c>
      <x:c r="C437" s="114" t="n">
        <x:v>1</x:v>
      </x:c>
      <x:c r="D437" s="168" t="n">
        <x:f>$I$5</x:f>
        <x:v>0</x:v>
      </x:c>
      <x:c r="E437" s="168" t="n">
        <x:f>$J$5</x:f>
        <x:v>0</x:v>
      </x:c>
      <x:c r="F437" s="168" t="n">
        <x:f>$K$5</x:f>
        <x:v>0</x:v>
      </x:c>
      <x:c r="G437" s="242" t="n">
        <x:f>AI436</x:f>
        <x:v>3.105989956780867</x:v>
      </x:c>
      <x:c r="H437" s="242" t="n">
        <x:f>AJ436</x:f>
        <x:v>-3.536126715947326</x:v>
      </x:c>
      <x:c r="I437" s="242" t="n">
        <x:f>AK436</x:f>
        <x:v>-1.8071949484457273</x:v>
      </x:c>
      <x:c r="J437" s="242" t="n">
        <x:f>AL436</x:f>
        <x:v>3.4196170740515694</x:v>
      </x:c>
      <x:c r="K437" s="242" t="n">
        <x:f>AM436</x:f>
        <x:v>-3.2603949295583448</x:v>
      </x:c>
      <x:c r="L437" s="242" t="n">
        <x:f>AN436</x:f>
        <x:v>1.8201162247432012</x:v>
      </x:c>
      <x:c r="M437" s="242" t="n">
        <x:f>AO436</x:f>
        <x:v>3.9875035388297877</x:v>
      </x:c>
      <x:c r="N437" s="242" t="n">
        <x:f>AP436</x:f>
        <x:v>-3.702139463204905</x:v>
      </x:c>
      <x:c r="O437" s="242" t="n">
        <x:f>AQ436</x:f>
        <x:v>1.644579203464321</x:v>
      </x:c>
      <x:c r="P437" s="243" t="n">
        <x:f>D437*G437+E437*H437+I437</x:f>
        <x:v>-1.8071949484457273</x:v>
      </x:c>
      <x:c r="Q437" s="243" t="n">
        <x:f>1/(1+EXP(-P437))</x:f>
        <x:v>0.14097748344121297</x:v>
      </x:c>
      <x:c r="R437" s="243" t="n">
        <x:f>D437*J437+E437*K437+L437</x:f>
        <x:v>1.8201162247432012</x:v>
      </x:c>
      <x:c r="S437" s="243" t="n">
        <x:f>1/(1+EXP(-R437))</x:f>
        <x:v>0.860580072501219</x:v>
      </x:c>
      <x:c r="T437" s="243" t="n">
        <x:f>Q437*M437+S437*N437+O437</x:f>
        <x:v>-0.9792600300730261</x:v>
      </x:c>
      <x:c r="U437" s="243" t="n">
        <x:f>1/(1+EXP(-T437))</x:f>
        <x:v>0.27303863453876376</x:v>
      </x:c>
      <x:c r="V437" s="243" t="n">
        <x:f>0.5*(F437-U437)^2</x:f>
        <x:v>0.0372750479753963</x:v>
      </x:c>
      <x:c r="W437" s="244" t="n">
        <x:f>(U437-F437)*U437*(1-U437)</x:f>
        <x:v>0.05419503954765436</x:v>
      </x:c>
      <x:c r="X437" s="244" t="n">
        <x:f>W437*M437*Q437*(1-Q437)</x:f>
        <x:v>0.02617067477510537</x:v>
      </x:c>
      <x:c r="Y437" s="244" t="n">
        <x:f>W437*N437*S437*(1-S437)</x:f>
        <x:v>-0.024072902147832975</x:v>
      </x:c>
      <x:c r="Z437" s="245" t="n">
        <x:f>X437*D437</x:f>
        <x:v>0</x:v>
      </x:c>
      <x:c r="AA437" s="245" t="n">
        <x:f>X437*E437</x:f>
        <x:v>0</x:v>
      </x:c>
      <x:c r="AB437" s="245" t="n">
        <x:f>X437</x:f>
        <x:v>0.02617067477510537</x:v>
      </x:c>
      <x:c r="AC437" s="245" t="n">
        <x:f>Y437*D437</x:f>
        <x:v>0</x:v>
      </x:c>
      <x:c r="AD437" s="245" t="n">
        <x:f>Y437*E437</x:f>
        <x:v>0</x:v>
      </x:c>
      <x:c r="AE437" s="245" t="n">
        <x:f>Y437</x:f>
        <x:v>-0.024072902147832975</x:v>
      </x:c>
      <x:c r="AF437" s="245" t="n">
        <x:f>W437*Q437</x:f>
        <x:v>0.007640280290425325</x:v>
      </x:c>
      <x:c r="AG437" s="245" t="n">
        <x:f>W437*S437</x:f>
        <x:v>0.04663917106312682</x:v>
      </x:c>
      <x:c r="AH437" s="245" t="n">
        <x:f>W437</x:f>
        <x:v>0.05419503954765436</x:v>
      </x:c>
      <x:c r="AI437" s="246" t="n">
        <x:f>G437-$B$4*Z437</x:f>
        <x:v>3.105989956780867</x:v>
      </x:c>
      <x:c r="AJ437" s="246" t="n">
        <x:f>H437-$B$4*AA437</x:f>
        <x:v>-3.536126715947326</x:v>
      </x:c>
      <x:c r="AK437" s="246" t="n">
        <x:f>I437-$B$4*AB437</x:f>
        <x:v>-1.8333656232208326</x:v>
      </x:c>
      <x:c r="AL437" s="246" t="n">
        <x:f>J437-$B$4*AC437</x:f>
        <x:v>3.4196170740515694</x:v>
      </x:c>
      <x:c r="AM437" s="246" t="n">
        <x:f>K437-$B$4*AD437</x:f>
        <x:v>-3.2603949295583448</x:v>
      </x:c>
      <x:c r="AN437" s="246" t="n">
        <x:f>L437-$B$4*AE437</x:f>
        <x:v>1.8441891268910342</x:v>
      </x:c>
      <x:c r="AO437" s="246" t="n">
        <x:f>M437-$B$4*AF437</x:f>
        <x:v>3.9798632585393623</x:v>
      </x:c>
      <x:c r="AP437" s="246" t="n">
        <x:f>N437-$B$4*AG437</x:f>
        <x:v>-3.7487786342680316</x:v>
      </x:c>
      <x:c r="AQ437" s="246" t="n">
        <x:f>O437-$B$4*AH437</x:f>
        <x:v>1.5903841639166667</x:v>
      </x:c>
      <x:c r="AR437" s="182" t="n">
        <x:f>IF(U437&gt;=$B$5,1,0)</x:f>
        <x:v>0</x:v>
      </x:c>
      <x:c r="AS437" s="182" t="n">
        <x:f>IF(AR437=F437,1,0)</x:f>
        <x:v>1</x:v>
      </x:c>
      <x:c r="AT437" s="252" t="n">
        <x:f>ABS(F437-U437)</x:f>
        <x:v>0.27303863453876376</x:v>
      </x:c>
    </x:row>
    <x:row r="438">
      <x:c r="A438" s="114" t="n">
        <x:v>422</x:v>
      </x:c>
      <x:c r="B438" s="114" t="n">
        <x:v>106</x:v>
      </x:c>
      <x:c r="C438" s="114" t="n">
        <x:v>2</x:v>
      </x:c>
      <x:c r="D438" s="168" t="n">
        <x:f>$I$6</x:f>
        <x:v>0</x:v>
      </x:c>
      <x:c r="E438" s="168" t="n">
        <x:f>$J$6</x:f>
        <x:v>1</x:v>
      </x:c>
      <x:c r="F438" s="168" t="n">
        <x:f>$K$6</x:f>
        <x:v>1</x:v>
      </x:c>
      <x:c r="G438" s="242" t="n">
        <x:f>AI437</x:f>
        <x:v>3.105989956780867</x:v>
      </x:c>
      <x:c r="H438" s="242" t="n">
        <x:f>AJ437</x:f>
        <x:v>-3.536126715947326</x:v>
      </x:c>
      <x:c r="I438" s="242" t="n">
        <x:f>AK437</x:f>
        <x:v>-1.8333656232208326</x:v>
      </x:c>
      <x:c r="J438" s="242" t="n">
        <x:f>AL437</x:f>
        <x:v>3.4196170740515694</x:v>
      </x:c>
      <x:c r="K438" s="242" t="n">
        <x:f>AM437</x:f>
        <x:v>-3.2603949295583448</x:v>
      </x:c>
      <x:c r="L438" s="242" t="n">
        <x:f>AN437</x:f>
        <x:v>1.8441891268910342</x:v>
      </x:c>
      <x:c r="M438" s="242" t="n">
        <x:f>AO437</x:f>
        <x:v>3.9798632585393623</x:v>
      </x:c>
      <x:c r="N438" s="242" t="n">
        <x:f>AP437</x:f>
        <x:v>-3.7487786342680316</x:v>
      </x:c>
      <x:c r="O438" s="242" t="n">
        <x:f>AQ437</x:f>
        <x:v>1.5903841639166667</x:v>
      </x:c>
      <x:c r="P438" s="243" t="n">
        <x:f>D438*G438+E438*H438+I438</x:f>
        <x:v>-5.369492339168159</x:v>
      </x:c>
      <x:c r="Q438" s="243" t="n">
        <x:f>1/(1+EXP(-P438))</x:f>
        <x:v>0.004634912186578835</x:v>
      </x:c>
      <x:c r="R438" s="243" t="n">
        <x:f>D438*J438+E438*K438+L438</x:f>
        <x:v>-1.4162058026673106</x:v>
      </x:c>
      <x:c r="S438" s="243" t="n">
        <x:f>1/(1+EXP(-R438))</x:f>
        <x:v>0.19525708321234925</x:v>
      </x:c>
      <x:c r="T438" s="243" t="n">
        <x:f>Q438*M438+S438*N438+O438</x:f>
        <x:v>0.8768548988986381</x:v>
      </x:c>
      <x:c r="U438" s="243" t="n">
        <x:f>1/(1+EXP(-T438))</x:f>
        <x:v>0.706170055192609</x:v>
      </x:c>
      <x:c r="V438" s="243" t="n">
        <x:f>0.5*(F438-U438)^2</x:f>
        <x:v>0.04316801823275722</x:v>
      </x:c>
      <x:c r="W438" s="244" t="n">
        <x:f>(U438-F438)*U438*(1-U438)</x:f>
        <x:v>-0.060967923635963435</x:v>
      </x:c>
      <x:c r="X438" s="244" t="n">
        <x:f>W438*M438*Q438*(1-Q438)</x:f>
        <x:v>-0.0011194210509104352</x:v>
      </x:c>
      <x:c r="Y438" s="244" t="n">
        <x:f>W438*N438*S438*(1-S438)</x:f>
        <x:v>0.035913287392804805</x:v>
      </x:c>
      <x:c r="Z438" s="245" t="n">
        <x:f>X438*D438</x:f>
        <x:v>0</x:v>
      </x:c>
      <x:c r="AA438" s="245" t="n">
        <x:f>X438*E438</x:f>
        <x:v>-0.0011194210509104352</x:v>
      </x:c>
      <x:c r="AB438" s="245" t="n">
        <x:f>X438</x:f>
        <x:v>-0.0011194210509104352</x:v>
      </x:c>
      <x:c r="AC438" s="245" t="n">
        <x:f>Y438*D438</x:f>
        <x:v>0</x:v>
      </x:c>
      <x:c r="AD438" s="245" t="n">
        <x:f>Y438*E438</x:f>
        <x:v>0.035913287392804805</x:v>
      </x:c>
      <x:c r="AE438" s="245" t="n">
        <x:f>Y438</x:f>
        <x:v>0.035913287392804805</x:v>
      </x:c>
      <x:c r="AF438" s="245" t="n">
        <x:f>W438*Q438</x:f>
        <x:v>-0.0002825809722507347</x:v>
      </x:c>
      <x:c r="AG438" s="245" t="n">
        <x:f>W438*S438</x:f>
        <x:v>-0.011904418938671467</x:v>
      </x:c>
      <x:c r="AH438" s="245" t="n">
        <x:f>W438</x:f>
        <x:v>-0.060967923635963435</x:v>
      </x:c>
      <x:c r="AI438" s="246" t="n">
        <x:f>G438-$B$4*Z438</x:f>
        <x:v>3.105989956780867</x:v>
      </x:c>
      <x:c r="AJ438" s="246" t="n">
        <x:f>H438-$B$4*AA438</x:f>
        <x:v>-3.535007294896416</x:v>
      </x:c>
      <x:c r="AK438" s="246" t="n">
        <x:f>I438-$B$4*AB438</x:f>
        <x:v>-1.8322462021699222</x:v>
      </x:c>
      <x:c r="AL438" s="246" t="n">
        <x:f>J438-$B$4*AC438</x:f>
        <x:v>3.4196170740515694</x:v>
      </x:c>
      <x:c r="AM438" s="246" t="n">
        <x:f>K438-$B$4*AD438</x:f>
        <x:v>-3.2963082169511497</x:v>
      </x:c>
      <x:c r="AN438" s="246" t="n">
        <x:f>L438-$B$4*AE438</x:f>
        <x:v>1.8082758394982295</x:v>
      </x:c>
      <x:c r="AO438" s="246" t="n">
        <x:f>M438-$B$4*AF438</x:f>
        <x:v>3.980145839511613</x:v>
      </x:c>
      <x:c r="AP438" s="246" t="n">
        <x:f>N438-$B$4*AG438</x:f>
        <x:v>-3.73687421532936</x:v>
      </x:c>
      <x:c r="AQ438" s="246" t="n">
        <x:f>O438-$B$4*AH438</x:f>
        <x:v>1.6513520875526302</x:v>
      </x:c>
      <x:c r="AR438" s="182" t="n">
        <x:f>IF(U438&gt;=$B$5,1,0)</x:f>
        <x:v>1</x:v>
      </x:c>
      <x:c r="AS438" s="182" t="n">
        <x:f>IF(AR438=F438,1,0)</x:f>
        <x:v>1</x:v>
      </x:c>
      <x:c r="AT438" s="252" t="n">
        <x:f>ABS(F438-U438)</x:f>
        <x:v>0.293829944807391</x:v>
      </x:c>
    </x:row>
    <x:row r="439">
      <x:c r="A439" s="114" t="n">
        <x:v>423</x:v>
      </x:c>
      <x:c r="B439" s="114" t="n">
        <x:v>106</x:v>
      </x:c>
      <x:c r="C439" s="114" t="n">
        <x:v>3</x:v>
      </x:c>
      <x:c r="D439" s="168" t="n">
        <x:f>$I$7</x:f>
        <x:v>1</x:v>
      </x:c>
      <x:c r="E439" s="168" t="n">
        <x:f>$J$7</x:f>
        <x:v>0</x:v>
      </x:c>
      <x:c r="F439" s="168" t="n">
        <x:f>$K$7</x:f>
        <x:v>1</x:v>
      </x:c>
      <x:c r="G439" s="242" t="n">
        <x:f>AI438</x:f>
        <x:v>3.105989956780867</x:v>
      </x:c>
      <x:c r="H439" s="242" t="n">
        <x:f>AJ438</x:f>
        <x:v>-3.535007294896416</x:v>
      </x:c>
      <x:c r="I439" s="242" t="n">
        <x:f>AK438</x:f>
        <x:v>-1.8322462021699222</x:v>
      </x:c>
      <x:c r="J439" s="242" t="n">
        <x:f>AL438</x:f>
        <x:v>3.4196170740515694</x:v>
      </x:c>
      <x:c r="K439" s="242" t="n">
        <x:f>AM438</x:f>
        <x:v>-3.2963082169511497</x:v>
      </x:c>
      <x:c r="L439" s="242" t="n">
        <x:f>AN438</x:f>
        <x:v>1.8082758394982295</x:v>
      </x:c>
      <x:c r="M439" s="242" t="n">
        <x:f>AO438</x:f>
        <x:v>3.980145839511613</x:v>
      </x:c>
      <x:c r="N439" s="242" t="n">
        <x:f>AP438</x:f>
        <x:v>-3.73687421532936</x:v>
      </x:c>
      <x:c r="O439" s="242" t="n">
        <x:f>AQ438</x:f>
        <x:v>1.6513520875526302</x:v>
      </x:c>
      <x:c r="P439" s="243" t="n">
        <x:f>D439*G439+E439*H439+I439</x:f>
        <x:v>1.273743754610945</x:v>
      </x:c>
      <x:c r="Q439" s="243" t="n">
        <x:f>1/(1+EXP(-P439))</x:f>
        <x:v>0.7813829433515195</x:v>
      </x:c>
      <x:c r="R439" s="243" t="n">
        <x:f>D439*J439+E439*K439+L439</x:f>
        <x:v>5.227892913549799</x:v>
      </x:c>
      <x:c r="S439" s="243" t="n">
        <x:f>1/(1+EXP(-R439))</x:f>
        <x:v>0.9946638101489244</x:v>
      </x:c>
      <x:c r="T439" s="243" t="n">
        <x:f>Q439*M439+S439*N439+O439</x:f>
        <x:v>1.0444366135317456</x:v>
      </x:c>
      <x:c r="U439" s="243" t="n">
        <x:f>1/(1+EXP(-T439))</x:f>
        <x:v>0.7397051460762618</x:v>
      </x:c>
      <x:c r="V439" s="243" t="n">
        <x:f>0.5*(F439-U439)^2</x:f>
        <x:v>0.033876705489590105</x:v>
      </x:c>
      <x:c r="W439" s="244" t="n">
        <x:f>(U439-F439)*U439*(1-U439)</x:f>
        <x:v>-0.050117546765519494</x:v>
      </x:c>
      <x:c r="X439" s="244" t="n">
        <x:f>W439*M439*Q439*(1-Q439)</x:f>
        <x:v>-0.034075070238924546</x:v>
      </x:c>
      <x:c r="Y439" s="244" t="n">
        <x:f>W439*N439*S439*(1-S439)</x:f>
        <x:v>0.0009940446064845988</x:v>
      </x:c>
      <x:c r="Z439" s="245" t="n">
        <x:f>X439*D439</x:f>
        <x:v>-0.034075070238924546</x:v>
      </x:c>
      <x:c r="AA439" s="245" t="n">
        <x:f>X439*E439</x:f>
        <x:v>0</x:v>
      </x:c>
      <x:c r="AB439" s="245" t="n">
        <x:f>X439</x:f>
        <x:v>-0.034075070238924546</x:v>
      </x:c>
      <x:c r="AC439" s="245" t="n">
        <x:f>Y439*D439</x:f>
        <x:v>0.0009940446064845988</x:v>
      </x:c>
      <x:c r="AD439" s="245" t="n">
        <x:f>Y439*E439</x:f>
        <x:v>0</x:v>
      </x:c>
      <x:c r="AE439" s="245" t="n">
        <x:f>Y439</x:f>
        <x:v>0.0009940446064845988</x:v>
      </x:c>
      <x:c r="AF439" s="245" t="n">
        <x:f>W439*Q439</x:f>
        <x:v>-0.03916099620519905</x:v>
      </x:c>
      <x:c r="AG439" s="245" t="n">
        <x:f>W439*S439</x:f>
        <x:v>-0.04985011002110852</x:v>
      </x:c>
      <x:c r="AH439" s="245" t="n">
        <x:f>W439</x:f>
        <x:v>-0.050117546765519494</x:v>
      </x:c>
      <x:c r="AI439" s="246" t="n">
        <x:f>G439-$B$4*Z439</x:f>
        <x:v>3.1400650270197916</x:v>
      </x:c>
      <x:c r="AJ439" s="246" t="n">
        <x:f>H439-$B$4*AA439</x:f>
        <x:v>-3.535007294896416</x:v>
      </x:c>
      <x:c r="AK439" s="246" t="n">
        <x:f>I439-$B$4*AB439</x:f>
        <x:v>-1.7981711319309976</x:v>
      </x:c>
      <x:c r="AL439" s="246" t="n">
        <x:f>J439-$B$4*AC439</x:f>
        <x:v>3.418623029445085</x:v>
      </x:c>
      <x:c r="AM439" s="246" t="n">
        <x:f>K439-$B$4*AD439</x:f>
        <x:v>-3.2963082169511497</x:v>
      </x:c>
      <x:c r="AN439" s="246" t="n">
        <x:f>L439-$B$4*AE439</x:f>
        <x:v>1.8072817948917448</x:v>
      </x:c>
      <x:c r="AO439" s="246" t="n">
        <x:f>M439-$B$4*AF439</x:f>
        <x:v>4.019306835716812</x:v>
      </x:c>
      <x:c r="AP439" s="246" t="n">
        <x:f>N439-$B$4*AG439</x:f>
        <x:v>-3.6870241053082515</x:v>
      </x:c>
      <x:c r="AQ439" s="246" t="n">
        <x:f>O439-$B$4*AH439</x:f>
        <x:v>1.7014696343181497</x:v>
      </x:c>
      <x:c r="AR439" s="182" t="n">
        <x:f>IF(U439&gt;=$B$5,1,0)</x:f>
        <x:v>1</x:v>
      </x:c>
      <x:c r="AS439" s="182" t="n">
        <x:f>IF(AR439=F439,1,0)</x:f>
        <x:v>1</x:v>
      </x:c>
      <x:c r="AT439" s="252" t="n">
        <x:f>ABS(F439-U439)</x:f>
        <x:v>0.2602948539237382</x:v>
      </x:c>
    </x:row>
    <x:row r="440">
      <x:c r="A440" s="114" t="n">
        <x:v>424</x:v>
      </x:c>
      <x:c r="B440" s="114" t="n">
        <x:v>106</x:v>
      </x:c>
      <x:c r="C440" s="114" t="n">
        <x:v>4</x:v>
      </x:c>
      <x:c r="D440" s="168" t="n">
        <x:f>$I$8</x:f>
        <x:v>1</x:v>
      </x:c>
      <x:c r="E440" s="168" t="n">
        <x:f>$J$8</x:f>
        <x:v>1</x:v>
      </x:c>
      <x:c r="F440" s="168" t="n">
        <x:f>$K$8</x:f>
        <x:v>0</x:v>
      </x:c>
      <x:c r="G440" s="242" t="n">
        <x:f>AI439</x:f>
        <x:v>3.1400650270197916</x:v>
      </x:c>
      <x:c r="H440" s="242" t="n">
        <x:f>AJ439</x:f>
        <x:v>-3.535007294896416</x:v>
      </x:c>
      <x:c r="I440" s="242" t="n">
        <x:f>AK439</x:f>
        <x:v>-1.7981711319309976</x:v>
      </x:c>
      <x:c r="J440" s="242" t="n">
        <x:f>AL439</x:f>
        <x:v>3.418623029445085</x:v>
      </x:c>
      <x:c r="K440" s="242" t="n">
        <x:f>AM439</x:f>
        <x:v>-3.2963082169511497</x:v>
      </x:c>
      <x:c r="L440" s="242" t="n">
        <x:f>AN439</x:f>
        <x:v>1.8072817948917448</x:v>
      </x:c>
      <x:c r="M440" s="242" t="n">
        <x:f>AO439</x:f>
        <x:v>4.019306835716812</x:v>
      </x:c>
      <x:c r="N440" s="242" t="n">
        <x:f>AP439</x:f>
        <x:v>-3.6870241053082515</x:v>
      </x:c>
      <x:c r="O440" s="242" t="n">
        <x:f>AQ439</x:f>
        <x:v>1.7014696343181497</x:v>
      </x:c>
      <x:c r="P440" s="243" t="n">
        <x:f>D440*G440+E440*H440+I440</x:f>
        <x:v>-2.193113399807622</x:v>
      </x:c>
      <x:c r="Q440" s="243" t="n">
        <x:f>1/(1+EXP(-P440))</x:f>
        <x:v>0.10037061492106368</x:v>
      </x:c>
      <x:c r="R440" s="243" t="n">
        <x:f>D440*J440+E440*K440+L440</x:f>
        <x:v>1.9295966073856798</x:v>
      </x:c>
      <x:c r="S440" s="243" t="n">
        <x:f>1/(1+EXP(-R440))</x:f>
        <x:v>0.8732047636954582</x:v>
      </x:c>
      <x:c r="T440" s="243" t="n">
        <x:f>Q440*M440+S440*N440+O440</x:f>
        <x:v>-1.1146370796396694</x:v>
      </x:c>
      <x:c r="U440" s="243" t="n">
        <x:f>1/(1+EXP(-T440))</x:f>
        <x:v>0.2470074046612753</x:v>
      </x:c>
      <x:c r="V440" s="243" t="n">
        <x:f>0.5*(F440-U440)^2</x:f>
        <x:v>0.030506328978749504</x:v>
      </x:c>
      <x:c r="W440" s="244" t="n">
        <x:f>(U440-F440)*U440*(1-U440)</x:f>
        <x:v>0.04594207966393107</x:v>
      </x:c>
      <x:c r="X440" s="244" t="n">
        <x:f>W440*M440*Q440*(1-Q440)</x:f>
        <x:v>0.016673701784164142</x:v>
      </x:c>
      <x:c r="Y440" s="244" t="n">
        <x:f>W440*N440*S440*(1-S440)</x:f>
        <x:v>-0.018754507384796382</x:v>
      </x:c>
      <x:c r="Z440" s="245" t="n">
        <x:f>X440*D440</x:f>
        <x:v>0.016673701784164142</x:v>
      </x:c>
      <x:c r="AA440" s="245" t="n">
        <x:f>X440*E440</x:f>
        <x:v>0.016673701784164142</x:v>
      </x:c>
      <x:c r="AB440" s="245" t="n">
        <x:f>X440</x:f>
        <x:v>0.016673701784164142</x:v>
      </x:c>
      <x:c r="AC440" s="245" t="n">
        <x:f>Y440*D440</x:f>
        <x:v>-0.018754507384796382</x:v>
      </x:c>
      <x:c r="AD440" s="245" t="n">
        <x:f>Y440*E440</x:f>
        <x:v>-0.018754507384796382</x:v>
      </x:c>
      <x:c r="AE440" s="245" t="n">
        <x:f>Y440</x:f>
        <x:v>-0.018754507384796382</x:v>
      </x:c>
      <x:c r="AF440" s="245" t="n">
        <x:f>W440*Q440</x:f>
        <x:v>0.004611234786621256</x:v>
      </x:c>
      <x:c r="AG440" s="245" t="n">
        <x:f>W440*S440</x:f>
        <x:v>0.04011684281662084</x:v>
      </x:c>
      <x:c r="AH440" s="245" t="n">
        <x:f>W440</x:f>
        <x:v>0.04594207966393107</x:v>
      </x:c>
      <x:c r="AI440" s="246" t="n">
        <x:f>G440-$B$4*Z440</x:f>
        <x:v>3.1233913252356276</x:v>
      </x:c>
      <x:c r="AJ440" s="246" t="n">
        <x:f>H440-$B$4*AA440</x:f>
        <x:v>-3.55168099668058</x:v>
      </x:c>
      <x:c r="AK440" s="246" t="n">
        <x:f>I440-$B$4*AB440</x:f>
        <x:v>-1.8148448337151617</x:v>
      </x:c>
      <x:c r="AL440" s="246" t="n">
        <x:f>J440-$B$4*AC440</x:f>
        <x:v>3.437377536829881</x:v>
      </x:c>
      <x:c r="AM440" s="246" t="n">
        <x:f>K440-$B$4*AD440</x:f>
        <x:v>-3.2775537095663534</x:v>
      </x:c>
      <x:c r="AN440" s="246" t="n">
        <x:f>L440-$B$4*AE440</x:f>
        <x:v>1.8260363022765411</x:v>
      </x:c>
      <x:c r="AO440" s="246" t="n">
        <x:f>M440-$B$4*AF440</x:f>
        <x:v>4.014695600930191</x:v>
      </x:c>
      <x:c r="AP440" s="246" t="n">
        <x:f>N440-$B$4*AG440</x:f>
        <x:v>-3.7271409481248723</x:v>
      </x:c>
      <x:c r="AQ440" s="246" t="n">
        <x:f>O440-$B$4*AH440</x:f>
        <x:v>1.6555275546542185</x:v>
      </x:c>
      <x:c r="AR440" s="182" t="n">
        <x:f>IF(U440&gt;=$B$5,1,0)</x:f>
        <x:v>0</x:v>
      </x:c>
      <x:c r="AS440" s="182" t="n">
        <x:f>IF(AR440=F440,1,0)</x:f>
        <x:v>1</x:v>
      </x:c>
      <x:c r="AT440" s="252" t="n">
        <x:f>ABS(F440-U440)</x:f>
        <x:v>0.2470074046612753</x:v>
      </x:c>
    </x:row>
    <x:row r="441">
      <x:c r="A441" s="114" t="n">
        <x:v>425</x:v>
      </x:c>
      <x:c r="B441" s="114" t="n">
        <x:v>107</x:v>
      </x:c>
      <x:c r="C441" s="114" t="n">
        <x:v>1</x:v>
      </x:c>
      <x:c r="D441" s="168" t="n">
        <x:f>$I$5</x:f>
        <x:v>0</x:v>
      </x:c>
      <x:c r="E441" s="168" t="n">
        <x:f>$J$5</x:f>
        <x:v>0</x:v>
      </x:c>
      <x:c r="F441" s="168" t="n">
        <x:f>$K$5</x:f>
        <x:v>0</x:v>
      </x:c>
      <x:c r="G441" s="242" t="n">
        <x:f>AI440</x:f>
        <x:v>3.1233913252356276</x:v>
      </x:c>
      <x:c r="H441" s="242" t="n">
        <x:f>AJ440</x:f>
        <x:v>-3.55168099668058</x:v>
      </x:c>
      <x:c r="I441" s="242" t="n">
        <x:f>AK440</x:f>
        <x:v>-1.8148448337151617</x:v>
      </x:c>
      <x:c r="J441" s="242" t="n">
        <x:f>AL440</x:f>
        <x:v>3.437377536829881</x:v>
      </x:c>
      <x:c r="K441" s="242" t="n">
        <x:f>AM440</x:f>
        <x:v>-3.2775537095663534</x:v>
      </x:c>
      <x:c r="L441" s="242" t="n">
        <x:f>AN440</x:f>
        <x:v>1.8260363022765411</x:v>
      </x:c>
      <x:c r="M441" s="242" t="n">
        <x:f>AO440</x:f>
        <x:v>4.014695600930191</x:v>
      </x:c>
      <x:c r="N441" s="242" t="n">
        <x:f>AP440</x:f>
        <x:v>-3.7271409481248723</x:v>
      </x:c>
      <x:c r="O441" s="242" t="n">
        <x:f>AQ440</x:f>
        <x:v>1.6555275546542185</x:v>
      </x:c>
      <x:c r="P441" s="243" t="n">
        <x:f>D441*G441+E441*H441+I441</x:f>
        <x:v>-1.8148448337151617</x:v>
      </x:c>
      <x:c r="Q441" s="243" t="n">
        <x:f>1/(1+EXP(-P441))</x:f>
        <x:v>0.140053602592755</x:v>
      </x:c>
      <x:c r="R441" s="243" t="n">
        <x:f>D441*J441+E441*K441+L441</x:f>
        <x:v>1.8260363022765411</x:v>
      </x:c>
      <x:c r="S441" s="243" t="n">
        <x:f>1/(1+EXP(-R441))</x:f>
        <x:v>0.8612888602185224</x:v>
      </x:c>
      <x:c r="T441" s="243" t="n">
        <x:f>Q441*M441+S441*N441+O441</x:f>
        <x:v>-0.9923448422064769</x:v>
      </x:c>
      <x:c r="U441" s="243" t="n">
        <x:f>1/(1+EXP(-T441))</x:f>
        <x:v>0.2704491762816323</x:v>
      </x:c>
      <x:c r="V441" s="243" t="n">
        <x:f>0.5*(F441-U441)^2</x:f>
        <x:v>0.036571378475706705</x:v>
      </x:c>
      <x:c r="W441" s="244" t="n">
        <x:f>(U441-F441)*U441*(1-U441)</x:f>
        <x:v>0.053361358582936017</x:v>
      </x:c>
      <x:c r="X441" s="244" t="n">
        <x:f>W441*M441*Q441*(1-Q441)</x:f>
        <x:v>0.025801512565690733</x:v>
      </x:c>
      <x:c r="Y441" s="244" t="n">
        <x:f>W441*N441*S441*(1-S441)</x:f>
        <x:v>-0.023760898838881852</x:v>
      </x:c>
      <x:c r="Z441" s="245" t="n">
        <x:f>X441*D441</x:f>
        <x:v>0</x:v>
      </x:c>
      <x:c r="AA441" s="245" t="n">
        <x:f>X441*E441</x:f>
        <x:v>0</x:v>
      </x:c>
      <x:c r="AB441" s="245" t="n">
        <x:f>X441</x:f>
        <x:v>0.025801512565690733</x:v>
      </x:c>
      <x:c r="AC441" s="245" t="n">
        <x:f>Y441*D441</x:f>
        <x:v>0</x:v>
      </x:c>
      <x:c r="AD441" s="245" t="n">
        <x:f>Y441*E441</x:f>
        <x:v>0</x:v>
      </x:c>
      <x:c r="AE441" s="245" t="n">
        <x:f>Y441</x:f>
        <x:v>-0.023760898838881852</x:v>
      </x:c>
      <x:c r="AF441" s="245" t="n">
        <x:f>W441*Q441</x:f>
        <x:v>0.007473450508784018</x:v>
      </x:c>
      <x:c r="AG441" s="245" t="n">
        <x:f>W441*S441</x:f>
        <x:v>0.04595954371360883</x:v>
      </x:c>
      <x:c r="AH441" s="245" t="n">
        <x:f>W441</x:f>
        <x:v>0.053361358582936017</x:v>
      </x:c>
      <x:c r="AI441" s="246" t="n">
        <x:f>G441-$B$4*Z441</x:f>
        <x:v>3.1233913252356276</x:v>
      </x:c>
      <x:c r="AJ441" s="246" t="n">
        <x:f>H441-$B$4*AA441</x:f>
        <x:v>-3.55168099668058</x:v>
      </x:c>
      <x:c r="AK441" s="246" t="n">
        <x:f>I441-$B$4*AB441</x:f>
        <x:v>-1.8406463462808524</x:v>
      </x:c>
      <x:c r="AL441" s="246" t="n">
        <x:f>J441-$B$4*AC441</x:f>
        <x:v>3.437377536829881</x:v>
      </x:c>
      <x:c r="AM441" s="246" t="n">
        <x:f>K441-$B$4*AD441</x:f>
        <x:v>-3.2775537095663534</x:v>
      </x:c>
      <x:c r="AN441" s="246" t="n">
        <x:f>L441-$B$4*AE441</x:f>
        <x:v>1.849797201115423</x:v>
      </x:c>
      <x:c r="AO441" s="246" t="n">
        <x:f>M441-$B$4*AF441</x:f>
        <x:v>4.0072221504214065</x:v>
      </x:c>
      <x:c r="AP441" s="246" t="n">
        <x:f>N441-$B$4*AG441</x:f>
        <x:v>-3.773100491838481</x:v>
      </x:c>
      <x:c r="AQ441" s="246" t="n">
        <x:f>O441-$B$4*AH441</x:f>
        <x:v>1.6021661960712825</x:v>
      </x:c>
      <x:c r="AR441" s="182" t="n">
        <x:f>IF(U441&gt;=$B$5,1,0)</x:f>
        <x:v>0</x:v>
      </x:c>
      <x:c r="AS441" s="182" t="n">
        <x:f>IF(AR441=F441,1,0)</x:f>
        <x:v>1</x:v>
      </x:c>
      <x:c r="AT441" s="252" t="n">
        <x:f>ABS(F441-U441)</x:f>
        <x:v>0.2704491762816323</x:v>
      </x:c>
    </x:row>
    <x:row r="442">
      <x:c r="A442" s="114" t="n">
        <x:v>426</x:v>
      </x:c>
      <x:c r="B442" s="114" t="n">
        <x:v>107</x:v>
      </x:c>
      <x:c r="C442" s="114" t="n">
        <x:v>2</x:v>
      </x:c>
      <x:c r="D442" s="168" t="n">
        <x:f>$I$6</x:f>
        <x:v>0</x:v>
      </x:c>
      <x:c r="E442" s="168" t="n">
        <x:f>$J$6</x:f>
        <x:v>1</x:v>
      </x:c>
      <x:c r="F442" s="168" t="n">
        <x:f>$K$6</x:f>
        <x:v>1</x:v>
      </x:c>
      <x:c r="G442" s="242" t="n">
        <x:f>AI441</x:f>
        <x:v>3.1233913252356276</x:v>
      </x:c>
      <x:c r="H442" s="242" t="n">
        <x:f>AJ441</x:f>
        <x:v>-3.55168099668058</x:v>
      </x:c>
      <x:c r="I442" s="242" t="n">
        <x:f>AK441</x:f>
        <x:v>-1.8406463462808524</x:v>
      </x:c>
      <x:c r="J442" s="242" t="n">
        <x:f>AL441</x:f>
        <x:v>3.437377536829881</x:v>
      </x:c>
      <x:c r="K442" s="242" t="n">
        <x:f>AM441</x:f>
        <x:v>-3.2775537095663534</x:v>
      </x:c>
      <x:c r="L442" s="242" t="n">
        <x:f>AN441</x:f>
        <x:v>1.849797201115423</x:v>
      </x:c>
      <x:c r="M442" s="242" t="n">
        <x:f>AO441</x:f>
        <x:v>4.0072221504214065</x:v>
      </x:c>
      <x:c r="N442" s="242" t="n">
        <x:f>AP441</x:f>
        <x:v>-3.773100491838481</x:v>
      </x:c>
      <x:c r="O442" s="242" t="n">
        <x:f>AQ441</x:f>
        <x:v>1.6021661960712825</x:v>
      </x:c>
      <x:c r="P442" s="243" t="n">
        <x:f>D442*G442+E442*H442+I442</x:f>
        <x:v>-5.3923273429614325</x:v>
      </x:c>
      <x:c r="Q442" s="243" t="n">
        <x:f>1/(1+EXP(-P442))</x:f>
        <x:v>0.004530747304513425</x:v>
      </x:c>
      <x:c r="R442" s="243" t="n">
        <x:f>D442*J442+E442*K442+L442</x:f>
        <x:v>-1.4277565084509305</x:v>
      </x:c>
      <x:c r="S442" s="243" t="n">
        <x:f>1/(1+EXP(-R442))</x:f>
        <x:v>0.19344848690462518</x:v>
      </x:c>
      <x:c r="T442" s="243" t="n">
        <x:f>Q442*M442+S442*N442+O442</x:f>
        <x:v>0.8904213259426396</x:v>
      </x:c>
      <x:c r="U442" s="243" t="n">
        <x:f>1/(1+EXP(-T442))</x:f>
        <x:v>0.7089771117974912</x:v>
      </x:c>
      <x:c r="V442" s="243" t="n">
        <x:f>0.5*(F442-U442)^2</x:f>
        <x:v>0.042347160728864956</x:v>
      </x:c>
      <x:c r="W442" s="244" t="n">
        <x:f>(U442-F442)*U442*(1-U442)</x:f>
        <x:v>-0.06004633541274964</x:v>
      </x:c>
      <x:c r="X442" s="244" t="n">
        <x:f>W442*M442*Q442*(1-Q442)</x:f>
        <x:v>-0.001085244561946877</x:v>
      </x:c>
      <x:c r="Y442" s="244" t="n">
        <x:f>W442*N442*S442*(1-S442)</x:f>
        <x:v>0.03534942285453878</x:v>
      </x:c>
      <x:c r="Z442" s="245" t="n">
        <x:f>X442*D442</x:f>
        <x:v>0</x:v>
      </x:c>
      <x:c r="AA442" s="245" t="n">
        <x:f>X442*E442</x:f>
        <x:v>-0.001085244561946877</x:v>
      </x:c>
      <x:c r="AB442" s="245" t="n">
        <x:f>X442</x:f>
        <x:v>-0.001085244561946877</x:v>
      </x:c>
      <x:c r="AC442" s="245" t="n">
        <x:f>Y442*D442</x:f>
        <x:v>0</x:v>
      </x:c>
      <x:c r="AD442" s="245" t="n">
        <x:f>Y442*E442</x:f>
        <x:v>0.03534942285453878</x:v>
      </x:c>
      <x:c r="AE442" s="245" t="n">
        <x:f>Y442</x:f>
        <x:v>0.03534942285453878</x:v>
      </x:c>
      <x:c r="AF442" s="245" t="n">
        <x:f>W442*Q442</x:f>
        <x:v>-0.0002720547723172244</x:v>
      </x:c>
      <x:c r="AG442" s="245" t="n">
        <x:f>W442*S442</x:f>
        <x:v>-0.01161587272976403</x:v>
      </x:c>
      <x:c r="AH442" s="245" t="n">
        <x:f>W442</x:f>
        <x:v>-0.06004633541274964</x:v>
      </x:c>
      <x:c r="AI442" s="246" t="n">
        <x:f>G442-$B$4*Z442</x:f>
        <x:v>3.1233913252356276</x:v>
      </x:c>
      <x:c r="AJ442" s="246" t="n">
        <x:f>H442-$B$4*AA442</x:f>
        <x:v>-3.550595752118633</x:v>
      </x:c>
      <x:c r="AK442" s="246" t="n">
        <x:f>I442-$B$4*AB442</x:f>
        <x:v>-1.8395611017189055</x:v>
      </x:c>
      <x:c r="AL442" s="246" t="n">
        <x:f>J442-$B$4*AC442</x:f>
        <x:v>3.437377536829881</x:v>
      </x:c>
      <x:c r="AM442" s="246" t="n">
        <x:f>K442-$B$4*AD442</x:f>
        <x:v>-3.312903132420892</x:v>
      </x:c>
      <x:c r="AN442" s="246" t="n">
        <x:f>L442-$B$4*AE442</x:f>
        <x:v>1.814447778260884</x:v>
      </x:c>
      <x:c r="AO442" s="246" t="n">
        <x:f>M442-$B$4*AF442</x:f>
        <x:v>4.007494205193724</x:v>
      </x:c>
      <x:c r="AP442" s="246" t="n">
        <x:f>N442-$B$4*AG442</x:f>
        <x:v>-3.761484619108717</x:v>
      </x:c>
      <x:c r="AQ442" s="246" t="n">
        <x:f>O442-$B$4*AH442</x:f>
        <x:v>1.6622125314840321</x:v>
      </x:c>
      <x:c r="AR442" s="182" t="n">
        <x:f>IF(U442&gt;=$B$5,1,0)</x:f>
        <x:v>1</x:v>
      </x:c>
      <x:c r="AS442" s="182" t="n">
        <x:f>IF(AR442=F442,1,0)</x:f>
        <x:v>1</x:v>
      </x:c>
      <x:c r="AT442" s="252" t="n">
        <x:f>ABS(F442-U442)</x:f>
        <x:v>0.29102288820250877</x:v>
      </x:c>
    </x:row>
    <x:row r="443">
      <x:c r="A443" s="114" t="n">
        <x:v>427</x:v>
      </x:c>
      <x:c r="B443" s="114" t="n">
        <x:v>107</x:v>
      </x:c>
      <x:c r="C443" s="114" t="n">
        <x:v>3</x:v>
      </x:c>
      <x:c r="D443" s="168" t="n">
        <x:f>$I$7</x:f>
        <x:v>1</x:v>
      </x:c>
      <x:c r="E443" s="168" t="n">
        <x:f>$J$7</x:f>
        <x:v>0</x:v>
      </x:c>
      <x:c r="F443" s="168" t="n">
        <x:f>$K$7</x:f>
        <x:v>1</x:v>
      </x:c>
      <x:c r="G443" s="242" t="n">
        <x:f>AI442</x:f>
        <x:v>3.1233913252356276</x:v>
      </x:c>
      <x:c r="H443" s="242" t="n">
        <x:f>AJ442</x:f>
        <x:v>-3.550595752118633</x:v>
      </x:c>
      <x:c r="I443" s="242" t="n">
        <x:f>AK442</x:f>
        <x:v>-1.8395611017189055</x:v>
      </x:c>
      <x:c r="J443" s="242" t="n">
        <x:f>AL442</x:f>
        <x:v>3.437377536829881</x:v>
      </x:c>
      <x:c r="K443" s="242" t="n">
        <x:f>AM442</x:f>
        <x:v>-3.312903132420892</x:v>
      </x:c>
      <x:c r="L443" s="242" t="n">
        <x:f>AN442</x:f>
        <x:v>1.814447778260884</x:v>
      </x:c>
      <x:c r="M443" s="242" t="n">
        <x:f>AO442</x:f>
        <x:v>4.007494205193724</x:v>
      </x:c>
      <x:c r="N443" s="242" t="n">
        <x:f>AP442</x:f>
        <x:v>-3.761484619108717</x:v>
      </x:c>
      <x:c r="O443" s="242" t="n">
        <x:f>AQ442</x:f>
        <x:v>1.6622125314840321</x:v>
      </x:c>
      <x:c r="P443" s="243" t="n">
        <x:f>D443*G443+E443*H443+I443</x:f>
        <x:v>1.283830223516722</x:v>
      </x:c>
      <x:c r="Q443" s="243" t="n">
        <x:f>1/(1+EXP(-P443))</x:f>
        <x:v>0.7831010598203327</x:v>
      </x:c>
      <x:c r="R443" s="243" t="n">
        <x:f>D443*J443+E443*K443+L443</x:f>
        <x:v>5.251825315090765</x:v>
      </x:c>
      <x:c r="S443" s="243" t="n">
        <x:f>1/(1+EXP(-R443))</x:f>
        <x:v>0.9947893443860003</x:v>
      </x:c>
      <x:c r="T443" s="243" t="n">
        <x:f>Q443*M443+S443*N443+O443</x:f>
        <x:v>1.0586006726338941</x:v>
      </x:c>
      <x:c r="U443" s="243" t="n">
        <x:f>1/(1+EXP(-T443))</x:f>
        <x:v>0.7424230412233108</x:v>
      </x:c>
      <x:c r="V443" s="243" t="n">
        <x:f>0.5*(F443-U443)^2</x:f>
        <x:v>0.03317294484632412</x:v>
      </x:c>
      <x:c r="W443" s="244" t="n">
        <x:f>(U443-F443)*U443*(1-U443)</x:f>
        <x:v>-0.049256717198282216</x:v>
      </x:c>
      <x:c r="X443" s="244" t="n">
        <x:f>W443*M443*Q443*(1-Q443)</x:f>
        <x:v>-0.033528460201096004</x:v>
      </x:c>
      <x:c r="Y443" s="244" t="n">
        <x:f>W443*N443*S443*(1-S443)</x:f>
        <x:v>0.0009603913716200586</x:v>
      </x:c>
      <x:c r="Z443" s="245" t="n">
        <x:f>X443*D443</x:f>
        <x:v>-0.033528460201096004</x:v>
      </x:c>
      <x:c r="AA443" s="245" t="n">
        <x:f>X443*E443</x:f>
        <x:v>0</x:v>
      </x:c>
      <x:c r="AB443" s="245" t="n">
        <x:f>X443</x:f>
        <x:v>-0.033528460201096004</x:v>
      </x:c>
      <x:c r="AC443" s="245" t="n">
        <x:f>Y443*D443</x:f>
        <x:v>0.0009603913716200586</x:v>
      </x:c>
      <x:c r="AD443" s="245" t="n">
        <x:f>Y443*E443</x:f>
        <x:v>0</x:v>
      </x:c>
      <x:c r="AE443" s="245" t="n">
        <x:f>Y443</x:f>
        <x:v>0.0009603913716200586</x:v>
      </x:c>
      <x:c r="AF443" s="245" t="n">
        <x:f>W443*Q443</x:f>
        <x:v>-0.03857298744124521</x:v>
      </x:c>
      <x:c r="AG443" s="245" t="n">
        <x:f>W443*S443</x:f>
        <x:v>-0.049000057408285794</x:v>
      </x:c>
      <x:c r="AH443" s="245" t="n">
        <x:f>W443</x:f>
        <x:v>-0.049256717198282216</x:v>
      </x:c>
      <x:c r="AI443" s="246" t="n">
        <x:f>G443-$B$4*Z443</x:f>
        <x:v>3.1569197854367235</x:v>
      </x:c>
      <x:c r="AJ443" s="246" t="n">
        <x:f>H443-$B$4*AA443</x:f>
        <x:v>-3.550595752118633</x:v>
      </x:c>
      <x:c r="AK443" s="246" t="n">
        <x:f>I443-$B$4*AB443</x:f>
        <x:v>-1.8060326415178096</x:v>
      </x:c>
      <x:c r="AL443" s="246" t="n">
        <x:f>J443-$B$4*AC443</x:f>
        <x:v>3.436417145458261</x:v>
      </x:c>
      <x:c r="AM443" s="246" t="n">
        <x:f>K443-$B$4*AD443</x:f>
        <x:v>-3.312903132420892</x:v>
      </x:c>
      <x:c r="AN443" s="246" t="n">
        <x:f>L443-$B$4*AE443</x:f>
        <x:v>1.813487386889264</x:v>
      </x:c>
      <x:c r="AO443" s="246" t="n">
        <x:f>M443-$B$4*AF443</x:f>
        <x:v>4.046067192634969</x:v>
      </x:c>
      <x:c r="AP443" s="246" t="n">
        <x:f>N443-$B$4*AG443</x:f>
        <x:v>-3.7124845617004314</x:v>
      </x:c>
      <x:c r="AQ443" s="246" t="n">
        <x:f>O443-$B$4*AH443</x:f>
        <x:v>1.7114692486823144</x:v>
      </x:c>
      <x:c r="AR443" s="182" t="n">
        <x:f>IF(U443&gt;=$B$5,1,0)</x:f>
        <x:v>1</x:v>
      </x:c>
      <x:c r="AS443" s="182" t="n">
        <x:f>IF(AR443=F443,1,0)</x:f>
        <x:v>1</x:v>
      </x:c>
      <x:c r="AT443" s="252" t="n">
        <x:f>ABS(F443-U443)</x:f>
        <x:v>0.2575769587766892</x:v>
      </x:c>
    </x:row>
    <x:row r="444">
      <x:c r="A444" s="114" t="n">
        <x:v>428</x:v>
      </x:c>
      <x:c r="B444" s="114" t="n">
        <x:v>107</x:v>
      </x:c>
      <x:c r="C444" s="114" t="n">
        <x:v>4</x:v>
      </x:c>
      <x:c r="D444" s="168" t="n">
        <x:f>$I$8</x:f>
        <x:v>1</x:v>
      </x:c>
      <x:c r="E444" s="168" t="n">
        <x:f>$J$8</x:f>
        <x:v>1</x:v>
      </x:c>
      <x:c r="F444" s="168" t="n">
        <x:f>$K$8</x:f>
        <x:v>0</x:v>
      </x:c>
      <x:c r="G444" s="242" t="n">
        <x:f>AI443</x:f>
        <x:v>3.1569197854367235</x:v>
      </x:c>
      <x:c r="H444" s="242" t="n">
        <x:f>AJ443</x:f>
        <x:v>-3.550595752118633</x:v>
      </x:c>
      <x:c r="I444" s="242" t="n">
        <x:f>AK443</x:f>
        <x:v>-1.8060326415178096</x:v>
      </x:c>
      <x:c r="J444" s="242" t="n">
        <x:f>AL443</x:f>
        <x:v>3.436417145458261</x:v>
      </x:c>
      <x:c r="K444" s="242" t="n">
        <x:f>AM443</x:f>
        <x:v>-3.312903132420892</x:v>
      </x:c>
      <x:c r="L444" s="242" t="n">
        <x:f>AN443</x:f>
        <x:v>1.813487386889264</x:v>
      </x:c>
      <x:c r="M444" s="242" t="n">
        <x:f>AO443</x:f>
        <x:v>4.046067192634969</x:v>
      </x:c>
      <x:c r="N444" s="242" t="n">
        <x:f>AP443</x:f>
        <x:v>-3.7124845617004314</x:v>
      </x:c>
      <x:c r="O444" s="242" t="n">
        <x:f>AQ443</x:f>
        <x:v>1.7114692486823144</x:v>
      </x:c>
      <x:c r="P444" s="243" t="n">
        <x:f>D444*G444+E444*H444+I444</x:f>
        <x:v>-2.1997086081997193</x:v>
      </x:c>
      <x:c r="Q444" s="243" t="n">
        <x:f>1/(1+EXP(-P444))</x:f>
        <x:v>0.09977665925125218</x:v>
      </x:c>
      <x:c r="R444" s="243" t="n">
        <x:f>D444*J444+E444*K444+L444</x:f>
        <x:v>1.9370013999266331</x:v>
      </x:c>
      <x:c r="S444" s="243" t="n">
        <x:f>1/(1+EXP(-R444))</x:f>
        <x:v>0.8740223459019074</x:v>
      </x:c>
      <x:c r="T444" s="243" t="n">
        <x:f>Q444*M444+S444*N444+O444</x:f>
        <x:v>-1.1296221494725014</x:v>
      </x:c>
      <x:c r="U444" s="243" t="n">
        <x:f>1/(1+EXP(-T444))</x:f>
        <x:v>0.24423083862223274</x:v>
      </x:c>
      <x:c r="V444" s="243" t="n">
        <x:f>0.5*(F444-U444)^2</x:f>
        <x:v>0.029824351267059547</x:v>
      </x:c>
      <x:c r="W444" s="244" t="n">
        <x:f>(U444-F444)*U444*(1-U444)</x:f>
        <x:v>0.04508064989148309</x:v>
      </x:c>
      <x:c r="X444" s="244" t="n">
        <x:f>W444*M444*Q444*(1-Q444)</x:f>
        <x:v>0.01638334160722149</x:v>
      </x:c>
      <x:c r="Y444" s="244" t="n">
        <x:f>W444*N444*S444*(1-S444)</x:f>
        <x:v>-0.018427689151873407</x:v>
      </x:c>
      <x:c r="Z444" s="245" t="n">
        <x:f>X444*D444</x:f>
        <x:v>0.01638334160722149</x:v>
      </x:c>
      <x:c r="AA444" s="245" t="n">
        <x:f>X444*E444</x:f>
        <x:v>0.01638334160722149</x:v>
      </x:c>
      <x:c r="AB444" s="245" t="n">
        <x:f>X444</x:f>
        <x:v>0.01638334160722149</x:v>
      </x:c>
      <x:c r="AC444" s="245" t="n">
        <x:f>Y444*D444</x:f>
        <x:v>-0.018427689151873407</x:v>
      </x:c>
      <x:c r="AD444" s="245" t="n">
        <x:f>Y444*E444</x:f>
        <x:v>-0.018427689151873407</x:v>
      </x:c>
      <x:c r="AE444" s="245" t="n">
        <x:f>Y444</x:f>
        <x:v>-0.018427689151873407</x:v>
      </x:c>
      <x:c r="AF444" s="245" t="n">
        <x:f>W444*Q444</x:f>
        <x:v>0.0044979966430475065</x:v>
      </x:c>
      <x:c r="AG444" s="245" t="n">
        <x:f>W444*S444</x:f>
        <x:v>0.03940149537293662</x:v>
      </x:c>
      <x:c r="AH444" s="245" t="n">
        <x:f>W444</x:f>
        <x:v>0.04508064989148309</x:v>
      </x:c>
      <x:c r="AI444" s="246" t="n">
        <x:f>G444-$B$4*Z444</x:f>
        <x:v>3.140536443829502</x:v>
      </x:c>
      <x:c r="AJ444" s="246" t="n">
        <x:f>H444-$B$4*AA444</x:f>
        <x:v>-3.5669790937258545</x:v>
      </x:c>
      <x:c r="AK444" s="246" t="n">
        <x:f>I444-$B$4*AB444</x:f>
        <x:v>-1.822415983125031</x:v>
      </x:c>
      <x:c r="AL444" s="246" t="n">
        <x:f>J444-$B$4*AC444</x:f>
        <x:v>3.4548448346101344</x:v>
      </x:c>
      <x:c r="AM444" s="246" t="n">
        <x:f>K444-$B$4*AD444</x:f>
        <x:v>-3.2944754432690186</x:v>
      </x:c>
      <x:c r="AN444" s="246" t="n">
        <x:f>L444-$B$4*AE444</x:f>
        <x:v>1.8319150760411373</x:v>
      </x:c>
      <x:c r="AO444" s="246" t="n">
        <x:f>M444-$B$4*AF444</x:f>
        <x:v>4.041569195991921</x:v>
      </x:c>
      <x:c r="AP444" s="246" t="n">
        <x:f>N444-$B$4*AG444</x:f>
        <x:v>-3.751886057073368</x:v>
      </x:c>
      <x:c r="AQ444" s="246" t="n">
        <x:f>O444-$B$4*AH444</x:f>
        <x:v>1.6663885987908313</x:v>
      </x:c>
      <x:c r="AR444" s="182" t="n">
        <x:f>IF(U444&gt;=$B$5,1,0)</x:f>
        <x:v>0</x:v>
      </x:c>
      <x:c r="AS444" s="182" t="n">
        <x:f>IF(AR444=F444,1,0)</x:f>
        <x:v>1</x:v>
      </x:c>
      <x:c r="AT444" s="252" t="n">
        <x:f>ABS(F444-U444)</x:f>
        <x:v>0.24423083862223274</x:v>
      </x:c>
    </x:row>
    <x:row r="445">
      <x:c r="A445" s="114" t="n">
        <x:v>429</x:v>
      </x:c>
      <x:c r="B445" s="114" t="n">
        <x:v>108</x:v>
      </x:c>
      <x:c r="C445" s="114" t="n">
        <x:v>1</x:v>
      </x:c>
      <x:c r="D445" s="168" t="n">
        <x:f>$I$5</x:f>
        <x:v>0</x:v>
      </x:c>
      <x:c r="E445" s="168" t="n">
        <x:f>$J$5</x:f>
        <x:v>0</x:v>
      </x:c>
      <x:c r="F445" s="168" t="n">
        <x:f>$K$5</x:f>
        <x:v>0</x:v>
      </x:c>
      <x:c r="G445" s="242" t="n">
        <x:f>AI444</x:f>
        <x:v>3.140536443829502</x:v>
      </x:c>
      <x:c r="H445" s="242" t="n">
        <x:f>AJ444</x:f>
        <x:v>-3.5669790937258545</x:v>
      </x:c>
      <x:c r="I445" s="242" t="n">
        <x:f>AK444</x:f>
        <x:v>-1.822415983125031</x:v>
      </x:c>
      <x:c r="J445" s="242" t="n">
        <x:f>AL444</x:f>
        <x:v>3.4548448346101344</x:v>
      </x:c>
      <x:c r="K445" s="242" t="n">
        <x:f>AM444</x:f>
        <x:v>-3.2944754432690186</x:v>
      </x:c>
      <x:c r="L445" s="242" t="n">
        <x:f>AN444</x:f>
        <x:v>1.8319150760411373</x:v>
      </x:c>
      <x:c r="M445" s="242" t="n">
        <x:f>AO444</x:f>
        <x:v>4.041569195991921</x:v>
      </x:c>
      <x:c r="N445" s="242" t="n">
        <x:f>AP444</x:f>
        <x:v>-3.751886057073368</x:v>
      </x:c>
      <x:c r="O445" s="242" t="n">
        <x:f>AQ444</x:f>
        <x:v>1.6663885987908313</x:v>
      </x:c>
      <x:c r="P445" s="243" t="n">
        <x:f>D445*G445+E445*H445+I445</x:f>
        <x:v>-1.822415983125031</x:v>
      </x:c>
      <x:c r="Q445" s="243" t="n">
        <x:f>1/(1+EXP(-P445))</x:f>
        <x:v>0.13914422660825151</x:v>
      </x:c>
      <x:c r="R445" s="243" t="n">
        <x:f>D445*J445+E445*K445+L445</x:f>
        <x:v>1.8319150760411373</x:v>
      </x:c>
      <x:c r="S445" s="243" t="n">
        <x:f>1/(1+EXP(-R445))</x:f>
        <x:v>0.8619897088577643</x:v>
      </x:c>
      <x:c r="T445" s="243" t="n">
        <x:f>Q445*M445+S445*N445+O445</x:f>
        <x:v>-1.0053375511533174</x:v>
      </x:c>
      <x:c r="U445" s="243" t="n">
        <x:f>1/(1+EXP(-T445))</x:f>
        <x:v>0.2678932902538169</x:v>
      </x:c>
      <x:c r="V445" s="243" t="n">
        <x:f>0.5*(F445-U445)^2</x:f>
        <x:v>0.0358834074815079</x:v>
      </x:c>
      <x:c r="W445" s="244" t="n">
        <x:f>(U445-F445)*U445*(1-U445)</x:f>
        <x:v>0.05254096677153664</x:v>
      </x:c>
      <x:c r="X445" s="244" t="n">
        <x:f>W445*M445*Q445*(1-Q445)</x:f>
        <x:v>0.025435698364256208</x:v>
      </x:c>
      <x:c r="Y445" s="244" t="n">
        <x:f>W445*N445*S445*(1-S445)</x:f>
        <x:v>-0.02345099387404677</x:v>
      </x:c>
      <x:c r="Z445" s="245" t="n">
        <x:f>X445*D445</x:f>
        <x:v>0</x:v>
      </x:c>
      <x:c r="AA445" s="245" t="n">
        <x:f>X445*E445</x:f>
        <x:v>0</x:v>
      </x:c>
      <x:c r="AB445" s="245" t="n">
        <x:f>X445</x:f>
        <x:v>0.025435698364256208</x:v>
      </x:c>
      <x:c r="AC445" s="245" t="n">
        <x:f>Y445*D445</x:f>
        <x:v>0</x:v>
      </x:c>
      <x:c r="AD445" s="245" t="n">
        <x:f>Y445*E445</x:f>
        <x:v>0</x:v>
      </x:c>
      <x:c r="AE445" s="245" t="n">
        <x:f>Y445</x:f>
        <x:v>-0.02345099387404677</x:v>
      </x:c>
      <x:c r="AF445" s="245" t="n">
        <x:f>W445*Q445</x:f>
        <x:v>0.007310772186675307</x:v>
      </x:c>
      <x:c r="AG445" s="245" t="n">
        <x:f>W445*S445</x:f>
        <x:v>0.04528977265050234</x:v>
      </x:c>
      <x:c r="AH445" s="245" t="n">
        <x:f>W445</x:f>
        <x:v>0.05254096677153664</x:v>
      </x:c>
      <x:c r="AI445" s="246" t="n">
        <x:f>G445-$B$4*Z445</x:f>
        <x:v>3.140536443829502</x:v>
      </x:c>
      <x:c r="AJ445" s="246" t="n">
        <x:f>H445-$B$4*AA445</x:f>
        <x:v>-3.5669790937258545</x:v>
      </x:c>
      <x:c r="AK445" s="246" t="n">
        <x:f>I445-$B$4*AB445</x:f>
        <x:v>-1.8478516814892874</x:v>
      </x:c>
      <x:c r="AL445" s="246" t="n">
        <x:f>J445-$B$4*AC445</x:f>
        <x:v>3.4548448346101344</x:v>
      </x:c>
      <x:c r="AM445" s="246" t="n">
        <x:f>K445-$B$4*AD445</x:f>
        <x:v>-3.2944754432690186</x:v>
      </x:c>
      <x:c r="AN445" s="246" t="n">
        <x:f>L445-$B$4*AE445</x:f>
        <x:v>1.8553660699151842</x:v>
      </x:c>
      <x:c r="AO445" s="246" t="n">
        <x:f>M445-$B$4*AF445</x:f>
        <x:v>4.034258423805246</x:v>
      </x:c>
      <x:c r="AP445" s="246" t="n">
        <x:f>N445-$B$4*AG445</x:f>
        <x:v>-3.7971758297238702</x:v>
      </x:c>
      <x:c r="AQ445" s="246" t="n">
        <x:f>O445-$B$4*AH445</x:f>
        <x:v>1.6138476320192947</x:v>
      </x:c>
      <x:c r="AR445" s="182" t="n">
        <x:f>IF(U445&gt;=$B$5,1,0)</x:f>
        <x:v>0</x:v>
      </x:c>
      <x:c r="AS445" s="182" t="n">
        <x:f>IF(AR445=F445,1,0)</x:f>
        <x:v>1</x:v>
      </x:c>
      <x:c r="AT445" s="252" t="n">
        <x:f>ABS(F445-U445)</x:f>
        <x:v>0.2678932902538169</x:v>
      </x:c>
    </x:row>
    <x:row r="446">
      <x:c r="A446" s="114" t="n">
        <x:v>430</x:v>
      </x:c>
      <x:c r="B446" s="114" t="n">
        <x:v>108</x:v>
      </x:c>
      <x:c r="C446" s="114" t="n">
        <x:v>2</x:v>
      </x:c>
      <x:c r="D446" s="168" t="n">
        <x:f>$I$6</x:f>
        <x:v>0</x:v>
      </x:c>
      <x:c r="E446" s="168" t="n">
        <x:f>$J$6</x:f>
        <x:v>1</x:v>
      </x:c>
      <x:c r="F446" s="168" t="n">
        <x:f>$K$6</x:f>
        <x:v>1</x:v>
      </x:c>
      <x:c r="G446" s="242" t="n">
        <x:f>AI445</x:f>
        <x:v>3.140536443829502</x:v>
      </x:c>
      <x:c r="H446" s="242" t="n">
        <x:f>AJ445</x:f>
        <x:v>-3.5669790937258545</x:v>
      </x:c>
      <x:c r="I446" s="242" t="n">
        <x:f>AK445</x:f>
        <x:v>-1.8478516814892874</x:v>
      </x:c>
      <x:c r="J446" s="242" t="n">
        <x:f>AL445</x:f>
        <x:v>3.4548448346101344</x:v>
      </x:c>
      <x:c r="K446" s="242" t="n">
        <x:f>AM445</x:f>
        <x:v>-3.2944754432690186</x:v>
      </x:c>
      <x:c r="L446" s="242" t="n">
        <x:f>AN445</x:f>
        <x:v>1.8553660699151842</x:v>
      </x:c>
      <x:c r="M446" s="242" t="n">
        <x:f>AO445</x:f>
        <x:v>4.034258423805246</x:v>
      </x:c>
      <x:c r="N446" s="242" t="n">
        <x:f>AP445</x:f>
        <x:v>-3.7971758297238702</x:v>
      </x:c>
      <x:c r="O446" s="242" t="n">
        <x:f>AQ445</x:f>
        <x:v>1.6138476320192947</x:v>
      </x:c>
      <x:c r="P446" s="243" t="n">
        <x:f>D446*G446+E446*H446+I446</x:f>
        <x:v>-5.414830775215142</x:v>
      </x:c>
      <x:c r="Q446" s="243" t="n">
        <x:f>1/(1+EXP(-P446))</x:f>
        <x:v>0.004430375242524597</x:v>
      </x:c>
      <x:c r="R446" s="243" t="n">
        <x:f>D446*J446+E446*K446+L446</x:f>
        <x:v>-1.4391093733538345</x:v>
      </x:c>
      <x:c r="S446" s="243" t="n">
        <x:f>1/(1+EXP(-R446))</x:f>
        <x:v>0.1916833050891538</x:v>
      </x:c>
      <x:c r="T446" s="243" t="n">
        <x:f>Q446*M446+S446*N446+O446</x:f>
        <x:v>0.9038656976159465</x:v>
      </x:c>
      <x:c r="U446" s="243" t="n">
        <x:f>1/(1+EXP(-T446))</x:f>
        <x:v>0.7117432564047056</x:v>
      </x:c>
      <x:c r="V446" s="243" t="n">
        <x:f>0.5*(F446-U446)^2</x:f>
        <x:v>0.04154597511408165</x:v>
      </x:c>
      <x:c r="W446" s="244" t="n">
        <x:f>(U446-F446)*U446*(1-U446)</x:f>
        <x:v>-0.05914013523641067</x:v>
      </x:c>
      <x:c r="X446" s="244" t="n">
        <x:f>W446*M446*Q446*(1-Q446)</x:f>
        <x:v>-0.0010523450848556424</x:v>
      </x:c>
      <x:c r="Y446" s="244" t="n">
        <x:f>W446*N446*S446*(1-S446)</x:f>
        <x:v>0.03479436050828129</x:v>
      </x:c>
      <x:c r="Z446" s="245" t="n">
        <x:f>X446*D446</x:f>
        <x:v>0</x:v>
      </x:c>
      <x:c r="AA446" s="245" t="n">
        <x:f>X446*E446</x:f>
        <x:v>-0.0010523450848556424</x:v>
      </x:c>
      <x:c r="AB446" s="245" t="n">
        <x:f>X446</x:f>
        <x:v>-0.0010523450848556424</x:v>
      </x:c>
      <x:c r="AC446" s="245" t="n">
        <x:f>Y446*D446</x:f>
        <x:v>0</x:v>
      </x:c>
      <x:c r="AD446" s="245" t="n">
        <x:f>Y446*E446</x:f>
        <x:v>0.03479436050828129</x:v>
      </x:c>
      <x:c r="AE446" s="245" t="n">
        <x:f>Y446</x:f>
        <x:v>0.03479436050828129</x:v>
      </x:c>
      <x:c r="AF446" s="245" t="n">
        <x:f>W446*Q446</x:f>
        <x:v>-0.0002620129909909504</x:v>
      </x:c>
      <x:c r="AG446" s="245" t="n">
        <x:f>W446*S446</x:f>
        <x:v>-0.011336176585534721</x:v>
      </x:c>
      <x:c r="AH446" s="245" t="n">
        <x:f>W446</x:f>
        <x:v>-0.05914013523641067</x:v>
      </x:c>
      <x:c r="AI446" s="246" t="n">
        <x:f>G446-$B$4*Z446</x:f>
        <x:v>3.140536443829502</x:v>
      </x:c>
      <x:c r="AJ446" s="246" t="n">
        <x:f>H446-$B$4*AA446</x:f>
        <x:v>-3.5659267486409987</x:v>
      </x:c>
      <x:c r="AK446" s="246" t="n">
        <x:f>I446-$B$4*AB446</x:f>
        <x:v>-1.8467993364044317</x:v>
      </x:c>
      <x:c r="AL446" s="246" t="n">
        <x:f>J446-$B$4*AC446</x:f>
        <x:v>3.4548448346101344</x:v>
      </x:c>
      <x:c r="AM446" s="246" t="n">
        <x:f>K446-$B$4*AD446</x:f>
        <x:v>-3.3292698037773</x:v>
      </x:c>
      <x:c r="AN446" s="246" t="n">
        <x:f>L446-$B$4*AE446</x:f>
        <x:v>1.820571709406903</x:v>
      </x:c>
      <x:c r="AO446" s="246" t="n">
        <x:f>M446-$B$4*AF446</x:f>
        <x:v>4.034520436796237</x:v>
      </x:c>
      <x:c r="AP446" s="246" t="n">
        <x:f>N446-$B$4*AG446</x:f>
        <x:v>-3.7858396531383356</x:v>
      </x:c>
      <x:c r="AQ446" s="246" t="n">
        <x:f>O446-$B$4*AH446</x:f>
        <x:v>1.6729877672557054</x:v>
      </x:c>
      <x:c r="AR446" s="182" t="n">
        <x:f>IF(U446&gt;=$B$5,1,0)</x:f>
        <x:v>1</x:v>
      </x:c>
      <x:c r="AS446" s="182" t="n">
        <x:f>IF(AR446=F446,1,0)</x:f>
        <x:v>1</x:v>
      </x:c>
      <x:c r="AT446" s="252" t="n">
        <x:f>ABS(F446-U446)</x:f>
        <x:v>0.2882567435952944</x:v>
      </x:c>
    </x:row>
    <x:row r="447">
      <x:c r="A447" s="114" t="n">
        <x:v>431</x:v>
      </x:c>
      <x:c r="B447" s="114" t="n">
        <x:v>108</x:v>
      </x:c>
      <x:c r="C447" s="114" t="n">
        <x:v>3</x:v>
      </x:c>
      <x:c r="D447" s="168" t="n">
        <x:f>$I$7</x:f>
        <x:v>1</x:v>
      </x:c>
      <x:c r="E447" s="168" t="n">
        <x:f>$J$7</x:f>
        <x:v>0</x:v>
      </x:c>
      <x:c r="F447" s="168" t="n">
        <x:f>$K$7</x:f>
        <x:v>1</x:v>
      </x:c>
      <x:c r="G447" s="242" t="n">
        <x:f>AI446</x:f>
        <x:v>3.140536443829502</x:v>
      </x:c>
      <x:c r="H447" s="242" t="n">
        <x:f>AJ446</x:f>
        <x:v>-3.5659267486409987</x:v>
      </x:c>
      <x:c r="I447" s="242" t="n">
        <x:f>AK446</x:f>
        <x:v>-1.8467993364044317</x:v>
      </x:c>
      <x:c r="J447" s="242" t="n">
        <x:f>AL446</x:f>
        <x:v>3.4548448346101344</x:v>
      </x:c>
      <x:c r="K447" s="242" t="n">
        <x:f>AM446</x:f>
        <x:v>-3.3292698037773</x:v>
      </x:c>
      <x:c r="L447" s="242" t="n">
        <x:f>AN446</x:f>
        <x:v>1.820571709406903</x:v>
      </x:c>
      <x:c r="M447" s="242" t="n">
        <x:f>AO446</x:f>
        <x:v>4.034520436796237</x:v>
      </x:c>
      <x:c r="N447" s="242" t="n">
        <x:f>AP446</x:f>
        <x:v>-3.7858396531383356</x:v>
      </x:c>
      <x:c r="O447" s="242" t="n">
        <x:f>AQ446</x:f>
        <x:v>1.6729877672557054</x:v>
      </x:c>
      <x:c r="P447" s="243" t="n">
        <x:f>D447*G447+E447*H447+I447</x:f>
        <x:v>1.2937371074250703</x:v>
      </x:c>
      <x:c r="Q447" s="243" t="n">
        <x:f>1/(1+EXP(-P447))</x:f>
        <x:v>0.7847790616676612</x:v>
      </x:c>
      <x:c r="R447" s="243" t="n">
        <x:f>D447*J447+E447*K447+L447</x:f>
        <x:v>5.2754165440170375</x:v>
      </x:c>
      <x:c r="S447" s="243" t="n">
        <x:f>1/(1+EXP(-R447))</x:f>
        <x:v>0.9949102131622952</x:v>
      </x:c>
      <x:c r="T447" s="243" t="n">
        <x:f>Q447*M447+S447*N447+O447</x:f>
        <x:v>1.0726243936215274</x:v>
      </x:c>
      <x:c r="U447" s="243" t="n">
        <x:f>1/(1+EXP(-T447))</x:f>
        <x:v>0.7450956824727244</x:v>
      </x:c>
      <x:c r="V447" s="243" t="n">
        <x:f>0.5*(F447-U447)^2</x:f>
        <x:v>0.03248810554702307</x:v>
      </x:c>
      <x:c r="W447" s="244" t="n">
        <x:f>(U447-F447)*U447*(1-U447)</x:f>
        <x:v>-0.04841349434961012</x:v>
      </x:c>
      <x:c r="X447" s="244" t="n">
        <x:f>W447*M447*Q447*(1-Q447)</x:f>
        <x:v>-0.03299060481245669</x:v>
      </x:c>
      <x:c r="Y447" s="244" t="n">
        <x:f>W447*N447*S447*(1-S447)</x:f>
        <x:v>0.0009281370918570484</x:v>
      </x:c>
      <x:c r="Z447" s="245" t="n">
        <x:f>X447*D447</x:f>
        <x:v>-0.03299060481245669</x:v>
      </x:c>
      <x:c r="AA447" s="245" t="n">
        <x:f>X447*E447</x:f>
        <x:v>0</x:v>
      </x:c>
      <x:c r="AB447" s="245" t="n">
        <x:f>X447</x:f>
        <x:v>-0.03299060481245669</x:v>
      </x:c>
      <x:c r="AC447" s="245" t="n">
        <x:f>Y447*D447</x:f>
        <x:v>0.0009281370918570484</x:v>
      </x:c>
      <x:c r="AD447" s="245" t="n">
        <x:f>Y447*E447</x:f>
        <x:v>0</x:v>
      </x:c>
      <x:c r="AE447" s="245" t="n">
        <x:f>Y447</x:f>
        <x:v>0.0009281370918570484</x:v>
      </x:c>
      <x:c r="AF447" s="245" t="n">
        <x:f>W447*Q447</x:f>
        <x:v>-0.03799389666773965</x:v>
      </x:c>
      <x:c r="AG447" s="245" t="n">
        <x:f>W447*S447</x:f>
        <x:v>-0.04816707998330218</x:v>
      </x:c>
      <x:c r="AH447" s="245" t="n">
        <x:f>W447</x:f>
        <x:v>-0.04841349434961012</x:v>
      </x:c>
      <x:c r="AI447" s="246" t="n">
        <x:f>G447-$B$4*Z447</x:f>
        <x:v>3.173527048641959</x:v>
      </x:c>
      <x:c r="AJ447" s="246" t="n">
        <x:f>H447-$B$4*AA447</x:f>
        <x:v>-3.5659267486409987</x:v>
      </x:c>
      <x:c r="AK447" s="246" t="n">
        <x:f>I447-$B$4*AB447</x:f>
        <x:v>-1.813808731591975</x:v>
      </x:c>
      <x:c r="AL447" s="246" t="n">
        <x:f>J447-$B$4*AC447</x:f>
        <x:v>3.4539166975182773</x:v>
      </x:c>
      <x:c r="AM447" s="246" t="n">
        <x:f>K447-$B$4*AD447</x:f>
        <x:v>-3.3292698037773</x:v>
      </x:c>
      <x:c r="AN447" s="246" t="n">
        <x:f>L447-$B$4*AE447</x:f>
        <x:v>1.819643572315046</x:v>
      </x:c>
      <x:c r="AO447" s="246" t="n">
        <x:f>M447-$B$4*AF447</x:f>
        <x:v>4.072514333463976</x:v>
      </x:c>
      <x:c r="AP447" s="246" t="n">
        <x:f>N447-$B$4*AG447</x:f>
        <x:v>-3.7376725731550335</x:v>
      </x:c>
      <x:c r="AQ447" s="246" t="n">
        <x:f>O447-$B$4*AH447</x:f>
        <x:v>1.7214012616053156</x:v>
      </x:c>
      <x:c r="AR447" s="182" t="n">
        <x:f>IF(U447&gt;=$B$5,1,0)</x:f>
        <x:v>1</x:v>
      </x:c>
      <x:c r="AS447" s="182" t="n">
        <x:f>IF(AR447=F447,1,0)</x:f>
        <x:v>1</x:v>
      </x:c>
      <x:c r="AT447" s="252" t="n">
        <x:f>ABS(F447-U447)</x:f>
        <x:v>0.2549043175272756</x:v>
      </x:c>
    </x:row>
    <x:row r="448">
      <x:c r="A448" s="114" t="n">
        <x:v>432</x:v>
      </x:c>
      <x:c r="B448" s="114" t="n">
        <x:v>108</x:v>
      </x:c>
      <x:c r="C448" s="114" t="n">
        <x:v>4</x:v>
      </x:c>
      <x:c r="D448" s="168" t="n">
        <x:f>$I$8</x:f>
        <x:v>1</x:v>
      </x:c>
      <x:c r="E448" s="168" t="n">
        <x:f>$J$8</x:f>
        <x:v>1</x:v>
      </x:c>
      <x:c r="F448" s="168" t="n">
        <x:f>$K$8</x:f>
        <x:v>0</x:v>
      </x:c>
      <x:c r="G448" s="242" t="n">
        <x:f>AI447</x:f>
        <x:v>3.173527048641959</x:v>
      </x:c>
      <x:c r="H448" s="242" t="n">
        <x:f>AJ447</x:f>
        <x:v>-3.5659267486409987</x:v>
      </x:c>
      <x:c r="I448" s="242" t="n">
        <x:f>AK447</x:f>
        <x:v>-1.813808731591975</x:v>
      </x:c>
      <x:c r="J448" s="242" t="n">
        <x:f>AL447</x:f>
        <x:v>3.4539166975182773</x:v>
      </x:c>
      <x:c r="K448" s="242" t="n">
        <x:f>AM447</x:f>
        <x:v>-3.3292698037773</x:v>
      </x:c>
      <x:c r="L448" s="242" t="n">
        <x:f>AN447</x:f>
        <x:v>1.819643572315046</x:v>
      </x:c>
      <x:c r="M448" s="242" t="n">
        <x:f>AO447</x:f>
        <x:v>4.072514333463976</x:v>
      </x:c>
      <x:c r="N448" s="242" t="n">
        <x:f>AP447</x:f>
        <x:v>-3.7376725731550335</x:v>
      </x:c>
      <x:c r="O448" s="242" t="n">
        <x:f>AQ447</x:f>
        <x:v>1.7214012616053156</x:v>
      </x:c>
      <x:c r="P448" s="243" t="n">
        <x:f>D448*G448+E448*H448+I448</x:f>
        <x:v>-2.2062084315910147</x:v>
      </x:c>
      <x:c r="Q448" s="243" t="n">
        <x:f>1/(1+EXP(-P448))</x:f>
        <x:v>0.09919435365940174</x:v>
      </x:c>
      <x:c r="R448" s="243" t="n">
        <x:f>D448*J448+E448*K448+L448</x:f>
        <x:v>1.9442904660560234</x:v>
      </x:c>
      <x:c r="S448" s="243" t="n">
        <x:f>1/(1+EXP(-R448))</x:f>
        <x:v>0.8748227395460504</x:v>
      </x:c>
      <x:c r="T448" s="243" t="n">
        <x:f>Q448*M448+S448*N448+O448</x:f>
        <x:v>-1.144429271291698</x:v>
      </x:c>
      <x:c r="U448" s="243" t="n">
        <x:f>1/(1+EXP(-T448))</x:f>
        <x:v>0.2415080698785492</x:v>
      </x:c>
      <x:c r="V448" s="243" t="n">
        <x:f>0.5*(F448-U448)^2</x:f>
        <x:v>0.029163073908231103</x:v>
      </x:c>
      <x:c r="W448" s="244" t="n">
        <x:f>(U448-F448)*U448*(1-U448)</x:f>
        <x:v>0.044239912433857456</x:v>
      </x:c>
      <x:c r="X448" s="244" t="n">
        <x:f>W448*M448*Q448*(1-Q448)</x:f>
        <x:v>0.01609885289005201</x:v>
      </x:c>
      <x:c r="Y448" s="244" t="n">
        <x:f>W448*N448*S448*(1-S448)</x:f>
        <x:v>-0.018107605254664264</x:v>
      </x:c>
      <x:c r="Z448" s="245" t="n">
        <x:f>X448*D448</x:f>
        <x:v>0.01609885289005201</x:v>
      </x:c>
      <x:c r="AA448" s="245" t="n">
        <x:f>X448*E448</x:f>
        <x:v>0.01609885289005201</x:v>
      </x:c>
      <x:c r="AB448" s="245" t="n">
        <x:f>X448</x:f>
        <x:v>0.01609885289005201</x:v>
      </x:c>
      <x:c r="AC448" s="245" t="n">
        <x:f>Y448*D448</x:f>
        <x:v>-0.018107605254664264</x:v>
      </x:c>
      <x:c r="AD448" s="245" t="n">
        <x:f>Y448*E448</x:f>
        <x:v>-0.018107605254664264</x:v>
      </x:c>
      <x:c r="AE448" s="245" t="n">
        <x:f>Y448</x:f>
        <x:v>-0.018107605254664264</x:v>
      </x:c>
      <x:c r="AF448" s="245" t="n">
        <x:f>W448*Q448</x:f>
        <x:v>0.004388349519825021</x:v>
      </x:c>
      <x:c r="AG448" s="245" t="n">
        <x:f>W448*S448</x:f>
        <x:v>0.03870208139266456</x:v>
      </x:c>
      <x:c r="AH448" s="245" t="n">
        <x:f>W448</x:f>
        <x:v>0.044239912433857456</x:v>
      </x:c>
      <x:c r="AI448" s="246" t="n">
        <x:f>G448-$B$4*Z448</x:f>
        <x:v>3.157428195751907</x:v>
      </x:c>
      <x:c r="AJ448" s="246" t="n">
        <x:f>H448-$B$4*AA448</x:f>
        <x:v>-3.5820256015310505</x:v>
      </x:c>
      <x:c r="AK448" s="246" t="n">
        <x:f>I448-$B$4*AB448</x:f>
        <x:v>-1.8299075844820272</x:v>
      </x:c>
      <x:c r="AL448" s="246" t="n">
        <x:f>J448-$B$4*AC448</x:f>
        <x:v>3.4720243027729416</x:v>
      </x:c>
      <x:c r="AM448" s="246" t="n">
        <x:f>K448-$B$4*AD448</x:f>
        <x:v>-3.3111621985226356</x:v>
      </x:c>
      <x:c r="AN448" s="246" t="n">
        <x:f>L448-$B$4*AE448</x:f>
        <x:v>1.8377511775697102</x:v>
      </x:c>
      <x:c r="AO448" s="246" t="n">
        <x:f>M448-$B$4*AF448</x:f>
        <x:v>4.068125983944151</x:v>
      </x:c>
      <x:c r="AP448" s="246" t="n">
        <x:f>N448-$B$4*AG448</x:f>
        <x:v>-3.776374654547698</x:v>
      </x:c>
      <x:c r="AQ448" s="246" t="n">
        <x:f>O448-$B$4*AH448</x:f>
        <x:v>1.677161349171458</x:v>
      </x:c>
      <x:c r="AR448" s="182" t="n">
        <x:f>IF(U448&gt;=$B$5,1,0)</x:f>
        <x:v>0</x:v>
      </x:c>
      <x:c r="AS448" s="182" t="n">
        <x:f>IF(AR448=F448,1,0)</x:f>
        <x:v>1</x:v>
      </x:c>
      <x:c r="AT448" s="252" t="n">
        <x:f>ABS(F448-U448)</x:f>
        <x:v>0.2415080698785492</x:v>
      </x:c>
    </x:row>
    <x:row r="449">
      <x:c r="A449" s="114" t="n">
        <x:v>433</x:v>
      </x:c>
      <x:c r="B449" s="114" t="n">
        <x:v>109</x:v>
      </x:c>
      <x:c r="C449" s="114" t="n">
        <x:v>1</x:v>
      </x:c>
      <x:c r="D449" s="168" t="n">
        <x:f>$I$5</x:f>
        <x:v>0</x:v>
      </x:c>
      <x:c r="E449" s="168" t="n">
        <x:f>$J$5</x:f>
        <x:v>0</x:v>
      </x:c>
      <x:c r="F449" s="168" t="n">
        <x:f>$K$5</x:f>
        <x:v>0</x:v>
      </x:c>
      <x:c r="G449" s="242" t="n">
        <x:f>AI448</x:f>
        <x:v>3.157428195751907</x:v>
      </x:c>
      <x:c r="H449" s="242" t="n">
        <x:f>AJ448</x:f>
        <x:v>-3.5820256015310505</x:v>
      </x:c>
      <x:c r="I449" s="242" t="n">
        <x:f>AK448</x:f>
        <x:v>-1.8299075844820272</x:v>
      </x:c>
      <x:c r="J449" s="242" t="n">
        <x:f>AL448</x:f>
        <x:v>3.4720243027729416</x:v>
      </x:c>
      <x:c r="K449" s="242" t="n">
        <x:f>AM448</x:f>
        <x:v>-3.3111621985226356</x:v>
      </x:c>
      <x:c r="L449" s="242" t="n">
        <x:f>AN448</x:f>
        <x:v>1.8377511775697102</x:v>
      </x:c>
      <x:c r="M449" s="242" t="n">
        <x:f>AO448</x:f>
        <x:v>4.068125983944151</x:v>
      </x:c>
      <x:c r="N449" s="242" t="n">
        <x:f>AP448</x:f>
        <x:v>-3.776374654547698</x:v>
      </x:c>
      <x:c r="O449" s="242" t="n">
        <x:f>AQ448</x:f>
        <x:v>1.677161349171458</x:v>
      </x:c>
      <x:c r="P449" s="243" t="n">
        <x:f>D449*G449+E449*H449+I449</x:f>
        <x:v>-1.8299075844820272</x:v>
      </x:c>
      <x:c r="Q449" s="243" t="n">
        <x:f>1/(1+EXP(-P449))</x:f>
        <x:v>0.13824928285825597</x:v>
      </x:c>
      <x:c r="R449" s="243" t="n">
        <x:f>D449*J449+E449*K449+L449</x:f>
        <x:v>1.8377511775697102</x:v>
      </x:c>
      <x:c r="S449" s="243" t="n">
        <x:f>1/(1+EXP(-R449))</x:f>
        <x:v>0.8626825260161272</x:v>
      </x:c>
      <x:c r="T449" s="243" t="n">
        <x:f>Q449*M449+S449*N449+O449</x:f>
        <x:v>-1.0182355771397134</x:v>
      </x:c>
      <x:c r="U449" s="243" t="n">
        <x:f>1/(1+EXP(-T449))</x:f>
        <x:v>0.26537123117734746</x:v>
      </x:c>
      <x:c r="V449" s="243" t="n">
        <x:f>0.5*(F449-U449)^2</x:f>
        <x:v>0.03521094516829059</x:v>
      </x:c>
      <x:c r="W449" s="244" t="n">
        <x:f>(U449-F449)*U449*(1-U449)</x:f>
        <x:v>0.051733946596126484</x:v>
      </x:c>
      <x:c r="X449" s="244" t="n">
        <x:f>W449*M449*Q449*(1-Q449)</x:f>
        <x:v>0.025073475973076284</x:v>
      </x:c>
      <x:c r="Y449" s="244" t="n">
        <x:f>W449*N449*S449*(1-S449)</x:f>
        <x:v>-0.02314341759298099</x:v>
      </x:c>
      <x:c r="Z449" s="245" t="n">
        <x:f>X449*D449</x:f>
        <x:v>0</x:v>
      </x:c>
      <x:c r="AA449" s="245" t="n">
        <x:f>X449*E449</x:f>
        <x:v>0</x:v>
      </x:c>
      <x:c r="AB449" s="245" t="n">
        <x:f>X449</x:f>
        <x:v>0.025073475973076284</x:v>
      </x:c>
      <x:c r="AC449" s="245" t="n">
        <x:f>Y449*D449</x:f>
        <x:v>0</x:v>
      </x:c>
      <x:c r="AD449" s="245" t="n">
        <x:f>Y449*E449</x:f>
        <x:v>0</x:v>
      </x:c>
      <x:c r="AE449" s="245" t="n">
        <x:f>Y449</x:f>
        <x:v>-0.02314341759298099</x:v>
      </x:c>
      <x:c r="AF449" s="245" t="n">
        <x:f>W449*Q449</x:f>
        <x:v>0.007152181016341799</x:v>
      </x:c>
      <x:c r="AG449" s="245" t="n">
        <x:f>W449*S449</x:f>
        <x:v>0.04462997173032982</x:v>
      </x:c>
      <x:c r="AH449" s="245" t="n">
        <x:f>W449</x:f>
        <x:v>0.051733946596126484</x:v>
      </x:c>
      <x:c r="AI449" s="246" t="n">
        <x:f>G449-$B$4*Z449</x:f>
        <x:v>3.157428195751907</x:v>
      </x:c>
      <x:c r="AJ449" s="246" t="n">
        <x:f>H449-$B$4*AA449</x:f>
        <x:v>-3.5820256015310505</x:v>
      </x:c>
      <x:c r="AK449" s="246" t="n">
        <x:f>I449-$B$4*AB449</x:f>
        <x:v>-1.8549810604551034</x:v>
      </x:c>
      <x:c r="AL449" s="246" t="n">
        <x:f>J449-$B$4*AC449</x:f>
        <x:v>3.4720243027729416</x:v>
      </x:c>
      <x:c r="AM449" s="246" t="n">
        <x:f>K449-$B$4*AD449</x:f>
        <x:v>-3.3111621985226356</x:v>
      </x:c>
      <x:c r="AN449" s="246" t="n">
        <x:f>L449-$B$4*AE449</x:f>
        <x:v>1.8608945951626912</x:v>
      </x:c>
      <x:c r="AO449" s="246" t="n">
        <x:f>M449-$B$4*AF449</x:f>
        <x:v>4.060973802927809</x:v>
      </x:c>
      <x:c r="AP449" s="246" t="n">
        <x:f>N449-$B$4*AG449</x:f>
        <x:v>-3.821004626278028</x:v>
      </x:c>
      <x:c r="AQ449" s="246" t="n">
        <x:f>O449-$B$4*AH449</x:f>
        <x:v>1.6254274025753317</x:v>
      </x:c>
      <x:c r="AR449" s="182" t="n">
        <x:f>IF(U449&gt;=$B$5,1,0)</x:f>
        <x:v>0</x:v>
      </x:c>
      <x:c r="AS449" s="182" t="n">
        <x:f>IF(AR449=F449,1,0)</x:f>
        <x:v>1</x:v>
      </x:c>
      <x:c r="AT449" s="252" t="n">
        <x:f>ABS(F449-U449)</x:f>
        <x:v>0.26537123117734746</x:v>
      </x:c>
    </x:row>
    <x:row r="450">
      <x:c r="A450" s="114" t="n">
        <x:v>434</x:v>
      </x:c>
      <x:c r="B450" s="114" t="n">
        <x:v>109</x:v>
      </x:c>
      <x:c r="C450" s="114" t="n">
        <x:v>2</x:v>
      </x:c>
      <x:c r="D450" s="168" t="n">
        <x:f>$I$6</x:f>
        <x:v>0</x:v>
      </x:c>
      <x:c r="E450" s="168" t="n">
        <x:f>$J$6</x:f>
        <x:v>1</x:v>
      </x:c>
      <x:c r="F450" s="168" t="n">
        <x:f>$K$6</x:f>
        <x:v>1</x:v>
      </x:c>
      <x:c r="G450" s="242" t="n">
        <x:f>AI449</x:f>
        <x:v>3.157428195751907</x:v>
      </x:c>
      <x:c r="H450" s="242" t="n">
        <x:f>AJ449</x:f>
        <x:v>-3.5820256015310505</x:v>
      </x:c>
      <x:c r="I450" s="242" t="n">
        <x:f>AK449</x:f>
        <x:v>-1.8549810604551034</x:v>
      </x:c>
      <x:c r="J450" s="242" t="n">
        <x:f>AL449</x:f>
        <x:v>3.4720243027729416</x:v>
      </x:c>
      <x:c r="K450" s="242" t="n">
        <x:f>AM449</x:f>
        <x:v>-3.3111621985226356</x:v>
      </x:c>
      <x:c r="L450" s="242" t="n">
        <x:f>AN449</x:f>
        <x:v>1.8608945951626912</x:v>
      </x:c>
      <x:c r="M450" s="242" t="n">
        <x:f>AO449</x:f>
        <x:v>4.060973802927809</x:v>
      </x:c>
      <x:c r="N450" s="242" t="n">
        <x:f>AP449</x:f>
        <x:v>-3.821004626278028</x:v>
      </x:c>
      <x:c r="O450" s="242" t="n">
        <x:f>AQ449</x:f>
        <x:v>1.6254274025753317</x:v>
      </x:c>
      <x:c r="P450" s="243" t="n">
        <x:f>D450*G450+E450*H450+I450</x:f>
        <x:v>-5.437006661986154</x:v>
      </x:c>
      <x:c r="Q450" s="243" t="n">
        <x:f>1/(1+EXP(-P450))</x:f>
        <x:v>0.004333630179564543</x:v>
      </x:c>
      <x:c r="R450" s="243" t="n">
        <x:f>D450*J450+E450*K450+L450</x:f>
        <x:v>-1.4502676033599444</x:v>
      </x:c>
      <x:c r="S450" s="243" t="n">
        <x:f>1/(1+EXP(-R450))</x:f>
        <x:v>0.18996038501487666</x:v>
      </x:c>
      <x:c r="T450" s="243" t="n">
        <x:f>Q450*M450+S450*N450+O450</x:f>
        <x:v>0.9171866512547215</x:v>
      </x:c>
      <x:c r="U450" s="243" t="n">
        <x:f>1/(1+EXP(-T450))</x:f>
        <x:v>0.7144685198678843</x:v>
      </x:c>
      <x:c r="V450" s="243" t="n">
        <x:f>0.5*(F450-U450)^2</x:f>
        <x:v>0.040764113073218394</x:v>
      </x:c>
      <x:c r="W450" s="244" t="n">
        <x:f>(U450-F450)*U450*(1-U450)</x:f>
        <x:v>-0.05824935106229884</x:v>
      </x:c>
      <x:c r="X450" s="244" t="n">
        <x:f>W450*M450*Q450*(1-Q450)</x:f>
        <x:v>-0.0010206737949413553</x:v>
      </x:c>
      <x:c r="Y450" s="244" t="n">
        <x:f>W450*N450*S450*(1-S450)</x:f>
        <x:v>0.034248216057248516</x:v>
      </x:c>
      <x:c r="Z450" s="245" t="n">
        <x:f>X450*D450</x:f>
        <x:v>0</x:v>
      </x:c>
      <x:c r="AA450" s="245" t="n">
        <x:f>X450*E450</x:f>
        <x:v>-0.0010206737949413553</x:v>
      </x:c>
      <x:c r="AB450" s="245" t="n">
        <x:f>X450</x:f>
        <x:v>-0.0010206737949413553</x:v>
      </x:c>
      <x:c r="AC450" s="245" t="n">
        <x:f>Y450*D450</x:f>
        <x:v>0</x:v>
      </x:c>
      <x:c r="AD450" s="245" t="n">
        <x:f>Y450*E450</x:f>
        <x:v>0.034248216057248516</x:v>
      </x:c>
      <x:c r="AE450" s="245" t="n">
        <x:f>Y450</x:f>
        <x:v>0.034248216057248516</x:v>
      </x:c>
      <x:c r="AF450" s="245" t="n">
        <x:f>W450*Q450</x:f>
        <x:v>-0.0002524311457036282</x:v>
      </x:c>
      <x:c r="AG450" s="245" t="n">
        <x:f>W450*S450</x:f>
        <x:v>-0.011065069154661003</x:v>
      </x:c>
      <x:c r="AH450" s="245" t="n">
        <x:f>W450</x:f>
        <x:v>-0.05824935106229884</x:v>
      </x:c>
      <x:c r="AI450" s="246" t="n">
        <x:f>G450-$B$4*Z450</x:f>
        <x:v>3.157428195751907</x:v>
      </x:c>
      <x:c r="AJ450" s="246" t="n">
        <x:f>H450-$B$4*AA450</x:f>
        <x:v>-3.5810049277361093</x:v>
      </x:c>
      <x:c r="AK450" s="246" t="n">
        <x:f>I450-$B$4*AB450</x:f>
        <x:v>-1.853960386660162</x:v>
      </x:c>
      <x:c r="AL450" s="246" t="n">
        <x:f>J450-$B$4*AC450</x:f>
        <x:v>3.4720243027729416</x:v>
      </x:c>
      <x:c r="AM450" s="246" t="n">
        <x:f>K450-$B$4*AD450</x:f>
        <x:v>-3.345410414579884</x:v>
      </x:c>
      <x:c r="AN450" s="246" t="n">
        <x:f>L450-$B$4*AE450</x:f>
        <x:v>1.8266463791054426</x:v>
      </x:c>
      <x:c r="AO450" s="246" t="n">
        <x:f>M450-$B$4*AF450</x:f>
        <x:v>4.061226234073513</x:v>
      </x:c>
      <x:c r="AP450" s="246" t="n">
        <x:f>N450-$B$4*AG450</x:f>
        <x:v>-3.809939557123367</x:v>
      </x:c>
      <x:c r="AQ450" s="246" t="n">
        <x:f>O450-$B$4*AH450</x:f>
        <x:v>1.6836767536376305</x:v>
      </x:c>
      <x:c r="AR450" s="182" t="n">
        <x:f>IF(U450&gt;=$B$5,1,0)</x:f>
        <x:v>1</x:v>
      </x:c>
      <x:c r="AS450" s="182" t="n">
        <x:f>IF(AR450=F450,1,0)</x:f>
        <x:v>1</x:v>
      </x:c>
      <x:c r="AT450" s="252" t="n">
        <x:f>ABS(F450-U450)</x:f>
        <x:v>0.2855314801321157</x:v>
      </x:c>
    </x:row>
    <x:row r="451">
      <x:c r="A451" s="114" t="n">
        <x:v>435</x:v>
      </x:c>
      <x:c r="B451" s="114" t="n">
        <x:v>109</x:v>
      </x:c>
      <x:c r="C451" s="114" t="n">
        <x:v>3</x:v>
      </x:c>
      <x:c r="D451" s="168" t="n">
        <x:f>$I$7</x:f>
        <x:v>1</x:v>
      </x:c>
      <x:c r="E451" s="168" t="n">
        <x:f>$J$7</x:f>
        <x:v>0</x:v>
      </x:c>
      <x:c r="F451" s="168" t="n">
        <x:f>$K$7</x:f>
        <x:v>1</x:v>
      </x:c>
      <x:c r="G451" s="242" t="n">
        <x:f>AI450</x:f>
        <x:v>3.157428195751907</x:v>
      </x:c>
      <x:c r="H451" s="242" t="n">
        <x:f>AJ450</x:f>
        <x:v>-3.5810049277361093</x:v>
      </x:c>
      <x:c r="I451" s="242" t="n">
        <x:f>AK450</x:f>
        <x:v>-1.853960386660162</x:v>
      </x:c>
      <x:c r="J451" s="242" t="n">
        <x:f>AL450</x:f>
        <x:v>3.4720243027729416</x:v>
      </x:c>
      <x:c r="K451" s="242" t="n">
        <x:f>AM450</x:f>
        <x:v>-3.345410414579884</x:v>
      </x:c>
      <x:c r="L451" s="242" t="n">
        <x:f>AN450</x:f>
        <x:v>1.8266463791054426</x:v>
      </x:c>
      <x:c r="M451" s="242" t="n">
        <x:f>AO450</x:f>
        <x:v>4.061226234073513</x:v>
      </x:c>
      <x:c r="N451" s="242" t="n">
        <x:f>AP450</x:f>
        <x:v>-3.809939557123367</x:v>
      </x:c>
      <x:c r="O451" s="242" t="n">
        <x:f>AQ450</x:f>
        <x:v>1.6836767536376305</x:v>
      </x:c>
      <x:c r="P451" s="243" t="n">
        <x:f>D451*G451+E451*H451+I451</x:f>
        <x:v>1.303467809091745</x:v>
      </x:c>
      <x:c r="Q451" s="243" t="n">
        <x:f>1/(1+EXP(-P451))</x:f>
        <x:v>0.7864180311201702</x:v>
      </x:c>
      <x:c r="R451" s="243" t="n">
        <x:f>D451*J451+E451*K451+L451</x:f>
        <x:v>5.298670681878384</x:v>
      </x:c>
      <x:c r="S451" s="243" t="n">
        <x:f>1/(1+EXP(-R451))</x:f>
        <x:v>0.9950266243585192</x:v>
      </x:c>
      <x:c r="T451" s="243" t="n">
        <x:f>Q451*M451+S451*N451+O451</x:f>
        <x:v>1.0865069960368505</x:v>
      </x:c>
      <x:c r="U451" s="243" t="n">
        <x:f>1/(1+EXP(-T451))</x:f>
        <x:v>0.7477233956920069</x:v>
      </x:c>
      <x:c r="V451" s="243" t="n">
        <x:f>0.5*(F451-U451)^2</x:f>
        <x:v>0.031821742540585875</x:v>
      </x:c>
      <x:c r="W451" s="244" t="n">
        <x:f>(U451-F451)*U451*(1-U451)</x:f>
        <x:v>-0.04758772277856732</x:v>
      </x:c>
      <x:c r="X451" s="244" t="n">
        <x:f>W451*M451*Q451*(1-Q451)</x:f>
        <x:v>-0.03246161734784114</x:v>
      </x:c>
      <x:c r="Y451" s="244" t="n">
        <x:f>W451*N451*S451*(1-S451)</x:f>
        <x:v>0.0008972200564867745</x:v>
      </x:c>
      <x:c r="Z451" s="245" t="n">
        <x:f>X451*D451</x:f>
        <x:v>-0.03246161734784114</x:v>
      </x:c>
      <x:c r="AA451" s="245" t="n">
        <x:f>X451*E451</x:f>
        <x:v>0</x:v>
      </x:c>
      <x:c r="AB451" s="245" t="n">
        <x:f>X451</x:f>
        <x:v>-0.03246161734784114</x:v>
      </x:c>
      <x:c r="AC451" s="245" t="n">
        <x:f>Y451*D451</x:f>
        <x:v>0.0008972200564867745</x:v>
      </x:c>
      <x:c r="AD451" s="245" t="n">
        <x:f>Y451*E451</x:f>
        <x:v>0</x:v>
      </x:c>
      <x:c r="AE451" s="245" t="n">
        <x:f>Y451</x:f>
        <x:v>0.0008972200564867745</x:v>
      </x:c>
      <x:c r="AF451" s="245" t="n">
        <x:f>W451*Q451</x:f>
        <x:v>-0.037423843253013386</x:v>
      </x:c>
      <x:c r="AG451" s="245" t="n">
        <x:f>W451*S451</x:f>
        <x:v>-0.04735105115726685</x:v>
      </x:c>
      <x:c r="AH451" s="245" t="n">
        <x:f>W451</x:f>
        <x:v>-0.04758772277856732</x:v>
      </x:c>
      <x:c r="AI451" s="246" t="n">
        <x:f>G451-$B$4*Z451</x:f>
        <x:v>3.1898898130997484</x:v>
      </x:c>
      <x:c r="AJ451" s="246" t="n">
        <x:f>H451-$B$4*AA451</x:f>
        <x:v>-3.5810049277361093</x:v>
      </x:c>
      <x:c r="AK451" s="246" t="n">
        <x:f>I451-$B$4*AB451</x:f>
        <x:v>-1.8214987693123208</x:v>
      </x:c>
      <x:c r="AL451" s="246" t="n">
        <x:f>J451-$B$4*AC451</x:f>
        <x:v>3.4711270827164546</x:v>
      </x:c>
      <x:c r="AM451" s="246" t="n">
        <x:f>K451-$B$4*AD451</x:f>
        <x:v>-3.345410414579884</x:v>
      </x:c>
      <x:c r="AN451" s="246" t="n">
        <x:f>L451-$B$4*AE451</x:f>
        <x:v>1.8257491590489558</x:v>
      </x:c>
      <x:c r="AO451" s="246" t="n">
        <x:f>M451-$B$4*AF451</x:f>
        <x:v>4.098650077326527</x:v>
      </x:c>
      <x:c r="AP451" s="246" t="n">
        <x:f>N451-$B$4*AG451</x:f>
        <x:v>-3.7625885059661</x:v>
      </x:c>
      <x:c r="AQ451" s="246" t="n">
        <x:f>O451-$B$4*AH451</x:f>
        <x:v>1.7312644764161977</x:v>
      </x:c>
      <x:c r="AR451" s="182" t="n">
        <x:f>IF(U451&gt;=$B$5,1,0)</x:f>
        <x:v>1</x:v>
      </x:c>
      <x:c r="AS451" s="182" t="n">
        <x:f>IF(AR451=F451,1,0)</x:f>
        <x:v>1</x:v>
      </x:c>
      <x:c r="AT451" s="252" t="n">
        <x:f>ABS(F451-U451)</x:f>
        <x:v>0.25227660430799315</x:v>
      </x:c>
    </x:row>
    <x:row r="452">
      <x:c r="A452" s="114" t="n">
        <x:v>436</x:v>
      </x:c>
      <x:c r="B452" s="114" t="n">
        <x:v>109</x:v>
      </x:c>
      <x:c r="C452" s="114" t="n">
        <x:v>4</x:v>
      </x:c>
      <x:c r="D452" s="168" t="n">
        <x:f>$I$8</x:f>
        <x:v>1</x:v>
      </x:c>
      <x:c r="E452" s="168" t="n">
        <x:f>$J$8</x:f>
        <x:v>1</x:v>
      </x:c>
      <x:c r="F452" s="168" t="n">
        <x:f>$K$8</x:f>
        <x:v>0</x:v>
      </x:c>
      <x:c r="G452" s="242" t="n">
        <x:f>AI451</x:f>
        <x:v>3.1898898130997484</x:v>
      </x:c>
      <x:c r="H452" s="242" t="n">
        <x:f>AJ451</x:f>
        <x:v>-3.5810049277361093</x:v>
      </x:c>
      <x:c r="I452" s="242" t="n">
        <x:f>AK451</x:f>
        <x:v>-1.8214987693123208</x:v>
      </x:c>
      <x:c r="J452" s="242" t="n">
        <x:f>AL451</x:f>
        <x:v>3.4711270827164546</x:v>
      </x:c>
      <x:c r="K452" s="242" t="n">
        <x:f>AM451</x:f>
        <x:v>-3.345410414579884</x:v>
      </x:c>
      <x:c r="L452" s="242" t="n">
        <x:f>AN451</x:f>
        <x:v>1.8257491590489558</x:v>
      </x:c>
      <x:c r="M452" s="242" t="n">
        <x:f>AO451</x:f>
        <x:v>4.098650077326527</x:v>
      </x:c>
      <x:c r="N452" s="242" t="n">
        <x:f>AP451</x:f>
        <x:v>-3.7625885059661</x:v>
      </x:c>
      <x:c r="O452" s="242" t="n">
        <x:f>AQ451</x:f>
        <x:v>1.7312644764161977</x:v>
      </x:c>
      <x:c r="P452" s="243" t="n">
        <x:f>D452*G452+E452*H452+I452</x:f>
        <x:v>-2.2126138839486815</x:v>
      </x:c>
      <x:c r="Q452" s="243" t="n">
        <x:f>1/(1+EXP(-P452))</x:f>
        <x:v>0.09862346315101292</x:v>
      </x:c>
      <x:c r="R452" s="243" t="n">
        <x:f>D452*J452+E452*K452+L452</x:f>
        <x:v>1.9514658271855265</x:v>
      </x:c>
      <x:c r="S452" s="243" t="n">
        <x:f>1/(1+EXP(-R452))</x:f>
        <x:v>0.8756063874008277</x:v>
      </x:c>
      <x:c r="T452" s="243" t="n">
        <x:f>Q452*M452+S452*N452+O452</x:f>
        <x:v>-1.1590589876985484</x:v>
      </x:c>
      <x:c r="U452" s="243" t="n">
        <x:f>1/(1+EXP(-T452))</x:f>
        <x:v>0.23883831404330452</x:v>
      </x:c>
      <x:c r="V452" s="243" t="n">
        <x:f>0.5*(F452-U452)^2</x:f>
        <x:v>0.028521870127524076</x:v>
      </x:c>
      <x:c r="W452" s="244" t="n">
        <x:f>(U452-F452)*U452*(1-U452)</x:f>
        <x:v>0.043419509505808265</x:v>
      </x:c>
      <x:c r="X452" s="244" t="n">
        <x:f>W452*M452*Q452*(1-Q452)</x:f>
        <x:v>0.01582021031523917</x:v>
      </x:c>
      <x:c r="Y452" s="244" t="n">
        <x:f>W452*N452*S452*(1-S452)</x:f>
        <x:v>-0.01779420703265119</x:v>
      </x:c>
      <x:c r="Z452" s="245" t="n">
        <x:f>X452*D452</x:f>
        <x:v>0.01582021031523917</x:v>
      </x:c>
      <x:c r="AA452" s="245" t="n">
        <x:f>X452*E452</x:f>
        <x:v>0.01582021031523917</x:v>
      </x:c>
      <x:c r="AB452" s="245" t="n">
        <x:f>X452</x:f>
        <x:v>0.01582021031523917</x:v>
      </x:c>
      <x:c r="AC452" s="245" t="n">
        <x:f>Y452*D452</x:f>
        <x:v>-0.01779420703265119</x:v>
      </x:c>
      <x:c r="AD452" s="245" t="n">
        <x:f>Y452*E452</x:f>
        <x:v>-0.01779420703265119</x:v>
      </x:c>
      <x:c r="AE452" s="245" t="n">
        <x:f>Y452</x:f>
        <x:v>-0.01779420703265119</x:v>
      </x:c>
      <x:c r="AF452" s="245" t="n">
        <x:f>W452*Q452</x:f>
        <x:v>0.004282182395781137</x:v>
      </x:c>
      <x:c r="AG452" s="245" t="n">
        <x:f>W452*S452</x:f>
        <x:v>0.038018399861096674</x:v>
      </x:c>
      <x:c r="AH452" s="245" t="n">
        <x:f>W452</x:f>
        <x:v>0.043419509505808265</x:v>
      </x:c>
      <x:c r="AI452" s="246" t="n">
        <x:f>G452-$B$4*Z452</x:f>
        <x:v>3.1740696027845092</x:v>
      </x:c>
      <x:c r="AJ452" s="246" t="n">
        <x:f>H452-$B$4*AA452</x:f>
        <x:v>-3.5968251380513485</x:v>
      </x:c>
      <x:c r="AK452" s="246" t="n">
        <x:f>I452-$B$4*AB452</x:f>
        <x:v>-1.83731897962756</x:v>
      </x:c>
      <x:c r="AL452" s="246" t="n">
        <x:f>J452-$B$4*AC452</x:f>
        <x:v>3.488921289749106</x:v>
      </x:c>
      <x:c r="AM452" s="246" t="n">
        <x:f>K452-$B$4*AD452</x:f>
        <x:v>-3.3276162075472326</x:v>
      </x:c>
      <x:c r="AN452" s="246" t="n">
        <x:f>L452-$B$4*AE452</x:f>
        <x:v>1.843543366081607</x:v>
      </x:c>
      <x:c r="AO452" s="246" t="n">
        <x:f>M452-$B$4*AF452</x:f>
        <x:v>4.094367894930746</x:v>
      </x:c>
      <x:c r="AP452" s="246" t="n">
        <x:f>N452-$B$4*AG452</x:f>
        <x:v>-3.800606905827197</x:v>
      </x:c>
      <x:c r="AQ452" s="246" t="n">
        <x:f>O452-$B$4*AH452</x:f>
        <x:v>1.6878449669103894</x:v>
      </x:c>
      <x:c r="AR452" s="182" t="n">
        <x:f>IF(U452&gt;=$B$5,1,0)</x:f>
        <x:v>0</x:v>
      </x:c>
      <x:c r="AS452" s="182" t="n">
        <x:f>IF(AR452=F452,1,0)</x:f>
        <x:v>1</x:v>
      </x:c>
      <x:c r="AT452" s="252" t="n">
        <x:f>ABS(F452-U452)</x:f>
        <x:v>0.23883831404330452</x:v>
      </x:c>
    </x:row>
    <x:row r="453">
      <x:c r="A453" s="114" t="n">
        <x:v>437</x:v>
      </x:c>
      <x:c r="B453" s="114" t="n">
        <x:v>110</x:v>
      </x:c>
      <x:c r="C453" s="114" t="n">
        <x:v>1</x:v>
      </x:c>
      <x:c r="D453" s="168" t="n">
        <x:f>$I$5</x:f>
        <x:v>0</x:v>
      </x:c>
      <x:c r="E453" s="168" t="n">
        <x:f>$J$5</x:f>
        <x:v>0</x:v>
      </x:c>
      <x:c r="F453" s="168" t="n">
        <x:f>$K$5</x:f>
        <x:v>0</x:v>
      </x:c>
      <x:c r="G453" s="242" t="n">
        <x:f>AI452</x:f>
        <x:v>3.1740696027845092</x:v>
      </x:c>
      <x:c r="H453" s="242" t="n">
        <x:f>AJ452</x:f>
        <x:v>-3.5968251380513485</x:v>
      </x:c>
      <x:c r="I453" s="242" t="n">
        <x:f>AK452</x:f>
        <x:v>-1.83731897962756</x:v>
      </x:c>
      <x:c r="J453" s="242" t="n">
        <x:f>AL452</x:f>
        <x:v>3.488921289749106</x:v>
      </x:c>
      <x:c r="K453" s="242" t="n">
        <x:f>AM452</x:f>
        <x:v>-3.3276162075472326</x:v>
      </x:c>
      <x:c r="L453" s="242" t="n">
        <x:f>AN452</x:f>
        <x:v>1.843543366081607</x:v>
      </x:c>
      <x:c r="M453" s="242" t="n">
        <x:f>AO452</x:f>
        <x:v>4.094367894930746</x:v>
      </x:c>
      <x:c r="N453" s="242" t="n">
        <x:f>AP452</x:f>
        <x:v>-3.800606905827197</x:v>
      </x:c>
      <x:c r="O453" s="242" t="n">
        <x:f>AQ452</x:f>
        <x:v>1.6878449669103894</x:v>
      </x:c>
      <x:c r="P453" s="243" t="n">
        <x:f>D453*G453+E453*H453+I453</x:f>
        <x:v>-1.83731897962756</x:v>
      </x:c>
      <x:c r="Q453" s="243" t="n">
        <x:f>1/(1+EXP(-P453))</x:f>
        <x:v>0.13736868077673395</x:v>
      </x:c>
      <x:c r="R453" s="243" t="n">
        <x:f>D453*J453+E453*K453+L453</x:f>
        <x:v>1.843543366081607</x:v>
      </x:c>
      <x:c r="S453" s="243" t="n">
        <x:f>1/(1+EXP(-R453))</x:f>
        <x:v>0.8633672363884118</x:v>
      </x:c>
      <x:c r="T453" s="243" t="n">
        <x:f>Q453*M453+S453*N453+O453</x:f>
        <x:v>-1.0310365976311011</x:v>
      </x:c>
      <x:c r="U453" s="243" t="n">
        <x:f>1/(1+EXP(-T453))</x:f>
        <x:v>0.26288318745453926</x:v>
      </x:c>
      <x:c r="V453" s="243" t="n">
        <x:f>0.5*(F453-U453)^2</x:f>
        <x:v>0.03455378512312921</x:v>
      </x:c>
      <x:c r="W453" s="244" t="n">
        <x:f>(U453-F453)*U453*(1-U453)</x:f>
        <x:v>0.050940351902683534</x:v>
      </x:c>
      <x:c r="X453" s="244" t="n">
        <x:f>W453*M453*Q453*(1-Q453)</x:f>
        <x:v>0.02471506479071529</x:v>
      </x:c>
      <x:c r="Y453" s="244" t="n">
        <x:f>W453*N453*S453*(1-S453)</x:f>
        <x:v>-0.022838380822858332</x:v>
      </x:c>
      <x:c r="Z453" s="245" t="n">
        <x:f>X453*D453</x:f>
        <x:v>0</x:v>
      </x:c>
      <x:c r="AA453" s="245" t="n">
        <x:f>X453*E453</x:f>
        <x:v>0</x:v>
      </x:c>
      <x:c r="AB453" s="245" t="n">
        <x:f>X453</x:f>
        <x:v>0.02471506479071529</x:v>
      </x:c>
      <x:c r="AC453" s="245" t="n">
        <x:f>Y453*D453</x:f>
        <x:v>0</x:v>
      </x:c>
      <x:c r="AD453" s="245" t="n">
        <x:f>Y453*E453</x:f>
        <x:v>0</x:v>
      </x:c>
      <x:c r="AE453" s="245" t="n">
        <x:f>Y453</x:f>
        <x:v>-0.022838380822858332</x:v>
      </x:c>
      <x:c r="AF453" s="245" t="n">
        <x:f>W453*Q453</x:f>
        <x:v>0.006997608939174226</x:v>
      </x:c>
      <x:c r="AG453" s="245" t="n">
        <x:f>W453*S453</x:f>
        <x:v>0.04398023084287306</x:v>
      </x:c>
      <x:c r="AH453" s="245" t="n">
        <x:f>W453</x:f>
        <x:v>0.050940351902683534</x:v>
      </x:c>
      <x:c r="AI453" s="246" t="n">
        <x:f>G453-$B$4*Z453</x:f>
        <x:v>3.1740696027845092</x:v>
      </x:c>
      <x:c r="AJ453" s="246" t="n">
        <x:f>H453-$B$4*AA453</x:f>
        <x:v>-3.5968251380513485</x:v>
      </x:c>
      <x:c r="AK453" s="246" t="n">
        <x:f>I453-$B$4*AB453</x:f>
        <x:v>-1.8620340444182752</x:v>
      </x:c>
      <x:c r="AL453" s="246" t="n">
        <x:f>J453-$B$4*AC453</x:f>
        <x:v>3.488921289749106</x:v>
      </x:c>
      <x:c r="AM453" s="246" t="n">
        <x:f>K453-$B$4*AD453</x:f>
        <x:v>-3.3276162075472326</x:v>
      </x:c>
      <x:c r="AN453" s="246" t="n">
        <x:f>L453-$B$4*AE453</x:f>
        <x:v>1.8663817469044652</x:v>
      </x:c>
      <x:c r="AO453" s="246" t="n">
        <x:f>M453-$B$4*AF453</x:f>
        <x:v>4.087370285991572</x:v>
      </x:c>
      <x:c r="AP453" s="246" t="n">
        <x:f>N453-$B$4*AG453</x:f>
        <x:v>-3.84458713667007</x:v>
      </x:c>
      <x:c r="AQ453" s="246" t="n">
        <x:f>O453-$B$4*AH453</x:f>
        <x:v>1.636904615007706</x:v>
      </x:c>
      <x:c r="AR453" s="182" t="n">
        <x:f>IF(U453&gt;=$B$5,1,0)</x:f>
        <x:v>0</x:v>
      </x:c>
      <x:c r="AS453" s="182" t="n">
        <x:f>IF(AR453=F453,1,0)</x:f>
        <x:v>1</x:v>
      </x:c>
      <x:c r="AT453" s="252" t="n">
        <x:f>ABS(F453-U453)</x:f>
        <x:v>0.26288318745453926</x:v>
      </x:c>
    </x:row>
    <x:row r="454">
      <x:c r="A454" s="114" t="n">
        <x:v>438</x:v>
      </x:c>
      <x:c r="B454" s="114" t="n">
        <x:v>110</x:v>
      </x:c>
      <x:c r="C454" s="114" t="n">
        <x:v>2</x:v>
      </x:c>
      <x:c r="D454" s="168" t="n">
        <x:f>$I$6</x:f>
        <x:v>0</x:v>
      </x:c>
      <x:c r="E454" s="168" t="n">
        <x:f>$J$6</x:f>
        <x:v>1</x:v>
      </x:c>
      <x:c r="F454" s="168" t="n">
        <x:f>$K$6</x:f>
        <x:v>1</x:v>
      </x:c>
      <x:c r="G454" s="242" t="n">
        <x:f>AI453</x:f>
        <x:v>3.1740696027845092</x:v>
      </x:c>
      <x:c r="H454" s="242" t="n">
        <x:f>AJ453</x:f>
        <x:v>-3.5968251380513485</x:v>
      </x:c>
      <x:c r="I454" s="242" t="n">
        <x:f>AK453</x:f>
        <x:v>-1.8620340444182752</x:v>
      </x:c>
      <x:c r="J454" s="242" t="n">
        <x:f>AL453</x:f>
        <x:v>3.488921289749106</x:v>
      </x:c>
      <x:c r="K454" s="242" t="n">
        <x:f>AM453</x:f>
        <x:v>-3.3276162075472326</x:v>
      </x:c>
      <x:c r="L454" s="242" t="n">
        <x:f>AN453</x:f>
        <x:v>1.8663817469044652</x:v>
      </x:c>
      <x:c r="M454" s="242" t="n">
        <x:f>AO453</x:f>
        <x:v>4.087370285991572</x:v>
      </x:c>
      <x:c r="N454" s="242" t="n">
        <x:f>AP453</x:f>
        <x:v>-3.84458713667007</x:v>
      </x:c>
      <x:c r="O454" s="242" t="n">
        <x:f>AQ453</x:f>
        <x:v>1.636904615007706</x:v>
      </x:c>
      <x:c r="P454" s="243" t="n">
        <x:f>D454*G454+E454*H454+I454</x:f>
        <x:v>-5.458859182469624</x:v>
      </x:c>
      <x:c r="Q454" s="243" t="n">
        <x:f>1/(1+EXP(-P454))</x:f>
        <x:v>0.004240353874979424</x:v>
      </x:c>
      <x:c r="R454" s="243" t="n">
        <x:f>D454*J454+E454*K454+L454</x:f>
        <x:v>-1.4612344606427674</x:v>
      </x:c>
      <x:c r="S454" s="243" t="n">
        <x:f>1/(1+EXP(-R454))</x:f>
        <x:v>0.18827859028398466</x:v>
      </x:c>
      <x:c r="T454" s="243" t="n">
        <x:f>Q454*M454+S454*N454+O454</x:f>
        <x:v>0.9303830651222043</x:v>
      </x:c>
      <x:c r="U454" s="243" t="n">
        <x:f>1/(1+EXP(-T454))</x:f>
        <x:v>0.7171529946388057</x:v>
      </x:c>
      <x:c r="V454" s="243" t="n">
        <x:f>0.5*(F454-U454)^2</x:f>
        <x:v>0.04000121422089775</x:v>
      </x:c>
      <x:c r="W454" s="244" t="n">
        <x:f>(U454-F454)*U454*(1-U454)</x:f>
        <x:v>-0.057373981135410396</x:v>
      </x:c>
      <x:c r="X454" s="244" t="n">
        <x:f>W454*M454*Q454*(1-Q454)</x:f>
        <x:v>-0.00099018329139034</x:v>
      </x:c>
      <x:c r="Y454" s="244" t="n">
        <x:f>W454*N454*S454*(1-S454)</x:f>
        <x:v>0.03371107747357456</x:v>
      </x:c>
      <x:c r="Z454" s="245" t="n">
        <x:f>X454*D454</x:f>
        <x:v>0</x:v>
      </x:c>
      <x:c r="AA454" s="245" t="n">
        <x:f>X454*E454</x:f>
        <x:v>-0.00099018329139034</x:v>
      </x:c>
      <x:c r="AB454" s="245" t="n">
        <x:f>X454</x:f>
        <x:v>-0.00099018329139034</x:v>
      </x:c>
      <x:c r="AC454" s="245" t="n">
        <x:f>Y454*D454</x:f>
        <x:v>0</x:v>
      </x:c>
      <x:c r="AD454" s="245" t="n">
        <x:f>Y454*E454</x:f>
        <x:v>0.03371107747357456</x:v>
      </x:c>
      <x:c r="AE454" s="245" t="n">
        <x:f>Y454</x:f>
        <x:v>0.03371107747357456</x:v>
      </x:c>
      <x:c r="AF454" s="245" t="n">
        <x:f>W454*Q454</x:f>
        <x:v>-0.00024328598323053381</x:v>
      </x:c>
      <x:c r="AG454" s="245" t="n">
        <x:f>W454*S454</x:f>
        <x:v>-0.010802292287155</x:v>
      </x:c>
      <x:c r="AH454" s="245" t="n">
        <x:f>W454</x:f>
        <x:v>-0.057373981135410396</x:v>
      </x:c>
      <x:c r="AI454" s="246" t="n">
        <x:f>G454-$B$4*Z454</x:f>
        <x:v>3.1740696027845092</x:v>
      </x:c>
      <x:c r="AJ454" s="246" t="n">
        <x:f>H454-$B$4*AA454</x:f>
        <x:v>-3.595834954759958</x:v>
      </x:c>
      <x:c r="AK454" s="246" t="n">
        <x:f>I454-$B$4*AB454</x:f>
        <x:v>-1.861043861126885</x:v>
      </x:c>
      <x:c r="AL454" s="246" t="n">
        <x:f>J454-$B$4*AC454</x:f>
        <x:v>3.488921289749106</x:v>
      </x:c>
      <x:c r="AM454" s="246" t="n">
        <x:f>K454-$B$4*AD454</x:f>
        <x:v>-3.361327285020807</x:v>
      </x:c>
      <x:c r="AN454" s="246" t="n">
        <x:f>L454-$B$4*AE454</x:f>
        <x:v>1.8326706694308907</x:v>
      </x:c>
      <x:c r="AO454" s="246" t="n">
        <x:f>M454-$B$4*AF454</x:f>
        <x:v>4.087613571974802</x:v>
      </x:c>
      <x:c r="AP454" s="246" t="n">
        <x:f>N454-$B$4*AG454</x:f>
        <x:v>-3.8337848443829152</x:v>
      </x:c>
      <x:c r="AQ454" s="246" t="n">
        <x:f>O454-$B$4*AH454</x:f>
        <x:v>1.6942785961431164</x:v>
      </x:c>
      <x:c r="AR454" s="182" t="n">
        <x:f>IF(U454&gt;=$B$5,1,0)</x:f>
        <x:v>1</x:v>
      </x:c>
      <x:c r="AS454" s="182" t="n">
        <x:f>IF(AR454=F454,1,0)</x:f>
        <x:v>1</x:v>
      </x:c>
      <x:c r="AT454" s="252" t="n">
        <x:f>ABS(F454-U454)</x:f>
        <x:v>0.28284700536119434</x:v>
      </x:c>
    </x:row>
    <x:row r="455">
      <x:c r="A455" s="114" t="n">
        <x:v>439</x:v>
      </x:c>
      <x:c r="B455" s="114" t="n">
        <x:v>110</x:v>
      </x:c>
      <x:c r="C455" s="114" t="n">
        <x:v>3</x:v>
      </x:c>
      <x:c r="D455" s="168" t="n">
        <x:f>$I$7</x:f>
        <x:v>1</x:v>
      </x:c>
      <x:c r="E455" s="168" t="n">
        <x:f>$J$7</x:f>
        <x:v>0</x:v>
      </x:c>
      <x:c r="F455" s="168" t="n">
        <x:f>$K$7</x:f>
        <x:v>1</x:v>
      </x:c>
      <x:c r="G455" s="242" t="n">
        <x:f>AI454</x:f>
        <x:v>3.1740696027845092</x:v>
      </x:c>
      <x:c r="H455" s="242" t="n">
        <x:f>AJ454</x:f>
        <x:v>-3.595834954759958</x:v>
      </x:c>
      <x:c r="I455" s="242" t="n">
        <x:f>AK454</x:f>
        <x:v>-1.861043861126885</x:v>
      </x:c>
      <x:c r="J455" s="242" t="n">
        <x:f>AL454</x:f>
        <x:v>3.488921289749106</x:v>
      </x:c>
      <x:c r="K455" s="242" t="n">
        <x:f>AM454</x:f>
        <x:v>-3.361327285020807</x:v>
      </x:c>
      <x:c r="L455" s="242" t="n">
        <x:f>AN454</x:f>
        <x:v>1.8326706694308907</x:v>
      </x:c>
      <x:c r="M455" s="242" t="n">
        <x:f>AO454</x:f>
        <x:v>4.087613571974802</x:v>
      </x:c>
      <x:c r="N455" s="242" t="n">
        <x:f>AP454</x:f>
        <x:v>-3.8337848443829152</x:v>
      </x:c>
      <x:c r="O455" s="242" t="n">
        <x:f>AQ454</x:f>
        <x:v>1.6942785961431164</x:v>
      </x:c>
      <x:c r="P455" s="243" t="n">
        <x:f>D455*G455+E455*H455+I455</x:f>
        <x:v>1.3130257416576243</x:v>
      </x:c>
      <x:c r="Q455" s="243" t="n">
        <x:f>1/(1+EXP(-P455))</x:f>
        <x:v>0.7880190314762069</x:v>
      </x:c>
      <x:c r="R455" s="243" t="n">
        <x:f>D455*J455+E455*K455+L455</x:f>
        <x:v>5.3215919591799965</x:v>
      </x:c>
      <x:c r="S455" s="243" t="n">
        <x:f>1/(1+EXP(-R455))</x:f>
        <x:v>0.9951387760795056</x:v>
      </x:c>
      <x:c r="T455" s="243" t="n">
        <x:f>Q455*M455+S455*N455+O455</x:f>
        <x:v>1.100247926388326</x:v>
      </x:c>
      <x:c r="U455" s="243" t="n">
        <x:f>1/(1+EXP(-T455))</x:f>
        <x:v>0.7503065566502909</x:v>
      </x:c>
      <x:c r="V455" s="243" t="n">
        <x:f>0.5*(F455-U455)^2</x:f>
        <x:v>0.031173407825917196</x:v>
      </x:c>
      <x:c r="W455" s="244" t="n">
        <x:f>(U455-F455)*U455*(1-U455)</x:f>
        <x:v>-0.046779224569838324</x:v>
      </x:c>
      <x:c r="X455" s="244" t="n">
        <x:f>W455*M455*Q455*(1-Q455)</x:f>
        <x:v>-0.03194158253547598</x:v>
      </x:c>
      <x:c r="Y455" s="244" t="n">
        <x:f>W455*N455*S455*(1-S455)</x:f>
        <x:v>0.0008675809952698309</x:v>
      </x:c>
      <x:c r="Z455" s="245" t="n">
        <x:f>X455*D455</x:f>
        <x:v>-0.03194158253547598</x:v>
      </x:c>
      <x:c r="AA455" s="245" t="n">
        <x:f>X455*E455</x:f>
        <x:v>0</x:v>
      </x:c>
      <x:c r="AB455" s="245" t="n">
        <x:f>X455</x:f>
        <x:v>-0.03194158253547598</x:v>
      </x:c>
      <x:c r="AC455" s="245" t="n">
        <x:f>Y455*D455</x:f>
        <x:v>0.0008675809952698309</x:v>
      </x:c>
      <x:c r="AD455" s="245" t="n">
        <x:f>Y455*E455</x:f>
        <x:v>0</x:v>
      </x:c>
      <x:c r="AE455" s="245" t="n">
        <x:f>Y455</x:f>
        <x:v>0.0008675809952698309</x:v>
      </x:c>
      <x:c r="AF455" s="245" t="n">
        <x:f>W455*Q455</x:f>
        <x:v>-0.03686291923873198</x:v>
      </x:c>
      <x:c r="AG455" s="245" t="n">
        <x:f>W455*S455</x:f>
        <x:v>-0.046551820284377245</x:v>
      </x:c>
      <x:c r="AH455" s="245" t="n">
        <x:f>W455</x:f>
        <x:v>-0.046779224569838324</x:v>
      </x:c>
      <x:c r="AI455" s="246" t="n">
        <x:f>G455-$B$4*Z455</x:f>
        <x:v>3.2060111853199853</x:v>
      </x:c>
      <x:c r="AJ455" s="246" t="n">
        <x:f>H455-$B$4*AA455</x:f>
        <x:v>-3.595834954759958</x:v>
      </x:c>
      <x:c r="AK455" s="246" t="n">
        <x:f>I455-$B$4*AB455</x:f>
        <x:v>-1.8291022785914088</x:v>
      </x:c>
      <x:c r="AL455" s="246" t="n">
        <x:f>J455-$B$4*AC455</x:f>
        <x:v>3.4880537087538364</x:v>
      </x:c>
      <x:c r="AM455" s="246" t="n">
        <x:f>K455-$B$4*AD455</x:f>
        <x:v>-3.361327285020807</x:v>
      </x:c>
      <x:c r="AN455" s="246" t="n">
        <x:f>L455-$B$4*AE455</x:f>
        <x:v>1.831803088435621</x:v>
      </x:c>
      <x:c r="AO455" s="246" t="n">
        <x:f>M455-$B$4*AF455</x:f>
        <x:v>4.124476491213534</x:v>
      </x:c>
      <x:c r="AP455" s="246" t="n">
        <x:f>N455-$B$4*AG455</x:f>
        <x:v>-3.787233024098538</x:v>
      </x:c>
      <x:c r="AQ455" s="246" t="n">
        <x:f>O455-$B$4*AH455</x:f>
        <x:v>1.7410578207129548</x:v>
      </x:c>
      <x:c r="AR455" s="182" t="n">
        <x:f>IF(U455&gt;=$B$5,1,0)</x:f>
        <x:v>1</x:v>
      </x:c>
      <x:c r="AS455" s="182" t="n">
        <x:f>IF(AR455=F455,1,0)</x:f>
        <x:v>1</x:v>
      </x:c>
      <x:c r="AT455" s="252" t="n">
        <x:f>ABS(F455-U455)</x:f>
        <x:v>0.2496934433497091</x:v>
      </x:c>
    </x:row>
    <x:row r="456">
      <x:c r="A456" s="114" t="n">
        <x:v>440</x:v>
      </x:c>
      <x:c r="B456" s="114" t="n">
        <x:v>110</x:v>
      </x:c>
      <x:c r="C456" s="114" t="n">
        <x:v>4</x:v>
      </x:c>
      <x:c r="D456" s="168" t="n">
        <x:f>$I$8</x:f>
        <x:v>1</x:v>
      </x:c>
      <x:c r="E456" s="168" t="n">
        <x:f>$J$8</x:f>
        <x:v>1</x:v>
      </x:c>
      <x:c r="F456" s="168" t="n">
        <x:f>$K$8</x:f>
        <x:v>0</x:v>
      </x:c>
      <x:c r="G456" s="242" t="n">
        <x:f>AI455</x:f>
        <x:v>3.2060111853199853</x:v>
      </x:c>
      <x:c r="H456" s="242" t="n">
        <x:f>AJ455</x:f>
        <x:v>-3.595834954759958</x:v>
      </x:c>
      <x:c r="I456" s="242" t="n">
        <x:f>AK455</x:f>
        <x:v>-1.8291022785914088</x:v>
      </x:c>
      <x:c r="J456" s="242" t="n">
        <x:f>AL455</x:f>
        <x:v>3.4880537087538364</x:v>
      </x:c>
      <x:c r="K456" s="242" t="n">
        <x:f>AM455</x:f>
        <x:v>-3.361327285020807</x:v>
      </x:c>
      <x:c r="L456" s="242" t="n">
        <x:f>AN455</x:f>
        <x:v>1.831803088435621</x:v>
      </x:c>
      <x:c r="M456" s="242" t="n">
        <x:f>AO455</x:f>
        <x:v>4.124476491213534</x:v>
      </x:c>
      <x:c r="N456" s="242" t="n">
        <x:f>AP455</x:f>
        <x:v>-3.787233024098538</x:v>
      </x:c>
      <x:c r="O456" s="242" t="n">
        <x:f>AQ455</x:f>
        <x:v>1.7410578207129548</x:v>
      </x:c>
      <x:c r="P456" s="243" t="n">
        <x:f>D456*G456+E456*H456+I456</x:f>
        <x:v>-2.2189260480313817</x:v>
      </x:c>
      <x:c r="Q456" s="243" t="n">
        <x:f>1/(1+EXP(-P456))</x:f>
        <x:v>0.09806375140401243</x:v>
      </x:c>
      <x:c r="R456" s="243" t="n">
        <x:f>D456*J456+E456*K456+L456</x:f>
        <x:v>1.9585295121686501</x:v>
      </x:c>
      <x:c r="S456" s="243" t="n">
        <x:f>1/(1+EXP(-R456))</x:f>
        <x:v>0.876373723790553</x:v>
      </x:c>
      <x:c r="T456" s="243" t="n">
        <x:f>Q456*M456+S456*N456+O456</x:f>
        <x:v>-1.1735120501727805</x:v>
      </x:c>
      <x:c r="U456" s="243" t="n">
        <x:f>1/(1+EXP(-T456))</x:f>
        <x:v>0.23622075149153804</x:v>
      </x:c>
      <x:c r="V456" s="243" t="n">
        <x:f>0.5*(F456-U456)^2</x:f>
        <x:v>0.027900121717613486</x:v>
      </x:c>
      <x:c r="W456" s="244" t="n">
        <x:f>(U456-F456)*U456*(1-U456)</x:f>
        <x:v>0.042619067997546896</x:v>
      </x:c>
      <x:c r="X456" s="244" t="n">
        <x:f>W456*M456*Q456*(1-Q456)</x:f>
        <x:v>0.015547376843965897</x:v>
      </x:c>
      <x:c r="Y456" s="244" t="n">
        <x:f>W456*N456*S456*(1-S456)</x:f>
        <x:v>-0.017487434926063403</x:v>
      </x:c>
      <x:c r="Z456" s="245" t="n">
        <x:f>X456*D456</x:f>
        <x:v>0.015547376843965897</x:v>
      </x:c>
      <x:c r="AA456" s="245" t="n">
        <x:f>X456*E456</x:f>
        <x:v>0.015547376843965897</x:v>
      </x:c>
      <x:c r="AB456" s="245" t="n">
        <x:f>X456</x:f>
        <x:v>0.015547376843965897</x:v>
      </x:c>
      <x:c r="AC456" s="245" t="n">
        <x:f>Y456*D456</x:f>
        <x:v>-0.017487434926063403</x:v>
      </x:c>
      <x:c r="AD456" s="245" t="n">
        <x:f>Y456*E456</x:f>
        <x:v>-0.017487434926063403</x:v>
      </x:c>
      <x:c r="AE456" s="245" t="n">
        <x:f>Y456</x:f>
        <x:v>-0.017487434926063403</x:v>
      </x:c>
      <x:c r="AF456" s="245" t="n">
        <x:f>W456*Q456</x:f>
        <x:v>0.00417938568918214</x:v>
      </x:c>
      <x:c r="AG456" s="245" t="n">
        <x:f>W456*S456</x:f>
        <x:v>0.037350231325492964</x:v>
      </x:c>
      <x:c r="AH456" s="245" t="n">
        <x:f>W456</x:f>
        <x:v>0.042619067997546896</x:v>
      </x:c>
      <x:c r="AI456" s="246" t="n">
        <x:f>G456-$B$4*Z456</x:f>
        <x:v>3.1904638084760193</x:v>
      </x:c>
      <x:c r="AJ456" s="246" t="n">
        <x:f>H456-$B$4*AA456</x:f>
        <x:v>-3.611382331603924</x:v>
      </x:c>
      <x:c r="AK456" s="246" t="n">
        <x:f>I456-$B$4*AB456</x:f>
        <x:v>-1.8446496554353746</x:v>
      </x:c>
      <x:c r="AL456" s="246" t="n">
        <x:f>J456-$B$4*AC456</x:f>
        <x:v>3.5055411436798996</x:v>
      </x:c>
      <x:c r="AM456" s="246" t="n">
        <x:f>K456-$B$4*AD456</x:f>
        <x:v>-3.343839850094744</x:v>
      </x:c>
      <x:c r="AN456" s="246" t="n">
        <x:f>L456-$B$4*AE456</x:f>
        <x:v>1.8492905233616843</x:v>
      </x:c>
      <x:c r="AO456" s="246" t="n">
        <x:f>M456-$B$4*AF456</x:f>
        <x:v>4.120297105524352</x:v>
      </x:c>
      <x:c r="AP456" s="246" t="n">
        <x:f>N456-$B$4*AG456</x:f>
        <x:v>-3.824583255424031</x:v>
      </x:c>
      <x:c r="AQ456" s="246" t="n">
        <x:f>O456-$B$4*AH456</x:f>
        <x:v>1.698438752715408</x:v>
      </x:c>
      <x:c r="AR456" s="182" t="n">
        <x:f>IF(U456&gt;=$B$5,1,0)</x:f>
        <x:v>0</x:v>
      </x:c>
      <x:c r="AS456" s="182" t="n">
        <x:f>IF(AR456=F456,1,0)</x:f>
        <x:v>1</x:v>
      </x:c>
      <x:c r="AT456" s="252" t="n">
        <x:f>ABS(F456-U456)</x:f>
        <x:v>0.23622075149153804</x:v>
      </x:c>
    </x:row>
    <x:row r="457">
      <x:c r="A457" s="114" t="n">
        <x:v>441</x:v>
      </x:c>
      <x:c r="B457" s="114" t="n">
        <x:v>111</x:v>
      </x:c>
      <x:c r="C457" s="114" t="n">
        <x:v>1</x:v>
      </x:c>
      <x:c r="D457" s="168" t="n">
        <x:f>$I$5</x:f>
        <x:v>0</x:v>
      </x:c>
      <x:c r="E457" s="168" t="n">
        <x:f>$J$5</x:f>
        <x:v>0</x:v>
      </x:c>
      <x:c r="F457" s="168" t="n">
        <x:f>$K$5</x:f>
        <x:v>0</x:v>
      </x:c>
      <x:c r="G457" s="242" t="n">
        <x:f>AI456</x:f>
        <x:v>3.1904638084760193</x:v>
      </x:c>
      <x:c r="H457" s="242" t="n">
        <x:f>AJ456</x:f>
        <x:v>-3.611382331603924</x:v>
      </x:c>
      <x:c r="I457" s="242" t="n">
        <x:f>AK456</x:f>
        <x:v>-1.8446496554353746</x:v>
      </x:c>
      <x:c r="J457" s="242" t="n">
        <x:f>AL456</x:f>
        <x:v>3.5055411436798996</x:v>
      </x:c>
      <x:c r="K457" s="242" t="n">
        <x:f>AM456</x:f>
        <x:v>-3.343839850094744</x:v>
      </x:c>
      <x:c r="L457" s="242" t="n">
        <x:f>AN456</x:f>
        <x:v>1.8492905233616843</x:v>
      </x:c>
      <x:c r="M457" s="242" t="n">
        <x:f>AO456</x:f>
        <x:v>4.120297105524352</x:v>
      </x:c>
      <x:c r="N457" s="242" t="n">
        <x:f>AP456</x:f>
        <x:v>-3.824583255424031</x:v>
      </x:c>
      <x:c r="O457" s="242" t="n">
        <x:f>AQ456</x:f>
        <x:v>1.698438752715408</x:v>
      </x:c>
      <x:c r="P457" s="243" t="n">
        <x:f>D457*G457+E457*H457+I457</x:f>
        <x:v>-1.8446496554353746</x:v>
      </x:c>
      <x:c r="Q457" s="243" t="n">
        <x:f>1/(1+EXP(-P457))</x:f>
        <x:v>0.13650231346887387</x:v>
      </x:c>
      <x:c r="R457" s="243" t="n">
        <x:f>D457*J457+E457*K457+L457</x:f>
        <x:v>1.8492905233616843</x:v>
      </x:c>
      <x:c r="S457" s="243" t="n">
        <x:f>1/(1+EXP(-R457))</x:f>
        <x:v>0.8640437807860895</x:v>
      </x:c>
      <x:c r="T457" s="243" t="n">
        <x:f>Q457*M457+S457*N457+O457</x:f>
        <x:v>-1.043738536149163</x:v>
      </x:c>
      <x:c r="U457" s="243" t="n">
        <x:f>1/(1+EXP(-T457))</x:f>
        <x:v>0.260429285239569</x:v>
      </x:c>
      <x:c r="V457" s="243" t="n">
        <x:f>0.5*(F457-U457)^2</x:f>
        <x:v>0.033911706305196396</x:v>
      </x:c>
      <x:c r="W457" s="244" t="n">
        <x:f>(U457-F457)*U457*(1-U457)</x:f>
        <x:v>0.050160209741759824</x:v>
      </x:c>
      <x:c r="X457" s="244" t="n">
        <x:f>W457*M457*Q457*(1-Q457)</x:f>
        <x:v>0.02436066094680675</x:v>
      </x:c>
      <x:c r="Y457" s="244" t="n">
        <x:f>W457*N457*S457*(1-S457)</x:f>
        <x:v>-0.022536075582165707</x:v>
      </x:c>
      <x:c r="Z457" s="245" t="n">
        <x:f>X457*D457</x:f>
        <x:v>0</x:v>
      </x:c>
      <x:c r="AA457" s="245" t="n">
        <x:f>X457*E457</x:f>
        <x:v>0</x:v>
      </x:c>
      <x:c r="AB457" s="245" t="n">
        <x:f>X457</x:f>
        <x:v>0.02436066094680675</x:v>
      </x:c>
      <x:c r="AC457" s="245" t="n">
        <x:f>Y457*D457</x:f>
        <x:v>0</x:v>
      </x:c>
      <x:c r="AD457" s="245" t="n">
        <x:f>Y457*E457</x:f>
        <x:v>0</x:v>
      </x:c>
      <x:c r="AE457" s="245" t="n">
        <x:f>Y457</x:f>
        <x:v>-0.022536075582165707</x:v>
      </x:c>
      <x:c r="AF457" s="245" t="n">
        <x:f>W457*Q457</x:f>
        <x:v>0.006846984673834161</x:v>
      </x:c>
      <x:c r="AG457" s="245" t="n">
        <x:f>W457*S457</x:f>
        <x:v>0.0433406172702934</x:v>
      </x:c>
      <x:c r="AH457" s="245" t="n">
        <x:f>W457</x:f>
        <x:v>0.050160209741759824</x:v>
      </x:c>
      <x:c r="AI457" s="246" t="n">
        <x:f>G457-$B$4*Z457</x:f>
        <x:v>3.1904638084760193</x:v>
      </x:c>
      <x:c r="AJ457" s="246" t="n">
        <x:f>H457-$B$4*AA457</x:f>
        <x:v>-3.611382331603924</x:v>
      </x:c>
      <x:c r="AK457" s="246" t="n">
        <x:f>I457-$B$4*AB457</x:f>
        <x:v>-1.8690103163821814</x:v>
      </x:c>
      <x:c r="AL457" s="246" t="n">
        <x:f>J457-$B$4*AC457</x:f>
        <x:v>3.5055411436798996</x:v>
      </x:c>
      <x:c r="AM457" s="246" t="n">
        <x:f>K457-$B$4*AD457</x:f>
        <x:v>-3.343839850094744</x:v>
      </x:c>
      <x:c r="AN457" s="246" t="n">
        <x:f>L457-$B$4*AE457</x:f>
        <x:v>1.87182659894385</x:v>
      </x:c>
      <x:c r="AO457" s="246" t="n">
        <x:f>M457-$B$4*AF457</x:f>
        <x:v>4.113450120850517</x:v>
      </x:c>
      <x:c r="AP457" s="246" t="n">
        <x:f>N457-$B$4*AG457</x:f>
        <x:v>-3.867923872694324</x:v>
      </x:c>
      <x:c r="AQ457" s="246" t="n">
        <x:f>O457-$B$4*AH457</x:f>
        <x:v>1.6482785429736482</x:v>
      </x:c>
      <x:c r="AR457" s="182" t="n">
        <x:f>IF(U457&gt;=$B$5,1,0)</x:f>
        <x:v>0</x:v>
      </x:c>
      <x:c r="AS457" s="182" t="n">
        <x:f>IF(AR457=F457,1,0)</x:f>
        <x:v>1</x:v>
      </x:c>
      <x:c r="AT457" s="252" t="n">
        <x:f>ABS(F457-U457)</x:f>
        <x:v>0.260429285239569</x:v>
      </x:c>
    </x:row>
    <x:row r="458">
      <x:c r="A458" s="114" t="n">
        <x:v>442</x:v>
      </x:c>
      <x:c r="B458" s="114" t="n">
        <x:v>111</x:v>
      </x:c>
      <x:c r="C458" s="114" t="n">
        <x:v>2</x:v>
      </x:c>
      <x:c r="D458" s="168" t="n">
        <x:f>$I$6</x:f>
        <x:v>0</x:v>
      </x:c>
      <x:c r="E458" s="168" t="n">
        <x:f>$J$6</x:f>
        <x:v>1</x:v>
      </x:c>
      <x:c r="F458" s="168" t="n">
        <x:f>$K$6</x:f>
        <x:v>1</x:v>
      </x:c>
      <x:c r="G458" s="242" t="n">
        <x:f>AI457</x:f>
        <x:v>3.1904638084760193</x:v>
      </x:c>
      <x:c r="H458" s="242" t="n">
        <x:f>AJ457</x:f>
        <x:v>-3.611382331603924</x:v>
      </x:c>
      <x:c r="I458" s="242" t="n">
        <x:f>AK457</x:f>
        <x:v>-1.8690103163821814</x:v>
      </x:c>
      <x:c r="J458" s="242" t="n">
        <x:f>AL457</x:f>
        <x:v>3.5055411436798996</x:v>
      </x:c>
      <x:c r="K458" s="242" t="n">
        <x:f>AM457</x:f>
        <x:v>-3.343839850094744</x:v>
      </x:c>
      <x:c r="L458" s="242" t="n">
        <x:f>AN457</x:f>
        <x:v>1.87182659894385</x:v>
      </x:c>
      <x:c r="M458" s="242" t="n">
        <x:f>AO457</x:f>
        <x:v>4.113450120850517</x:v>
      </x:c>
      <x:c r="N458" s="242" t="n">
        <x:f>AP457</x:f>
        <x:v>-3.867923872694324</x:v>
      </x:c>
      <x:c r="O458" s="242" t="n">
        <x:f>AQ457</x:f>
        <x:v>1.6482785429736482</x:v>
      </x:c>
      <x:c r="P458" s="243" t="n">
        <x:f>D458*G458+E458*H458+I458</x:f>
        <x:v>-5.480392647986106</x:v>
      </x:c>
      <x:c r="Q458" s="243" t="n">
        <x:f>1/(1+EXP(-P458))</x:f>
        <x:v>0.004150395366880416</x:v>
      </x:c>
      <x:c r="R458" s="243" t="n">
        <x:f>D458*J458+E458*K458+L458</x:f>
        <x:v>-1.4720132511508939</x:v>
      </x:c>
      <x:c r="S458" s="243" t="n">
        <x:f>1/(1+EXP(-R458))</x:f>
        <x:v>0.1866368025572498</x:v>
      </x:c>
      <x:c r="T458" s="243" t="n">
        <x:f>Q458*M458+S458*N458+O458</x:f>
        <x:v>0.9434540431625963</x:v>
      </x:c>
      <x:c r="U458" s="243" t="n">
        <x:f>1/(1+EXP(-T458))</x:f>
        <x:v>0.7197968297408281</x:v>
      </x:c>
      <x:c r="V458" s="243" t="n">
        <x:f>0.5*(F458-U458)^2</x:f>
        <x:v>0.039256908311645224</x:v>
      </x:c>
      <x:c r="W458" s="244" t="n">
        <x:f>(U458-F458)*U458*(1-U458)</x:f>
        <x:v>-0.05651399629629719</x:v>
      </x:c>
      <x:c r="X458" s="244" t="n">
        <x:f>W458*M458*Q458*(1-Q458)</x:f>
        <x:v>-0.000960827620773427</x:v>
      </x:c>
      <x:c r="Y458" s="244" t="n">
        <x:f>W458*N458*S458*(1-S458)</x:f>
        <x:v>0.03318300710586688</x:v>
      </x:c>
      <x:c r="Z458" s="245" t="n">
        <x:f>X458*D458</x:f>
        <x:v>0</x:v>
      </x:c>
      <x:c r="AA458" s="245" t="n">
        <x:f>X458*E458</x:f>
        <x:v>-0.000960827620773427</x:v>
      </x:c>
      <x:c r="AB458" s="245" t="n">
        <x:f>X458</x:f>
        <x:v>-0.000960827620773427</x:v>
      </x:c>
      <x:c r="AC458" s="245" t="n">
        <x:f>Y458*D458</x:f>
        <x:v>0</x:v>
      </x:c>
      <x:c r="AD458" s="245" t="n">
        <x:f>Y458*E458</x:f>
        <x:v>0.03318300710586688</x:v>
      </x:c>
      <x:c r="AE458" s="245" t="n">
        <x:f>Y458</x:f>
        <x:v>0.03318300710586688</x:v>
      </x:c>
      <x:c r="AF458" s="245" t="n">
        <x:f>W458*Q458</x:f>
        <x:v>-0.00023455542839204886</x:v>
      </x:c>
      <x:c r="AG458" s="245" t="n">
        <x:f>W458*S458</x:f>
        <x:v>-0.010547591568473165</x:v>
      </x:c>
      <x:c r="AH458" s="245" t="n">
        <x:f>W458</x:f>
        <x:v>-0.05651399629629719</x:v>
      </x:c>
      <x:c r="AI458" s="246" t="n">
        <x:f>G458-$B$4*Z458</x:f>
        <x:v>3.1904638084760193</x:v>
      </x:c>
      <x:c r="AJ458" s="246" t="n">
        <x:f>H458-$B$4*AA458</x:f>
        <x:v>-3.610421503983151</x:v>
      </x:c>
      <x:c r="AK458" s="246" t="n">
        <x:f>I458-$B$4*AB458</x:f>
        <x:v>-1.868049488761408</x:v>
      </x:c>
      <x:c r="AL458" s="246" t="n">
        <x:f>J458-$B$4*AC458</x:f>
        <x:v>3.5055411436798996</x:v>
      </x:c>
      <x:c r="AM458" s="246" t="n">
        <x:f>K458-$B$4*AD458</x:f>
        <x:v>-3.3770228572006107</x:v>
      </x:c>
      <x:c r="AN458" s="246" t="n">
        <x:f>L458-$B$4*AE458</x:f>
        <x:v>1.838643591837983</x:v>
      </x:c>
      <x:c r="AO458" s="246" t="n">
        <x:f>M458-$B$4*AF458</x:f>
        <x:v>4.113684676278909</x:v>
      </x:c>
      <x:c r="AP458" s="246" t="n">
        <x:f>N458-$B$4*AG458</x:f>
        <x:v>-3.857376281125851</x:v>
      </x:c>
      <x:c r="AQ458" s="246" t="n">
        <x:f>O458-$B$4*AH458</x:f>
        <x:v>1.7047925392699455</x:v>
      </x:c>
      <x:c r="AR458" s="182" t="n">
        <x:f>IF(U458&gt;=$B$5,1,0)</x:f>
        <x:v>1</x:v>
      </x:c>
      <x:c r="AS458" s="182" t="n">
        <x:f>IF(AR458=F458,1,0)</x:f>
        <x:v>1</x:v>
      </x:c>
      <x:c r="AT458" s="252" t="n">
        <x:f>ABS(F458-U458)</x:f>
        <x:v>0.28020317025917185</x:v>
      </x:c>
    </x:row>
    <x:row r="459">
      <x:c r="A459" s="114" t="n">
        <x:v>443</x:v>
      </x:c>
      <x:c r="B459" s="114" t="n">
        <x:v>111</x:v>
      </x:c>
      <x:c r="C459" s="114" t="n">
        <x:v>3</x:v>
      </x:c>
      <x:c r="D459" s="168" t="n">
        <x:f>$I$7</x:f>
        <x:v>1</x:v>
      </x:c>
      <x:c r="E459" s="168" t="n">
        <x:f>$J$7</x:f>
        <x:v>0</x:v>
      </x:c>
      <x:c r="F459" s="168" t="n">
        <x:f>$K$7</x:f>
        <x:v>1</x:v>
      </x:c>
      <x:c r="G459" s="242" t="n">
        <x:f>AI458</x:f>
        <x:v>3.1904638084760193</x:v>
      </x:c>
      <x:c r="H459" s="242" t="n">
        <x:f>AJ458</x:f>
        <x:v>-3.610421503983151</x:v>
      </x:c>
      <x:c r="I459" s="242" t="n">
        <x:f>AK458</x:f>
        <x:v>-1.868049488761408</x:v>
      </x:c>
      <x:c r="J459" s="242" t="n">
        <x:f>AL458</x:f>
        <x:v>3.5055411436798996</x:v>
      </x:c>
      <x:c r="K459" s="242" t="n">
        <x:f>AM458</x:f>
        <x:v>-3.3770228572006107</x:v>
      </x:c>
      <x:c r="L459" s="242" t="n">
        <x:f>AN458</x:f>
        <x:v>1.838643591837983</x:v>
      </x:c>
      <x:c r="M459" s="242" t="n">
        <x:f>AO458</x:f>
        <x:v>4.113684676278909</x:v>
      </x:c>
      <x:c r="N459" s="242" t="n">
        <x:f>AP458</x:f>
        <x:v>-3.857376281125851</x:v>
      </x:c>
      <x:c r="O459" s="242" t="n">
        <x:f>AQ458</x:f>
        <x:v>1.7047925392699455</x:v>
      </x:c>
      <x:c r="P459" s="243" t="n">
        <x:f>D459*G459+E459*H459+I459</x:f>
        <x:v>1.3224143197146112</x:v>
      </x:c>
      <x:c r="Q459" s="243" t="n">
        <x:f>1/(1+EXP(-P459))</x:f>
        <x:v>0.789583105964198</x:v>
      </x:c>
      <x:c r="R459" s="243" t="n">
        <x:f>D459*J459+E459*K459+L459</x:f>
        <x:v>5.344184735517882</x:v>
      </x:c>
      <x:c r="S459" s="243" t="n">
        <x:f>1/(1+EXP(-R459))</x:f>
        <x:v>0.9952468570713535</x:v>
      </x:c>
      <x:c r="T459" s="243" t="n">
        <x:f>Q459*M459+S459*N459+O459</x:f>
        <x:v>1.1138468425914838</x:v>
      </x:c>
      <x:c r="U459" s="243" t="n">
        <x:f>1/(1+EXP(-T459))</x:f>
        <x:v>0.752845586016052</x:v>
      </x:c>
      <x:c r="V459" s="243" t="n">
        <x:f>0.5*(F459-U459)^2</x:f>
        <x:v>0.030542652175874374</x:v>
      </x:c>
      <x:c r="W459" s="244" t="n">
        <x:f>(U459-F459)*U459*(1-U459)</x:f>
        <x:v>-0.04598780175166118</x:v>
      </x:c>
      <x:c r="X459" s="244" t="n">
        <x:f>W459*M459*Q459*(1-Q459)</x:f>
        <x:v>-0.03143055882139481</x:v>
      </x:c>
      <x:c r="Y459" s="244" t="n">
        <x:f>W459*N459*S459*(1-S459)</x:f>
        <x:v>0.0008391630346995954</x:v>
      </x:c>
      <x:c r="Z459" s="245" t="n">
        <x:f>X459*D459</x:f>
        <x:v>-0.03143055882139481</x:v>
      </x:c>
      <x:c r="AA459" s="245" t="n">
        <x:f>X459*E459</x:f>
        <x:v>0</x:v>
      </x:c>
      <x:c r="AB459" s="245" t="n">
        <x:f>X459</x:f>
        <x:v>-0.03143055882139481</x:v>
      </x:c>
      <x:c r="AC459" s="245" t="n">
        <x:f>Y459*D459</x:f>
        <x:v>0.0008391630346995954</x:v>
      </x:c>
      <x:c r="AD459" s="245" t="n">
        <x:f>Y459*E459</x:f>
        <x:v>0</x:v>
      </x:c>
      <x:c r="AE459" s="245" t="n">
        <x:f>Y459</x:f>
        <x:v>0.0008391630346995954</x:v>
      </x:c>
      <x:c r="AF459" s="245" t="n">
        <x:f>W459*Q459</x:f>
        <x:v>-0.036311191343542416</x:v>
      </x:c>
      <x:c r="AG459" s="245" t="n">
        <x:f>W459*S459</x:f>
        <x:v>-0.04576921515696127</x:v>
      </x:c>
      <x:c r="AH459" s="245" t="n">
        <x:f>W459</x:f>
        <x:v>-0.04598780175166118</x:v>
      </x:c>
      <x:c r="AI459" s="246" t="n">
        <x:f>G459-$B$4*Z459</x:f>
        <x:v>3.221894367297414</x:v>
      </x:c>
      <x:c r="AJ459" s="246" t="n">
        <x:f>H459-$B$4*AA459</x:f>
        <x:v>-3.610421503983151</x:v>
      </x:c>
      <x:c r="AK459" s="246" t="n">
        <x:f>I459-$B$4*AB459</x:f>
        <x:v>-1.8366189299400133</x:v>
      </x:c>
      <x:c r="AL459" s="246" t="n">
        <x:f>J459-$B$4*AC459</x:f>
        <x:v>3.5047019806452</x:v>
      </x:c>
      <x:c r="AM459" s="246" t="n">
        <x:f>K459-$B$4*AD459</x:f>
        <x:v>-3.3770228572006107</x:v>
      </x:c>
      <x:c r="AN459" s="246" t="n">
        <x:f>L459-$B$4*AE459</x:f>
        <x:v>1.8378044288032835</x:v>
      </x:c>
      <x:c r="AO459" s="246" t="n">
        <x:f>M459-$B$4*AF459</x:f>
        <x:v>4.149995867622452</x:v>
      </x:c>
      <x:c r="AP459" s="246" t="n">
        <x:f>N459-$B$4*AG459</x:f>
        <x:v>-3.81160706596889</x:v>
      </x:c>
      <x:c r="AQ459" s="246" t="n">
        <x:f>O459-$B$4*AH459</x:f>
        <x:v>1.7507803410216067</x:v>
      </x:c>
      <x:c r="AR459" s="182" t="n">
        <x:f>IF(U459&gt;=$B$5,1,0)</x:f>
        <x:v>1</x:v>
      </x:c>
      <x:c r="AS459" s="182" t="n">
        <x:f>IF(AR459=F459,1,0)</x:f>
        <x:v>1</x:v>
      </x:c>
      <x:c r="AT459" s="252" t="n">
        <x:f>ABS(F459-U459)</x:f>
        <x:v>0.247154413983948</x:v>
      </x:c>
    </x:row>
    <x:row r="460">
      <x:c r="A460" s="114" t="n">
        <x:v>444</x:v>
      </x:c>
      <x:c r="B460" s="114" t="n">
        <x:v>111</x:v>
      </x:c>
      <x:c r="C460" s="114" t="n">
        <x:v>4</x:v>
      </x:c>
      <x:c r="D460" s="168" t="n">
        <x:f>$I$8</x:f>
        <x:v>1</x:v>
      </x:c>
      <x:c r="E460" s="168" t="n">
        <x:f>$J$8</x:f>
        <x:v>1</x:v>
      </x:c>
      <x:c r="F460" s="168" t="n">
        <x:f>$K$8</x:f>
        <x:v>0</x:v>
      </x:c>
      <x:c r="G460" s="242" t="n">
        <x:f>AI459</x:f>
        <x:v>3.221894367297414</x:v>
      </x:c>
      <x:c r="H460" s="242" t="n">
        <x:f>AJ459</x:f>
        <x:v>-3.610421503983151</x:v>
      </x:c>
      <x:c r="I460" s="242" t="n">
        <x:f>AK459</x:f>
        <x:v>-1.8366189299400133</x:v>
      </x:c>
      <x:c r="J460" s="242" t="n">
        <x:f>AL459</x:f>
        <x:v>3.5047019806452</x:v>
      </x:c>
      <x:c r="K460" s="242" t="n">
        <x:f>AM459</x:f>
        <x:v>-3.3770228572006107</x:v>
      </x:c>
      <x:c r="L460" s="242" t="n">
        <x:f>AN459</x:f>
        <x:v>1.8378044288032835</x:v>
      </x:c>
      <x:c r="M460" s="242" t="n">
        <x:f>AO459</x:f>
        <x:v>4.149995867622452</x:v>
      </x:c>
      <x:c r="N460" s="242" t="n">
        <x:f>AP459</x:f>
        <x:v>-3.81160706596889</x:v>
      </x:c>
      <x:c r="O460" s="242" t="n">
        <x:f>AQ459</x:f>
        <x:v>1.7507803410216067</x:v>
      </x:c>
      <x:c r="P460" s="243" t="n">
        <x:f>D460*G460+E460*H460+I460</x:f>
        <x:v>-2.22514606662575</x:v>
      </x:c>
      <x:c r="Q460" s="243" t="n">
        <x:f>1/(1+EXP(-P460))</x:f>
        <x:v>0.09751498157334261</x:v>
      </x:c>
      <x:c r="R460" s="243" t="n">
        <x:f>D460*J460+E460*K460+L460</x:f>
        <x:v>1.9654835522478729</x:v>
      </x:c>
      <x:c r="S460" s="243" t="n">
        <x:f>1/(1+EXP(-R460))</x:f>
        <x:v>0.8771251742902584</x:v>
      </x:c>
      <x:c r="T460" s="243" t="n">
        <x:f>Q460*M460+S460*N460+O460</x:f>
        <x:v>-1.1877894004816851</x:v>
      </x:c>
      <x:c r="U460" s="243" t="n">
        <x:f>1/(1+EXP(-T460))</x:f>
        <x:v>0.23365453284286483</x:v>
      </x:c>
      <x:c r="V460" s="243" t="n">
        <x:f>0.5*(F460-U460)^2</x:f>
        <x:v>0.027297220359008702</x:v>
      </x:c>
      <x:c r="W460" s="244" t="n">
        <x:f>(U460-F460)*U460*(1-U460)</x:f>
        <x:v>0.04183820217623157</x:v>
      </x:c>
      <x:c r="X460" s="244" t="n">
        <x:f>W460*M460*Q460*(1-Q460)</x:f>
        <x:v>0.015280304991083026</x:v>
      </x:c>
      <x:c r="Y460" s="244" t="n">
        <x:f>W460*N460*S460*(1-S460)</x:f>
        <x:v>-0.01718721969185282</x:v>
      </x:c>
      <x:c r="Z460" s="245" t="n">
        <x:f>X460*D460</x:f>
        <x:v>0.015280304991083026</x:v>
      </x:c>
      <x:c r="AA460" s="245" t="n">
        <x:f>X460*E460</x:f>
        <x:v>0.015280304991083026</x:v>
      </x:c>
      <x:c r="AB460" s="245" t="n">
        <x:f>X460</x:f>
        <x:v>0.015280304991083026</x:v>
      </x:c>
      <x:c r="AC460" s="245" t="n">
        <x:f>Y460*D460</x:f>
        <x:v>-0.01718721969185282</x:v>
      </x:c>
      <x:c r="AD460" s="245" t="n">
        <x:f>Y460*E460</x:f>
        <x:v>-0.01718721969185282</x:v>
      </x:c>
      <x:c r="AE460" s="245" t="n">
        <x:f>Y460</x:f>
        <x:v>-0.01718721969185282</x:v>
      </x:c>
      <x:c r="AF460" s="245" t="n">
        <x:f>W460*Q460</x:f>
        <x:v>0.0040798515142770045</x:v>
      </x:c>
      <x:c r="AG460" s="245" t="n">
        <x:f>W460*S460</x:f>
        <x:v>0.036697340375818184</x:v>
      </x:c>
      <x:c r="AH460" s="245" t="n">
        <x:f>W460</x:f>
        <x:v>0.04183820217623157</x:v>
      </x:c>
      <x:c r="AI460" s="246" t="n">
        <x:f>G460-$B$4*Z460</x:f>
        <x:v>3.206614062306331</x:v>
      </x:c>
      <x:c r="AJ460" s="246" t="n">
        <x:f>H460-$B$4*AA460</x:f>
        <x:v>-3.625701808974234</x:v>
      </x:c>
      <x:c r="AK460" s="246" t="n">
        <x:f>I460-$B$4*AB460</x:f>
        <x:v>-1.8518992349310963</x:v>
      </x:c>
      <x:c r="AL460" s="246" t="n">
        <x:f>J460-$B$4*AC460</x:f>
        <x:v>3.521889200337053</x:v>
      </x:c>
      <x:c r="AM460" s="246" t="n">
        <x:f>K460-$B$4*AD460</x:f>
        <x:v>-3.3598356375087577</x:v>
      </x:c>
      <x:c r="AN460" s="246" t="n">
        <x:f>L460-$B$4*AE460</x:f>
        <x:v>1.8549916484951363</x:v>
      </x:c>
      <x:c r="AO460" s="246" t="n">
        <x:f>M460-$B$4*AF460</x:f>
        <x:v>4.145916016108175</x:v>
      </x:c>
      <x:c r="AP460" s="246" t="n">
        <x:f>N460-$B$4*AG460</x:f>
        <x:v>-3.8483044063447083</x:v>
      </x:c>
      <x:c r="AQ460" s="246" t="n">
        <x:f>O460-$B$4*AH460</x:f>
        <x:v>1.7089421388453752</x:v>
      </x:c>
      <x:c r="AR460" s="182" t="n">
        <x:f>IF(U460&gt;=$B$5,1,0)</x:f>
        <x:v>0</x:v>
      </x:c>
      <x:c r="AS460" s="182" t="n">
        <x:f>IF(AR460=F460,1,0)</x:f>
        <x:v>1</x:v>
      </x:c>
      <x:c r="AT460" s="252" t="n">
        <x:f>ABS(F460-U460)</x:f>
        <x:v>0.23365453284286483</x:v>
      </x:c>
    </x:row>
    <x:row r="461">
      <x:c r="A461" s="114" t="n">
        <x:v>445</x:v>
      </x:c>
      <x:c r="B461" s="114" t="n">
        <x:v>112</x:v>
      </x:c>
      <x:c r="C461" s="114" t="n">
        <x:v>1</x:v>
      </x:c>
      <x:c r="D461" s="168" t="n">
        <x:f>$I$5</x:f>
        <x:v>0</x:v>
      </x:c>
      <x:c r="E461" s="168" t="n">
        <x:f>$J$5</x:f>
        <x:v>0</x:v>
      </x:c>
      <x:c r="F461" s="168" t="n">
        <x:f>$K$5</x:f>
        <x:v>0</x:v>
      </x:c>
      <x:c r="G461" s="242" t="n">
        <x:f>AI460</x:f>
        <x:v>3.206614062306331</x:v>
      </x:c>
      <x:c r="H461" s="242" t="n">
        <x:f>AJ460</x:f>
        <x:v>-3.625701808974234</x:v>
      </x:c>
      <x:c r="I461" s="242" t="n">
        <x:f>AK460</x:f>
        <x:v>-1.8518992349310963</x:v>
      </x:c>
      <x:c r="J461" s="242" t="n">
        <x:f>AL460</x:f>
        <x:v>3.521889200337053</x:v>
      </x:c>
      <x:c r="K461" s="242" t="n">
        <x:f>AM460</x:f>
        <x:v>-3.3598356375087577</x:v>
      </x:c>
      <x:c r="L461" s="242" t="n">
        <x:f>AN460</x:f>
        <x:v>1.8549916484951363</x:v>
      </x:c>
      <x:c r="M461" s="242" t="n">
        <x:f>AO460</x:f>
        <x:v>4.145916016108175</x:v>
      </x:c>
      <x:c r="N461" s="242" t="n">
        <x:f>AP460</x:f>
        <x:v>-3.8483044063447083</x:v>
      </x:c>
      <x:c r="O461" s="242" t="n">
        <x:f>AQ460</x:f>
        <x:v>1.7089421388453752</x:v>
      </x:c>
      <x:c r="P461" s="243" t="n">
        <x:f>D461*G461+E461*H461+I461</x:f>
        <x:v>-1.8518992349310963</x:v>
      </x:c>
      <x:c r="Q461" s="243" t="n">
        <x:f>1/(1+EXP(-P461))</x:f>
        <x:v>0.1356500592498107</x:v>
      </x:c>
      <x:c r="R461" s="243" t="n">
        <x:f>D461*J461+E461*K461+L461</x:f>
        <x:v>1.8549916484951363</x:v>
      </x:c>
      <x:c r="S461" s="243" t="n">
        <x:f>1/(1+EXP(-R461))</x:f>
        <x:v>0.8647121151633061</x:v>
      </x:c>
      <x:c r="T461" s="243" t="n">
        <x:f>Q461*M461+S461*N461+O461</x:f>
        <x:v>-1.056339550927416</x:v>
      </x:c>
      <x:c r="U461" s="243" t="n">
        <x:f>1/(1+EXP(-T461))</x:f>
        <x:v>0.258009592460911</x:v>
      </x:c>
      <x:c r="V461" s="243" t="n">
        <x:f>0.5*(F461-U461)^2</x:f>
        <x:v>0.033284474900922685</x:v>
      </x:c>
      <x:c r="W461" s="244" t="n">
        <x:f>(U461-F461)*U461*(1-U461)</x:f>
        <x:v>0.04939352219292041</x:v>
      </x:c>
      <x:c r="X461" s="244" t="n">
        <x:f>W461*M461*Q461*(1-Q461)</x:f>
        <x:v>0.024010438465296196</x:v>
      </x:c>
      <x:c r="Y461" s="244" t="n">
        <x:f>W461*N461*S461*(1-S461)</x:f>
        <x:v>-0.022236675831082162</x:v>
      </x:c>
      <x:c r="Z461" s="245" t="n">
        <x:f>X461*D461</x:f>
        <x:v>0</x:v>
      </x:c>
      <x:c r="AA461" s="245" t="n">
        <x:f>X461*E461</x:f>
        <x:v>0</x:v>
      </x:c>
      <x:c r="AB461" s="245" t="n">
        <x:f>X461</x:f>
        <x:v>0.024010438465296196</x:v>
      </x:c>
      <x:c r="AC461" s="245" t="n">
        <x:f>Y461*D461</x:f>
        <x:v>0</x:v>
      </x:c>
      <x:c r="AD461" s="245" t="n">
        <x:f>Y461*E461</x:f>
        <x:v>0</x:v>
      </x:c>
      <x:c r="AE461" s="245" t="n">
        <x:f>Y461</x:f>
        <x:v>-0.022236675831082162</x:v>
      </x:c>
      <x:c r="AF461" s="245" t="n">
        <x:f>W461*Q461</x:f>
        <x:v>0.006700234212026493</x:v>
      </x:c>
      <x:c r="AG461" s="245" t="n">
        <x:f>W461*S461</x:f>
        <x:v>0.04271117705080591</x:v>
      </x:c>
      <x:c r="AH461" s="245" t="n">
        <x:f>W461</x:f>
        <x:v>0.04939352219292041</x:v>
      </x:c>
      <x:c r="AI461" s="246" t="n">
        <x:f>G461-$B$4*Z461</x:f>
        <x:v>3.206614062306331</x:v>
      </x:c>
      <x:c r="AJ461" s="246" t="n">
        <x:f>H461-$B$4*AA461</x:f>
        <x:v>-3.625701808974234</x:v>
      </x:c>
      <x:c r="AK461" s="246" t="n">
        <x:f>I461-$B$4*AB461</x:f>
        <x:v>-1.8759096733963925</x:v>
      </x:c>
      <x:c r="AL461" s="246" t="n">
        <x:f>J461-$B$4*AC461</x:f>
        <x:v>3.521889200337053</x:v>
      </x:c>
      <x:c r="AM461" s="246" t="n">
        <x:f>K461-$B$4*AD461</x:f>
        <x:v>-3.3598356375087577</x:v>
      </x:c>
      <x:c r="AN461" s="246" t="n">
        <x:f>L461-$B$4*AE461</x:f>
        <x:v>1.8772283243262184</x:v>
      </x:c>
      <x:c r="AO461" s="246" t="n">
        <x:f>M461-$B$4*AF461</x:f>
        <x:v>4.139215781896149</x:v>
      </x:c>
      <x:c r="AP461" s="246" t="n">
        <x:f>N461-$B$4*AG461</x:f>
        <x:v>-3.891015583395514</x:v>
      </x:c>
      <x:c r="AQ461" s="246" t="n">
        <x:f>O461-$B$4*AH461</x:f>
        <x:v>1.6595486166524547</x:v>
      </x:c>
      <x:c r="AR461" s="182" t="n">
        <x:f>IF(U461&gt;=$B$5,1,0)</x:f>
        <x:v>0</x:v>
      </x:c>
      <x:c r="AS461" s="182" t="n">
        <x:f>IF(AR461=F461,1,0)</x:f>
        <x:v>1</x:v>
      </x:c>
      <x:c r="AT461" s="252" t="n">
        <x:f>ABS(F461-U461)</x:f>
        <x:v>0.258009592460911</x:v>
      </x:c>
    </x:row>
    <x:row r="462">
      <x:c r="A462" s="114" t="n">
        <x:v>446</x:v>
      </x:c>
      <x:c r="B462" s="114" t="n">
        <x:v>112</x:v>
      </x:c>
      <x:c r="C462" s="114" t="n">
        <x:v>2</x:v>
      </x:c>
      <x:c r="D462" s="168" t="n">
        <x:f>$I$6</x:f>
        <x:v>0</x:v>
      </x:c>
      <x:c r="E462" s="168" t="n">
        <x:f>$J$6</x:f>
        <x:v>1</x:v>
      </x:c>
      <x:c r="F462" s="168" t="n">
        <x:f>$K$6</x:f>
        <x:v>1</x:v>
      </x:c>
      <x:c r="G462" s="242" t="n">
        <x:f>AI461</x:f>
        <x:v>3.206614062306331</x:v>
      </x:c>
      <x:c r="H462" s="242" t="n">
        <x:f>AJ461</x:f>
        <x:v>-3.625701808974234</x:v>
      </x:c>
      <x:c r="I462" s="242" t="n">
        <x:f>AK461</x:f>
        <x:v>-1.8759096733963925</x:v>
      </x:c>
      <x:c r="J462" s="242" t="n">
        <x:f>AL461</x:f>
        <x:v>3.521889200337053</x:v>
      </x:c>
      <x:c r="K462" s="242" t="n">
        <x:f>AM461</x:f>
        <x:v>-3.3598356375087577</x:v>
      </x:c>
      <x:c r="L462" s="242" t="n">
        <x:f>AN461</x:f>
        <x:v>1.8772283243262184</x:v>
      </x:c>
      <x:c r="M462" s="242" t="n">
        <x:f>AO461</x:f>
        <x:v>4.139215781896149</x:v>
      </x:c>
      <x:c r="N462" s="242" t="n">
        <x:f>AP461</x:f>
        <x:v>-3.891015583395514</x:v>
      </x:c>
      <x:c r="O462" s="242" t="n">
        <x:f>AQ461</x:f>
        <x:v>1.6595486166524547</x:v>
      </x:c>
      <x:c r="P462" s="243" t="n">
        <x:f>D462*G462+E462*H462+I462</x:f>
        <x:v>-5.501611482370627</x:v>
      </x:c>
      <x:c r="Q462" s="243" t="n">
        <x:f>1/(1+EXP(-P462))</x:f>
        <x:v>0.004063610674279941</x:v>
      </x:c>
      <x:c r="R462" s="243" t="n">
        <x:f>D462*J462+E462*K462+L462</x:f>
        <x:v>-1.4826073131825392</x:v>
      </x:c>
      <x:c r="S462" s="243" t="n">
        <x:f>1/(1+EXP(-R462))</x:f>
        <x:v>0.18503392300649196</x:v>
      </x:c>
      <x:c r="T462" s="243" t="n">
        <x:f>Q462*M462+S462*N462+O462</x:f>
        <x:v>0.9563989002118499</x:v>
      </x:c>
      <x:c r="U462" s="243" t="n">
        <x:f>1/(1+EXP(-T462))</x:f>
        <x:v>0.7224002259547456</x:v>
      </x:c>
      <x:c r="V462" s="243" t="n">
        <x:f>0.5*(F462-U462)^2</x:f>
        <x:v>0.038530817274988145</x:v>
      </x:c>
      <x:c r="W462" s="244" t="n">
        <x:f>(U462-F462)*U462*(1-U462)</x:f>
        <x:v>-0.055669342211344904</x:v>
      </x:c>
      <x:c r="X462" s="244" t="n">
        <x:f>W462*M462*Q462*(1-Q462)</x:f>
        <x:v>-0.000932562290696519</x:v>
      </x:c>
      <x:c r="Y462" s="244" t="n">
        <x:f>W462*N462*S462*(1-S462)</x:f>
        <x:v>0.032664043710764666</x:v>
      </x:c>
      <x:c r="Z462" s="245" t="n">
        <x:f>X462*D462</x:f>
        <x:v>0</x:v>
      </x:c>
      <x:c r="AA462" s="245" t="n">
        <x:f>X462*E462</x:f>
        <x:v>-0.000932562290696519</x:v>
      </x:c>
      <x:c r="AB462" s="245" t="n">
        <x:f>X462</x:f>
        <x:v>-0.000932562290696519</x:v>
      </x:c>
      <x:c r="AC462" s="245" t="n">
        <x:f>Y462*D462</x:f>
        <x:v>0</x:v>
      </x:c>
      <x:c r="AD462" s="245" t="n">
        <x:f>Y462*E462</x:f>
        <x:v>0.032664043710764666</x:v>
      </x:c>
      <x:c r="AE462" s="245" t="n">
        <x:f>Y462</x:f>
        <x:v>0.032664043710764666</x:v>
      </x:c>
      <x:c r="AF462" s="245" t="n">
        <x:f>W462*Q462</x:f>
        <x:v>-0.00022621853324016406</x:v>
      </x:c>
      <x:c r="AG462" s="245" t="n">
        <x:f>W462*S462</x:f>
        <x:v>-0.010300716780556047</x:v>
      </x:c>
      <x:c r="AH462" s="245" t="n">
        <x:f>W462</x:f>
        <x:v>-0.055669342211344904</x:v>
      </x:c>
      <x:c r="AI462" s="246" t="n">
        <x:f>G462-$B$4*Z462</x:f>
        <x:v>3.206614062306331</x:v>
      </x:c>
      <x:c r="AJ462" s="246" t="n">
        <x:f>H462-$B$4*AA462</x:f>
        <x:v>-3.6247692466835377</x:v>
      </x:c>
      <x:c r="AK462" s="246" t="n">
        <x:f>I462-$B$4*AB462</x:f>
        <x:v>-1.8749771111056959</x:v>
      </x:c>
      <x:c r="AL462" s="246" t="n">
        <x:f>J462-$B$4*AC462</x:f>
        <x:v>3.521889200337053</x:v>
      </x:c>
      <x:c r="AM462" s="246" t="n">
        <x:f>K462-$B$4*AD462</x:f>
        <x:v>-3.3924996812195225</x:v>
      </x:c>
      <x:c r="AN462" s="246" t="n">
        <x:f>L462-$B$4*AE462</x:f>
        <x:v>1.8445642806154539</x:v>
      </x:c>
      <x:c r="AO462" s="246" t="n">
        <x:f>M462-$B$4*AF462</x:f>
        <x:v>4.139442000429389</x:v>
      </x:c>
      <x:c r="AP462" s="246" t="n">
        <x:f>N462-$B$4*AG462</x:f>
        <x:v>-3.880714866614958</x:v>
      </x:c>
      <x:c r="AQ462" s="246" t="n">
        <x:f>O462-$B$4*AH462</x:f>
        <x:v>1.7152179588637997</x:v>
      </x:c>
      <x:c r="AR462" s="182" t="n">
        <x:f>IF(U462&gt;=$B$5,1,0)</x:f>
        <x:v>1</x:v>
      </x:c>
      <x:c r="AS462" s="182" t="n">
        <x:f>IF(AR462=F462,1,0)</x:f>
        <x:v>1</x:v>
      </x:c>
      <x:c r="AT462" s="252" t="n">
        <x:f>ABS(F462-U462)</x:f>
        <x:v>0.2775997740452544</x:v>
      </x:c>
    </x:row>
    <x:row r="463">
      <x:c r="A463" s="114" t="n">
        <x:v>447</x:v>
      </x:c>
      <x:c r="B463" s="114" t="n">
        <x:v>112</x:v>
      </x:c>
      <x:c r="C463" s="114" t="n">
        <x:v>3</x:v>
      </x:c>
      <x:c r="D463" s="168" t="n">
        <x:f>$I$7</x:f>
        <x:v>1</x:v>
      </x:c>
      <x:c r="E463" s="168" t="n">
        <x:f>$J$7</x:f>
        <x:v>0</x:v>
      </x:c>
      <x:c r="F463" s="168" t="n">
        <x:f>$K$7</x:f>
        <x:v>1</x:v>
      </x:c>
      <x:c r="G463" s="242" t="n">
        <x:f>AI462</x:f>
        <x:v>3.206614062306331</x:v>
      </x:c>
      <x:c r="H463" s="242" t="n">
        <x:f>AJ462</x:f>
        <x:v>-3.6247692466835377</x:v>
      </x:c>
      <x:c r="I463" s="242" t="n">
        <x:f>AK462</x:f>
        <x:v>-1.8749771111056959</x:v>
      </x:c>
      <x:c r="J463" s="242" t="n">
        <x:f>AL462</x:f>
        <x:v>3.521889200337053</x:v>
      </x:c>
      <x:c r="K463" s="242" t="n">
        <x:f>AM462</x:f>
        <x:v>-3.3924996812195225</x:v>
      </x:c>
      <x:c r="L463" s="242" t="n">
        <x:f>AN462</x:f>
        <x:v>1.8445642806154539</x:v>
      </x:c>
      <x:c r="M463" s="242" t="n">
        <x:f>AO462</x:f>
        <x:v>4.139442000429389</x:v>
      </x:c>
      <x:c r="N463" s="242" t="n">
        <x:f>AP462</x:f>
        <x:v>-3.880714866614958</x:v>
      </x:c>
      <x:c r="O463" s="242" t="n">
        <x:f>AQ462</x:f>
        <x:v>1.7152179588637997</x:v>
      </x:c>
      <x:c r="P463" s="243" t="n">
        <x:f>D463*G463+E463*H463+I463</x:f>
        <x:v>1.331636951200635</x:v>
      </x:c>
      <x:c r="Q463" s="243" t="n">
        <x:f>1/(1+EXP(-P463))</x:f>
        <x:v>0.79111127679812</x:v>
      </x:c>
      <x:c r="R463" s="243" t="n">
        <x:f>D463*J463+E463*K463+L463</x:f>
        <x:v>5.366453480952507</x:v>
      </x:c>
      <x:c r="S463" s="243" t="n">
        <x:f>1/(1+EXP(-R463))</x:f>
        <x:v>0.9953510471291869</x:v>
      </x:c>
      <x:c r="T463" s="243" t="n">
        <x:f>Q463*M463+S463*N463+O463</x:f>
        <x:v>1.1273035989602567</x:v>
      </x:c>
      <x:c r="U463" s="243" t="n">
        <x:f>1/(1+EXP(-T463))</x:f>
        <x:v>0.7553409446250089</x:v>
      </x:c>
      <x:c r="V463" s="243" t="n">
        <x:f>0.5*(F463-U463)^2</x:f>
        <x:v>0.029929026688491484</x:v>
      </x:c>
      <x:c r="W463" s="244" t="n">
        <x:f>(U463-F463)*U463*(1-U463)</x:f>
        <x:v>-0.04521323858118451</x:v>
      </x:c>
      <x:c r="X463" s="244" t="n">
        <x:f>W463*M463*Q463*(1-Q463)</x:f>
        <x:v>-0.030928580540939745</x:v>
      </x:c>
      <x:c r="Y463" s="244" t="n">
        <x:f>W463*N463*S463*(1-S463)</x:f>
        <x:v>0.0008119116475960826</x:v>
      </x:c>
      <x:c r="Z463" s="245" t="n">
        <x:f>X463*D463</x:f>
        <x:v>-0.030928580540939745</x:v>
      </x:c>
      <x:c r="AA463" s="245" t="n">
        <x:f>X463*E463</x:f>
        <x:v>0</x:v>
      </x:c>
      <x:c r="AB463" s="245" t="n">
        <x:f>X463</x:f>
        <x:v>-0.030928580540939745</x:v>
      </x:c>
      <x:c r="AC463" s="245" t="n">
        <x:f>Y463*D463</x:f>
        <x:v>0.0008119116475960826</x:v>
      </x:c>
      <x:c r="AD463" s="245" t="n">
        <x:f>Y463*E463</x:f>
        <x:v>0</x:v>
      </x:c>
      <x:c r="AE463" s="245" t="n">
        <x:f>Y463</x:f>
        <x:v>0.0008119116475960826</x:v>
      </x:c>
      <x:c r="AF463" s="245" t="n">
        <x:f>W463*Q463</x:f>
        <x:v>-0.0357687029021389</x:v>
      </x:c>
      <x:c r="AG463" s="245" t="n">
        <x:f>W463*S463</x:f>
        <x:v>-0.04500304436588376</x:v>
      </x:c>
      <x:c r="AH463" s="245" t="n">
        <x:f>W463</x:f>
        <x:v>-0.04521323858118451</x:v>
      </x:c>
      <x:c r="AI463" s="246" t="n">
        <x:f>G463-$B$4*Z463</x:f>
        <x:v>3.2375426428472704</x:v>
      </x:c>
      <x:c r="AJ463" s="246" t="n">
        <x:f>H463-$B$4*AA463</x:f>
        <x:v>-3.6247692466835377</x:v>
      </x:c>
      <x:c r="AK463" s="246" t="n">
        <x:f>I463-$B$4*AB463</x:f>
        <x:v>-1.844048530564756</x:v>
      </x:c>
      <x:c r="AL463" s="246" t="n">
        <x:f>J463-$B$4*AC463</x:f>
        <x:v>3.521077288689457</x:v>
      </x:c>
      <x:c r="AM463" s="246" t="n">
        <x:f>K463-$B$4*AD463</x:f>
        <x:v>-3.3924996812195225</x:v>
      </x:c>
      <x:c r="AN463" s="246" t="n">
        <x:f>L463-$B$4*AE463</x:f>
        <x:v>1.8437523689678579</x:v>
      </x:c>
      <x:c r="AO463" s="246" t="n">
        <x:f>M463-$B$4*AF463</x:f>
        <x:v>4.175210703331528</x:v>
      </x:c>
      <x:c r="AP463" s="246" t="n">
        <x:f>N463-$B$4*AG463</x:f>
        <x:v>-3.835711822249074</x:v>
      </x:c>
      <x:c r="AQ463" s="246" t="n">
        <x:f>O463-$B$4*AH463</x:f>
        <x:v>1.7604311974449842</x:v>
      </x:c>
      <x:c r="AR463" s="182" t="n">
        <x:f>IF(U463&gt;=$B$5,1,0)</x:f>
        <x:v>1</x:v>
      </x:c>
      <x:c r="AS463" s="182" t="n">
        <x:f>IF(AR463=F463,1,0)</x:f>
        <x:v>1</x:v>
      </x:c>
      <x:c r="AT463" s="252" t="n">
        <x:f>ABS(F463-U463)</x:f>
        <x:v>0.2446590553749911</x:v>
      </x:c>
    </x:row>
    <x:row r="464">
      <x:c r="A464" s="114" t="n">
        <x:v>448</x:v>
      </x:c>
      <x:c r="B464" s="114" t="n">
        <x:v>112</x:v>
      </x:c>
      <x:c r="C464" s="114" t="n">
        <x:v>4</x:v>
      </x:c>
      <x:c r="D464" s="168" t="n">
        <x:f>$I$8</x:f>
        <x:v>1</x:v>
      </x:c>
      <x:c r="E464" s="168" t="n">
        <x:f>$J$8</x:f>
        <x:v>1</x:v>
      </x:c>
      <x:c r="F464" s="168" t="n">
        <x:f>$K$8</x:f>
        <x:v>0</x:v>
      </x:c>
      <x:c r="G464" s="242" t="n">
        <x:f>AI463</x:f>
        <x:v>3.2375426428472704</x:v>
      </x:c>
      <x:c r="H464" s="242" t="n">
        <x:f>AJ463</x:f>
        <x:v>-3.6247692466835377</x:v>
      </x:c>
      <x:c r="I464" s="242" t="n">
        <x:f>AK463</x:f>
        <x:v>-1.844048530564756</x:v>
      </x:c>
      <x:c r="J464" s="242" t="n">
        <x:f>AL463</x:f>
        <x:v>3.521077288689457</x:v>
      </x:c>
      <x:c r="K464" s="242" t="n">
        <x:f>AM463</x:f>
        <x:v>-3.3924996812195225</x:v>
      </x:c>
      <x:c r="L464" s="242" t="n">
        <x:f>AN463</x:f>
        <x:v>1.8437523689678579</x:v>
      </x:c>
      <x:c r="M464" s="242" t="n">
        <x:f>AO463</x:f>
        <x:v>4.175210703331528</x:v>
      </x:c>
      <x:c r="N464" s="242" t="n">
        <x:f>AP463</x:f>
        <x:v>-3.835711822249074</x:v>
      </x:c>
      <x:c r="O464" s="242" t="n">
        <x:f>AQ463</x:f>
        <x:v>1.7604311974449842</x:v>
      </x:c>
      <x:c r="P464" s="243" t="n">
        <x:f>D464*G464+E464*H464+I464</x:f>
        <x:v>-2.2312751344010233</x:v>
      </x:c>
      <x:c r="Q464" s="243" t="n">
        <x:f>1/(1+EXP(-P464))</x:f>
        <x:v>0.09697691701281828</x:v>
      </x:c>
      <x:c r="R464" s="243" t="n">
        <x:f>D464*J464+E464*K464+L464</x:f>
        <x:v>1.9723299764377922</x:v>
      </x:c>
      <x:c r="S464" s="243" t="n">
        <x:f>1/(1+EXP(-R464))</x:f>
        <x:v>0.8778611554835359</x:v>
      </x:c>
      <x:c r="T464" s="243" t="n">
        <x:f>Q464*M464+S464*N464+O464</x:f>
        <x:v>-1.2018921530484346</x:v>
      </x:c>
      <x:c r="U464" s="243" t="n">
        <x:f>1/(1+EXP(-T464))</x:f>
        <x:v>0.2311387840311582</x:v>
      </x:c>
      <x:c r="V464" s="243" t="n">
        <x:f>0.5*(F464-U464)^2</x:f>
        <x:v>0.026712568741701196</x:v>
      </x:c>
      <x:c r="W464" s="244" t="n">
        <x:f>(U464-F464)*U464*(1-U464)</x:f>
        <x:v>0.041076516168791315</x:v>
      </x:c>
      <x:c r="X464" s="244" t="n">
        <x:f>W464*M464*Q464*(1-Q464)</x:f>
        <x:v>0.015018938017336947</x:v>
      </x:c>
      <x:c r="Y464" s="244" t="n">
        <x:f>W464*N464*S464*(1-S464)</x:f>
        <x:v>-0.01689348354360649</x:v>
      </x:c>
      <x:c r="Z464" s="245" t="n">
        <x:f>X464*D464</x:f>
        <x:v>0.015018938017336947</x:v>
      </x:c>
      <x:c r="AA464" s="245" t="n">
        <x:f>X464*E464</x:f>
        <x:v>0.015018938017336947</x:v>
      </x:c>
      <x:c r="AB464" s="245" t="n">
        <x:f>X464</x:f>
        <x:v>0.015018938017336947</x:v>
      </x:c>
      <x:c r="AC464" s="245" t="n">
        <x:f>Y464*D464</x:f>
        <x:v>-0.01689348354360649</x:v>
      </x:c>
      <x:c r="AD464" s="245" t="n">
        <x:f>Y464*E464</x:f>
        <x:v>-0.01689348354360649</x:v>
      </x:c>
      <x:c r="AE464" s="245" t="n">
        <x:f>Y464</x:f>
        <x:v>-0.01689348354360649</x:v>
      </x:c>
      <x:c r="AF464" s="245" t="n">
        <x:f>W464*Q464</x:f>
        <x:v>0.003983473899676564</x:v>
      </x:c>
      <x:c r="AG464" s="245" t="n">
        <x:f>W464*S464</x:f>
        <x:v>0.03605947794717329</x:v>
      </x:c>
      <x:c r="AH464" s="245" t="n">
        <x:f>W464</x:f>
        <x:v>0.041076516168791315</x:v>
      </x:c>
      <x:c r="AI464" s="246" t="n">
        <x:f>G464-$B$4*Z464</x:f>
        <x:v>3.2225237048299333</x:v>
      </x:c>
      <x:c r="AJ464" s="246" t="n">
        <x:f>H464-$B$4*AA464</x:f>
        <x:v>-3.639788184700875</x:v>
      </x:c>
      <x:c r="AK464" s="246" t="n">
        <x:f>I464-$B$4*AB464</x:f>
        <x:v>-1.859067468582093</x:v>
      </x:c>
      <x:c r="AL464" s="246" t="n">
        <x:f>J464-$B$4*AC464</x:f>
        <x:v>3.5379707722330633</x:v>
      </x:c>
      <x:c r="AM464" s="246" t="n">
        <x:f>K464-$B$4*AD464</x:f>
        <x:v>-3.375606197675916</x:v>
      </x:c>
      <x:c r="AN464" s="246" t="n">
        <x:f>L464-$B$4*AE464</x:f>
        <x:v>1.8606458525114644</x:v>
      </x:c>
      <x:c r="AO464" s="246" t="n">
        <x:f>M464-$B$4*AF464</x:f>
        <x:v>4.171227229431851</x:v>
      </x:c>
      <x:c r="AP464" s="246" t="n">
        <x:f>N464-$B$4*AG464</x:f>
        <x:v>-3.8717713001962473</x:v>
      </x:c>
      <x:c r="AQ464" s="246" t="n">
        <x:f>O464-$B$4*AH464</x:f>
        <x:v>1.7193546812761928</x:v>
      </x:c>
      <x:c r="AR464" s="182" t="n">
        <x:f>IF(U464&gt;=$B$5,1,0)</x:f>
        <x:v>0</x:v>
      </x:c>
      <x:c r="AS464" s="182" t="n">
        <x:f>IF(AR464=F464,1,0)</x:f>
        <x:v>1</x:v>
      </x:c>
      <x:c r="AT464" s="252" t="n">
        <x:f>ABS(F464-U464)</x:f>
        <x:v>0.2311387840311582</x:v>
      </x:c>
    </x:row>
    <x:row r="465">
      <x:c r="A465" s="114" t="n">
        <x:v>449</x:v>
      </x:c>
      <x:c r="B465" s="114" t="n">
        <x:v>113</x:v>
      </x:c>
      <x:c r="C465" s="114" t="n">
        <x:v>1</x:v>
      </x:c>
      <x:c r="D465" s="168" t="n">
        <x:f>$I$5</x:f>
        <x:v>0</x:v>
      </x:c>
      <x:c r="E465" s="168" t="n">
        <x:f>$J$5</x:f>
        <x:v>0</x:v>
      </x:c>
      <x:c r="F465" s="168" t="n">
        <x:f>$K$5</x:f>
        <x:v>0</x:v>
      </x:c>
      <x:c r="G465" s="242" t="n">
        <x:f>AI464</x:f>
        <x:v>3.2225237048299333</x:v>
      </x:c>
      <x:c r="H465" s="242" t="n">
        <x:f>AJ464</x:f>
        <x:v>-3.639788184700875</x:v>
      </x:c>
      <x:c r="I465" s="242" t="n">
        <x:f>AK464</x:f>
        <x:v>-1.859067468582093</x:v>
      </x:c>
      <x:c r="J465" s="242" t="n">
        <x:f>AL464</x:f>
        <x:v>3.5379707722330633</x:v>
      </x:c>
      <x:c r="K465" s="242" t="n">
        <x:f>AM464</x:f>
        <x:v>-3.375606197675916</x:v>
      </x:c>
      <x:c r="L465" s="242" t="n">
        <x:f>AN464</x:f>
        <x:v>1.8606458525114644</x:v>
      </x:c>
      <x:c r="M465" s="242" t="n">
        <x:f>AO464</x:f>
        <x:v>4.171227229431851</x:v>
      </x:c>
      <x:c r="N465" s="242" t="n">
        <x:f>AP464</x:f>
        <x:v>-3.8717713001962473</x:v>
      </x:c>
      <x:c r="O465" s="242" t="n">
        <x:f>AQ464</x:f>
        <x:v>1.7193546812761928</x:v>
      </x:c>
      <x:c r="P465" s="243" t="n">
        <x:f>D465*G465+E465*H465+I465</x:f>
        <x:v>-1.859067468582093</x:v>
      </x:c>
      <x:c r="Q465" s="243" t="n">
        <x:f>1/(1+EXP(-P465))</x:f>
        <x:v>0.13481178311084033</x:v>
      </x:c>
      <x:c r="R465" s="243" t="n">
        <x:f>D465*J465+E465*K465+L465</x:f>
        <x:v>1.8606458525114644</x:v>
      </x:c>
      <x:c r="S465" s="243" t="n">
        <x:f>1/(1+EXP(-R465))</x:f>
        <x:v>0.8653722096563259</x:v>
      </x:c>
      <x:c r="T465" s="243" t="n">
        <x:f>Q465*M465+S465*N465+O465</x:f>
        <x:v>-1.0688380234983814</x:v>
      </x:c>
      <x:c r="U465" s="243" t="n">
        <x:f>1/(1+EXP(-T465))</x:f>
        <x:v>0.25562412277085655</x:v>
      </x:c>
      <x:c r="V465" s="243" t="n">
        <x:f>0.5*(F465-U465)^2</x:f>
        <x:v>0.03267184607118497</x:v>
      </x:c>
      <x:c r="W465" s="244" t="n">
        <x:f>(U465-F465)*U465*(1-U465)</x:f>
        <x:v>0.04864026815986772</x:v>
      </x:c>
      <x:c r="X465" s="244" t="n">
        <x:f>W465*M465*Q465*(1-Q465)</x:f>
        <x:v>0.023664550442951567</x:v>
      </x:c>
      <x:c r="Y465" s="244" t="n">
        <x:f>W465*N465*S465*(1-S465)</x:f>
        <x:v>-0.021940338256701407</x:v>
      </x:c>
      <x:c r="Z465" s="245" t="n">
        <x:f>X465*D465</x:f>
        <x:v>0</x:v>
      </x:c>
      <x:c r="AA465" s="245" t="n">
        <x:f>X465*E465</x:f>
        <x:v>0</x:v>
      </x:c>
      <x:c r="AB465" s="245" t="n">
        <x:f>X465</x:f>
        <x:v>0.023664550442951567</x:v>
      </x:c>
      <x:c r="AC465" s="245" t="n">
        <x:f>Y465*D465</x:f>
        <x:v>0</x:v>
      </x:c>
      <x:c r="AD465" s="245" t="n">
        <x:f>Y465*E465</x:f>
        <x:v>0</x:v>
      </x:c>
      <x:c r="AE465" s="245" t="n">
        <x:f>Y465</x:f>
        <x:v>-0.021940338256701407</x:v>
      </x:c>
      <x:c r="AF465" s="245" t="n">
        <x:f>W465*Q465</x:f>
        <x:v>0.006557281281621199</x:v>
      </x:c>
      <x:c r="AG465" s="245" t="n">
        <x:f>W465*S465</x:f>
        <x:v>0.042091936335780955</x:v>
      </x:c>
      <x:c r="AH465" s="245" t="n">
        <x:f>W465</x:f>
        <x:v>0.04864026815986772</x:v>
      </x:c>
      <x:c r="AI465" s="246" t="n">
        <x:f>G465-$B$4*Z465</x:f>
        <x:v>3.2225237048299333</x:v>
      </x:c>
      <x:c r="AJ465" s="246" t="n">
        <x:f>H465-$B$4*AA465</x:f>
        <x:v>-3.639788184700875</x:v>
      </x:c>
      <x:c r="AK465" s="246" t="n">
        <x:f>I465-$B$4*AB465</x:f>
        <x:v>-1.8827320190250445</x:v>
      </x:c>
      <x:c r="AL465" s="246" t="n">
        <x:f>J465-$B$4*AC465</x:f>
        <x:v>3.5379707722330633</x:v>
      </x:c>
      <x:c r="AM465" s="246" t="n">
        <x:f>K465-$B$4*AD465</x:f>
        <x:v>-3.375606197675916</x:v>
      </x:c>
      <x:c r="AN465" s="246" t="n">
        <x:f>L465-$B$4*AE465</x:f>
        <x:v>1.8825861907681658</x:v>
      </x:c>
      <x:c r="AO465" s="246" t="n">
        <x:f>M465-$B$4*AF465</x:f>
        <x:v>4.16466994815023</x:v>
      </x:c>
      <x:c r="AP465" s="246" t="n">
        <x:f>N465-$B$4*AG465</x:f>
        <x:v>-3.9138632365320283</x:v>
      </x:c>
      <x:c r="AQ465" s="246" t="n">
        <x:f>O465-$B$4*AH465</x:f>
        <x:v>1.6707144131163252</x:v>
      </x:c>
      <x:c r="AR465" s="182" t="n">
        <x:f>IF(U465&gt;=$B$5,1,0)</x:f>
        <x:v>0</x:v>
      </x:c>
      <x:c r="AS465" s="182" t="n">
        <x:f>IF(AR465=F465,1,0)</x:f>
        <x:v>1</x:v>
      </x:c>
      <x:c r="AT465" s="252" t="n">
        <x:f>ABS(F465-U465)</x:f>
        <x:v>0.25562412277085655</x:v>
      </x:c>
    </x:row>
    <x:row r="466">
      <x:c r="A466" s="114" t="n">
        <x:v>450</x:v>
      </x:c>
      <x:c r="B466" s="114" t="n">
        <x:v>113</x:v>
      </x:c>
      <x:c r="C466" s="114" t="n">
        <x:v>2</x:v>
      </x:c>
      <x:c r="D466" s="168" t="n">
        <x:f>$I$6</x:f>
        <x:v>0</x:v>
      </x:c>
      <x:c r="E466" s="168" t="n">
        <x:f>$J$6</x:f>
        <x:v>1</x:v>
      </x:c>
      <x:c r="F466" s="168" t="n">
        <x:f>$K$6</x:f>
        <x:v>1</x:v>
      </x:c>
      <x:c r="G466" s="242" t="n">
        <x:f>AI465</x:f>
        <x:v>3.2225237048299333</x:v>
      </x:c>
      <x:c r="H466" s="242" t="n">
        <x:f>AJ465</x:f>
        <x:v>-3.639788184700875</x:v>
      </x:c>
      <x:c r="I466" s="242" t="n">
        <x:f>AK465</x:f>
        <x:v>-1.8827320190250445</x:v>
      </x:c>
      <x:c r="J466" s="242" t="n">
        <x:f>AL465</x:f>
        <x:v>3.5379707722330633</x:v>
      </x:c>
      <x:c r="K466" s="242" t="n">
        <x:f>AM465</x:f>
        <x:v>-3.375606197675916</x:v>
      </x:c>
      <x:c r="L466" s="242" t="n">
        <x:f>AN465</x:f>
        <x:v>1.8825861907681658</x:v>
      </x:c>
      <x:c r="M466" s="242" t="n">
        <x:f>AO465</x:f>
        <x:v>4.16466994815023</x:v>
      </x:c>
      <x:c r="N466" s="242" t="n">
        <x:f>AP465</x:f>
        <x:v>-3.9138632365320283</x:v>
      </x:c>
      <x:c r="O466" s="242" t="n">
        <x:f>AQ465</x:f>
        <x:v>1.6707144131163252</x:v>
      </x:c>
      <x:c r="P466" s="243" t="n">
        <x:f>D466*G466+E466*H466+I466</x:f>
        <x:v>-5.52252020372592</x:v>
      </x:c>
      <x:c r="Q466" s="243" t="n">
        <x:f>1/(1+EXP(-P466))</x:f>
        <x:v>0.0039798625042292875</x:v>
      </x:c>
      <x:c r="R466" s="243" t="n">
        <x:f>D466*J466+E466*K466+L466</x:f>
        <x:v>-1.4930200069077502</x:v>
      </x:c>
      <x:c r="S466" s="243" t="n">
        <x:f>1/(1+EXP(-R466))</x:f>
        <x:v>0.18346887353510946</x:v>
      </x:c>
      <x:c r="T466" s="243" t="n">
        <x:f>Q466*M466+S466*N466+O466</x:f>
        <x:v>0.9692171477084499</x:v>
      </x:c>
      <x:c r="U466" s="243" t="n">
        <x:f>1/(1+EXP(-T466))</x:f>
        <x:v>0.7249634312260081</x:v>
      </x:c>
      <x:c r="V466" s="243" t="n">
        <x:f>0.5*(F466-U466)^2</x:f>
        <x:v>0.037822557081485374</x:v>
      </x:c>
      <x:c r="W466" s="244" t="n">
        <x:f>(U466-F466)*U466*(1-U466)</x:f>
        <x:v>-0.05483994151907038</x:v>
      </x:c>
      <x:c r="X466" s="244" t="n">
        <x:f>W466*M466*Q466*(1-Q466)</x:f>
        <x:v>-0.0009053442747323773</x:v>
      </x:c>
      <x:c r="Y466" s="244" t="n">
        <x:f>W466*N466*S466*(1-S466)</x:f>
        <x:v>0.032154204401527046</x:v>
      </x:c>
      <x:c r="Z466" s="245" t="n">
        <x:f>X466*D466</x:f>
        <x:v>0</x:v>
      </x:c>
      <x:c r="AA466" s="245" t="n">
        <x:f>X466*E466</x:f>
        <x:v>-0.0009053442747323773</x:v>
      </x:c>
      <x:c r="AB466" s="245" t="n">
        <x:f>X466</x:f>
        <x:v>-0.0009053442747323773</x:v>
      </x:c>
      <x:c r="AC466" s="245" t="n">
        <x:f>Y466*D466</x:f>
        <x:v>0</x:v>
      </x:c>
      <x:c r="AD466" s="245" t="n">
        <x:f>Y466*E466</x:f>
        <x:v>0.032154204401527046</x:v>
      </x:c>
      <x:c r="AE466" s="245" t="n">
        <x:f>Y466</x:f>
        <x:v>0.032154204401527046</x:v>
      </x:c>
      <x:c r="AF466" s="245" t="n">
        <x:f>W466*Q466</x:f>
        <x:v>-0.00021825542698587511</x:v>
      </x:c>
      <x:c r="AG466" s="245" t="n">
        <x:f>W466*S466</x:f>
        <x:v>-0.010061422295235121</x:v>
      </x:c>
      <x:c r="AH466" s="245" t="n">
        <x:f>W466</x:f>
        <x:v>-0.05483994151907038</x:v>
      </x:c>
      <x:c r="AI466" s="246" t="n">
        <x:f>G466-$B$4*Z466</x:f>
        <x:v>3.2225237048299333</x:v>
      </x:c>
      <x:c r="AJ466" s="246" t="n">
        <x:f>H466-$B$4*AA466</x:f>
        <x:v>-3.6388828404261426</x:v>
      </x:c>
      <x:c r="AK466" s="246" t="n">
        <x:f>I466-$B$4*AB466</x:f>
        <x:v>-1.881826674750312</x:v>
      </x:c>
      <x:c r="AL466" s="246" t="n">
        <x:f>J466-$B$4*AC466</x:f>
        <x:v>3.5379707722330633</x:v>
      </x:c>
      <x:c r="AM466" s="246" t="n">
        <x:f>K466-$B$4*AD466</x:f>
        <x:v>-3.407760402077443</x:v>
      </x:c>
      <x:c r="AN466" s="246" t="n">
        <x:f>L466-$B$4*AE466</x:f>
        <x:v>1.8504319863666387</x:v>
      </x:c>
      <x:c r="AO466" s="246" t="n">
        <x:f>M466-$B$4*AF466</x:f>
        <x:v>4.164888203577216</x:v>
      </x:c>
      <x:c r="AP466" s="246" t="n">
        <x:f>N466-$B$4*AG466</x:f>
        <x:v>-3.903801814236793</x:v>
      </x:c>
      <x:c r="AQ466" s="246" t="n">
        <x:f>O466-$B$4*AH466</x:f>
        <x:v>1.7255543546353955</x:v>
      </x:c>
      <x:c r="AR466" s="182" t="n">
        <x:f>IF(U466&gt;=$B$5,1,0)</x:f>
        <x:v>1</x:v>
      </x:c>
      <x:c r="AS466" s="182" t="n">
        <x:f>IF(AR466=F466,1,0)</x:f>
        <x:v>1</x:v>
      </x:c>
      <x:c r="AT466" s="252" t="n">
        <x:f>ABS(F466-U466)</x:f>
        <x:v>0.27503656877399185</x:v>
      </x:c>
    </x:row>
    <x:row r="467">
      <x:c r="A467" s="114" t="n">
        <x:v>451</x:v>
      </x:c>
      <x:c r="B467" s="114" t="n">
        <x:v>113</x:v>
      </x:c>
      <x:c r="C467" s="114" t="n">
        <x:v>3</x:v>
      </x:c>
      <x:c r="D467" s="168" t="n">
        <x:f>$I$7</x:f>
        <x:v>1</x:v>
      </x:c>
      <x:c r="E467" s="168" t="n">
        <x:f>$J$7</x:f>
        <x:v>0</x:v>
      </x:c>
      <x:c r="F467" s="168" t="n">
        <x:f>$K$7</x:f>
        <x:v>1</x:v>
      </x:c>
      <x:c r="G467" s="242" t="n">
        <x:f>AI466</x:f>
        <x:v>3.2225237048299333</x:v>
      </x:c>
      <x:c r="H467" s="242" t="n">
        <x:f>AJ466</x:f>
        <x:v>-3.6388828404261426</x:v>
      </x:c>
      <x:c r="I467" s="242" t="n">
        <x:f>AK466</x:f>
        <x:v>-1.881826674750312</x:v>
      </x:c>
      <x:c r="J467" s="242" t="n">
        <x:f>AL466</x:f>
        <x:v>3.5379707722330633</x:v>
      </x:c>
      <x:c r="K467" s="242" t="n">
        <x:f>AM466</x:f>
        <x:v>-3.407760402077443</x:v>
      </x:c>
      <x:c r="L467" s="242" t="n">
        <x:f>AN466</x:f>
        <x:v>1.8504319863666387</x:v>
      </x:c>
      <x:c r="M467" s="242" t="n">
        <x:f>AO466</x:f>
        <x:v>4.164888203577216</x:v>
      </x:c>
      <x:c r="N467" s="242" t="n">
        <x:f>AP466</x:f>
        <x:v>-3.903801814236793</x:v>
      </x:c>
      <x:c r="O467" s="242" t="n">
        <x:f>AQ466</x:f>
        <x:v>1.7255543546353955</x:v>
      </x:c>
      <x:c r="P467" s="243" t="n">
        <x:f>D467*G467+E467*H467+I467</x:f>
        <x:v>1.3406970300796213</x:v>
      </x:c>
      <x:c r="Q467" s="243" t="n">
        <x:f>1/(1+EXP(-P467))</x:f>
        <x:v>0.7926045444127147</x:v>
      </x:c>
      <x:c r="R467" s="243" t="n">
        <x:f>D467*J467+E467*K467+L467</x:f>
        <x:v>5.388402758599702</x:v>
      </x:c>
      <x:c r="S467" s="243" t="n">
        <x:f>1/(1+EXP(-R467))</x:f>
        <x:v>0.9954515174945179</x:v>
      </x:c>
      <x:c r="T467" s="243" t="n">
        <x:f>Q467*M467+S467*N467+O467</x:f>
        <x:v>1.1406182317817364</x:v>
      </x:c>
      <x:c r="U467" s="243" t="n">
        <x:f>1/(1+EXP(-T467))</x:f>
        <x:v>0.757793129019736</x:v>
      </x:c>
      <x:c r="V467" s="243" t="n">
        <x:f>0.5*(F467-U467)^2</x:f>
        <x:v>0.029332084175025138</x:v>
      </x:c>
      <x:c r="W467" s="244" t="n">
        <x:f>(U467-F467)*U467*(1-U467)</x:f>
        <x:v>-0.04445530369532516</x:v>
      </x:c>
      <x:c r="X467" s="244" t="n">
        <x:f>W467*M467*Q467*(1-Q467)</x:f>
        <x:v>-0.03043565999149844</x:v>
      </x:c>
      <x:c r="Y467" s="244" t="n">
        <x:f>W467*N467*S467*(1-S467)</x:f>
        <x:v>0.0007857745971805049</x:v>
      </x:c>
      <x:c r="Z467" s="245" t="n">
        <x:f>X467*D467</x:f>
        <x:v>-0.03043565999149844</x:v>
      </x:c>
      <x:c r="AA467" s="245" t="n">
        <x:f>X467*E467</x:f>
        <x:v>0</x:v>
      </x:c>
      <x:c r="AB467" s="245" t="n">
        <x:f>X467</x:f>
        <x:v>-0.03043565999149844</x:v>
      </x:c>
      <x:c r="AC467" s="245" t="n">
        <x:f>Y467*D467</x:f>
        <x:v>0.0007857745971805049</x:v>
      </x:c>
      <x:c r="AD467" s="245" t="n">
        <x:f>Y467*E467</x:f>
        <x:v>0</x:v>
      </x:c>
      <x:c r="AE467" s="245" t="n">
        <x:f>Y467</x:f>
        <x:v>0.0007857745971805049</x:v>
      </x:c>
      <x:c r="AF467" s="245" t="n">
        <x:f>W467*Q467</x:f>
        <x:v>-0.03523547573216207</x:v>
      </x:c>
      <x:c r="AG467" s="245" t="n">
        <x:f>W467*S467</x:f>
        <x:v>-0.04425309952419108</x:v>
      </x:c>
      <x:c r="AH467" s="245" t="n">
        <x:f>W467</x:f>
        <x:v>-0.04445530369532516</x:v>
      </x:c>
      <x:c r="AI467" s="246" t="n">
        <x:f>G467-$B$4*Z467</x:f>
        <x:v>3.252959364821432</x:v>
      </x:c>
      <x:c r="AJ467" s="246" t="n">
        <x:f>H467-$B$4*AA467</x:f>
        <x:v>-3.6388828404261426</x:v>
      </x:c>
      <x:c r="AK467" s="246" t="n">
        <x:f>I467-$B$4*AB467</x:f>
        <x:v>-1.8513910147588137</x:v>
      </x:c>
      <x:c r="AL467" s="246" t="n">
        <x:f>J467-$B$4*AC467</x:f>
        <x:v>3.5371849976358827</x:v>
      </x:c>
      <x:c r="AM467" s="246" t="n">
        <x:f>K467-$B$4*AD467</x:f>
        <x:v>-3.407760402077443</x:v>
      </x:c>
      <x:c r="AN467" s="246" t="n">
        <x:f>L467-$B$4*AE467</x:f>
        <x:v>1.8496462117694583</x:v>
      </x:c>
      <x:c r="AO467" s="246" t="n">
        <x:f>M467-$B$4*AF467</x:f>
        <x:v>4.200123679309378</x:v>
      </x:c>
      <x:c r="AP467" s="246" t="n">
        <x:f>N467-$B$4*AG467</x:f>
        <x:v>-3.859548714712602</x:v>
      </x:c>
      <x:c r="AQ467" s="246" t="n">
        <x:f>O467-$B$4*AH467</x:f>
        <x:v>1.7700096583307208</x:v>
      </x:c>
      <x:c r="AR467" s="182" t="n">
        <x:f>IF(U467&gt;=$B$5,1,0)</x:f>
        <x:v>1</x:v>
      </x:c>
      <x:c r="AS467" s="182" t="n">
        <x:f>IF(AR467=F467,1,0)</x:f>
        <x:v>1</x:v>
      </x:c>
      <x:c r="AT467" s="252" t="n">
        <x:f>ABS(F467-U467)</x:f>
        <x:v>0.24220687098026406</x:v>
      </x:c>
    </x:row>
    <x:row r="468">
      <x:c r="A468" s="114" t="n">
        <x:v>452</x:v>
      </x:c>
      <x:c r="B468" s="114" t="n">
        <x:v>113</x:v>
      </x:c>
      <x:c r="C468" s="114" t="n">
        <x:v>4</x:v>
      </x:c>
      <x:c r="D468" s="168" t="n">
        <x:f>$I$8</x:f>
        <x:v>1</x:v>
      </x:c>
      <x:c r="E468" s="168" t="n">
        <x:f>$J$8</x:f>
        <x:v>1</x:v>
      </x:c>
      <x:c r="F468" s="168" t="n">
        <x:f>$K$8</x:f>
        <x:v>0</x:v>
      </x:c>
      <x:c r="G468" s="242" t="n">
        <x:f>AI467</x:f>
        <x:v>3.252959364821432</x:v>
      </x:c>
      <x:c r="H468" s="242" t="n">
        <x:f>AJ467</x:f>
        <x:v>-3.6388828404261426</x:v>
      </x:c>
      <x:c r="I468" s="242" t="n">
        <x:f>AK467</x:f>
        <x:v>-1.8513910147588137</x:v>
      </x:c>
      <x:c r="J468" s="242" t="n">
        <x:f>AL467</x:f>
        <x:v>3.5371849976358827</x:v>
      </x:c>
      <x:c r="K468" s="242" t="n">
        <x:f>AM467</x:f>
        <x:v>-3.407760402077443</x:v>
      </x:c>
      <x:c r="L468" s="242" t="n">
        <x:f>AN467</x:f>
        <x:v>1.8496462117694583</x:v>
      </x:c>
      <x:c r="M468" s="242" t="n">
        <x:f>AO467</x:f>
        <x:v>4.200123679309378</x:v>
      </x:c>
      <x:c r="N468" s="242" t="n">
        <x:f>AP467</x:f>
        <x:v>-3.859548714712602</x:v>
      </x:c>
      <x:c r="O468" s="242" t="n">
        <x:f>AQ467</x:f>
        <x:v>1.7700096583307208</x:v>
      </x:c>
      <x:c r="P468" s="243" t="n">
        <x:f>D468*G468+E468*H468+I468</x:f>
        <x:v>-2.2373144903635245</x:v>
      </x:c>
      <x:c r="Q468" s="243" t="n">
        <x:f>1/(1+EXP(-P468))</x:f>
        <x:v>0.09644932191946343</x:v>
      </x:c>
      <x:c r="R468" s="243" t="n">
        <x:f>D468*J468+E468*K468+L468</x:f>
        <x:v>1.979070807327898</x:v>
      </x:c>
      <x:c r="S468" s="243" t="n">
        <x:f>1/(1+EXP(-R468))</x:f>
        <x:v>0.8785820747743325</x:v>
      </x:c>
      <x:c r="T468" s="243" t="n">
        <x:f>Q468*M468+S468*N468+O468</x:f>
        <x:v>-1.2158215782868143</x:v>
      </x:c>
      <x:c r="U468" s="243" t="n">
        <x:f>1/(1+EXP(-T468))</x:f>
        <x:v>0.22867261097417294</x:v>
      </x:c>
      <x:c r="V468" s="243" t="n">
        <x:f>0.5*(F468-U468)^2</x:f>
        <x:v>0.026145581504872718</x:v>
      </x:c>
      <x:c r="W468" s="244" t="n">
        <x:f>(U468-F468)*U468*(1-U468)</x:f>
        <x:v>0.04033360623343086</x:v>
      </x:c>
      <x:c r="X468" s="244" t="n">
        <x:f>W468*M468*Q468*(1-Q468)</x:f>
        <x:v>0.014763211039591157</x:v>
      </x:c>
      <x:c r="Y468" s="244" t="n">
        <x:f>W468*N468*S468*(1-S468)</x:f>
        <x:v>-0.016606141215518858</x:v>
      </x:c>
      <x:c r="Z468" s="245" t="n">
        <x:f>X468*D468</x:f>
        <x:v>0.014763211039591157</x:v>
      </x:c>
      <x:c r="AA468" s="245" t="n">
        <x:f>X468*E468</x:f>
        <x:v>0.014763211039591157</x:v>
      </x:c>
      <x:c r="AB468" s="245" t="n">
        <x:f>X468</x:f>
        <x:v>0.014763211039591157</x:v>
      </x:c>
      <x:c r="AC468" s="245" t="n">
        <x:f>Y468*D468</x:f>
        <x:v>-0.016606141215518858</x:v>
      </x:c>
      <x:c r="AD468" s="245" t="n">
        <x:f>Y468*E468</x:f>
        <x:v>-0.016606141215518858</x:v>
      </x:c>
      <x:c r="AE468" s="245" t="n">
        <x:f>Y468</x:f>
        <x:v>-0.016606141215518858</x:v>
      </x:c>
      <x:c r="AF468" s="245" t="n">
        <x:f>W468*Q468</x:f>
        <x:v>0.0038901489717810497</x:v>
      </x:c>
      <x:c r="AG468" s="245" t="n">
        <x:f>W468*S468</x:f>
        <x:v>0.03543638344769863</x:v>
      </x:c>
      <x:c r="AH468" s="245" t="n">
        <x:f>W468</x:f>
        <x:v>0.04033360623343086</x:v>
      </x:c>
      <x:c r="AI468" s="246" t="n">
        <x:f>G468-$B$4*Z468</x:f>
        <x:v>3.238196153781841</x:v>
      </x:c>
      <x:c r="AJ468" s="246" t="n">
        <x:f>H468-$B$4*AA468</x:f>
        <x:v>-3.6536460514657336</x:v>
      </x:c>
      <x:c r="AK468" s="246" t="n">
        <x:f>I468-$B$4*AB468</x:f>
        <x:v>-1.866154225798405</x:v>
      </x:c>
      <x:c r="AL468" s="246" t="n">
        <x:f>J468-$B$4*AC468</x:f>
        <x:v>3.5537911388514014</x:v>
      </x:c>
      <x:c r="AM468" s="246" t="n">
        <x:f>K468-$B$4*AD468</x:f>
        <x:v>-3.3911542608619243</x:v>
      </x:c>
      <x:c r="AN468" s="246" t="n">
        <x:f>L468-$B$4*AE468</x:f>
        <x:v>1.8662523529849773</x:v>
      </x:c>
      <x:c r="AO468" s="246" t="n">
        <x:f>M468-$B$4*AF468</x:f>
        <x:v>4.196233530337597</x:v>
      </x:c>
      <x:c r="AP468" s="246" t="n">
        <x:f>N468-$B$4*AG468</x:f>
        <x:v>-3.894985098160301</x:v>
      </x:c>
      <x:c r="AQ468" s="246" t="n">
        <x:f>O468-$B$4*AH468</x:f>
        <x:v>1.7296760520972898</x:v>
      </x:c>
      <x:c r="AR468" s="182" t="n">
        <x:f>IF(U468&gt;=$B$5,1,0)</x:f>
        <x:v>0</x:v>
      </x:c>
      <x:c r="AS468" s="182" t="n">
        <x:f>IF(AR468=F468,1,0)</x:f>
        <x:v>1</x:v>
      </x:c>
      <x:c r="AT468" s="252" t="n">
        <x:f>ABS(F468-U468)</x:f>
        <x:v>0.22867261097417294</x:v>
      </x:c>
    </x:row>
    <x:row r="469">
      <x:c r="A469" s="114" t="n">
        <x:v>453</x:v>
      </x:c>
      <x:c r="B469" s="114" t="n">
        <x:v>114</x:v>
      </x:c>
      <x:c r="C469" s="114" t="n">
        <x:v>1</x:v>
      </x:c>
      <x:c r="D469" s="168" t="n">
        <x:f>$I$5</x:f>
        <x:v>0</x:v>
      </x:c>
      <x:c r="E469" s="168" t="n">
        <x:f>$J$5</x:f>
        <x:v>0</x:v>
      </x:c>
      <x:c r="F469" s="168" t="n">
        <x:f>$K$5</x:f>
        <x:v>0</x:v>
      </x:c>
      <x:c r="G469" s="242" t="n">
        <x:f>AI468</x:f>
        <x:v>3.238196153781841</x:v>
      </x:c>
      <x:c r="H469" s="242" t="n">
        <x:f>AJ468</x:f>
        <x:v>-3.6536460514657336</x:v>
      </x:c>
      <x:c r="I469" s="242" t="n">
        <x:f>AK468</x:f>
        <x:v>-1.866154225798405</x:v>
      </x:c>
      <x:c r="J469" s="242" t="n">
        <x:f>AL468</x:f>
        <x:v>3.5537911388514014</x:v>
      </x:c>
      <x:c r="K469" s="242" t="n">
        <x:f>AM468</x:f>
        <x:v>-3.3911542608619243</x:v>
      </x:c>
      <x:c r="L469" s="242" t="n">
        <x:f>AN468</x:f>
        <x:v>1.8662523529849773</x:v>
      </x:c>
      <x:c r="M469" s="242" t="n">
        <x:f>AO468</x:f>
        <x:v>4.196233530337597</x:v>
      </x:c>
      <x:c r="N469" s="242" t="n">
        <x:f>AP468</x:f>
        <x:v>-3.894985098160301</x:v>
      </x:c>
      <x:c r="O469" s="242" t="n">
        <x:f>AQ468</x:f>
        <x:v>1.7296760520972898</x:v>
      </x:c>
      <x:c r="P469" s="243" t="n">
        <x:f>D469*G469+E469*H469+I469</x:f>
        <x:v>-1.866154225798405</x:v>
      </x:c>
      <x:c r="Q469" s="243" t="n">
        <x:f>1/(1+EXP(-P469))</x:f>
        <x:v>0.13398733811085461</x:v>
      </x:c>
      <x:c r="R469" s="243" t="n">
        <x:f>D469*J469+E469*K469+L469</x:f>
        <x:v>1.8662523529849773</x:v>
      </x:c>
      <x:c r="S469" s="243" t="n">
        <x:f>1/(1+EXP(-R469))</x:f>
        <x:v>0.8660240476419387</x:v>
      </x:c>
      <x:c r="T469" s="243" t="n">
        <x:f>Q469*M469+S469*N469+O469</x:f>
        <x:v>-1.0812325472950792</x:v>
      </x:c>
      <x:c r="U469" s="243" t="n">
        <x:f>1/(1+EXP(-T469))</x:f>
        <x:v>0.2532728394018773</x:v>
      </x:c>
      <x:c r="V469" s="243" t="n">
        <x:f>0.5*(F469-U469)^2</x:f>
        <x:v>0.03207356558934456</x:v>
      </x:c>
      <x:c r="W469" s="244" t="n">
        <x:f>(U469-F469)*U469*(1-U469)</x:f>
        <x:v>0.04790040512557783</x:v>
      </x:c>
      <x:c r="X469" s="244" t="n">
        <x:f>W469*M469*Q469*(1-Q469)</x:f>
        <x:v>0.02332313023151512</x:v>
      </x:c>
      <x:c r="Y469" s="244" t="n">
        <x:f>W469*N469*S469*(1-S469)</x:f>
        <x:v>-0.02164720308249052</x:v>
      </x:c>
      <x:c r="Z469" s="245" t="n">
        <x:f>X469*D469</x:f>
        <x:v>0</x:v>
      </x:c>
      <x:c r="AA469" s="245" t="n">
        <x:f>X469*E469</x:f>
        <x:v>0</x:v>
      </x:c>
      <x:c r="AB469" s="245" t="n">
        <x:f>X469</x:f>
        <x:v>0.02332313023151512</x:v>
      </x:c>
      <x:c r="AC469" s="245" t="n">
        <x:f>Y469*D469</x:f>
        <x:v>0</x:v>
      </x:c>
      <x:c r="AD469" s="245" t="n">
        <x:f>Y469*E469</x:f>
        <x:v>0</x:v>
      </x:c>
      <x:c r="AE469" s="245" t="n">
        <x:f>Y469</x:f>
        <x:v>-0.02164720308249052</x:v>
      </x:c>
      <x:c r="AF469" s="245" t="n">
        <x:f>W469*Q469</x:f>
        <x:v>0.00641804777720771</x:v>
      </x:c>
      <x:c r="AG469" s="245" t="n">
        <x:f>W469*S469</x:f>
        <x:v>0.04148290273054158</x:v>
      </x:c>
      <x:c r="AH469" s="245" t="n">
        <x:f>W469</x:f>
        <x:v>0.04790040512557783</x:v>
      </x:c>
      <x:c r="AI469" s="246" t="n">
        <x:f>G469-$B$4*Z469</x:f>
        <x:v>3.238196153781841</x:v>
      </x:c>
      <x:c r="AJ469" s="246" t="n">
        <x:f>H469-$B$4*AA469</x:f>
        <x:v>-3.6536460514657336</x:v>
      </x:c>
      <x:c r="AK469" s="246" t="n">
        <x:f>I469-$B$4*AB469</x:f>
        <x:v>-1.88947735602992</x:v>
      </x:c>
      <x:c r="AL469" s="246" t="n">
        <x:f>J469-$B$4*AC469</x:f>
        <x:v>3.5537911388514014</x:v>
      </x:c>
      <x:c r="AM469" s="246" t="n">
        <x:f>K469-$B$4*AD469</x:f>
        <x:v>-3.3911542608619243</x:v>
      </x:c>
      <x:c r="AN469" s="246" t="n">
        <x:f>L469-$B$4*AE469</x:f>
        <x:v>1.8878995560674678</x:v>
      </x:c>
      <x:c r="AO469" s="246" t="n">
        <x:f>M469-$B$4*AF469</x:f>
        <x:v>4.189815482560389</x:v>
      </x:c>
      <x:c r="AP469" s="246" t="n">
        <x:f>N469-$B$4*AG469</x:f>
        <x:v>-3.9364680008908426</x:v>
      </x:c>
      <x:c r="AQ469" s="246" t="n">
        <x:f>O469-$B$4*AH469</x:f>
        <x:v>1.681775646971712</x:v>
      </x:c>
      <x:c r="AR469" s="182" t="n">
        <x:f>IF(U469&gt;=$B$5,1,0)</x:f>
        <x:v>0</x:v>
      </x:c>
      <x:c r="AS469" s="182" t="n">
        <x:f>IF(AR469=F469,1,0)</x:f>
        <x:v>1</x:v>
      </x:c>
      <x:c r="AT469" s="252" t="n">
        <x:f>ABS(F469-U469)</x:f>
        <x:v>0.2532728394018773</x:v>
      </x:c>
    </x:row>
    <x:row r="470">
      <x:c r="A470" s="114" t="n">
        <x:v>454</x:v>
      </x:c>
      <x:c r="B470" s="114" t="n">
        <x:v>114</x:v>
      </x:c>
      <x:c r="C470" s="114" t="n">
        <x:v>2</x:v>
      </x:c>
      <x:c r="D470" s="168" t="n">
        <x:f>$I$6</x:f>
        <x:v>0</x:v>
      </x:c>
      <x:c r="E470" s="168" t="n">
        <x:f>$J$6</x:f>
        <x:v>1</x:v>
      </x:c>
      <x:c r="F470" s="168" t="n">
        <x:f>$K$6</x:f>
        <x:v>1</x:v>
      </x:c>
      <x:c r="G470" s="242" t="n">
        <x:f>AI469</x:f>
        <x:v>3.238196153781841</x:v>
      </x:c>
      <x:c r="H470" s="242" t="n">
        <x:f>AJ469</x:f>
        <x:v>-3.6536460514657336</x:v>
      </x:c>
      <x:c r="I470" s="242" t="n">
        <x:f>AK469</x:f>
        <x:v>-1.88947735602992</x:v>
      </x:c>
      <x:c r="J470" s="242" t="n">
        <x:f>AL469</x:f>
        <x:v>3.5537911388514014</x:v>
      </x:c>
      <x:c r="K470" s="242" t="n">
        <x:f>AM469</x:f>
        <x:v>-3.3911542608619243</x:v>
      </x:c>
      <x:c r="L470" s="242" t="n">
        <x:f>AN469</x:f>
        <x:v>1.8878995560674678</x:v>
      </x:c>
      <x:c r="M470" s="242" t="n">
        <x:f>AO469</x:f>
        <x:v>4.189815482560389</x:v>
      </x:c>
      <x:c r="N470" s="242" t="n">
        <x:f>AP469</x:f>
        <x:v>-3.9364680008908426</x:v>
      </x:c>
      <x:c r="O470" s="242" t="n">
        <x:f>AQ469</x:f>
        <x:v>1.681775646971712</x:v>
      </x:c>
      <x:c r="P470" s="243" t="n">
        <x:f>D470*G470+E470*H470+I470</x:f>
        <x:v>-5.543123407495654</x:v>
      </x:c>
      <x:c r="Q470" s="243" t="n">
        <x:f>1/(1+EXP(-P470))</x:f>
        <x:v>0.0038990199649844796</x:v>
      </x:c>
      <x:c r="R470" s="243" t="n">
        <x:f>D470*J470+E470*K470+L470</x:f>
        <x:v>-1.5032547047944564</x:v>
      </x:c>
      <x:c r="S470" s="243" t="n">
        <x:f>1/(1+EXP(-R470))</x:f>
        <x:v>0.18194059778675004</x:v>
      </x:c>
      <x:c r="T470" s="243" t="n">
        <x:f>Q470*M470+S470*N470+O470</x:f>
        <x:v>0.9819084799373232</x:v>
      </x:c>
      <x:c r="U470" s="243" t="n">
        <x:f>1/(1+EXP(-T470))</x:f>
        <x:v>0.7274867362990295</x:v>
      </x:c>
      <x:c r="V470" s="243" t="n">
        <x:f>0.5*(F470-U470)^2</x:f>
        <x:v>0.037131739446477345</x:v>
      </x:c>
      <x:c r="W470" s="244" t="n">
        <x:f>(U470-F470)*U470*(1-U470)</x:f>
        <x:v>-0.05402569588604747</x:v>
      </x:c>
      <x:c r="X470" s="244" t="n">
        <x:f>W470*M470*Q470*(1-Q470)</x:f>
        <x:v>-0.0008791320096907983</x:v>
      </x:c>
      <x:c r="Y470" s="244" t="n">
        <x:f>W470*N470*S470*(1-S470)</x:f>
        <x:v>0.03165348650854383</x:v>
      </x:c>
      <x:c r="Z470" s="245" t="n">
        <x:f>X470*D470</x:f>
        <x:v>0</x:v>
      </x:c>
      <x:c r="AA470" s="245" t="n">
        <x:f>X470*E470</x:f>
        <x:v>-0.0008791320096907983</x:v>
      </x:c>
      <x:c r="AB470" s="245" t="n">
        <x:f>X470</x:f>
        <x:v>-0.0008791320096907983</x:v>
      </x:c>
      <x:c r="AC470" s="245" t="n">
        <x:f>Y470*D470</x:f>
        <x:v>0</x:v>
      </x:c>
      <x:c r="AD470" s="245" t="n">
        <x:f>Y470*E470</x:f>
        <x:v>0.03165348650854383</x:v>
      </x:c>
      <x:c r="AE470" s="245" t="n">
        <x:f>Y470</x:f>
        <x:v>0.03165348650854383</x:v>
      </x:c>
      <x:c r="AF470" s="245" t="n">
        <x:f>W470*Q470</x:f>
        <x:v>-0.00021064726688187896</x:v>
      </x:c>
      <x:c r="AG470" s="245" t="n">
        <x:f>W470*S470</x:f>
        <x:v>-0.009829467405352638</x:v>
      </x:c>
      <x:c r="AH470" s="245" t="n">
        <x:f>W470</x:f>
        <x:v>-0.05402569588604747</x:v>
      </x:c>
      <x:c r="AI470" s="246" t="n">
        <x:f>G470-$B$4*Z470</x:f>
        <x:v>3.238196153781841</x:v>
      </x:c>
      <x:c r="AJ470" s="246" t="n">
        <x:f>H470-$B$4*AA470</x:f>
        <x:v>-3.652766919456043</x:v>
      </x:c>
      <x:c r="AK470" s="246" t="n">
        <x:f>I470-$B$4*AB470</x:f>
        <x:v>-1.8885982240202293</x:v>
      </x:c>
      <x:c r="AL470" s="246" t="n">
        <x:f>J470-$B$4*AC470</x:f>
        <x:v>3.5537911388514014</x:v>
      </x:c>
      <x:c r="AM470" s="246" t="n">
        <x:f>K470-$B$4*AD470</x:f>
        <x:v>-3.4228077473704683</x:v>
      </x:c>
      <x:c r="AN470" s="246" t="n">
        <x:f>L470-$B$4*AE470</x:f>
        <x:v>1.856246069558924</x:v>
      </x:c>
      <x:c r="AO470" s="246" t="n">
        <x:f>M470-$B$4*AF470</x:f>
        <x:v>4.190026129827271</x:v>
      </x:c>
      <x:c r="AP470" s="246" t="n">
        <x:f>N470-$B$4*AG470</x:f>
        <x:v>-3.92663853348549</x:v>
      </x:c>
      <x:c r="AQ470" s="246" t="n">
        <x:f>O470-$B$4*AH470</x:f>
        <x:v>1.7358013428577594</x:v>
      </x:c>
      <x:c r="AR470" s="182" t="n">
        <x:f>IF(U470&gt;=$B$5,1,0)</x:f>
        <x:v>1</x:v>
      </x:c>
      <x:c r="AS470" s="182" t="n">
        <x:f>IF(AR470=F470,1,0)</x:f>
        <x:v>1</x:v>
      </x:c>
      <x:c r="AT470" s="252" t="n">
        <x:f>ABS(F470-U470)</x:f>
        <x:v>0.2725132637009705</x:v>
      </x:c>
    </x:row>
    <x:row r="471">
      <x:c r="A471" s="114" t="n">
        <x:v>455</x:v>
      </x:c>
      <x:c r="B471" s="114" t="n">
        <x:v>114</x:v>
      </x:c>
      <x:c r="C471" s="114" t="n">
        <x:v>3</x:v>
      </x:c>
      <x:c r="D471" s="168" t="n">
        <x:f>$I$7</x:f>
        <x:v>1</x:v>
      </x:c>
      <x:c r="E471" s="168" t="n">
        <x:f>$J$7</x:f>
        <x:v>0</x:v>
      </x:c>
      <x:c r="F471" s="168" t="n">
        <x:f>$K$7</x:f>
        <x:v>1</x:v>
      </x:c>
      <x:c r="G471" s="242" t="n">
        <x:f>AI470</x:f>
        <x:v>3.238196153781841</x:v>
      </x:c>
      <x:c r="H471" s="242" t="n">
        <x:f>AJ470</x:f>
        <x:v>-3.652766919456043</x:v>
      </x:c>
      <x:c r="I471" s="242" t="n">
        <x:f>AK470</x:f>
        <x:v>-1.8885982240202293</x:v>
      </x:c>
      <x:c r="J471" s="242" t="n">
        <x:f>AL470</x:f>
        <x:v>3.5537911388514014</x:v>
      </x:c>
      <x:c r="K471" s="242" t="n">
        <x:f>AM470</x:f>
        <x:v>-3.4228077473704683</x:v>
      </x:c>
      <x:c r="L471" s="242" t="n">
        <x:f>AN470</x:f>
        <x:v>1.856246069558924</x:v>
      </x:c>
      <x:c r="M471" s="242" t="n">
        <x:f>AO470</x:f>
        <x:v>4.190026129827271</x:v>
      </x:c>
      <x:c r="N471" s="242" t="n">
        <x:f>AP470</x:f>
        <x:v>-3.92663853348549</x:v>
      </x:c>
      <x:c r="O471" s="242" t="n">
        <x:f>AQ470</x:f>
        <x:v>1.7358013428577594</x:v>
      </x:c>
      <x:c r="P471" s="243" t="n">
        <x:f>D471*G471+E471*H471+I471</x:f>
        <x:v>1.3495979297616116</x:v>
      </x:c>
      <x:c r="Q471" s="243" t="n">
        <x:f>1/(1+EXP(-P471))</x:f>
        <x:v>0.7940638868619504</x:v>
      </x:c>
      <x:c r="R471" s="243" t="n">
        <x:f>D471*J471+E471*K471+L471</x:f>
        <x:v>5.410037208410325</x:v>
      </x:c>
      <x:c r="S471" s="243" t="n">
        <x:f>1/(1+EXP(-R471))</x:f>
        <x:v>0.9955484312413948</x:v>
      </x:c>
      <x:c r="T471" s="243" t="n">
        <x:f>Q471*M471+S471*N471+O471</x:f>
        <x:v>1.1537909454980468</x:v>
      </x:c>
      <x:c r="U471" s="243" t="n">
        <x:f>1/(1+EXP(-T471))</x:f>
        <x:v>0.7602026672598037</x:v>
      </x:c>
      <x:c r="V471" s="243" t="n">
        <x:f>0.5*(F471-U471)^2</x:f>
        <x:v>0.028751380394656214</x:v>
      </x:c>
      <x:c r="W471" s="244" t="n">
        <x:f>(U471-F471)*U471*(1-U471)</x:f>
        <x:v>-0.043713752126837764</x:v>
      </x:c>
      <x:c r="X471" s="244" t="n">
        <x:f>W471*M471*Q471*(1-Q471)</x:f>
        <x:v>-0.029951789402505057</x:v>
      </x:c>
      <x:c r="Y471" s="244" t="n">
        <x:f>W471*N471*S471*(1-S471)</x:f>
        <x:v>0.0007607018766770347</x:v>
      </x:c>
      <x:c r="Z471" s="245" t="n">
        <x:f>X471*D471</x:f>
        <x:v>-0.029951789402505057</x:v>
      </x:c>
      <x:c r="AA471" s="245" t="n">
        <x:f>X471*E471</x:f>
        <x:v>0</x:v>
      </x:c>
      <x:c r="AB471" s="245" t="n">
        <x:f>X471</x:f>
        <x:v>-0.029951789402505057</x:v>
      </x:c>
      <x:c r="AC471" s="245" t="n">
        <x:f>Y471*D471</x:f>
        <x:v>0.0007607018766770347</x:v>
      </x:c>
      <x:c r="AD471" s="245" t="n">
        <x:f>Y471*E471</x:f>
        <x:v>0</x:v>
      </x:c>
      <x:c r="AE471" s="245" t="n">
        <x:f>Y471</x:f>
        <x:v>0.0007607018766770347</x:v>
      </x:c>
      <x:c r="AF471" s="245" t="n">
        <x:f>W471*Q471</x:f>
        <x:v>-0.03471151192315665</x:v>
      </x:c>
      <x:c r="AG471" s="245" t="n">
        <x:f>W471*S471</x:f>
        <x:v>-0.04351915735354852</x:v>
      </x:c>
      <x:c r="AH471" s="245" t="n">
        <x:f>W471</x:f>
        <x:v>-0.043713752126837764</x:v>
      </x:c>
      <x:c r="AI471" s="246" t="n">
        <x:f>G471-$B$4*Z471</x:f>
        <x:v>3.268147943184346</x:v>
      </x:c>
      <x:c r="AJ471" s="246" t="n">
        <x:f>H471-$B$4*AA471</x:f>
        <x:v>-3.652766919456043</x:v>
      </x:c>
      <x:c r="AK471" s="246" t="n">
        <x:f>I471-$B$4*AB471</x:f>
        <x:v>-1.8586464346177243</x:v>
      </x:c>
      <x:c r="AL471" s="246" t="n">
        <x:f>J471-$B$4*AC471</x:f>
        <x:v>3.5530304369747245</x:v>
      </x:c>
      <x:c r="AM471" s="246" t="n">
        <x:f>K471-$B$4*AD471</x:f>
        <x:v>-3.4228077473704683</x:v>
      </x:c>
      <x:c r="AN471" s="246" t="n">
        <x:f>L471-$B$4*AE471</x:f>
        <x:v>1.855485367682247</x:v>
      </x:c>
      <x:c r="AO471" s="246" t="n">
        <x:f>M471-$B$4*AF471</x:f>
        <x:v>4.224737641750428</x:v>
      </x:c>
      <x:c r="AP471" s="246" t="n">
        <x:f>N471-$B$4*AG471</x:f>
        <x:v>-3.8831193761319414</x:v>
      </x:c>
      <x:c r="AQ471" s="246" t="n">
        <x:f>O471-$B$4*AH471</x:f>
        <x:v>1.7795150949845973</x:v>
      </x:c>
      <x:c r="AR471" s="182" t="n">
        <x:f>IF(U471&gt;=$B$5,1,0)</x:f>
        <x:v>1</x:v>
      </x:c>
      <x:c r="AS471" s="182" t="n">
        <x:f>IF(AR471=F471,1,0)</x:f>
        <x:v>1</x:v>
      </x:c>
      <x:c r="AT471" s="252" t="n">
        <x:f>ABS(F471-U471)</x:f>
        <x:v>0.23979733274019632</x:v>
      </x:c>
    </x:row>
    <x:row r="472">
      <x:c r="A472" s="114" t="n">
        <x:v>456</x:v>
      </x:c>
      <x:c r="B472" s="114" t="n">
        <x:v>114</x:v>
      </x:c>
      <x:c r="C472" s="114" t="n">
        <x:v>4</x:v>
      </x:c>
      <x:c r="D472" s="168" t="n">
        <x:f>$I$8</x:f>
        <x:v>1</x:v>
      </x:c>
      <x:c r="E472" s="168" t="n">
        <x:f>$J$8</x:f>
        <x:v>1</x:v>
      </x:c>
      <x:c r="F472" s="168" t="n">
        <x:f>$K$8</x:f>
        <x:v>0</x:v>
      </x:c>
      <x:c r="G472" s="242" t="n">
        <x:f>AI471</x:f>
        <x:v>3.268147943184346</x:v>
      </x:c>
      <x:c r="H472" s="242" t="n">
        <x:f>AJ471</x:f>
        <x:v>-3.652766919456043</x:v>
      </x:c>
      <x:c r="I472" s="242" t="n">
        <x:f>AK471</x:f>
        <x:v>-1.8586464346177243</x:v>
      </x:c>
      <x:c r="J472" s="242" t="n">
        <x:f>AL471</x:f>
        <x:v>3.5530304369747245</x:v>
      </x:c>
      <x:c r="K472" s="242" t="n">
        <x:f>AM471</x:f>
        <x:v>-3.4228077473704683</x:v>
      </x:c>
      <x:c r="L472" s="242" t="n">
        <x:f>AN471</x:f>
        <x:v>1.855485367682247</x:v>
      </x:c>
      <x:c r="M472" s="242" t="n">
        <x:f>AO471</x:f>
        <x:v>4.224737641750428</x:v>
      </x:c>
      <x:c r="N472" s="242" t="n">
        <x:f>AP471</x:f>
        <x:v>-3.8831193761319414</x:v>
      </x:c>
      <x:c r="O472" s="242" t="n">
        <x:f>AQ471</x:f>
        <x:v>1.7795150949845973</x:v>
      </x:c>
      <x:c r="P472" s="243" t="n">
        <x:f>D472*G472+E472*H472+I472</x:f>
        <x:v>-2.243265410889421</x:v>
      </x:c>
      <x:c r="Q472" s="243" t="n">
        <x:f>1/(1+EXP(-P472))</x:f>
        <x:v>0.09593196190555443</x:v>
      </x:c>
      <x:c r="R472" s="243" t="n">
        <x:f>D472*J472+E472*K472+L472</x:f>
        <x:v>1.9857080572865031</x:v>
      </x:c>
      <x:c r="S472" s="243" t="n">
        <x:f>1/(1+EXP(-R472))</x:f>
        <x:v>0.8792883302482096</x:v>
      </x:c>
      <x:c r="T472" s="243" t="n">
        <x:f>Q472*M472+S472*N472+O472</x:f>
        <x:v>-1.229579086899563</x:v>
      </x:c>
      <x:c r="U472" s="243" t="n">
        <x:f>1/(1+EXP(-T472))</x:f>
        <x:v>0.2262551038581986</x:v>
      </x:c>
      <x:c r="V472" s="243" t="n">
        <x:f>0.5*(F472-U472)^2</x:f>
        <x:v>0.025595686010942118</x:v>
      </x:c>
      <x:c r="W472" s="244" t="n">
        <x:f>(U472-F472)*U472*(1-U472)</x:f>
        <x:v>0.03960906282842914</x:v>
      </x:c>
      <x:c r="X472" s="244" t="n">
        <x:f>W472*M472*Q472*(1-Q472)</x:f>
        <x:v>0.01451305206068596</x:v>
      </x:c>
      <x:c r="Y472" s="244" t="n">
        <x:f>W472*N472*S472*(1-S472)</x:f>
        <x:v>-0.016325100951401966</x:v>
      </x:c>
      <x:c r="Z472" s="245" t="n">
        <x:f>X472*D472</x:f>
        <x:v>0.01451305206068596</x:v>
      </x:c>
      <x:c r="AA472" s="245" t="n">
        <x:f>X472*E472</x:f>
        <x:v>0.01451305206068596</x:v>
      </x:c>
      <x:c r="AB472" s="245" t="n">
        <x:f>X472</x:f>
        <x:v>0.01451305206068596</x:v>
      </x:c>
      <x:c r="AC472" s="245" t="n">
        <x:f>Y472*D472</x:f>
        <x:v>-0.016325100951401966</x:v>
      </x:c>
      <x:c r="AD472" s="245" t="n">
        <x:f>Y472*E472</x:f>
        <x:v>-0.016325100951401966</x:v>
      </x:c>
      <x:c r="AE472" s="245" t="n">
        <x:f>Y472</x:f>
        <x:v>-0.016325100951401966</x:v>
      </x:c>
      <x:c r="AF472" s="245" t="n">
        <x:f>W472*Q472</x:f>
        <x:v>0.003799775106371576</x:v>
      </x:c>
      <x:c r="AG472" s="245" t="n">
        <x:f>W472*S472</x:f>
        <x:v>0.03482778671710588</x:v>
      </x:c>
      <x:c r="AH472" s="245" t="n">
        <x:f>W472</x:f>
        <x:v>0.03960906282842914</x:v>
      </x:c>
      <x:c r="AI472" s="246" t="n">
        <x:f>G472-$B$4*Z472</x:f>
        <x:v>3.25363489112366</x:v>
      </x:c>
      <x:c r="AJ472" s="246" t="n">
        <x:f>H472-$B$4*AA472</x:f>
        <x:v>-3.667279971516729</x:v>
      </x:c>
      <x:c r="AK472" s="246" t="n">
        <x:f>I472-$B$4*AB472</x:f>
        <x:v>-1.8731594866784103</x:v>
      </x:c>
      <x:c r="AL472" s="246" t="n">
        <x:f>J472-$B$4*AC472</x:f>
        <x:v>3.5693555379261266</x:v>
      </x:c>
      <x:c r="AM472" s="246" t="n">
        <x:f>K472-$B$4*AD472</x:f>
        <x:v>-3.4064826464190663</x:v>
      </x:c>
      <x:c r="AN472" s="246" t="n">
        <x:f>L472-$B$4*AE472</x:f>
        <x:v>1.871810468633649</x:v>
      </x:c>
      <x:c r="AO472" s="246" t="n">
        <x:f>M472-$B$4*AF472</x:f>
        <x:v>4.220937866644056</x:v>
      </x:c>
      <x:c r="AP472" s="246" t="n">
        <x:f>N472-$B$4*AG472</x:f>
        <x:v>-3.9179471628490474</x:v>
      </x:c>
      <x:c r="AQ472" s="246" t="n">
        <x:f>O472-$B$4*AH472</x:f>
        <x:v>1.7399060321561681</x:v>
      </x:c>
      <x:c r="AR472" s="182" t="n">
        <x:f>IF(U472&gt;=$B$5,1,0)</x:f>
        <x:v>0</x:v>
      </x:c>
      <x:c r="AS472" s="182" t="n">
        <x:f>IF(AR472=F472,1,0)</x:f>
        <x:v>1</x:v>
      </x:c>
      <x:c r="AT472" s="252" t="n">
        <x:f>ABS(F472-U472)</x:f>
        <x:v>0.2262551038581986</x:v>
      </x:c>
    </x:row>
    <x:row r="473">
      <x:c r="A473" s="114" t="n">
        <x:v>457</x:v>
      </x:c>
      <x:c r="B473" s="114" t="n">
        <x:v>115</x:v>
      </x:c>
      <x:c r="C473" s="114" t="n">
        <x:v>1</x:v>
      </x:c>
      <x:c r="D473" s="168" t="n">
        <x:f>$I$5</x:f>
        <x:v>0</x:v>
      </x:c>
      <x:c r="E473" s="168" t="n">
        <x:f>$J$5</x:f>
        <x:v>0</x:v>
      </x:c>
      <x:c r="F473" s="168" t="n">
        <x:f>$K$5</x:f>
        <x:v>0</x:v>
      </x:c>
      <x:c r="G473" s="242" t="n">
        <x:f>AI472</x:f>
        <x:v>3.25363489112366</x:v>
      </x:c>
      <x:c r="H473" s="242" t="n">
        <x:f>AJ472</x:f>
        <x:v>-3.667279971516729</x:v>
      </x:c>
      <x:c r="I473" s="242" t="n">
        <x:f>AK472</x:f>
        <x:v>-1.8731594866784103</x:v>
      </x:c>
      <x:c r="J473" s="242" t="n">
        <x:f>AL472</x:f>
        <x:v>3.5693555379261266</x:v>
      </x:c>
      <x:c r="K473" s="242" t="n">
        <x:f>AM472</x:f>
        <x:v>-3.4064826464190663</x:v>
      </x:c>
      <x:c r="L473" s="242" t="n">
        <x:f>AN472</x:f>
        <x:v>1.871810468633649</x:v>
      </x:c>
      <x:c r="M473" s="242" t="n">
        <x:f>AO472</x:f>
        <x:v>4.220937866644056</x:v>
      </x:c>
      <x:c r="N473" s="242" t="n">
        <x:f>AP472</x:f>
        <x:v>-3.9179471628490474</x:v>
      </x:c>
      <x:c r="O473" s="242" t="n">
        <x:f>AQ472</x:f>
        <x:v>1.7399060321561681</x:v>
      </x:c>
      <x:c r="P473" s="243" t="n">
        <x:f>D473*G473+E473*H473+I473</x:f>
        <x:v>-1.8731594866784103</x:v>
      </x:c>
      <x:c r="Q473" s="243" t="n">
        <x:f>1/(1+EXP(-P473))</x:f>
        <x:v>0.13317656669174113</x:v>
      </x:c>
      <x:c r="R473" s="243" t="n">
        <x:f>D473*J473+E473*K473+L473</x:f>
        <x:v>1.871810468633649</x:v>
      </x:c>
      <x:c r="S473" s="243" t="n">
        <x:f>1/(1+EXP(-R473))</x:f>
        <x:v>0.866667624819458</x:v>
      </x:c>
      <x:c r="T473" s="243" t="n">
        <x:f>Q473*M473+S473*N473+O473</x:f>
        <x:v>-1.0935219163395324</x:v>
      </x:c>
      <x:c r="U473" s="243" t="n">
        <x:f>1/(1+EXP(-T473))</x:f>
        <x:v>0.25095565891295324</x:v>
      </x:c>
      <x:c r="V473" s="243" t="n">
        <x:f>0.5*(F473-U473)^2</x:f>
        <x:v>0.03148937137021726</x:v>
      </x:c>
      <x:c r="W473" s="244" t="n">
        <x:f>(U473-F473)*U473*(1-U473)</x:f>
        <x:v>0.04717387085849941</x:v>
      </x:c>
      <x:c r="X473" s="244" t="n">
        <x:f>W473*M473*Q473*(1-Q473)</x:f>
        <x:v>0.022986292613381237</x:v>
      </x:c>
      <x:c r="Y473" s="244" t="n">
        <x:f>W473*N473*S473*(1-S473)</x:f>
        <x:v>-0.021357394892506466</x:v>
      </x:c>
      <x:c r="Z473" s="245" t="n">
        <x:f>X473*D473</x:f>
        <x:v>0</x:v>
      </x:c>
      <x:c r="AA473" s="245" t="n">
        <x:f>X473*E473</x:f>
        <x:v>0</x:v>
      </x:c>
      <x:c r="AB473" s="245" t="n">
        <x:f>X473</x:f>
        <x:v>0.022986292613381237</x:v>
      </x:c>
      <x:c r="AC473" s="245" t="n">
        <x:f>Y473*D473</x:f>
        <x:v>0</x:v>
      </x:c>
      <x:c r="AD473" s="245" t="n">
        <x:f>Y473*E473</x:f>
        <x:v>0</x:v>
      </x:c>
      <x:c r="AE473" s="245" t="n">
        <x:f>Y473</x:f>
        <x:v>-0.021357394892506466</x:v>
      </x:c>
      <x:c r="AF473" s="245" t="n">
        <x:f>W473*Q473</x:f>
        <x:v>0.00628245415849453</x:v>
      </x:c>
      <x:c r="AG473" s="245" t="n">
        <x:f>W473*S473</x:f>
        <x:v>0.04088406661047553</x:v>
      </x:c>
      <x:c r="AH473" s="245" t="n">
        <x:f>W473</x:f>
        <x:v>0.04717387085849941</x:v>
      </x:c>
      <x:c r="AI473" s="246" t="n">
        <x:f>G473-$B$4*Z473</x:f>
        <x:v>3.25363489112366</x:v>
      </x:c>
      <x:c r="AJ473" s="246" t="n">
        <x:f>H473-$B$4*AA473</x:f>
        <x:v>-3.667279971516729</x:v>
      </x:c>
      <x:c r="AK473" s="246" t="n">
        <x:f>I473-$B$4*AB473</x:f>
        <x:v>-1.8961457792917915</x:v>
      </x:c>
      <x:c r="AL473" s="246" t="n">
        <x:f>J473-$B$4*AC473</x:f>
        <x:v>3.5693555379261266</x:v>
      </x:c>
      <x:c r="AM473" s="246" t="n">
        <x:f>K473-$B$4*AD473</x:f>
        <x:v>-3.4064826464190663</x:v>
      </x:c>
      <x:c r="AN473" s="246" t="n">
        <x:f>L473-$B$4*AE473</x:f>
        <x:v>1.8931678635261555</x:v>
      </x:c>
      <x:c r="AO473" s="246" t="n">
        <x:f>M473-$B$4*AF473</x:f>
        <x:v>4.214655412485562</x:v>
      </x:c>
      <x:c r="AP473" s="246" t="n">
        <x:f>N473-$B$4*AG473</x:f>
        <x:v>-3.958831229459523</x:v>
      </x:c>
      <x:c r="AQ473" s="246" t="n">
        <x:f>O473-$B$4*AH473</x:f>
        <x:v>1.6927321612976687</x:v>
      </x:c>
      <x:c r="AR473" s="182" t="n">
        <x:f>IF(U473&gt;=$B$5,1,0)</x:f>
        <x:v>0</x:v>
      </x:c>
      <x:c r="AS473" s="182" t="n">
        <x:f>IF(AR473=F473,1,0)</x:f>
        <x:v>1</x:v>
      </x:c>
      <x:c r="AT473" s="252" t="n">
        <x:f>ABS(F473-U473)</x:f>
        <x:v>0.25095565891295324</x:v>
      </x:c>
    </x:row>
    <x:row r="474">
      <x:c r="A474" s="114" t="n">
        <x:v>458</x:v>
      </x:c>
      <x:c r="B474" s="114" t="n">
        <x:v>115</x:v>
      </x:c>
      <x:c r="C474" s="114" t="n">
        <x:v>2</x:v>
      </x:c>
      <x:c r="D474" s="168" t="n">
        <x:f>$I$6</x:f>
        <x:v>0</x:v>
      </x:c>
      <x:c r="E474" s="168" t="n">
        <x:f>$J$6</x:f>
        <x:v>1</x:v>
      </x:c>
      <x:c r="F474" s="168" t="n">
        <x:f>$K$6</x:f>
        <x:v>1</x:v>
      </x:c>
      <x:c r="G474" s="242" t="n">
        <x:f>AI473</x:f>
        <x:v>3.25363489112366</x:v>
      </x:c>
      <x:c r="H474" s="242" t="n">
        <x:f>AJ473</x:f>
        <x:v>-3.667279971516729</x:v>
      </x:c>
      <x:c r="I474" s="242" t="n">
        <x:f>AK473</x:f>
        <x:v>-1.8961457792917915</x:v>
      </x:c>
      <x:c r="J474" s="242" t="n">
        <x:f>AL473</x:f>
        <x:v>3.5693555379261266</x:v>
      </x:c>
      <x:c r="K474" s="242" t="n">
        <x:f>AM473</x:f>
        <x:v>-3.4064826464190663</x:v>
      </x:c>
      <x:c r="L474" s="242" t="n">
        <x:f>AN473</x:f>
        <x:v>1.8931678635261555</x:v>
      </x:c>
      <x:c r="M474" s="242" t="n">
        <x:f>AO473</x:f>
        <x:v>4.214655412485562</x:v>
      </x:c>
      <x:c r="N474" s="242" t="n">
        <x:f>AP473</x:f>
        <x:v>-3.958831229459523</x:v>
      </x:c>
      <x:c r="O474" s="242" t="n">
        <x:f>AQ473</x:f>
        <x:v>1.6927321612976687</x:v>
      </x:c>
      <x:c r="P474" s="243" t="n">
        <x:f>D474*G474+E474*H474+I474</x:f>
        <x:v>-5.563425750808521</x:v>
      </x:c>
      <x:c r="Q474" s="243" t="n">
        <x:f>1/(1+EXP(-P474))</x:f>
        <x:v>0.003820958286039319</x:v>
      </x:c>
      <x:c r="R474" s="243" t="n">
        <x:f>D474*J474+E474*K474+L474</x:f>
        <x:v>-1.5133147828929108</x:v>
      </x:c>
      <x:c r="S474" s="243" t="n">
        <x:f>1/(1+EXP(-R474))</x:f>
        <x:v>0.18044806196125418</x:v>
      </x:c>
      <x:c r="T474" s="243" t="n">
        <x:f>Q474*M474+S474*N474+O474</x:f>
        <x:v>0.9944727608311458</x:v>
      </x:c>
      <x:c r="U474" s="243" t="n">
        <x:f>1/(1+EXP(-T474))</x:f>
        <x:v>0.7299704705814757</x:v>
      </x:c>
      <x:c r="V474" s="243" t="n">
        <x:f>0.5*(F474-U474)^2</x:f>
        <x:v>0.03645797337899485</x:v>
      </x:c>
      <x:c r="W474" s="244" t="n">
        <x:f>(U474-F474)*U474*(1-U474)</x:f>
        <x:v>-0.05322648796782356</x:v>
      </x:c>
      <x:c r="X474" s="244" t="n">
        <x:f>W474*M474*Q474*(1-Q474)</x:f>
        <x:v>-0.0008538853862070207</x:v>
      </x:c>
      <x:c r="Y474" s="244" t="n">
        <x:f>W474*N474*S474*(1-S474)</x:f>
        <x:v>0.031161869348304665</x:v>
      </x:c>
      <x:c r="Z474" s="245" t="n">
        <x:f>X474*D474</x:f>
        <x:v>0</x:v>
      </x:c>
      <x:c r="AA474" s="245" t="n">
        <x:f>X474*E474</x:f>
        <x:v>-0.0008538853862070207</x:v>
      </x:c>
      <x:c r="AB474" s="245" t="n">
        <x:f>X474</x:f>
        <x:v>-0.0008538853862070207</x:v>
      </x:c>
      <x:c r="AC474" s="245" t="n">
        <x:f>Y474*D474</x:f>
        <x:v>0</x:v>
      </x:c>
      <x:c r="AD474" s="245" t="n">
        <x:f>Y474*E474</x:f>
        <x:v>0.031161869348304665</x:v>
      </x:c>
      <x:c r="AE474" s="245" t="n">
        <x:f>Y474</x:f>
        <x:v>0.031161869348304665</x:v>
      </x:c>
      <x:c r="AF474" s="245" t="n">
        <x:f>W474*Q474</x:f>
        <x:v>-0.00020337619023742755</x:v>
      </x:c>
      <x:c r="AG474" s="245" t="n">
        <x:f>W474*S474</x:f>
        <x:v>-0.009604616598797775</x:v>
      </x:c>
      <x:c r="AH474" s="245" t="n">
        <x:f>W474</x:f>
        <x:v>-0.05322648796782356</x:v>
      </x:c>
      <x:c r="AI474" s="246" t="n">
        <x:f>G474-$B$4*Z474</x:f>
        <x:v>3.25363489112366</x:v>
      </x:c>
      <x:c r="AJ474" s="246" t="n">
        <x:f>H474-$B$4*AA474</x:f>
        <x:v>-3.666426086130522</x:v>
      </x:c>
      <x:c r="AK474" s="246" t="n">
        <x:f>I474-$B$4*AB474</x:f>
        <x:v>-1.8952918939055845</x:v>
      </x:c>
      <x:c r="AL474" s="246" t="n">
        <x:f>J474-$B$4*AC474</x:f>
        <x:v>3.5693555379261266</x:v>
      </x:c>
      <x:c r="AM474" s="246" t="n">
        <x:f>K474-$B$4*AD474</x:f>
        <x:v>-3.4376445157673707</x:v>
      </x:c>
      <x:c r="AN474" s="246" t="n">
        <x:f>L474-$B$4*AE474</x:f>
        <x:v>1.8620059941778508</x:v>
      </x:c>
      <x:c r="AO474" s="246" t="n">
        <x:f>M474-$B$4*AF474</x:f>
        <x:v>4.214858788675799</x:v>
      </x:c>
      <x:c r="AP474" s="246" t="n">
        <x:f>N474-$B$4*AG474</x:f>
        <x:v>-3.949226612860725</x:v>
      </x:c>
      <x:c r="AQ474" s="246" t="n">
        <x:f>O474-$B$4*AH474</x:f>
        <x:v>1.7459586492654922</x:v>
      </x:c>
      <x:c r="AR474" s="182" t="n">
        <x:f>IF(U474&gt;=$B$5,1,0)</x:f>
        <x:v>1</x:v>
      </x:c>
      <x:c r="AS474" s="182" t="n">
        <x:f>IF(AR474=F474,1,0)</x:f>
        <x:v>1</x:v>
      </x:c>
      <x:c r="AT474" s="252" t="n">
        <x:f>ABS(F474-U474)</x:f>
        <x:v>0.2700295294185243</x:v>
      </x:c>
    </x:row>
    <x:row r="475">
      <x:c r="A475" s="114" t="n">
        <x:v>459</x:v>
      </x:c>
      <x:c r="B475" s="114" t="n">
        <x:v>115</x:v>
      </x:c>
      <x:c r="C475" s="114" t="n">
        <x:v>3</x:v>
      </x:c>
      <x:c r="D475" s="168" t="n">
        <x:f>$I$7</x:f>
        <x:v>1</x:v>
      </x:c>
      <x:c r="E475" s="168" t="n">
        <x:f>$J$7</x:f>
        <x:v>0</x:v>
      </x:c>
      <x:c r="F475" s="168" t="n">
        <x:f>$K$7</x:f>
        <x:v>1</x:v>
      </x:c>
      <x:c r="G475" s="242" t="n">
        <x:f>AI474</x:f>
        <x:v>3.25363489112366</x:v>
      </x:c>
      <x:c r="H475" s="242" t="n">
        <x:f>AJ474</x:f>
        <x:v>-3.666426086130522</x:v>
      </x:c>
      <x:c r="I475" s="242" t="n">
        <x:f>AK474</x:f>
        <x:v>-1.8952918939055845</x:v>
      </x:c>
      <x:c r="J475" s="242" t="n">
        <x:f>AL474</x:f>
        <x:v>3.5693555379261266</x:v>
      </x:c>
      <x:c r="K475" s="242" t="n">
        <x:f>AM474</x:f>
        <x:v>-3.4376445157673707</x:v>
      </x:c>
      <x:c r="L475" s="242" t="n">
        <x:f>AN474</x:f>
        <x:v>1.8620059941778508</x:v>
      </x:c>
      <x:c r="M475" s="242" t="n">
        <x:f>AO474</x:f>
        <x:v>4.214858788675799</x:v>
      </x:c>
      <x:c r="N475" s="242" t="n">
        <x:f>AP474</x:f>
        <x:v>-3.949226612860725</x:v>
      </x:c>
      <x:c r="O475" s="242" t="n">
        <x:f>AQ474</x:f>
        <x:v>1.7459586492654922</x:v>
      </x:c>
      <x:c r="P475" s="243" t="n">
        <x:f>D475*G475+E475*H475+I475</x:f>
        <x:v>1.3583429972180756</x:v>
      </x:c>
      <x:c r="Q475" s="243" t="n">
        <x:f>1/(1+EXP(-P475))</x:f>
        <x:v>0.7954902593651181</x:v>
      </x:c>
      <x:c r="R475" s="243" t="n">
        <x:f>D475*J475+E475*K475+L475</x:f>
        <x:v>5.431361532103978</x:v>
      </x:c>
      <x:c r="S475" s="243" t="n">
        <x:f>1/(1+EXP(-R475))</x:f>
        <x:v>0.9956419436507042</x:v>
      </x:c>
      <x:c r="T475" s="243" t="n">
        <x:f>Q475*M475+S475*N475+O475</x:f>
        <x:v>1.1668220995108112</x:v>
      </x:c>
      <x:c r="U475" s="243" t="n">
        <x:f>1/(1+EXP(-T475))</x:f>
        <x:v>0.7625701149989415</x:v>
      </x:c>
      <x:c r="V475" s="243" t="n">
        <x:f>0.5*(F475-U475)^2</x:f>
        <x:v>0.028186475145807945</x:v>
      </x:c>
      <x:c r="W475" s="244" t="n">
        <x:f>(U475-F475)*U475*(1-U475)</x:f>
        <x:v>-0.04298832718670714</x:v>
      </x:c>
      <x:c r="X475" s="244" t="n">
        <x:f>W475*M475*Q475*(1-Q475)</x:f>
        <x:v>-0.029476942800373496</x:v>
      </x:c>
      <x:c r="Y475" s="244" t="n">
        <x:f>W475*N475*S475*(1-S475)</x:f>
        <x:v>0.0007366456453851581</x:v>
      </x:c>
      <x:c r="Z475" s="245" t="n">
        <x:f>X475*D475</x:f>
        <x:v>-0.029476942800373496</x:v>
      </x:c>
      <x:c r="AA475" s="245" t="n">
        <x:f>X475*E475</x:f>
        <x:v>0</x:v>
      </x:c>
      <x:c r="AB475" s="245" t="n">
        <x:f>X475</x:f>
        <x:v>-0.029476942800373496</x:v>
      </x:c>
      <x:c r="AC475" s="245" t="n">
        <x:f>Y475*D475</x:f>
        <x:v>0.0007366456453851581</x:v>
      </x:c>
      <x:c r="AD475" s="245" t="n">
        <x:f>Y475*E475</x:f>
        <x:v>0</x:v>
      </x:c>
      <x:c r="AE475" s="245" t="n">
        <x:f>Y475</x:f>
        <x:v>0.0007366456453851581</x:v>
      </x:c>
      <x:c r="AF475" s="245" t="n">
        <x:f>W475*Q475</x:f>
        <x:v>-0.03419679554342622</x:v>
      </x:c>
      <x:c r="AG475" s="245" t="n">
        <x:f>W475*S475</x:f>
        <x:v>-0.04280098163446551</x:v>
      </x:c>
      <x:c r="AH475" s="245" t="n">
        <x:f>W475</x:f>
        <x:v>-0.04298832718670714</x:v>
      </x:c>
      <x:c r="AI475" s="246" t="n">
        <x:f>G475-$B$4*Z475</x:f>
        <x:v>3.2831118339240337</x:v>
      </x:c>
      <x:c r="AJ475" s="246" t="n">
        <x:f>H475-$B$4*AA475</x:f>
        <x:v>-3.666426086130522</x:v>
      </x:c>
      <x:c r="AK475" s="246" t="n">
        <x:f>I475-$B$4*AB475</x:f>
        <x:v>-1.865814951105211</x:v>
      </x:c>
      <x:c r="AL475" s="246" t="n">
        <x:f>J475-$B$4*AC475</x:f>
        <x:v>3.5686188922807416</x:v>
      </x:c>
      <x:c r="AM475" s="246" t="n">
        <x:f>K475-$B$4*AD475</x:f>
        <x:v>-3.4376445157673707</x:v>
      </x:c>
      <x:c r="AN475" s="246" t="n">
        <x:f>L475-$B$4*AE475</x:f>
        <x:v>1.8612693485324656</x:v>
      </x:c>
      <x:c r="AO475" s="246" t="n">
        <x:f>M475-$B$4*AF475</x:f>
        <x:v>4.249055584219225</x:v>
      </x:c>
      <x:c r="AP475" s="246" t="n">
        <x:f>N475-$B$4*AG475</x:f>
        <x:v>-3.9064256312262597</x:v>
      </x:c>
      <x:c r="AQ475" s="246" t="n">
        <x:f>O475-$B$4*AH475</x:f>
        <x:v>1.7889469764521992</x:v>
      </x:c>
      <x:c r="AR475" s="182" t="n">
        <x:f>IF(U475&gt;=$B$5,1,0)</x:f>
        <x:v>1</x:v>
      </x:c>
      <x:c r="AS475" s="182" t="n">
        <x:f>IF(AR475=F475,1,0)</x:f>
        <x:v>1</x:v>
      </x:c>
      <x:c r="AT475" s="252" t="n">
        <x:f>ABS(F475-U475)</x:f>
        <x:v>0.23742988500105855</x:v>
      </x:c>
    </x:row>
    <x:row r="476">
      <x:c r="A476" s="114" t="n">
        <x:v>460</x:v>
      </x:c>
      <x:c r="B476" s="114" t="n">
        <x:v>115</x:v>
      </x:c>
      <x:c r="C476" s="114" t="n">
        <x:v>4</x:v>
      </x:c>
      <x:c r="D476" s="168" t="n">
        <x:f>$I$8</x:f>
        <x:v>1</x:v>
      </x:c>
      <x:c r="E476" s="168" t="n">
        <x:f>$J$8</x:f>
        <x:v>1</x:v>
      </x:c>
      <x:c r="F476" s="168" t="n">
        <x:f>$K$8</x:f>
        <x:v>0</x:v>
      </x:c>
      <x:c r="G476" s="242" t="n">
        <x:f>AI475</x:f>
        <x:v>3.2831118339240337</x:v>
      </x:c>
      <x:c r="H476" s="242" t="n">
        <x:f>AJ475</x:f>
        <x:v>-3.666426086130522</x:v>
      </x:c>
      <x:c r="I476" s="242" t="n">
        <x:f>AK475</x:f>
        <x:v>-1.865814951105211</x:v>
      </x:c>
      <x:c r="J476" s="242" t="n">
        <x:f>AL475</x:f>
        <x:v>3.5686188922807416</x:v>
      </x:c>
      <x:c r="K476" s="242" t="n">
        <x:f>AM475</x:f>
        <x:v>-3.4376445157673707</x:v>
      </x:c>
      <x:c r="L476" s="242" t="n">
        <x:f>AN475</x:f>
        <x:v>1.8612693485324656</x:v>
      </x:c>
      <x:c r="M476" s="242" t="n">
        <x:f>AO475</x:f>
        <x:v>4.249055584219225</x:v>
      </x:c>
      <x:c r="N476" s="242" t="n">
        <x:f>AP475</x:f>
        <x:v>-3.9064256312262597</x:v>
      </x:c>
      <x:c r="O476" s="242" t="n">
        <x:f>AQ475</x:f>
        <x:v>1.7889469764521992</x:v>
      </x:c>
      <x:c r="P476" s="243" t="n">
        <x:f>D476*G476+E476*H476+I476</x:f>
        <x:v>-2.249129203311699</x:v>
      </x:c>
      <x:c r="Q476" s="243" t="n">
        <x:f>1/(1+EXP(-P476))</x:f>
        <x:v>0.09542460450353973</x:v>
      </x:c>
      <x:c r="R476" s="243" t="n">
        <x:f>D476*J476+E476*K476+L476</x:f>
        <x:v>1.9922437250458365</x:v>
      </x:c>
      <x:c r="S476" s="243" t="n">
        <x:f>1/(1+EXP(-R476))</x:f>
        <x:v>0.8799803105786739</x:v>
      </x:c>
      <x:c r="T476" s="243" t="n">
        <x:f>Q476*M476+S476*N476+O476</x:f>
        <x:v>-1.2431662151291003</x:v>
      </x:c>
      <x:c r="U476" s="243" t="n">
        <x:f>1/(1+EXP(-T476))</x:f>
        <x:v>0.22388534105449637</x:v>
      </x:c>
      <x:c r="V476" s="243" t="n">
        <x:f>0.5*(F476-U476)^2</x:f>
        <x:v>0.02506232296954408</x:v>
      </x:c>
      <x:c r="W476" s="244" t="n">
        <x:f>(U476-F476)*U476*(1-U476)</x:f>
        <x:v>0.03890247248777953</x:v>
      </x:c>
      <x:c r="X476" s="244" t="n">
        <x:f>W476*M476*Q476*(1-Q476)</x:f>
        <x:v>0.014268382921228236</x:v>
      </x:c>
      <x:c r="Y476" s="244" t="n">
        <x:f>W476*N476*S476*(1-S476)</x:f>
        <x:v>-0.01605026542040866</x:v>
      </x:c>
      <x:c r="Z476" s="245" t="n">
        <x:f>X476*D476</x:f>
        <x:v>0.014268382921228236</x:v>
      </x:c>
      <x:c r="AA476" s="245" t="n">
        <x:f>X476*E476</x:f>
        <x:v>0.014268382921228236</x:v>
      </x:c>
      <x:c r="AB476" s="245" t="n">
        <x:f>X476</x:f>
        <x:v>0.014268382921228236</x:v>
      </x:c>
      <x:c r="AC476" s="245" t="n">
        <x:f>Y476*D476</x:f>
        <x:v>-0.01605026542040866</x:v>
      </x:c>
      <x:c r="AD476" s="245" t="n">
        <x:f>Y476*E476</x:f>
        <x:v>-0.01605026542040866</x:v>
      </x:c>
      <x:c r="AE476" s="245" t="n">
        <x:f>Y476</x:f>
        <x:v>-0.01605026542040866</x:v>
      </x:c>
      <x:c r="AF476" s="245" t="n">
        <x:f>W476*Q476</x:f>
        <x:v>0.0037122530513561975</x:v>
      </x:c>
      <x:c r="AG476" s="245" t="n">
        <x:f>W476*S476</x:f>
        <x:v>0.03423340982207455</x:v>
      </x:c>
      <x:c r="AH476" s="245" t="n">
        <x:f>W476</x:f>
        <x:v>0.03890247248777953</x:v>
      </x:c>
      <x:c r="AI476" s="246" t="n">
        <x:f>G476-$B$4*Z476</x:f>
        <x:v>3.2688434510028053</x:v>
      </x:c>
      <x:c r="AJ476" s="246" t="n">
        <x:f>H476-$B$4*AA476</x:f>
        <x:v>-3.6806944690517502</x:v>
      </x:c>
      <x:c r="AK476" s="246" t="n">
        <x:f>I476-$B$4*AB476</x:f>
        <x:v>-1.8800833340264391</x:v>
      </x:c>
      <x:c r="AL476" s="246" t="n">
        <x:f>J476-$B$4*AC476</x:f>
        <x:v>3.5846691577011502</x:v>
      </x:c>
      <x:c r="AM476" s="246" t="n">
        <x:f>K476-$B$4*AD476</x:f>
        <x:v>-3.421594250346962</x:v>
      </x:c>
      <x:c r="AN476" s="246" t="n">
        <x:f>L476-$B$4*AE476</x:f>
        <x:v>1.8773196139528743</x:v>
      </x:c>
      <x:c r="AO476" s="246" t="n">
        <x:f>M476-$B$4*AF476</x:f>
        <x:v>4.245343331167869</x:v>
      </x:c>
      <x:c r="AP476" s="246" t="n">
        <x:f>N476-$B$4*AG476</x:f>
        <x:v>-3.940659041048334</x:v>
      </x:c>
      <x:c r="AQ476" s="246" t="n">
        <x:f>O476-$B$4*AH476</x:f>
        <x:v>1.7500445039644197</x:v>
      </x:c>
      <x:c r="AR476" s="182" t="n">
        <x:f>IF(U476&gt;=$B$5,1,0)</x:f>
        <x:v>0</x:v>
      </x:c>
      <x:c r="AS476" s="182" t="n">
        <x:f>IF(AR476=F476,1,0)</x:f>
        <x:v>1</x:v>
      </x:c>
      <x:c r="AT476" s="252" t="n">
        <x:f>ABS(F476-U476)</x:f>
        <x:v>0.22388534105449637</x:v>
      </x:c>
    </x:row>
    <x:row r="477">
      <x:c r="A477" s="114" t="n">
        <x:v>461</x:v>
      </x:c>
      <x:c r="B477" s="114" t="n">
        <x:v>116</x:v>
      </x:c>
      <x:c r="C477" s="114" t="n">
        <x:v>1</x:v>
      </x:c>
      <x:c r="D477" s="168" t="n">
        <x:f>$I$5</x:f>
        <x:v>0</x:v>
      </x:c>
      <x:c r="E477" s="168" t="n">
        <x:f>$J$5</x:f>
        <x:v>0</x:v>
      </x:c>
      <x:c r="F477" s="168" t="n">
        <x:f>$K$5</x:f>
        <x:v>0</x:v>
      </x:c>
      <x:c r="G477" s="242" t="n">
        <x:f>AI476</x:f>
        <x:v>3.2688434510028053</x:v>
      </x:c>
      <x:c r="H477" s="242" t="n">
        <x:f>AJ476</x:f>
        <x:v>-3.6806944690517502</x:v>
      </x:c>
      <x:c r="I477" s="242" t="n">
        <x:f>AK476</x:f>
        <x:v>-1.8800833340264391</x:v>
      </x:c>
      <x:c r="J477" s="242" t="n">
        <x:f>AL476</x:f>
        <x:v>3.5846691577011502</x:v>
      </x:c>
      <x:c r="K477" s="242" t="n">
        <x:f>AM476</x:f>
        <x:v>-3.421594250346962</x:v>
      </x:c>
      <x:c r="L477" s="242" t="n">
        <x:f>AN476</x:f>
        <x:v>1.8773196139528743</x:v>
      </x:c>
      <x:c r="M477" s="242" t="n">
        <x:f>AO476</x:f>
        <x:v>4.245343331167869</x:v>
      </x:c>
      <x:c r="N477" s="242" t="n">
        <x:f>AP476</x:f>
        <x:v>-3.940659041048334</x:v>
      </x:c>
      <x:c r="O477" s="242" t="n">
        <x:f>AQ476</x:f>
        <x:v>1.7500445039644197</x:v>
      </x:c>
      <x:c r="P477" s="243" t="n">
        <x:f>D477*G477+E477*H477+I477</x:f>
        <x:v>-1.8800833340264391</x:v>
      </x:c>
      <x:c r="Q477" s="243" t="n">
        <x:f>1/(1+EXP(-P477))</x:f>
        <x:v>0.13237930191737274</x:v>
      </x:c>
      <x:c r="R477" s="243" t="n">
        <x:f>D477*J477+E477*K477+L477</x:f>
        <x:v>1.8773196139528743</x:v>
      </x:c>
      <x:c r="S477" s="243" t="n">
        <x:f>1/(1+EXP(-R477))</x:f>
        <x:v>0.8673029483201027</x:v>
      </x:c>
      <x:c r="T477" s="243" t="n">
        <x:f>Q477*M477+S477*N477+O477</x:f>
        <x:v>-1.1057051140814929</x:v>
      </x:c>
      <x:c r="U477" s="243" t="n">
        <x:f>1/(1+EXP(-T477))</x:f>
        <x:v>0.24867245481207856</x:v>
      </x:c>
      <x:c r="V477" s="243" t="n">
        <x:f>0.5*(F477-U477)^2</x:f>
        <x:v>0.030918994891132628</x:v>
      </x:c>
      <x:c r="W477" s="244" t="n">
        <x:f>(U477-F477)*U477*(1-U477)</x:f>
        <x:v>0.04646058506246512</x:v>
      </x:c>
      <x:c r="X477" s="244" t="n">
        <x:f>W477*M477*Q477*(1-Q477)</x:f>
        <x:v>0.022654134962108906</x:v>
      </x:c>
      <x:c r="Y477" s="244" t="n">
        <x:f>W477*N477*S477*(1-S477)</x:f>
        <x:v>-0.021071023461985448</x:v>
      </x:c>
      <x:c r="Z477" s="245" t="n">
        <x:f>X477*D477</x:f>
        <x:v>0</x:v>
      </x:c>
      <x:c r="AA477" s="245" t="n">
        <x:f>X477*E477</x:f>
        <x:v>0</x:v>
      </x:c>
      <x:c r="AB477" s="245" t="n">
        <x:f>X477</x:f>
        <x:v>0.022654134962108906</x:v>
      </x:c>
      <x:c r="AC477" s="245" t="n">
        <x:f>Y477*D477</x:f>
        <x:v>0</x:v>
      </x:c>
      <x:c r="AD477" s="245" t="n">
        <x:f>Y477*E477</x:f>
        <x:v>0</x:v>
      </x:c>
      <x:c r="AE477" s="245" t="n">
        <x:f>Y477</x:f>
        <x:v>-0.021071023461985448</x:v>
      </x:c>
      <x:c r="AF477" s="245" t="n">
        <x:f>W477*Q477</x:f>
        <x:v>0.006150419817241849</x:v>
      </x:c>
      <x:c r="AG477" s="245" t="n">
        <x:f>W477*S477</x:f>
        <x:v>0.040295402405352926</x:v>
      </x:c>
      <x:c r="AH477" s="245" t="n">
        <x:f>W477</x:f>
        <x:v>0.04646058506246512</x:v>
      </x:c>
      <x:c r="AI477" s="246" t="n">
        <x:f>G477-$B$4*Z477</x:f>
        <x:v>3.2688434510028053</x:v>
      </x:c>
      <x:c r="AJ477" s="246" t="n">
        <x:f>H477-$B$4*AA477</x:f>
        <x:v>-3.6806944690517502</x:v>
      </x:c>
      <x:c r="AK477" s="246" t="n">
        <x:f>I477-$B$4*AB477</x:f>
        <x:v>-1.9027374689885481</x:v>
      </x:c>
      <x:c r="AL477" s="246" t="n">
        <x:f>J477-$B$4*AC477</x:f>
        <x:v>3.5846691577011502</x:v>
      </x:c>
      <x:c r="AM477" s="246" t="n">
        <x:f>K477-$B$4*AD477</x:f>
        <x:v>-3.421594250346962</x:v>
      </x:c>
      <x:c r="AN477" s="246" t="n">
        <x:f>L477-$B$4*AE477</x:f>
        <x:v>1.8983906374148598</x:v>
      </x:c>
      <x:c r="AO477" s="246" t="n">
        <x:f>M477-$B$4*AF477</x:f>
        <x:v>4.239192911350627</x:v>
      </x:c>
      <x:c r="AP477" s="246" t="n">
        <x:f>N477-$B$4*AG477</x:f>
        <x:v>-3.980954443453687</x:v>
      </x:c>
      <x:c r="AQ477" s="246" t="n">
        <x:f>O477-$B$4*AH477</x:f>
        <x:v>1.7035839189019546</x:v>
      </x:c>
      <x:c r="AR477" s="182" t="n">
        <x:f>IF(U477&gt;=$B$5,1,0)</x:f>
        <x:v>0</x:v>
      </x:c>
      <x:c r="AS477" s="182" t="n">
        <x:f>IF(AR477=F477,1,0)</x:f>
        <x:v>1</x:v>
      </x:c>
      <x:c r="AT477" s="252" t="n">
        <x:f>ABS(F477-U477)</x:f>
        <x:v>0.24867245481207856</x:v>
      </x:c>
    </x:row>
    <x:row r="478">
      <x:c r="A478" s="114" t="n">
        <x:v>462</x:v>
      </x:c>
      <x:c r="B478" s="114" t="n">
        <x:v>116</x:v>
      </x:c>
      <x:c r="C478" s="114" t="n">
        <x:v>2</x:v>
      </x:c>
      <x:c r="D478" s="168" t="n">
        <x:f>$I$6</x:f>
        <x:v>0</x:v>
      </x:c>
      <x:c r="E478" s="168" t="n">
        <x:f>$J$6</x:f>
        <x:v>1</x:v>
      </x:c>
      <x:c r="F478" s="168" t="n">
        <x:f>$K$6</x:f>
        <x:v>1</x:v>
      </x:c>
      <x:c r="G478" s="242" t="n">
        <x:f>AI477</x:f>
        <x:v>3.2688434510028053</x:v>
      </x:c>
      <x:c r="H478" s="242" t="n">
        <x:f>AJ477</x:f>
        <x:v>-3.6806944690517502</x:v>
      </x:c>
      <x:c r="I478" s="242" t="n">
        <x:f>AK477</x:f>
        <x:v>-1.9027374689885481</x:v>
      </x:c>
      <x:c r="J478" s="242" t="n">
        <x:f>AL477</x:f>
        <x:v>3.5846691577011502</x:v>
      </x:c>
      <x:c r="K478" s="242" t="n">
        <x:f>AM477</x:f>
        <x:v>-3.421594250346962</x:v>
      </x:c>
      <x:c r="L478" s="242" t="n">
        <x:f>AN477</x:f>
        <x:v>1.8983906374148598</x:v>
      </x:c>
      <x:c r="M478" s="242" t="n">
        <x:f>AO477</x:f>
        <x:v>4.239192911350627</x:v>
      </x:c>
      <x:c r="N478" s="242" t="n">
        <x:f>AP477</x:f>
        <x:v>-3.980954443453687</x:v>
      </x:c>
      <x:c r="O478" s="242" t="n">
        <x:f>AQ477</x:f>
        <x:v>1.7035839189019546</x:v>
      </x:c>
      <x:c r="P478" s="243" t="n">
        <x:f>D478*G478+E478*H478+I478</x:f>
        <x:v>-5.583431938040299</x:v>
      </x:c>
      <x:c r="Q478" s="243" t="n">
        <x:f>1/(1+EXP(-P478))</x:f>
        <x:v>0.003745558545697004</x:v>
      </x:c>
      <x:c r="R478" s="243" t="n">
        <x:f>D478*J478+E478*K478+L478</x:f>
        <x:v>-1.5232036129321023</x:v>
      </x:c>
      <x:c r="S478" s="243" t="n">
        <x:f>1/(1+EXP(-R478))</x:f>
        <x:v>0.17899025545599812</x:v>
      </x:c>
      <x:c r="T478" s="243" t="n">
        <x:f>Q478*M478+S478*N478+O478</x:f>
        <x:v>1.0069100113454559</x:v>
      </x:c>
      <x:c r="U478" s="243" t="n">
        <x:f>1/(1+EXP(-T478))</x:f>
        <x:v>0.732414998238988</x:v>
      </x:c>
      <x:c r="V478" s="243" t="n">
        <x:f>0.5*(F478-U478)^2</x:f>
        <x:v>0.035800866583720385</x:v>
      </x:c>
      <x:c r="W478" s="244" t="n">
        <x:f>(U478-F478)*U478*(1-U478)</x:f>
        <x:v>-0.05244218327173963</x:v>
      </x:c>
      <x:c r="X478" s="244" t="n">
        <x:f>W478*M478*Q478*(1-Q478)</x:f>
        <x:v>-0.0008295657335512183</x:v>
      </x:c>
      <x:c r="Y478" s="244" t="n">
        <x:f>W478*N478*S478*(1-S478)</x:f>
        <x:v>0.030679315898793108</x:v>
      </x:c>
      <x:c r="Z478" s="245" t="n">
        <x:f>X478*D478</x:f>
        <x:v>0</x:v>
      </x:c>
      <x:c r="AA478" s="245" t="n">
        <x:f>X478*E478</x:f>
        <x:v>-0.0008295657335512183</x:v>
      </x:c>
      <x:c r="AB478" s="245" t="n">
        <x:f>X478</x:f>
        <x:v>-0.0008295657335512183</x:v>
      </x:c>
      <x:c r="AC478" s="245" t="n">
        <x:f>Y478*D478</x:f>
        <x:v>0</x:v>
      </x:c>
      <x:c r="AD478" s="245" t="n">
        <x:f>Y478*E478</x:f>
        <x:v>0.030679315898793108</x:v>
      </x:c>
      <x:c r="AE478" s="245" t="n">
        <x:f>Y478</x:f>
        <x:v>0.030679315898793108</x:v>
      </x:c>
      <x:c r="AF478" s="245" t="n">
        <x:f>W478*Q478</x:f>
        <x:v>-0.00019642526770847284</x:v>
      </x:c>
      <x:c r="AG478" s="245" t="n">
        <x:f>W478*S478</x:f>
        <x:v>-0.009386639780478948</x:v>
      </x:c>
      <x:c r="AH478" s="245" t="n">
        <x:f>W478</x:f>
        <x:v>-0.05244218327173963</x:v>
      </x:c>
      <x:c r="AI478" s="246" t="n">
        <x:f>G478-$B$4*Z478</x:f>
        <x:v>3.2688434510028053</x:v>
      </x:c>
      <x:c r="AJ478" s="246" t="n">
        <x:f>H478-$B$4*AA478</x:f>
        <x:v>-3.679864903318199</x:v>
      </x:c>
      <x:c r="AK478" s="246" t="n">
        <x:f>I478-$B$4*AB478</x:f>
        <x:v>-1.9019079032549968</x:v>
      </x:c>
      <x:c r="AL478" s="246" t="n">
        <x:f>J478-$B$4*AC478</x:f>
        <x:v>3.5846691577011502</x:v>
      </x:c>
      <x:c r="AM478" s="246" t="n">
        <x:f>K478-$B$4*AD478</x:f>
        <x:v>-3.452273566245755</x:v>
      </x:c>
      <x:c r="AN478" s="246" t="n">
        <x:f>L478-$B$4*AE478</x:f>
        <x:v>1.8677113215160668</x:v>
      </x:c>
      <x:c r="AO478" s="246" t="n">
        <x:f>M478-$B$4*AF478</x:f>
        <x:v>4.239389336618336</x:v>
      </x:c>
      <x:c r="AP478" s="246" t="n">
        <x:f>N478-$B$4*AG478</x:f>
        <x:v>-3.9715678036732083</x:v>
      </x:c>
      <x:c r="AQ478" s="246" t="n">
        <x:f>O478-$B$4*AH478</x:f>
        <x:v>1.7560261021736943</x:v>
      </x:c>
      <x:c r="AR478" s="182" t="n">
        <x:f>IF(U478&gt;=$B$5,1,0)</x:f>
        <x:v>1</x:v>
      </x:c>
      <x:c r="AS478" s="182" t="n">
        <x:f>IF(AR478=F478,1,0)</x:f>
        <x:v>1</x:v>
      </x:c>
      <x:c r="AT478" s="252" t="n">
        <x:f>ABS(F478-U478)</x:f>
        <x:v>0.26758500176101196</x:v>
      </x:c>
    </x:row>
    <x:row r="479">
      <x:c r="A479" s="114" t="n">
        <x:v>463</x:v>
      </x:c>
      <x:c r="B479" s="114" t="n">
        <x:v>116</x:v>
      </x:c>
      <x:c r="C479" s="114" t="n">
        <x:v>3</x:v>
      </x:c>
      <x:c r="D479" s="168" t="n">
        <x:f>$I$7</x:f>
        <x:v>1</x:v>
      </x:c>
      <x:c r="E479" s="168" t="n">
        <x:f>$J$7</x:f>
        <x:v>0</x:v>
      </x:c>
      <x:c r="F479" s="168" t="n">
        <x:f>$K$7</x:f>
        <x:v>1</x:v>
      </x:c>
      <x:c r="G479" s="242" t="n">
        <x:f>AI478</x:f>
        <x:v>3.2688434510028053</x:v>
      </x:c>
      <x:c r="H479" s="242" t="n">
        <x:f>AJ478</x:f>
        <x:v>-3.679864903318199</x:v>
      </x:c>
      <x:c r="I479" s="242" t="n">
        <x:f>AK478</x:f>
        <x:v>-1.9019079032549968</x:v>
      </x:c>
      <x:c r="J479" s="242" t="n">
        <x:f>AL478</x:f>
        <x:v>3.5846691577011502</x:v>
      </x:c>
      <x:c r="K479" s="242" t="n">
        <x:f>AM478</x:f>
        <x:v>-3.452273566245755</x:v>
      </x:c>
      <x:c r="L479" s="242" t="n">
        <x:f>AN478</x:f>
        <x:v>1.8677113215160668</x:v>
      </x:c>
      <x:c r="M479" s="242" t="n">
        <x:f>AO478</x:f>
        <x:v>4.239389336618336</x:v>
      </x:c>
      <x:c r="N479" s="242" t="n">
        <x:f>AP478</x:f>
        <x:v>-3.9715678036732083</x:v>
      </x:c>
      <x:c r="O479" s="242" t="n">
        <x:f>AQ478</x:f>
        <x:v>1.7560261021736943</x:v>
      </x:c>
      <x:c r="P479" s="243" t="n">
        <x:f>D479*G479+E479*H479+I479</x:f>
        <x:v>1.3669355477478085</x:v>
      </x:c>
      <x:c r="Q479" s="243" t="n">
        <x:f>1/(1+EXP(-P479))</x:f>
        <x:v>0.7968845939858561</x:v>
      </x:c>
      <x:c r="R479" s="243" t="n">
        <x:f>D479*J479+E479*K479+L479</x:f>
        <x:v>5.452380479217217</x:v>
      </x:c>
      <x:c r="S479" s="243" t="n">
        <x:f>1/(1+EXP(-R479))</x:f>
        <x:v>0.995732202572161</x:v>
      </x:c>
      <x:c r="T479" s="243" t="n">
        <x:f>Q479*M479+S479*N479+O479</x:f>
        <x:v>1.1797121956165615</x:v>
      </x:c>
      <x:c r="U479" s="243" t="n">
        <x:f>1/(1+EXP(-T479))</x:f>
        <x:v>0.7648960518238035</x:v>
      </x:c>
      <x:c r="V479" s="243" t="n">
        <x:f>0.5*(F479-U479)^2</x:f>
        <x:v>0.02763693322401785</x:v>
      </x:c>
      <x:c r="W479" s="244" t="n">
        <x:f>(U479-F479)*U479*(1-U479)</x:f>
        <x:v>-0.0422787622151387</x:v>
      </x:c>
      <x:c r="X479" s="244" t="n">
        <x:f>W479*M479*Q479*(1-Q479)</x:f>
        <x:v>-0.029011077767439</x:v>
      </x:c>
      <x:c r="Y479" s="244" t="n">
        <x:f>W479*N479*S479*(1-S479)</x:f>
        <x:v>0.0007135601620678648</x:v>
      </x:c>
      <x:c r="Z479" s="245" t="n">
        <x:f>X479*D479</x:f>
        <x:v>-0.029011077767439</x:v>
      </x:c>
      <x:c r="AA479" s="245" t="n">
        <x:f>X479*E479</x:f>
        <x:v>0</x:v>
      </x:c>
      <x:c r="AB479" s="245" t="n">
        <x:f>X479</x:f>
        <x:v>-0.029011077767439</x:v>
      </x:c>
      <x:c r="AC479" s="245" t="n">
        <x:f>Y479*D479</x:f>
        <x:v>0.0007135601620678648</x:v>
      </x:c>
      <x:c r="AD479" s="245" t="n">
        <x:f>Y479*E479</x:f>
        <x:v>0</x:v>
      </x:c>
      <x:c r="AE479" s="245" t="n">
        <x:f>Y479</x:f>
        <x:v>0.0007135601620678648</x:v>
      </x:c>
      <x:c r="AF479" s="245" t="n">
        <x:f>W479*Q479</x:f>
        <x:v>-0.03369129426203536</x:v>
      </x:c>
      <x:c r="AG479" s="245" t="n">
        <x:f>W479*S479</x:f>
        <x:v>-0.04209832502250472</x:v>
      </x:c>
      <x:c r="AH479" s="245" t="n">
        <x:f>W479</x:f>
        <x:v>-0.0422787622151387</x:v>
      </x:c>
      <x:c r="AI479" s="246" t="n">
        <x:f>G479-$B$4*Z479</x:f>
        <x:v>3.297854528770244</x:v>
      </x:c>
      <x:c r="AJ479" s="246" t="n">
        <x:f>H479-$B$4*AA479</x:f>
        <x:v>-3.679864903318199</x:v>
      </x:c>
      <x:c r="AK479" s="246" t="n">
        <x:f>I479-$B$4*AB479</x:f>
        <x:v>-1.8728968254875578</x:v>
      </x:c>
      <x:c r="AL479" s="246" t="n">
        <x:f>J479-$B$4*AC479</x:f>
        <x:v>3.583955597539082</x:v>
      </x:c>
      <x:c r="AM479" s="246" t="n">
        <x:f>K479-$B$4*AD479</x:f>
        <x:v>-3.452273566245755</x:v>
      </x:c>
      <x:c r="AN479" s="246" t="n">
        <x:f>L479-$B$4*AE479</x:f>
        <x:v>1.866997761353999</x:v>
      </x:c>
      <x:c r="AO479" s="246" t="n">
        <x:f>M479-$B$4*AF479</x:f>
        <x:v>4.273080630880371</x:v>
      </x:c>
      <x:c r="AP479" s="246" t="n">
        <x:f>N479-$B$4*AG479</x:f>
        <x:v>-3.9294694786507036</x:v>
      </x:c>
      <x:c r="AQ479" s="246" t="n">
        <x:f>O479-$B$4*AH479</x:f>
        <x:v>1.7983048643888329</x:v>
      </x:c>
      <x:c r="AR479" s="182" t="n">
        <x:f>IF(U479&gt;=$B$5,1,0)</x:f>
        <x:v>1</x:v>
      </x:c>
      <x:c r="AS479" s="182" t="n">
        <x:f>IF(AR479=F479,1,0)</x:f>
        <x:v>1</x:v>
      </x:c>
      <x:c r="AT479" s="252" t="n">
        <x:f>ABS(F479-U479)</x:f>
        <x:v>0.2351039481761965</x:v>
      </x:c>
    </x:row>
    <x:row r="480">
      <x:c r="A480" s="114" t="n">
        <x:v>464</x:v>
      </x:c>
      <x:c r="B480" s="114" t="n">
        <x:v>116</x:v>
      </x:c>
      <x:c r="C480" s="114" t="n">
        <x:v>4</x:v>
      </x:c>
      <x:c r="D480" s="168" t="n">
        <x:f>$I$8</x:f>
        <x:v>1</x:v>
      </x:c>
      <x:c r="E480" s="168" t="n">
        <x:f>$J$8</x:f>
        <x:v>1</x:v>
      </x:c>
      <x:c r="F480" s="168" t="n">
        <x:f>$K$8</x:f>
        <x:v>0</x:v>
      </x:c>
      <x:c r="G480" s="242" t="n">
        <x:f>AI479</x:f>
        <x:v>3.297854528770244</x:v>
      </x:c>
      <x:c r="H480" s="242" t="n">
        <x:f>AJ479</x:f>
        <x:v>-3.679864903318199</x:v>
      </x:c>
      <x:c r="I480" s="242" t="n">
        <x:f>AK479</x:f>
        <x:v>-1.8728968254875578</x:v>
      </x:c>
      <x:c r="J480" s="242" t="n">
        <x:f>AL479</x:f>
        <x:v>3.583955597539082</x:v>
      </x:c>
      <x:c r="K480" s="242" t="n">
        <x:f>AM479</x:f>
        <x:v>-3.452273566245755</x:v>
      </x:c>
      <x:c r="L480" s="242" t="n">
        <x:f>AN479</x:f>
        <x:v>1.866997761353999</x:v>
      </x:c>
      <x:c r="M480" s="242" t="n">
        <x:f>AO479</x:f>
        <x:v>4.273080630880371</x:v>
      </x:c>
      <x:c r="N480" s="242" t="n">
        <x:f>AP479</x:f>
        <x:v>-3.9294694786507036</x:v>
      </x:c>
      <x:c r="O480" s="242" t="n">
        <x:f>AQ479</x:f>
        <x:v>1.7983048643888329</x:v>
      </x:c>
      <x:c r="P480" s="243" t="n">
        <x:f>D480*G480+E480*H480+I480</x:f>
        <x:v>-2.254907200035513</x:v>
      </x:c>
      <x:c r="Q480" s="243" t="n">
        <x:f>1/(1+EXP(-P480))</x:f>
        <x:v>0.0949270196088918</x:v>
      </x:c>
      <x:c r="R480" s="243" t="n">
        <x:f>D480*J480+E480*K480+L480</x:f>
        <x:v>1.998679792647326</x:v>
      </x:c>
      <x:c r="S480" s="243" t="n">
        <x:f>1/(1+EXP(-R480))</x:f>
        <x:v>0.8806583949743331</x:v>
      </x:c>
      <x:c r="T480" s="243" t="n">
        <x:f>Q480*M480+S480*N480+O480</x:f>
        <x:v>-1.2565846109423684</x:v>
      </x:c>
      <x:c r="U480" s="243" t="n">
        <x:f>1/(1+EXP(-T480))</x:f>
        <x:v>0.22156239268546857</x:v>
      </x:c>
      <x:c r="V480" s="243" t="n">
        <x:f>0.5*(F480-U480)^2</x:f>
        <x:v>0.024544946926254887</x:v>
      </x:c>
      <x:c r="W480" s="244" t="n">
        <x:f>(U480-F480)*U480*(1-U480)</x:f>
        <x:v>0.038213419513872034</x:v>
      </x:c>
      <x:c r="X480" s="244" t="n">
        <x:f>W480*M480*Q480*(1-Q480)</x:f>
        <x:v>0.014029120176108838</x:v>
      </x:c>
      <x:c r="Y480" s="244" t="n">
        <x:f>W480*N480*S480*(1-S480)</x:f>
        <x:v>-0.015781532561699008</x:v>
      </x:c>
      <x:c r="Z480" s="245" t="n">
        <x:f>X480*D480</x:f>
        <x:v>0.014029120176108838</x:v>
      </x:c>
      <x:c r="AA480" s="245" t="n">
        <x:f>X480*E480</x:f>
        <x:v>0.014029120176108838</x:v>
      </x:c>
      <x:c r="AB480" s="245" t="n">
        <x:f>X480</x:f>
        <x:v>0.014029120176108838</x:v>
      </x:c>
      <x:c r="AC480" s="245" t="n">
        <x:f>Y480*D480</x:f>
        <x:v>-0.015781532561699008</x:v>
      </x:c>
      <x:c r="AD480" s="245" t="n">
        <x:f>Y480*E480</x:f>
        <x:v>-0.015781532561699008</x:v>
      </x:c>
      <x:c r="AE480" s="245" t="n">
        <x:f>Y480</x:f>
        <x:v>-0.015781532561699008</x:v>
      </x:c>
      <x:c r="AF480" s="245" t="n">
        <x:f>W480*Q480</x:f>
        <x:v>0.003627486023516139</x:v>
      </x:c>
      <x:c r="AG480" s="245" t="n">
        <x:f>W480*S480</x:f>
        <x:v>0.03365296869556741</x:v>
      </x:c>
      <x:c r="AH480" s="245" t="n">
        <x:f>W480</x:f>
        <x:v>0.038213419513872034</x:v>
      </x:c>
      <x:c r="AI480" s="246" t="n">
        <x:f>G480-$B$4*Z480</x:f>
        <x:v>3.283825408594135</x:v>
      </x:c>
      <x:c r="AJ480" s="246" t="n">
        <x:f>H480-$B$4*AA480</x:f>
        <x:v>-3.693894023494308</x:v>
      </x:c>
      <x:c r="AK480" s="246" t="n">
        <x:f>I480-$B$4*AB480</x:f>
        <x:v>-1.8869259456636667</x:v>
      </x:c>
      <x:c r="AL480" s="246" t="n">
        <x:f>J480-$B$4*AC480</x:f>
        <x:v>3.599737130100781</x:v>
      </x:c>
      <x:c r="AM480" s="246" t="n">
        <x:f>K480-$B$4*AD480</x:f>
        <x:v>-3.436492033684056</x:v>
      </x:c>
      <x:c r="AN480" s="246" t="n">
        <x:f>L480-$B$4*AE480</x:f>
        <x:v>1.882779293915698</x:v>
      </x:c>
      <x:c r="AO480" s="246" t="n">
        <x:f>M480-$B$4*AF480</x:f>
        <x:v>4.269453144856855</x:v>
      </x:c>
      <x:c r="AP480" s="246" t="n">
        <x:f>N480-$B$4*AG480</x:f>
        <x:v>-3.963122447346271</x:v>
      </x:c>
      <x:c r="AQ480" s="246" t="n">
        <x:f>O480-$B$4*AH480</x:f>
        <x:v>1.7600914448749607</x:v>
      </x:c>
      <x:c r="AR480" s="182" t="n">
        <x:f>IF(U480&gt;=$B$5,1,0)</x:f>
        <x:v>0</x:v>
      </x:c>
      <x:c r="AS480" s="182" t="n">
        <x:f>IF(AR480=F480,1,0)</x:f>
        <x:v>1</x:v>
      </x:c>
      <x:c r="AT480" s="252" t="n">
        <x:f>ABS(F480-U480)</x:f>
        <x:v>0.22156239268546857</x:v>
      </x:c>
    </x:row>
    <x:row r="481">
      <x:c r="A481" s="114" t="n">
        <x:v>465</x:v>
      </x:c>
      <x:c r="B481" s="114" t="n">
        <x:v>117</x:v>
      </x:c>
      <x:c r="C481" s="114" t="n">
        <x:v>1</x:v>
      </x:c>
      <x:c r="D481" s="168" t="n">
        <x:f>$I$5</x:f>
        <x:v>0</x:v>
      </x:c>
      <x:c r="E481" s="168" t="n">
        <x:f>$J$5</x:f>
        <x:v>0</x:v>
      </x:c>
      <x:c r="F481" s="168" t="n">
        <x:f>$K$5</x:f>
        <x:v>0</x:v>
      </x:c>
      <x:c r="G481" s="242" t="n">
        <x:f>AI480</x:f>
        <x:v>3.283825408594135</x:v>
      </x:c>
      <x:c r="H481" s="242" t="n">
        <x:f>AJ480</x:f>
        <x:v>-3.693894023494308</x:v>
      </x:c>
      <x:c r="I481" s="242" t="n">
        <x:f>AK480</x:f>
        <x:v>-1.8869259456636667</x:v>
      </x:c>
      <x:c r="J481" s="242" t="n">
        <x:f>AL480</x:f>
        <x:v>3.599737130100781</x:v>
      </x:c>
      <x:c r="K481" s="242" t="n">
        <x:f>AM480</x:f>
        <x:v>-3.436492033684056</x:v>
      </x:c>
      <x:c r="L481" s="242" t="n">
        <x:f>AN480</x:f>
        <x:v>1.882779293915698</x:v>
      </x:c>
      <x:c r="M481" s="242" t="n">
        <x:f>AO480</x:f>
        <x:v>4.269453144856855</x:v>
      </x:c>
      <x:c r="N481" s="242" t="n">
        <x:f>AP480</x:f>
        <x:v>-3.963122447346271</x:v>
      </x:c>
      <x:c r="O481" s="242" t="n">
        <x:f>AQ480</x:f>
        <x:v>1.7600914448749607</x:v>
      </x:c>
      <x:c r="P481" s="243" t="n">
        <x:f>D481*G481+E481*H481+I481</x:f>
        <x:v>-1.8869259456636667</x:v>
      </x:c>
      <x:c r="Q481" s="243" t="n">
        <x:f>1/(1+EXP(-P481))</x:f>
        <x:v>0.13159536863656923</x:v>
      </x:c>
      <x:c r="R481" s="243" t="n">
        <x:f>D481*J481+E481*K481+L481</x:f>
        <x:v>1.882779293915698</x:v>
      </x:c>
      <x:c r="S481" s="243" t="n">
        <x:f>1/(1+EXP(-R481))</x:f>
        <x:v>0.8679300358468106</x:v>
      </x:c>
      <x:c r="T481" s="243" t="n">
        <x:f>Q481*M481+S481*N481+O481</x:f>
        <x:v>-1.1177813024415906</x:v>
      </x:c>
      <x:c r="U481" s="243" t="n">
        <x:f>1/(1+EXP(-T481))</x:f>
        <x:v>0.24642306104400638</x:v>
      </x:c>
      <x:c r="V481" s="243" t="n">
        <x:f>0.5*(F481-U481)^2</x:f>
        <x:v>0.030362162507149047</x:v>
      </x:c>
      <x:c r="W481" s="244" t="n">
        <x:f>(U481-F481)*U481*(1-U481)</x:f>
        <x:v>0.04576045096444363</x:v>
      </x:c>
      <x:c r="X481" s="244" t="n">
        <x:f>W481*M481*Q481*(1-Q481)</x:f>
        <x:v>0.02232673838041137</x:v>
      </x:c>
      <x:c r="Y481" s="244" t="n">
        <x:f>W481*N481*S481*(1-S481)</x:f>
        <x:v>-0.020788184586968808</x:v>
      </x:c>
      <x:c r="Z481" s="245" t="n">
        <x:f>X481*D481</x:f>
        <x:v>0</x:v>
      </x:c>
      <x:c r="AA481" s="245" t="n">
        <x:f>X481*E481</x:f>
        <x:v>0</x:v>
      </x:c>
      <x:c r="AB481" s="245" t="n">
        <x:f>X481</x:f>
        <x:v>0.02232673838041137</x:v>
      </x:c>
      <x:c r="AC481" s="245" t="n">
        <x:f>Y481*D481</x:f>
        <x:v>0</x:v>
      </x:c>
      <x:c r="AD481" s="245" t="n">
        <x:f>Y481*E481</x:f>
        <x:v>0</x:v>
      </x:c>
      <x:c r="AE481" s="245" t="n">
        <x:f>Y481</x:f>
        <x:v>-0.020788184586968808</x:v>
      </x:c>
      <x:c r="AF481" s="245" t="n">
        <x:f>W481*Q481</x:f>
        <x:v>0.006021863413641609</x:v>
      </x:c>
      <x:c r="AG481" s="245" t="n">
        <x:f>W481*S481</x:f>
        <x:v>0.03971686984593578</x:v>
      </x:c>
      <x:c r="AH481" s="245" t="n">
        <x:f>W481</x:f>
        <x:v>0.04576045096444363</x:v>
      </x:c>
      <x:c r="AI481" s="246" t="n">
        <x:f>G481-$B$4*Z481</x:f>
        <x:v>3.283825408594135</x:v>
      </x:c>
      <x:c r="AJ481" s="246" t="n">
        <x:f>H481-$B$4*AA481</x:f>
        <x:v>-3.693894023494308</x:v>
      </x:c>
      <x:c r="AK481" s="246" t="n">
        <x:f>I481-$B$4*AB481</x:f>
        <x:v>-1.909252684044078</x:v>
      </x:c>
      <x:c r="AL481" s="246" t="n">
        <x:f>J481-$B$4*AC481</x:f>
        <x:v>3.599737130100781</x:v>
      </x:c>
      <x:c r="AM481" s="246" t="n">
        <x:f>K481-$B$4*AD481</x:f>
        <x:v>-3.436492033684056</x:v>
      </x:c>
      <x:c r="AN481" s="246" t="n">
        <x:f>L481-$B$4*AE481</x:f>
        <x:v>1.9035674785026668</x:v>
      </x:c>
      <x:c r="AO481" s="246" t="n">
        <x:f>M481-$B$4*AF481</x:f>
        <x:v>4.263431281443213</x:v>
      </x:c>
      <x:c r="AP481" s="246" t="n">
        <x:f>N481-$B$4*AG481</x:f>
        <x:v>-4.0028393171922065</x:v>
      </x:c>
      <x:c r="AQ481" s="246" t="n">
        <x:f>O481-$B$4*AH481</x:f>
        <x:v>1.7143309939105171</x:v>
      </x:c>
      <x:c r="AR481" s="182" t="n">
        <x:f>IF(U481&gt;=$B$5,1,0)</x:f>
        <x:v>0</x:v>
      </x:c>
      <x:c r="AS481" s="182" t="n">
        <x:f>IF(AR481=F481,1,0)</x:f>
        <x:v>1</x:v>
      </x:c>
      <x:c r="AT481" s="252" t="n">
        <x:f>ABS(F481-U481)</x:f>
        <x:v>0.24642306104400638</x:v>
      </x:c>
    </x:row>
    <x:row r="482">
      <x:c r="A482" s="114" t="n">
        <x:v>466</x:v>
      </x:c>
      <x:c r="B482" s="114" t="n">
        <x:v>117</x:v>
      </x:c>
      <x:c r="C482" s="114" t="n">
        <x:v>2</x:v>
      </x:c>
      <x:c r="D482" s="168" t="n">
        <x:f>$I$6</x:f>
        <x:v>0</x:v>
      </x:c>
      <x:c r="E482" s="168" t="n">
        <x:f>$J$6</x:f>
        <x:v>1</x:v>
      </x:c>
      <x:c r="F482" s="168" t="n">
        <x:f>$K$6</x:f>
        <x:v>1</x:v>
      </x:c>
      <x:c r="G482" s="242" t="n">
        <x:f>AI481</x:f>
        <x:v>3.283825408594135</x:v>
      </x:c>
      <x:c r="H482" s="242" t="n">
        <x:f>AJ481</x:f>
        <x:v>-3.693894023494308</x:v>
      </x:c>
      <x:c r="I482" s="242" t="n">
        <x:f>AK481</x:f>
        <x:v>-1.909252684044078</x:v>
      </x:c>
      <x:c r="J482" s="242" t="n">
        <x:f>AL481</x:f>
        <x:v>3.599737130100781</x:v>
      </x:c>
      <x:c r="K482" s="242" t="n">
        <x:f>AM481</x:f>
        <x:v>-3.436492033684056</x:v>
      </x:c>
      <x:c r="L482" s="242" t="n">
        <x:f>AN481</x:f>
        <x:v>1.9035674785026668</x:v>
      </x:c>
      <x:c r="M482" s="242" t="n">
        <x:f>AO481</x:f>
        <x:v>4.263431281443213</x:v>
      </x:c>
      <x:c r="N482" s="242" t="n">
        <x:f>AP481</x:f>
        <x:v>-4.0028393171922065</x:v>
      </x:c>
      <x:c r="O482" s="242" t="n">
        <x:f>AQ481</x:f>
        <x:v>1.7143309939105171</x:v>
      </x:c>
      <x:c r="P482" s="243" t="n">
        <x:f>D482*G482+E482*H482+I482</x:f>
        <x:v>-5.603146707538386</x:v>
      </x:c>
      <x:c r="Q482" s="243" t="n">
        <x:f>1/(1+EXP(-P482))</x:f>
        <x:v>0.0036727074067031563</x:v>
      </x:c>
      <x:c r="R482" s="243" t="n">
        <x:f>D482*J482+E482*K482+L482</x:f>
        <x:v>-1.532924555181389</x:v>
      </x:c>
      <x:c r="S482" s="243" t="n">
        <x:f>1/(1+EXP(-R482))</x:f>
        <x:v>0.17756619134971463</x:v>
      </x:c>
      <x:c r="T482" s="243" t="n">
        <x:f>Q482*M482+S482*N482+O482</x:f>
        <x:v>1.019220397417131</x:v>
      </x:c>
      <x:c r="U482" s="243" t="n">
        <x:f>1/(1+EXP(-T482))</x:f>
        <x:v>0.7348207145187196</x:v>
      </x:c>
      <x:c r="V482" s="243" t="n">
        <x:f>0.5*(F482-U482)^2</x:f>
        <x:v>0.03516002672418122</x:v>
      </x:c>
      <x:c r="W482" s="244" t="n">
        <x:f>(U482-F482)*U482*(1-U482)</x:f>
        <x:v>-0.051672631919920234</x:v>
      </x:c>
      <x:c r="X482" s="244" t="n">
        <x:f>W482*M482*Q482*(1-Q482)</x:f>
        <x:v>-0.0008061357994862759</x:v>
      </x:c>
      <x:c r="Y482" s="244" t="n">
        <x:f>W482*N482*S482*(1-S482)</x:f>
        <x:v>0.030205774380499685</x:v>
      </x:c>
      <x:c r="Z482" s="245" t="n">
        <x:f>X482*D482</x:f>
        <x:v>0</x:v>
      </x:c>
      <x:c r="AA482" s="245" t="n">
        <x:f>X482*E482</x:f>
        <x:v>-0.0008061357994862759</x:v>
      </x:c>
      <x:c r="AB482" s="245" t="n">
        <x:f>X482</x:f>
        <x:v>-0.0008061357994862759</x:v>
      </x:c>
      <x:c r="AC482" s="245" t="n">
        <x:f>Y482*D482</x:f>
        <x:v>0</x:v>
      </x:c>
      <x:c r="AD482" s="245" t="n">
        <x:f>Y482*E482</x:f>
        <x:v>0.030205774380499685</x:v>
      </x:c>
      <x:c r="AE482" s="245" t="n">
        <x:f>Y482</x:f>
        <x:v>0.030205774380499685</x:v>
      </x:c>
      <x:c r="AF482" s="245" t="n">
        <x:f>W482*Q482</x:f>
        <x:v>-0.00018977845797613698</x:v>
      </x:c>
      <x:c r="AG482" s="245" t="n">
        <x:f>W482*S482</x:f>
        <x:v>-0.009175312447035929</x:v>
      </x:c>
      <x:c r="AH482" s="245" t="n">
        <x:f>W482</x:f>
        <x:v>-0.051672631919920234</x:v>
      </x:c>
      <x:c r="AI482" s="246" t="n">
        <x:f>G482-$B$4*Z482</x:f>
        <x:v>3.283825408594135</x:v>
      </x:c>
      <x:c r="AJ482" s="246" t="n">
        <x:f>H482-$B$4*AA482</x:f>
        <x:v>-3.693087887694822</x:v>
      </x:c>
      <x:c r="AK482" s="246" t="n">
        <x:f>I482-$B$4*AB482</x:f>
        <x:v>-1.9084465482445918</x:v>
      </x:c>
      <x:c r="AL482" s="246" t="n">
        <x:f>J482-$B$4*AC482</x:f>
        <x:v>3.599737130100781</x:v>
      </x:c>
      <x:c r="AM482" s="246" t="n">
        <x:f>K482-$B$4*AD482</x:f>
        <x:v>-3.4666978080645556</x:v>
      </x:c>
      <x:c r="AN482" s="246" t="n">
        <x:f>L482-$B$4*AE482</x:f>
        <x:v>1.873361704122167</x:v>
      </x:c>
      <x:c r="AO482" s="246" t="n">
        <x:f>M482-$B$4*AF482</x:f>
        <x:v>4.2636210599011894</x:v>
      </x:c>
      <x:c r="AP482" s="246" t="n">
        <x:f>N482-$B$4*AG482</x:f>
        <x:v>-3.993664004745171</x:v>
      </x:c>
      <x:c r="AQ482" s="246" t="n">
        <x:f>O482-$B$4*AH482</x:f>
        <x:v>1.7660036258304375</x:v>
      </x:c>
      <x:c r="AR482" s="182" t="n">
        <x:f>IF(U482&gt;=$B$5,1,0)</x:f>
        <x:v>1</x:v>
      </x:c>
      <x:c r="AS482" s="182" t="n">
        <x:f>IF(AR482=F482,1,0)</x:f>
        <x:v>1</x:v>
      </x:c>
      <x:c r="AT482" s="252" t="n">
        <x:f>ABS(F482-U482)</x:f>
        <x:v>0.26517928548128045</x:v>
      </x:c>
    </x:row>
    <x:row r="483">
      <x:c r="A483" s="114" t="n">
        <x:v>467</x:v>
      </x:c>
      <x:c r="B483" s="114" t="n">
        <x:v>117</x:v>
      </x:c>
      <x:c r="C483" s="114" t="n">
        <x:v>3</x:v>
      </x:c>
      <x:c r="D483" s="168" t="n">
        <x:f>$I$7</x:f>
        <x:v>1</x:v>
      </x:c>
      <x:c r="E483" s="168" t="n">
        <x:f>$J$7</x:f>
        <x:v>0</x:v>
      </x:c>
      <x:c r="F483" s="168" t="n">
        <x:f>$K$7</x:f>
        <x:v>1</x:v>
      </x:c>
      <x:c r="G483" s="242" t="n">
        <x:f>AI482</x:f>
        <x:v>3.283825408594135</x:v>
      </x:c>
      <x:c r="H483" s="242" t="n">
        <x:f>AJ482</x:f>
        <x:v>-3.693087887694822</x:v>
      </x:c>
      <x:c r="I483" s="242" t="n">
        <x:f>AK482</x:f>
        <x:v>-1.9084465482445918</x:v>
      </x:c>
      <x:c r="J483" s="242" t="n">
        <x:f>AL482</x:f>
        <x:v>3.599737130100781</x:v>
      </x:c>
      <x:c r="K483" s="242" t="n">
        <x:f>AM482</x:f>
        <x:v>-3.4666978080645556</x:v>
      </x:c>
      <x:c r="L483" s="242" t="n">
        <x:f>AN482</x:f>
        <x:v>1.873361704122167</x:v>
      </x:c>
      <x:c r="M483" s="242" t="n">
        <x:f>AO482</x:f>
        <x:v>4.2636210599011894</x:v>
      </x:c>
      <x:c r="N483" s="242" t="n">
        <x:f>AP482</x:f>
        <x:v>-3.993664004745171</x:v>
      </x:c>
      <x:c r="O483" s="242" t="n">
        <x:f>AQ482</x:f>
        <x:v>1.7660036258304375</x:v>
      </x:c>
      <x:c r="P483" s="243" t="n">
        <x:f>D483*G483+E483*H483+I483</x:f>
        <x:v>1.3753788603495434</x:v>
      </x:c>
      <x:c r="Q483" s="243" t="n">
        <x:f>1/(1+EXP(-P483))</x:f>
        <x:v>0.7982477994303319</x:v>
      </x:c>
      <x:c r="R483" s="243" t="n">
        <x:f>D483*J483+E483*K483+L483</x:f>
        <x:v>5.473098834222948</x:v>
      </x:c>
      <x:c r="S483" s="243" t="n">
        <x:f>1/(1+EXP(-R483))</x:f>
        <x:v>0.995819348773657</x:v>
      </x:c>
      <x:c r="T483" s="243" t="n">
        <x:f>Q483*M483+S483*N483+O483</x:f>
        <x:v>1.1924618660752502</x:v>
      </x:c>
      <x:c r="U483" s="243" t="n">
        <x:f>1/(1+EXP(-T483))</x:f>
        <x:v>0.7671810778473458</x:v>
      </x:c>
      <x:c r="V483" s="243" t="n">
        <x:f>0.5*(F483-U483)^2</x:f>
        <x:v>0.02710232525616183</x:v>
      </x:c>
      <x:c r="W483" s="244" t="n">
        <x:f>(U483-F483)*U483*(1-U483)</x:f>
        <x:v>-0.04158478220438315</x:v>
      </x:c>
      <x:c r="X483" s="244" t="n">
        <x:f>W483*M483*Q483*(1-Q483)</x:f>
        <x:v>-0.028554137095180253</x:v>
      </x:c>
      <x:c r="Y483" s="244" t="n">
        <x:f>W483*N483*S483*(1-S483)</x:f>
        <x:v>0.0006914017164089463</x:v>
      </x:c>
      <x:c r="Z483" s="245" t="n">
        <x:f>X483*D483</x:f>
        <x:v>-0.028554137095180253</x:v>
      </x:c>
      <x:c r="AA483" s="245" t="n">
        <x:f>X483*E483</x:f>
        <x:v>0</x:v>
      </x:c>
      <x:c r="AB483" s="245" t="n">
        <x:f>X483</x:f>
        <x:v>-0.028554137095180253</x:v>
      </x:c>
      <x:c r="AC483" s="245" t="n">
        <x:f>Y483*D483</x:f>
        <x:v>0.0006914017164089463</x:v>
      </x:c>
      <x:c r="AD483" s="245" t="n">
        <x:f>Y483*E483</x:f>
        <x:v>0</x:v>
      </x:c>
      <x:c r="AE483" s="245" t="n">
        <x:f>Y483</x:f>
        <x:v>0.0006914017164089463</x:v>
      </x:c>
      <x:c r="AF483" s="245" t="n">
        <x:f>W483*Q483</x:f>
        <x:v>-0.033194960884438476</x:v>
      </x:c>
      <x:c r="AG483" s="245" t="n">
        <x:f>W483*S483</x:f>
        <x:v>-0.041410930733663184</x:v>
      </x:c>
      <x:c r="AH483" s="245" t="n">
        <x:f>W483</x:f>
        <x:v>-0.04158478220438315</x:v>
      </x:c>
      <x:c r="AI483" s="246" t="n">
        <x:f>G483-$B$4*Z483</x:f>
        <x:v>3.3123795456893155</x:v>
      </x:c>
      <x:c r="AJ483" s="246" t="n">
        <x:f>H483-$B$4*AA483</x:f>
        <x:v>-3.693087887694822</x:v>
      </x:c>
      <x:c r="AK483" s="246" t="n">
        <x:f>I483-$B$4*AB483</x:f>
        <x:v>-1.8798924111494115</x:v>
      </x:c>
      <x:c r="AL483" s="246" t="n">
        <x:f>J483-$B$4*AC483</x:f>
        <x:v>3.599045728384372</x:v>
      </x:c>
      <x:c r="AM483" s="246" t="n">
        <x:f>K483-$B$4*AD483</x:f>
        <x:v>-3.4666978080645556</x:v>
      </x:c>
      <x:c r="AN483" s="246" t="n">
        <x:f>L483-$B$4*AE483</x:f>
        <x:v>1.872670302405758</x:v>
      </x:c>
      <x:c r="AO483" s="246" t="n">
        <x:f>M483-$B$4*AF483</x:f>
        <x:v>4.296816020785628</x:v>
      </x:c>
      <x:c r="AP483" s="246" t="n">
        <x:f>N483-$B$4*AG483</x:f>
        <x:v>-3.952253074011508</x:v>
      </x:c>
      <x:c r="AQ483" s="246" t="n">
        <x:f>O483-$B$4*AH483</x:f>
        <x:v>1.8075884080348206</x:v>
      </x:c>
      <x:c r="AR483" s="182" t="n">
        <x:f>IF(U483&gt;=$B$5,1,0)</x:f>
        <x:v>1</x:v>
      </x:c>
      <x:c r="AS483" s="182" t="n">
        <x:f>IF(AR483=F483,1,0)</x:f>
        <x:v>1</x:v>
      </x:c>
      <x:c r="AT483" s="252" t="n">
        <x:f>ABS(F483-U483)</x:f>
        <x:v>0.2328189221526542</x:v>
      </x:c>
    </x:row>
    <x:row r="484">
      <x:c r="A484" s="114" t="n">
        <x:v>468</x:v>
      </x:c>
      <x:c r="B484" s="114" t="n">
        <x:v>117</x:v>
      </x:c>
      <x:c r="C484" s="114" t="n">
        <x:v>4</x:v>
      </x:c>
      <x:c r="D484" s="168" t="n">
        <x:f>$I$8</x:f>
        <x:v>1</x:v>
      </x:c>
      <x:c r="E484" s="168" t="n">
        <x:f>$J$8</x:f>
        <x:v>1</x:v>
      </x:c>
      <x:c r="F484" s="168" t="n">
        <x:f>$K$8</x:f>
        <x:v>0</x:v>
      </x:c>
      <x:c r="G484" s="242" t="n">
        <x:f>AI483</x:f>
        <x:v>3.3123795456893155</x:v>
      </x:c>
      <x:c r="H484" s="242" t="n">
        <x:f>AJ483</x:f>
        <x:v>-3.693087887694822</x:v>
      </x:c>
      <x:c r="I484" s="242" t="n">
        <x:f>AK483</x:f>
        <x:v>-1.8798924111494115</x:v>
      </x:c>
      <x:c r="J484" s="242" t="n">
        <x:f>AL483</x:f>
        <x:v>3.599045728384372</x:v>
      </x:c>
      <x:c r="K484" s="242" t="n">
        <x:f>AM483</x:f>
        <x:v>-3.4666978080645556</x:v>
      </x:c>
      <x:c r="L484" s="242" t="n">
        <x:f>AN483</x:f>
        <x:v>1.872670302405758</x:v>
      </x:c>
      <x:c r="M484" s="242" t="n">
        <x:f>AO483</x:f>
        <x:v>4.296816020785628</x:v>
      </x:c>
      <x:c r="N484" s="242" t="n">
        <x:f>AP483</x:f>
        <x:v>-3.952253074011508</x:v>
      </x:c>
      <x:c r="O484" s="242" t="n">
        <x:f>AQ483</x:f>
        <x:v>1.8075884080348206</x:v>
      </x:c>
      <x:c r="P484" s="243" t="n">
        <x:f>D484*G484+E484*H484+I484</x:f>
        <x:v>-2.260600753154918</x:v>
      </x:c>
      <x:c r="Q484" s="243" t="n">
        <x:f>1/(1+EXP(-P484))</x:f>
        <x:v>0.0944389798657901</x:v>
      </x:c>
      <x:c r="R484" s="243" t="n">
        <x:f>D484*J484+E484*K484+L484</x:f>
        <x:v>2.0050182227255746</x:v>
      </x:c>
      <x:c r="S484" s="243" t="n">
        <x:f>1/(1+EXP(-R484))</x:f>
        <x:v>0.8813229531628194</x:v>
      </x:c>
      <x:c r="T484" s="243" t="n">
        <x:f>Q484*M484+S484*N484+O484</x:f>
        <x:v>-1.2698360211258541</x:v>
      </x:c>
      <x:c r="U484" s="243" t="n">
        <x:f>1/(1+EXP(-T484))</x:f>
        <x:v>0.21928532385927677</x:v>
      </x:c>
      <x:c r="V484" s="243" t="n">
        <x:f>0.5*(F484-U484)^2</x:f>
        <x:v>0.024043026630033947</x:v>
      </x:c>
      <x:c r="W484" s="244" t="n">
        <x:f>(U484-F484)*U484*(1-U484)</x:f>
        <x:v>0.03754148749781947</x:v>
      </x:c>
      <x:c r="X484" s="244" t="n">
        <x:f>W484*M484*Q484*(1-Q484)</x:f>
        <x:v>0.013795175898924367</x:v>
      </x:c>
      <x:c r="Y484" s="244" t="n">
        <x:f>W484*N484*S484*(1-S484)</x:f>
        <x:v>-0.015518796360708296</x:v>
      </x:c>
      <x:c r="Z484" s="245" t="n">
        <x:f>X484*D484</x:f>
        <x:v>0.013795175898924367</x:v>
      </x:c>
      <x:c r="AA484" s="245" t="n">
        <x:f>X484*E484</x:f>
        <x:v>0.013795175898924367</x:v>
      </x:c>
      <x:c r="AB484" s="245" t="n">
        <x:f>X484</x:f>
        <x:v>0.013795175898924367</x:v>
      </x:c>
      <x:c r="AC484" s="245" t="n">
        <x:f>Y484*D484</x:f>
        <x:v>-0.015518796360708296</x:v>
      </x:c>
      <x:c r="AD484" s="245" t="n">
        <x:f>Y484*E484</x:f>
        <x:v>-0.015518796360708296</x:v>
      </x:c>
      <x:c r="AE484" s="245" t="n">
        <x:f>Y484</x:f>
        <x:v>-0.015518796360708296</x:v>
      </x:c>
      <x:c r="AF484" s="245" t="n">
        <x:f>W484*Q484</x:f>
        <x:v>0.003545379781938384</x:v>
      </x:c>
      <x:c r="AG484" s="245" t="n">
        <x:f>W484*S484</x:f>
        <x:v>0.03308617462770332</x:v>
      </x:c>
      <x:c r="AH484" s="245" t="n">
        <x:f>W484</x:f>
        <x:v>0.03754148749781947</x:v>
      </x:c>
      <x:c r="AI484" s="246" t="n">
        <x:f>G484-$B$4*Z484</x:f>
        <x:v>3.298584369790391</x:v>
      </x:c>
      <x:c r="AJ484" s="246" t="n">
        <x:f>H484-$B$4*AA484</x:f>
        <x:v>-3.706883063593746</x:v>
      </x:c>
      <x:c r="AK484" s="246" t="n">
        <x:f>I484-$B$4*AB484</x:f>
        <x:v>-1.8936875870483358</x:v>
      </x:c>
      <x:c r="AL484" s="246" t="n">
        <x:f>J484-$B$4*AC484</x:f>
        <x:v>3.6145645247450804</x:v>
      </x:c>
      <x:c r="AM484" s="246" t="n">
        <x:f>K484-$B$4*AD484</x:f>
        <x:v>-3.4511790117038474</x:v>
      </x:c>
      <x:c r="AN484" s="246" t="n">
        <x:f>L484-$B$4*AE484</x:f>
        <x:v>1.8881890987664662</x:v>
      </x:c>
      <x:c r="AO484" s="246" t="n">
        <x:f>M484-$B$4*AF484</x:f>
        <x:v>4.29327064100369</x:v>
      </x:c>
      <x:c r="AP484" s="246" t="n">
        <x:f>N484-$B$4*AG484</x:f>
        <x:v>-3.985339248639211</x:v>
      </x:c>
      <x:c r="AQ484" s="246" t="n">
        <x:f>O484-$B$4*AH484</x:f>
        <x:v>1.770046920537001</x:v>
      </x:c>
      <x:c r="AR484" s="182" t="n">
        <x:f>IF(U484&gt;=$B$5,1,0)</x:f>
        <x:v>0</x:v>
      </x:c>
      <x:c r="AS484" s="182" t="n">
        <x:f>IF(AR484=F484,1,0)</x:f>
        <x:v>1</x:v>
      </x:c>
      <x:c r="AT484" s="252" t="n">
        <x:f>ABS(F484-U484)</x:f>
        <x:v>0.21928532385927677</x:v>
      </x:c>
    </x:row>
    <x:row r="485">
      <x:c r="A485" s="114" t="n">
        <x:v>469</x:v>
      </x:c>
      <x:c r="B485" s="114" t="n">
        <x:v>118</x:v>
      </x:c>
      <x:c r="C485" s="114" t="n">
        <x:v>1</x:v>
      </x:c>
      <x:c r="D485" s="168" t="n">
        <x:f>$I$5</x:f>
        <x:v>0</x:v>
      </x:c>
      <x:c r="E485" s="168" t="n">
        <x:f>$J$5</x:f>
        <x:v>0</x:v>
      </x:c>
      <x:c r="F485" s="168" t="n">
        <x:f>$K$5</x:f>
        <x:v>0</x:v>
      </x:c>
      <x:c r="G485" s="242" t="n">
        <x:f>AI484</x:f>
        <x:v>3.298584369790391</x:v>
      </x:c>
      <x:c r="H485" s="242" t="n">
        <x:f>AJ484</x:f>
        <x:v>-3.706883063593746</x:v>
      </x:c>
      <x:c r="I485" s="242" t="n">
        <x:f>AK484</x:f>
        <x:v>-1.8936875870483358</x:v>
      </x:c>
      <x:c r="J485" s="242" t="n">
        <x:f>AL484</x:f>
        <x:v>3.6145645247450804</x:v>
      </x:c>
      <x:c r="K485" s="242" t="n">
        <x:f>AM484</x:f>
        <x:v>-3.4511790117038474</x:v>
      </x:c>
      <x:c r="L485" s="242" t="n">
        <x:f>AN484</x:f>
        <x:v>1.8881890987664662</x:v>
      </x:c>
      <x:c r="M485" s="242" t="n">
        <x:f>AO484</x:f>
        <x:v>4.29327064100369</x:v>
      </x:c>
      <x:c r="N485" s="242" t="n">
        <x:f>AP484</x:f>
        <x:v>-3.985339248639211</x:v>
      </x:c>
      <x:c r="O485" s="242" t="n">
        <x:f>AQ484</x:f>
        <x:v>1.770046920537001</x:v>
      </x:c>
      <x:c r="P485" s="243" t="n">
        <x:f>D485*G485+E485*H485+I485</x:f>
        <x:v>-1.8936875870483358</x:v>
      </x:c>
      <x:c r="Q485" s="243" t="n">
        <x:f>1/(1+EXP(-P485))</x:f>
        <x:v>0.13082458457105453</x:v>
      </x:c>
      <x:c r="R485" s="243" t="n">
        <x:f>D485*J485+E485*K485+L485</x:f>
        <x:v>1.8881890987664662</x:v>
      </x:c>
      <x:c r="S485" s="243" t="n">
        <x:f>1/(1+EXP(-R485))</x:f>
        <x:v>0.8685489148468498</x:v>
      </x:c>
      <x:c r="T485" s="243" t="n">
        <x:f>Q485*M485+S485*N485+O485</x:f>
        <x:v>-1.129749811104733</x:v>
      </x:c>
      <x:c r="U485" s="243" t="n">
        <x:f>1/(1+EXP(-T485))</x:f>
        <x:v>0.2442072753348772</x:v>
      </x:c>
      <x:c r="V485" s="243" t="n">
        <x:f>0.5*(F485-U485)^2</x:f>
        <x:v>0.029818596663242262</x:v>
      </x:c>
      <x:c r="W485" s="244" t="n">
        <x:f>(U485-F485)*U485*(1-U485)</x:f>
        <x:v>0.04507335683560442</x:v>
      </x:c>
      <x:c r="X485" s="244" t="n">
        <x:f>W485*M485*Q485*(1-Q485)</x:f>
        <x:v>0.022004168809497026</x:v>
      </x:c>
      <x:c r="Y485" s="244" t="n">
        <x:f>W485*N485*S485*(1-S485)</x:f>
        <x:v>-0.020508960906620854</x:v>
      </x:c>
      <x:c r="Z485" s="245" t="n">
        <x:f>X485*D485</x:f>
        <x:v>0</x:v>
      </x:c>
      <x:c r="AA485" s="245" t="n">
        <x:f>X485*E485</x:f>
        <x:v>0</x:v>
      </x:c>
      <x:c r="AB485" s="245" t="n">
        <x:f>X485</x:f>
        <x:v>0.022004168809497026</x:v>
      </x:c>
      <x:c r="AC485" s="245" t="n">
        <x:f>Y485*D485</x:f>
        <x:v>0</x:v>
      </x:c>
      <x:c r="AD485" s="245" t="n">
        <x:f>Y485*E485</x:f>
        <x:v>0</x:v>
      </x:c>
      <x:c r="AE485" s="245" t="n">
        <x:f>Y485</x:f>
        <x:v>-0.020508960906620854</x:v>
      </x:c>
      <x:c r="AF485" s="245" t="n">
        <x:f>W485*Q485</x:f>
        <x:v>0.005896703183240849</x:v>
      </x:c>
      <x:c r="AG485" s="245" t="n">
        <x:f>W485*S485</x:f>
        <x:v>0.03914841516806906</x:v>
      </x:c>
      <x:c r="AH485" s="245" t="n">
        <x:f>W485</x:f>
        <x:v>0.04507335683560442</x:v>
      </x:c>
      <x:c r="AI485" s="246" t="n">
        <x:f>G485-$B$4*Z485</x:f>
        <x:v>3.298584369790391</x:v>
      </x:c>
      <x:c r="AJ485" s="246" t="n">
        <x:f>H485-$B$4*AA485</x:f>
        <x:v>-3.706883063593746</x:v>
      </x:c>
      <x:c r="AK485" s="246" t="n">
        <x:f>I485-$B$4*AB485</x:f>
        <x:v>-1.9156917558578328</x:v>
      </x:c>
      <x:c r="AL485" s="246" t="n">
        <x:f>J485-$B$4*AC485</x:f>
        <x:v>3.6145645247450804</x:v>
      </x:c>
      <x:c r="AM485" s="246" t="n">
        <x:f>K485-$B$4*AD485</x:f>
        <x:v>-3.4511790117038474</x:v>
      </x:c>
      <x:c r="AN485" s="246" t="n">
        <x:f>L485-$B$4*AE485</x:f>
        <x:v>1.9086980596730871</x:v>
      </x:c>
      <x:c r="AO485" s="246" t="n">
        <x:f>M485-$B$4*AF485</x:f>
        <x:v>4.287373937820449</x:v>
      </x:c>
      <x:c r="AP485" s="246" t="n">
        <x:f>N485-$B$4*AG485</x:f>
        <x:v>-4.02448766380728</x:v>
      </x:c>
      <x:c r="AQ485" s="246" t="n">
        <x:f>O485-$B$4*AH485</x:f>
        <x:v>1.7249735637013968</x:v>
      </x:c>
      <x:c r="AR485" s="182" t="n">
        <x:f>IF(U485&gt;=$B$5,1,0)</x:f>
        <x:v>0</x:v>
      </x:c>
      <x:c r="AS485" s="182" t="n">
        <x:f>IF(AR485=F485,1,0)</x:f>
        <x:v>1</x:v>
      </x:c>
      <x:c r="AT485" s="252" t="n">
        <x:f>ABS(F485-U485)</x:f>
        <x:v>0.2442072753348772</x:v>
      </x:c>
    </x:row>
    <x:row r="486">
      <x:c r="A486" s="114" t="n">
        <x:v>470</x:v>
      </x:c>
      <x:c r="B486" s="114" t="n">
        <x:v>118</x:v>
      </x:c>
      <x:c r="C486" s="114" t="n">
        <x:v>2</x:v>
      </x:c>
      <x:c r="D486" s="168" t="n">
        <x:f>$I$6</x:f>
        <x:v>0</x:v>
      </x:c>
      <x:c r="E486" s="168" t="n">
        <x:f>$J$6</x:f>
        <x:v>1</x:v>
      </x:c>
      <x:c r="F486" s="168" t="n">
        <x:f>$K$6</x:f>
        <x:v>1</x:v>
      </x:c>
      <x:c r="G486" s="242" t="n">
        <x:f>AI485</x:f>
        <x:v>3.298584369790391</x:v>
      </x:c>
      <x:c r="H486" s="242" t="n">
        <x:f>AJ485</x:f>
        <x:v>-3.706883063593746</x:v>
      </x:c>
      <x:c r="I486" s="242" t="n">
        <x:f>AK485</x:f>
        <x:v>-1.9156917558578328</x:v>
      </x:c>
      <x:c r="J486" s="242" t="n">
        <x:f>AL485</x:f>
        <x:v>3.6145645247450804</x:v>
      </x:c>
      <x:c r="K486" s="242" t="n">
        <x:f>AM485</x:f>
        <x:v>-3.4511790117038474</x:v>
      </x:c>
      <x:c r="L486" s="242" t="n">
        <x:f>AN485</x:f>
        <x:v>1.9086980596730871</x:v>
      </x:c>
      <x:c r="M486" s="242" t="n">
        <x:f>AO485</x:f>
        <x:v>4.287373937820449</x:v>
      </x:c>
      <x:c r="N486" s="242" t="n">
        <x:f>AP485</x:f>
        <x:v>-4.02448766380728</x:v>
      </x:c>
      <x:c r="O486" s="242" t="n">
        <x:f>AQ485</x:f>
        <x:v>1.7249735637013968</x:v>
      </x:c>
      <x:c r="P486" s="243" t="n">
        <x:f>D486*G486+E486*H486+I486</x:f>
        <x:v>-5.622574819451579</x:v>
      </x:c>
      <x:c r="Q486" s="243" t="n">
        <x:f>1/(1+EXP(-P486))</x:f>
        <x:v>0.0036022968603323397</x:v>
      </x:c>
      <x:c r="R486" s="243" t="n">
        <x:f>D486*J486+E486*K486+L486</x:f>
        <x:v>-1.5424809520307603</x:v>
      </x:c>
      <x:c r="S486" s="243" t="n">
        <x:f>1/(1+EXP(-R486))</x:f>
        <x:v>0.17617490674480552</x:v>
      </x:c>
      <x:c r="T486" s="243" t="n">
        <x:f>Q486*M486+S486*N486+O486</x:f>
        <x:v>1.0314042185098102</x:v>
      </x:c>
      <x:c r="U486" s="243" t="n">
        <x:f>1/(1+EXP(-T486))</x:f>
        <x:v>0.7371880422982963</x:v>
      </x:c>
      <x:c r="V486" s="243" t="n">
        <x:f>0.5*(F486-U486)^2</x:f>
        <x:v>0.03453506255550106</x:v>
      </x:c>
      <x:c r="W486" s="244" t="n">
        <x:f>(U486-F486)*U486*(1-U486)</x:f>
        <x:v>-0.05091767031187804</x:v>
      </x:c>
      <x:c r="X486" s="244" t="n">
        <x:f>W486*M486*Q486*(1-Q486)</x:f>
        <x:v>-0.0007835597259278156</x:v>
      </x:c>
      <x:c r="Y486" s="244" t="n">
        <x:f>W486*N486*S486*(1-S486)</x:f>
        <x:v>0.029741179743296254</x:v>
      </x:c>
      <x:c r="Z486" s="245" t="n">
        <x:f>X486*D486</x:f>
        <x:v>0</x:v>
      </x:c>
      <x:c r="AA486" s="245" t="n">
        <x:f>X486*E486</x:f>
        <x:v>-0.0007835597259278156</x:v>
      </x:c>
      <x:c r="AB486" s="245" t="n">
        <x:f>X486</x:f>
        <x:v>-0.0007835597259278156</x:v>
      </x:c>
      <x:c r="AC486" s="245" t="n">
        <x:f>Y486*D486</x:f>
        <x:v>0</x:v>
      </x:c>
      <x:c r="AD486" s="245" t="n">
        <x:f>Y486*E486</x:f>
        <x:v>0.029741179743296254</x:v>
      </x:c>
      <x:c r="AE486" s="245" t="n">
        <x:f>Y486</x:f>
        <x:v>0.029741179743296254</x:v>
      </x:c>
      <x:c r="AF486" s="245" t="n">
        <x:f>W486*Q486</x:f>
        <x:v>-0.00018342056389991545</x:v>
      </x:c>
      <x:c r="AG486" s="245" t="n">
        <x:f>W486*S486</x:f>
        <x:v>-0.008970415818857866</x:v>
      </x:c>
      <x:c r="AH486" s="245" t="n">
        <x:f>W486</x:f>
        <x:v>-0.05091767031187804</x:v>
      </x:c>
      <x:c r="AI486" s="246" t="n">
        <x:f>G486-$B$4*Z486</x:f>
        <x:v>3.298584369790391</x:v>
      </x:c>
      <x:c r="AJ486" s="246" t="n">
        <x:f>H486-$B$4*AA486</x:f>
        <x:v>-3.706099503867818</x:v>
      </x:c>
      <x:c r="AK486" s="246" t="n">
        <x:f>I486-$B$4*AB486</x:f>
        <x:v>-1.914908196131905</x:v>
      </x:c>
      <x:c r="AL486" s="246" t="n">
        <x:f>J486-$B$4*AC486</x:f>
        <x:v>3.6145645247450804</x:v>
      </x:c>
      <x:c r="AM486" s="246" t="n">
        <x:f>K486-$B$4*AD486</x:f>
        <x:v>-3.4809201914471437</x:v>
      </x:c>
      <x:c r="AN486" s="246" t="n">
        <x:f>L486-$B$4*AE486</x:f>
        <x:v>1.8789568799297909</x:v>
      </x:c>
      <x:c r="AO486" s="246" t="n">
        <x:f>M486-$B$4*AF486</x:f>
        <x:v>4.287557358384349</x:v>
      </x:c>
      <x:c r="AP486" s="246" t="n">
        <x:f>N486-$B$4*AG486</x:f>
        <x:v>-4.015517247988422</x:v>
      </x:c>
      <x:c r="AQ486" s="246" t="n">
        <x:f>O486-$B$4*AH486</x:f>
        <x:v>1.7758912340132749</x:v>
      </x:c>
      <x:c r="AR486" s="182" t="n">
        <x:f>IF(U486&gt;=$B$5,1,0)</x:f>
        <x:v>1</x:v>
      </x:c>
      <x:c r="AS486" s="182" t="n">
        <x:f>IF(AR486=F486,1,0)</x:f>
        <x:v>1</x:v>
      </x:c>
      <x:c r="AT486" s="252" t="n">
        <x:f>ABS(F486-U486)</x:f>
        <x:v>0.26281195770170374</x:v>
      </x:c>
    </x:row>
    <x:row r="487">
      <x:c r="A487" s="114" t="n">
        <x:v>471</x:v>
      </x:c>
      <x:c r="B487" s="114" t="n">
        <x:v>118</x:v>
      </x:c>
      <x:c r="C487" s="114" t="n">
        <x:v>3</x:v>
      </x:c>
      <x:c r="D487" s="168" t="n">
        <x:f>$I$7</x:f>
        <x:v>1</x:v>
      </x:c>
      <x:c r="E487" s="168" t="n">
        <x:f>$J$7</x:f>
        <x:v>0</x:v>
      </x:c>
      <x:c r="F487" s="168" t="n">
        <x:f>$K$7</x:f>
        <x:v>1</x:v>
      </x:c>
      <x:c r="G487" s="242" t="n">
        <x:f>AI486</x:f>
        <x:v>3.298584369790391</x:v>
      </x:c>
      <x:c r="H487" s="242" t="n">
        <x:f>AJ486</x:f>
        <x:v>-3.706099503867818</x:v>
      </x:c>
      <x:c r="I487" s="242" t="n">
        <x:f>AK486</x:f>
        <x:v>-1.914908196131905</x:v>
      </x:c>
      <x:c r="J487" s="242" t="n">
        <x:f>AL486</x:f>
        <x:v>3.6145645247450804</x:v>
      </x:c>
      <x:c r="K487" s="242" t="n">
        <x:f>AM486</x:f>
        <x:v>-3.4809201914471437</x:v>
      </x:c>
      <x:c r="L487" s="242" t="n">
        <x:f>AN486</x:f>
        <x:v>1.8789568799297909</x:v>
      </x:c>
      <x:c r="M487" s="242" t="n">
        <x:f>AO486</x:f>
        <x:v>4.287557358384349</x:v>
      </x:c>
      <x:c r="N487" s="242" t="n">
        <x:f>AP486</x:f>
        <x:v>-4.015517247988422</x:v>
      </x:c>
      <x:c r="O487" s="242" t="n">
        <x:f>AQ486</x:f>
        <x:v>1.7758912340132749</x:v>
      </x:c>
      <x:c r="P487" s="243" t="n">
        <x:f>D487*G487+E487*H487+I487</x:f>
        <x:v>1.3836761736584862</x:v>
      </x:c>
      <x:c r="Q487" s="243" t="n">
        <x:f>1/(1+EXP(-P487))</x:f>
        <x:v>0.7995807609517365</x:v>
      </x:c>
      <x:c r="R487" s="243" t="n">
        <x:f>D487*J487+E487*K487+L487</x:f>
        <x:v>5.493521404674871</x:v>
      </x:c>
      <x:c r="S487" s="243" t="n">
        <x:f>1/(1+EXP(-R487))</x:f>
        <x:v>0.9959035162777765</x:v>
      </x:c>
      <x:c r="T487" s="243" t="n">
        <x:f>Q487*M487+S487*N487+O487</x:f>
        <x:v>1.2050718623087204</x:v>
      </x:c>
      <x:c r="U487" s="243" t="n">
        <x:f>1/(1+EXP(-T487))</x:f>
        <x:v>0.7694258105485646</x:v>
      </x:c>
      <x:c r="V487" s="243" t="n">
        <x:f>0.5*(F487-U487)^2</x:f>
        <x:v>0.026582228420593206</x:v>
      </x:c>
      <x:c r="W487" s="244" t="n">
        <x:f>(U487-F487)*U487*(1-U487)</x:f>
        <x:v>-0.04090610529740403</x:v>
      </x:c>
      <x:c r="X487" s="244" t="n">
        <x:f>W487*M487*Q487*(1-Q487)</x:f>
        <x:v>-0.028106050332996083</x:v>
      </x:c>
      <x:c r="Y487" s="244" t="n">
        <x:f>W487*N487*S487*(1-S487)</x:f>
        <x:v>0.0006701285592036309</x:v>
      </x:c>
      <x:c r="Z487" s="245" t="n">
        <x:f>X487*D487</x:f>
        <x:v>-0.028106050332996083</x:v>
      </x:c>
      <x:c r="AA487" s="245" t="n">
        <x:f>X487*E487</x:f>
        <x:v>0</x:v>
      </x:c>
      <x:c r="AB487" s="245" t="n">
        <x:f>X487</x:f>
        <x:v>-0.028106050332996083</x:v>
      </x:c>
      <x:c r="AC487" s="245" t="n">
        <x:f>Y487*D487</x:f>
        <x:v>0.0006701285592036309</x:v>
      </x:c>
      <x:c r="AD487" s="245" t="n">
        <x:f>Y487*E487</x:f>
        <x:v>0</x:v>
      </x:c>
      <x:c r="AE487" s="245" t="n">
        <x:f>Y487</x:f>
        <x:v>0.0006701285592036309</x:v>
      </x:c>
      <x:c r="AF487" s="245" t="n">
        <x:f>W487*Q487</x:f>
        <x:v>-0.03270773480127017</x:v>
      </x:c>
      <x:c r="AG487" s="245" t="n">
        <x:f>W487*S487</x:f>
        <x:v>-0.04073853410291366</x:v>
      </x:c>
      <x:c r="AH487" s="245" t="n">
        <x:f>W487</x:f>
        <x:v>-0.04090610529740403</x:v>
      </x:c>
      <x:c r="AI487" s="246" t="n">
        <x:f>G487-$B$4*Z487</x:f>
        <x:v>3.3266904201233873</x:v>
      </x:c>
      <x:c r="AJ487" s="246" t="n">
        <x:f>H487-$B$4*AA487</x:f>
        <x:v>-3.706099503867818</x:v>
      </x:c>
      <x:c r="AK487" s="246" t="n">
        <x:f>I487-$B$4*AB487</x:f>
        <x:v>-1.8868021457989088</x:v>
      </x:c>
      <x:c r="AL487" s="246" t="n">
        <x:f>J487-$B$4*AC487</x:f>
        <x:v>3.6138943961858767</x:v>
      </x:c>
      <x:c r="AM487" s="246" t="n">
        <x:f>K487-$B$4*AD487</x:f>
        <x:v>-3.4809201914471437</x:v>
      </x:c>
      <x:c r="AN487" s="246" t="n">
        <x:f>L487-$B$4*AE487</x:f>
        <x:v>1.8782867513705872</x:v>
      </x:c>
      <x:c r="AO487" s="246" t="n">
        <x:f>M487-$B$4*AF487</x:f>
        <x:v>4.320265093185619</x:v>
      </x:c>
      <x:c r="AP487" s="246" t="n">
        <x:f>N487-$B$4*AG487</x:f>
        <x:v>-3.974778713885508</x:v>
      </x:c>
      <x:c r="AQ487" s="246" t="n">
        <x:f>O487-$B$4*AH487</x:f>
        <x:v>1.8167973393106789</x:v>
      </x:c>
      <x:c r="AR487" s="182" t="n">
        <x:f>IF(U487&gt;=$B$5,1,0)</x:f>
        <x:v>1</x:v>
      </x:c>
      <x:c r="AS487" s="182" t="n">
        <x:f>IF(AR487=F487,1,0)</x:f>
        <x:v>1</x:v>
      </x:c>
      <x:c r="AT487" s="252" t="n">
        <x:f>ABS(F487-U487)</x:f>
        <x:v>0.23057418945143537</x:v>
      </x:c>
    </x:row>
    <x:row r="488">
      <x:c r="A488" s="114" t="n">
        <x:v>472</x:v>
      </x:c>
      <x:c r="B488" s="114" t="n">
        <x:v>118</x:v>
      </x:c>
      <x:c r="C488" s="114" t="n">
        <x:v>4</x:v>
      </x:c>
      <x:c r="D488" s="168" t="n">
        <x:f>$I$8</x:f>
        <x:v>1</x:v>
      </x:c>
      <x:c r="E488" s="168" t="n">
        <x:f>$J$8</x:f>
        <x:v>1</x:v>
      </x:c>
      <x:c r="F488" s="168" t="n">
        <x:f>$K$8</x:f>
        <x:v>0</x:v>
      </x:c>
      <x:c r="G488" s="242" t="n">
        <x:f>AI487</x:f>
        <x:v>3.3266904201233873</x:v>
      </x:c>
      <x:c r="H488" s="242" t="n">
        <x:f>AJ487</x:f>
        <x:v>-3.706099503867818</x:v>
      </x:c>
      <x:c r="I488" s="242" t="n">
        <x:f>AK487</x:f>
        <x:v>-1.8868021457989088</x:v>
      </x:c>
      <x:c r="J488" s="242" t="n">
        <x:f>AL487</x:f>
        <x:v>3.6138943961858767</x:v>
      </x:c>
      <x:c r="K488" s="242" t="n">
        <x:f>AM487</x:f>
        <x:v>-3.4809201914471437</x:v>
      </x:c>
      <x:c r="L488" s="242" t="n">
        <x:f>AN487</x:f>
        <x:v>1.8782867513705872</x:v>
      </x:c>
      <x:c r="M488" s="242" t="n">
        <x:f>AO487</x:f>
        <x:v>4.320265093185619</x:v>
      </x:c>
      <x:c r="N488" s="242" t="n">
        <x:f>AP487</x:f>
        <x:v>-3.974778713885508</x:v>
      </x:c>
      <x:c r="O488" s="242" t="n">
        <x:f>AQ487</x:f>
        <x:v>1.8167973393106789</x:v>
      </x:c>
      <x:c r="P488" s="243" t="n">
        <x:f>D488*G488+E488*H488+I488</x:f>
        <x:v>-2.2662112295433396</x:v>
      </x:c>
      <x:c r="Q488" s="243" t="n">
        <x:f>1/(1+EXP(-P488))</x:f>
        <x:v>0.09396026100034072</x:v>
      </x:c>
      <x:c r="R488" s="243" t="n">
        <x:f>D488*J488+E488*K488+L488</x:f>
        <x:v>2.01126095610932</x:v>
      </x:c>
      <x:c r="S488" s="243" t="n">
        <x:f>1/(1+EXP(-R488))</x:f>
        <x:v>0.8819743454076165</x:v>
      </x:c>
      <x:c r="T488" s="243" t="n">
        <x:f>Q488*M488+S488*N488+O488</x:f>
        <x:v>-1.282922279262238</x:v>
      </x:c>
      <x:c r="U488" s="243" t="n">
        <x:f>1/(1+EXP(-T488))</x:f>
        <x:v>0.21705319759206054</x:v>
      </x:c>
      <x:c r="V488" s="243" t="n">
        <x:f>0.5*(F488-U488)^2</x:f>
        <x:v>0.02355604529246904</x:v>
      </x:c>
      <x:c r="W488" s="244" t="n">
        <x:f>(U488-F488)*U488*(1-U488)</x:f>
        <x:v>0.03688626067823046</x:v>
      </x:c>
      <x:c r="X488" s="244" t="n">
        <x:f>W488*M488*Q488*(1-Q488)</x:f>
        <x:v>0.013566458417753188</x:v>
      </x:c>
      <x:c r="Y488" s="244" t="n">
        <x:f>W488*N488*S488*(1-S488)</x:f>
        <x:v>-0.015261947559998035</x:v>
      </x:c>
      <x:c r="Z488" s="245" t="n">
        <x:f>X488*D488</x:f>
        <x:v>0.013566458417753188</x:v>
      </x:c>
      <x:c r="AA488" s="245" t="n">
        <x:f>X488*E488</x:f>
        <x:v>0.013566458417753188</x:v>
      </x:c>
      <x:c r="AB488" s="245" t="n">
        <x:f>X488</x:f>
        <x:v>0.013566458417753188</x:v>
      </x:c>
      <x:c r="AC488" s="245" t="n">
        <x:f>Y488*D488</x:f>
        <x:v>-0.015261947559998035</x:v>
      </x:c>
      <x:c r="AD488" s="245" t="n">
        <x:f>Y488*E488</x:f>
        <x:v>-0.015261947559998035</x:v>
      </x:c>
      <x:c r="AE488" s="245" t="n">
        <x:f>Y488</x:f>
        <x:v>-0.015261947559998035</x:v>
      </x:c>
      <x:c r="AF488" s="245" t="n">
        <x:f>W488*Q488</x:f>
        <x:v>0.003465842680653139</x:v>
      </x:c>
      <x:c r="AG488" s="245" t="n">
        <x:f>W488*S488</x:f>
        <x:v>0.032532735616217015</x:v>
      </x:c>
      <x:c r="AH488" s="245" t="n">
        <x:f>W488</x:f>
        <x:v>0.03688626067823046</x:v>
      </x:c>
      <x:c r="AI488" s="246" t="n">
        <x:f>G488-$B$4*Z488</x:f>
        <x:v>3.3131239617056343</x:v>
      </x:c>
      <x:c r="AJ488" s="246" t="n">
        <x:f>H488-$B$4*AA488</x:f>
        <x:v>-3.7196659622855712</x:v>
      </x:c>
      <x:c r="AK488" s="246" t="n">
        <x:f>I488-$B$4*AB488</x:f>
        <x:v>-1.900368604216662</x:v>
      </x:c>
      <x:c r="AL488" s="246" t="n">
        <x:f>J488-$B$4*AC488</x:f>
        <x:v>3.629156343745875</x:v>
      </x:c>
      <x:c r="AM488" s="246" t="n">
        <x:f>K488-$B$4*AD488</x:f>
        <x:v>-3.4656582438871455</x:v>
      </x:c>
      <x:c r="AN488" s="246" t="n">
        <x:f>L488-$B$4*AE488</x:f>
        <x:v>1.8935486989305852</x:v>
      </x:c>
      <x:c r="AO488" s="246" t="n">
        <x:f>M488-$B$4*AF488</x:f>
        <x:v>4.316799250504966</x:v>
      </x:c>
      <x:c r="AP488" s="246" t="n">
        <x:f>N488-$B$4*AG488</x:f>
        <x:v>-4.007311449501725</x:v>
      </x:c>
      <x:c r="AQ488" s="246" t="n">
        <x:f>O488-$B$4*AH488</x:f>
        <x:v>1.7799110786324484</x:v>
      </x:c>
      <x:c r="AR488" s="182" t="n">
        <x:f>IF(U488&gt;=$B$5,1,0)</x:f>
        <x:v>0</x:v>
      </x:c>
      <x:c r="AS488" s="182" t="n">
        <x:f>IF(AR488=F488,1,0)</x:f>
        <x:v>1</x:v>
      </x:c>
      <x:c r="AT488" s="252" t="n">
        <x:f>ABS(F488-U488)</x:f>
        <x:v>0.21705319759206054</x:v>
      </x:c>
    </x:row>
    <x:row r="489">
      <x:c r="A489" s="114" t="n">
        <x:v>473</x:v>
      </x:c>
      <x:c r="B489" s="114" t="n">
        <x:v>119</x:v>
      </x:c>
      <x:c r="C489" s="114" t="n">
        <x:v>1</x:v>
      </x:c>
      <x:c r="D489" s="168" t="n">
        <x:f>$I$5</x:f>
        <x:v>0</x:v>
      </x:c>
      <x:c r="E489" s="168" t="n">
        <x:f>$J$5</x:f>
        <x:v>0</x:v>
      </x:c>
      <x:c r="F489" s="168" t="n">
        <x:f>$K$5</x:f>
        <x:v>0</x:v>
      </x:c>
      <x:c r="G489" s="242" t="n">
        <x:f>AI488</x:f>
        <x:v>3.3131239617056343</x:v>
      </x:c>
      <x:c r="H489" s="242" t="n">
        <x:f>AJ488</x:f>
        <x:v>-3.7196659622855712</x:v>
      </x:c>
      <x:c r="I489" s="242" t="n">
        <x:f>AK488</x:f>
        <x:v>-1.900368604216662</x:v>
      </x:c>
      <x:c r="J489" s="242" t="n">
        <x:f>AL488</x:f>
        <x:v>3.629156343745875</x:v>
      </x:c>
      <x:c r="K489" s="242" t="n">
        <x:f>AM488</x:f>
        <x:v>-3.4656582438871455</x:v>
      </x:c>
      <x:c r="L489" s="242" t="n">
        <x:f>AN488</x:f>
        <x:v>1.8935486989305852</x:v>
      </x:c>
      <x:c r="M489" s="242" t="n">
        <x:f>AO488</x:f>
        <x:v>4.316799250504966</x:v>
      </x:c>
      <x:c r="N489" s="242" t="n">
        <x:f>AP488</x:f>
        <x:v>-4.007311449501725</x:v>
      </x:c>
      <x:c r="O489" s="242" t="n">
        <x:f>AQ488</x:f>
        <x:v>1.7799110786324484</x:v>
      </x:c>
      <x:c r="P489" s="243" t="n">
        <x:f>D489*G489+E489*H489+I489</x:f>
        <x:v>-1.900368604216662</x:v>
      </x:c>
      <x:c r="Q489" s="243" t="n">
        <x:f>1/(1+EXP(-P489))</x:f>
        <x:v>0.1300667613299674</x:v>
      </x:c>
      <x:c r="R489" s="243" t="n">
        <x:f>D489*J489+E489*K489+L489</x:f>
        <x:v>1.8935486989305852</x:v>
      </x:c>
      <x:c r="S489" s="243" t="n">
        <x:f>1/(1+EXP(-R489))</x:f>
        <x:v>0.8691596217189815</x:v>
      </x:c>
      <x:c r="T489" s="243" t="n">
        <x:f>Q489*M489+S489*N489+O489</x:f>
        <x:v>-1.1416101271018033</x:v>
      </x:c>
      <x:c r="U489" s="243" t="n">
        <x:f>1/(1+EXP(-T489))</x:f>
        <x:v>0.24202486238770365</x:v>
      </x:c>
      <x:c r="V489" s="243" t="n">
        <x:f>0.5*(F489-U489)^2</x:f>
        <x:v>0.029288017006893447</x:v>
      </x:c>
      <x:c r="W489" s="244" t="n">
        <x:f>(U489-F489)*U489*(1-U489)</x:f>
        <x:v>0.04439917744238267</x:v>
      </x:c>
      <x:c r="X489" s="244" t="n">
        <x:f>W489*M489*Q489*(1-Q489)</x:f>
        <x:v>0.02168647810476355</x:v>
      </x:c>
      <x:c r="Y489" s="244" t="n">
        <x:f>W489*N489*S489*(1-S489)</x:f>
        <x:v>-0.020233422712823843</x:v>
      </x:c>
      <x:c r="Z489" s="245" t="n">
        <x:f>X489*D489</x:f>
        <x:v>0</x:v>
      </x:c>
      <x:c r="AA489" s="245" t="n">
        <x:f>X489*E489</x:f>
        <x:v>0</x:v>
      </x:c>
      <x:c r="AB489" s="245" t="n">
        <x:f>X489</x:f>
        <x:v>0.02168647810476355</x:v>
      </x:c>
      <x:c r="AC489" s="245" t="n">
        <x:f>Y489*D489</x:f>
        <x:v>0</x:v>
      </x:c>
      <x:c r="AD489" s="245" t="n">
        <x:f>Y489*E489</x:f>
        <x:v>0</x:v>
      </x:c>
      <x:c r="AE489" s="245" t="n">
        <x:f>Y489</x:f>
        <x:v>-0.020233422712823843</x:v>
      </x:c>
      <x:c r="AF489" s="245" t="n">
        <x:f>W489*Q489</x:f>
        <x:v>0.005774857215645259</x:v>
      </x:c>
      <x:c r="AG489" s="245" t="n">
        <x:f>W489*S489</x:f>
        <x:v>0.03858997227045526</x:v>
      </x:c>
      <x:c r="AH489" s="245" t="n">
        <x:f>W489</x:f>
        <x:v>0.04439917744238267</x:v>
      </x:c>
      <x:c r="AI489" s="246" t="n">
        <x:f>G489-$B$4*Z489</x:f>
        <x:v>3.3131239617056343</x:v>
      </x:c>
      <x:c r="AJ489" s="246" t="n">
        <x:f>H489-$B$4*AA489</x:f>
        <x:v>-3.7196659622855712</x:v>
      </x:c>
      <x:c r="AK489" s="246" t="n">
        <x:f>I489-$B$4*AB489</x:f>
        <x:v>-1.9220550823214257</x:v>
      </x:c>
      <x:c r="AL489" s="246" t="n">
        <x:f>J489-$B$4*AC489</x:f>
        <x:v>3.629156343745875</x:v>
      </x:c>
      <x:c r="AM489" s="246" t="n">
        <x:f>K489-$B$4*AD489</x:f>
        <x:v>-3.4656582438871455</x:v>
      </x:c>
      <x:c r="AN489" s="246" t="n">
        <x:f>L489-$B$4*AE489</x:f>
        <x:v>1.913782121643409</x:v>
      </x:c>
      <x:c r="AO489" s="246" t="n">
        <x:f>M489-$B$4*AF489</x:f>
        <x:v>4.311024393289321</x:v>
      </x:c>
      <x:c r="AP489" s="246" t="n">
        <x:f>N489-$B$4*AG489</x:f>
        <x:v>-4.0459014217721805</x:v>
      </x:c>
      <x:c r="AQ489" s="246" t="n">
        <x:f>O489-$B$4*AH489</x:f>
        <x:v>1.7355119011900657</x:v>
      </x:c>
      <x:c r="AR489" s="182" t="n">
        <x:f>IF(U489&gt;=$B$5,1,0)</x:f>
        <x:v>0</x:v>
      </x:c>
      <x:c r="AS489" s="182" t="n">
        <x:f>IF(AR489=F489,1,0)</x:f>
        <x:v>1</x:v>
      </x:c>
      <x:c r="AT489" s="252" t="n">
        <x:f>ABS(F489-U489)</x:f>
        <x:v>0.24202486238770365</x:v>
      </x:c>
    </x:row>
    <x:row r="490">
      <x:c r="A490" s="114" t="n">
        <x:v>474</x:v>
      </x:c>
      <x:c r="B490" s="114" t="n">
        <x:v>119</x:v>
      </x:c>
      <x:c r="C490" s="114" t="n">
        <x:v>2</x:v>
      </x:c>
      <x:c r="D490" s="168" t="n">
        <x:f>$I$6</x:f>
        <x:v>0</x:v>
      </x:c>
      <x:c r="E490" s="168" t="n">
        <x:f>$J$6</x:f>
        <x:v>1</x:v>
      </x:c>
      <x:c r="F490" s="168" t="n">
        <x:f>$K$6</x:f>
        <x:v>1</x:v>
      </x:c>
      <x:c r="G490" s="242" t="n">
        <x:f>AI489</x:f>
        <x:v>3.3131239617056343</x:v>
      </x:c>
      <x:c r="H490" s="242" t="n">
        <x:f>AJ489</x:f>
        <x:v>-3.7196659622855712</x:v>
      </x:c>
      <x:c r="I490" s="242" t="n">
        <x:f>AK489</x:f>
        <x:v>-1.9220550823214257</x:v>
      </x:c>
      <x:c r="J490" s="242" t="n">
        <x:f>AL489</x:f>
        <x:v>3.629156343745875</x:v>
      </x:c>
      <x:c r="K490" s="242" t="n">
        <x:f>AM489</x:f>
        <x:v>-3.4656582438871455</x:v>
      </x:c>
      <x:c r="L490" s="242" t="n">
        <x:f>AN489</x:f>
        <x:v>1.913782121643409</x:v>
      </x:c>
      <x:c r="M490" s="242" t="n">
        <x:f>AO489</x:f>
        <x:v>4.311024393289321</x:v>
      </x:c>
      <x:c r="N490" s="242" t="n">
        <x:f>AP489</x:f>
        <x:v>-4.0459014217721805</x:v>
      </x:c>
      <x:c r="O490" s="242" t="n">
        <x:f>AQ489</x:f>
        <x:v>1.7355119011900657</x:v>
      </x:c>
      <x:c r="P490" s="243" t="n">
        <x:f>D490*G490+E490*H490+I490</x:f>
        <x:v>-5.641721044606997</x:v>
      </x:c>
      <x:c r="Q490" s="243" t="n">
        <x:f>1/(1+EXP(-P490))</x:f>
        <x:v>0.003534223979205694</x:v>
      </x:c>
      <x:c r="R490" s="243" t="n">
        <x:f>D490*J490+E490*K490+L490</x:f>
        <x:v>-1.5518761222437365</x:v>
      </x:c>
      <x:c r="S490" s="243" t="n">
        <x:f>1/(1+EXP(-R490))</x:f>
        <x:v>0.1748154629830893</x:v>
      </x:c>
      <x:c r="T490" s="243" t="n">
        <x:f>Q490*M490+S490*N490+O490</x:f>
        <x:v>1.0434618967447264</x:v>
      </x:c>
      <x:c r="U490" s="243" t="n">
        <x:f>1/(1+EXP(-T490))</x:f>
        <x:v>0.7395174288553684</x:v>
      </x:c>
      <x:c r="V490" s="243" t="n">
        <x:f>0.5*(F490-U490)^2</x:f>
        <x:v>0.033925584935059025</x:v>
      </x:c>
      <x:c r="W490" s="244" t="n">
        <x:f>(U490-F490)*U490*(1-U490)</x:f>
        <x:v>-0.05017712268717855</x:v>
      </x:c>
      <x:c r="X490" s="244" t="n">
        <x:f>W490*M490*Q490*(1-Q490)</x:f>
        <x:v>-0.000761803021090043</x:v>
      </x:c>
      <x:c r="Y490" s="244" t="n">
        <x:f>W490*N490*S490*(1-S490)</x:f>
        <x:v>0.029285455060288394</x:v>
      </x:c>
      <x:c r="Z490" s="245" t="n">
        <x:f>X490*D490</x:f>
        <x:v>0</x:v>
      </x:c>
      <x:c r="AA490" s="245" t="n">
        <x:f>X490*E490</x:f>
        <x:v>-0.000761803021090043</x:v>
      </x:c>
      <x:c r="AB490" s="245" t="n">
        <x:f>X490</x:f>
        <x:v>-0.000761803021090043</x:v>
      </x:c>
      <x:c r="AC490" s="245" t="n">
        <x:f>Y490*D490</x:f>
        <x:v>0</x:v>
      </x:c>
      <x:c r="AD490" s="245" t="n">
        <x:f>Y490*E490</x:f>
        <x:v>0.029285455060288394</x:v>
      </x:c>
      <x:c r="AE490" s="245" t="n">
        <x:f>Y490</x:f>
        <x:v>0.029285455060288394</x:v>
      </x:c>
      <x:c r="AF490" s="245" t="n">
        <x:f>W490*Q490</x:f>
        <x:v>-0.00017733719020857246</x:v>
      </x:c>
      <x:c r="AG490" s="245" t="n">
        <x:f>W490*S490</x:f>
        <x:v>-0.008771736933718393</x:v>
      </x:c>
      <x:c r="AH490" s="245" t="n">
        <x:f>W490</x:f>
        <x:v>-0.05017712268717855</x:v>
      </x:c>
      <x:c r="AI490" s="246" t="n">
        <x:f>G490-$B$4*Z490</x:f>
        <x:v>3.3131239617056343</x:v>
      </x:c>
      <x:c r="AJ490" s="246" t="n">
        <x:f>H490-$B$4*AA490</x:f>
        <x:v>-3.7189041592644814</x:v>
      </x:c>
      <x:c r="AK490" s="246" t="n">
        <x:f>I490-$B$4*AB490</x:f>
        <x:v>-1.9212932793003357</x:v>
      </x:c>
      <x:c r="AL490" s="246" t="n">
        <x:f>J490-$B$4*AC490</x:f>
        <x:v>3.629156343745875</x:v>
      </x:c>
      <x:c r="AM490" s="246" t="n">
        <x:f>K490-$B$4*AD490</x:f>
        <x:v>-3.494943698947434</x:v>
      </x:c>
      <x:c r="AN490" s="246" t="n">
        <x:f>L490-$B$4*AE490</x:f>
        <x:v>1.8844966665831206</x:v>
      </x:c>
      <x:c r="AO490" s="246" t="n">
        <x:f>M490-$B$4*AF490</x:f>
        <x:v>4.31120173047953</x:v>
      </x:c>
      <x:c r="AP490" s="246" t="n">
        <x:f>N490-$B$4*AG490</x:f>
        <x:v>-4.037129684838462</x:v>
      </x:c>
      <x:c r="AQ490" s="246" t="n">
        <x:f>O490-$B$4*AH490</x:f>
        <x:v>1.7856890238772443</x:v>
      </x:c>
      <x:c r="AR490" s="182" t="n">
        <x:f>IF(U490&gt;=$B$5,1,0)</x:f>
        <x:v>1</x:v>
      </x:c>
      <x:c r="AS490" s="182" t="n">
        <x:f>IF(AR490=F490,1,0)</x:f>
        <x:v>1</x:v>
      </x:c>
      <x:c r="AT490" s="252" t="n">
        <x:f>ABS(F490-U490)</x:f>
        <x:v>0.2604825711446316</x:v>
      </x:c>
    </x:row>
    <x:row r="491">
      <x:c r="A491" s="114" t="n">
        <x:v>475</x:v>
      </x:c>
      <x:c r="B491" s="114" t="n">
        <x:v>119</x:v>
      </x:c>
      <x:c r="C491" s="114" t="n">
        <x:v>3</x:v>
      </x:c>
      <x:c r="D491" s="168" t="n">
        <x:f>$I$7</x:f>
        <x:v>1</x:v>
      </x:c>
      <x:c r="E491" s="168" t="n">
        <x:f>$J$7</x:f>
        <x:v>0</x:v>
      </x:c>
      <x:c r="F491" s="168" t="n">
        <x:f>$K$7</x:f>
        <x:v>1</x:v>
      </x:c>
      <x:c r="G491" s="242" t="n">
        <x:f>AI490</x:f>
        <x:v>3.3131239617056343</x:v>
      </x:c>
      <x:c r="H491" s="242" t="n">
        <x:f>AJ490</x:f>
        <x:v>-3.7189041592644814</x:v>
      </x:c>
      <x:c r="I491" s="242" t="n">
        <x:f>AK490</x:f>
        <x:v>-1.9212932793003357</x:v>
      </x:c>
      <x:c r="J491" s="242" t="n">
        <x:f>AL490</x:f>
        <x:v>3.629156343745875</x:v>
      </x:c>
      <x:c r="K491" s="242" t="n">
        <x:f>AM490</x:f>
        <x:v>-3.494943698947434</x:v>
      </x:c>
      <x:c r="L491" s="242" t="n">
        <x:f>AN490</x:f>
        <x:v>1.8844966665831206</x:v>
      </x:c>
      <x:c r="M491" s="242" t="n">
        <x:f>AO490</x:f>
        <x:v>4.31120173047953</x:v>
      </x:c>
      <x:c r="N491" s="242" t="n">
        <x:f>AP490</x:f>
        <x:v>-4.037129684838462</x:v>
      </x:c>
      <x:c r="O491" s="242" t="n">
        <x:f>AQ490</x:f>
        <x:v>1.7856890238772443</x:v>
      </x:c>
      <x:c r="P491" s="243" t="n">
        <x:f>D491*G491+E491*H491+I491</x:f>
        <x:v>1.3918306824052986</x:v>
      </x:c>
      <x:c r="Q491" s="243" t="n">
        <x:f>1/(1+EXP(-P491))</x:f>
        <x:v>0.8008843403491613</x:v>
      </x:c>
      <x:c r="R491" s="243" t="n">
        <x:f>D491*J491+E491*K491+L491</x:f>
        <x:v>5.513653010328996</x:v>
      </x:c>
      <x:c r="S491" s="243" t="n">
        <x:f>1/(1+EXP(-R491))</x:f>
        <x:v>0.9959848326853876</x:v>
      </x:c>
      <x:c r="T491" s="243" t="n">
        <x:f>Q491*M491+S491*N491+O491</x:f>
        <x:v>1.217543044221459</x:v>
      </x:c>
      <x:c r="U491" s="243" t="n">
        <x:f>1/(1+EXP(-T491))</x:f>
        <x:v>0.7716308818493642</x:v>
      </x:c>
      <x:c r="V491" s="243" t="n">
        <x:f>0.5*(F491-U491)^2</x:f>
        <x:v>0.026076227062449518</x:v>
      </x:c>
      <x:c r="W491" s="244" t="n">
        <x:f>(U491-F491)*U491*(1-U491)</x:f>
        <x:v>-0.04024244416700436</x:v>
      </x:c>
      <x:c r="X491" s="244" t="n">
        <x:f>W491*M491*Q491*(1-Q491)</x:f>
        <x:v>-0.027666735234638504</x:v>
      </x:c>
      <x:c r="Y491" s="244" t="n">
        <x:f>W491*N491*S491*(1-S491)</x:f>
        <x:v>0.0006497008318667253</x:v>
      </x:c>
      <x:c r="Z491" s="245" t="n">
        <x:f>X491*D491</x:f>
        <x:v>-0.027666735234638504</x:v>
      </x:c>
      <x:c r="AA491" s="245" t="n">
        <x:f>X491*E491</x:f>
        <x:v>0</x:v>
      </x:c>
      <x:c r="AB491" s="245" t="n">
        <x:f>X491</x:f>
        <x:v>-0.027666735234638504</x:v>
      </x:c>
      <x:c r="AC491" s="245" t="n">
        <x:f>Y491*D491</x:f>
        <x:v>0.0006497008318667253</x:v>
      </x:c>
      <x:c r="AD491" s="245" t="n">
        <x:f>Y491*E491</x:f>
        <x:v>0</x:v>
      </x:c>
      <x:c r="AE491" s="245" t="n">
        <x:f>Y491</x:f>
        <x:v>0.0006497008318667253</x:v>
      </x:c>
      <x:c r="AF491" s="245" t="n">
        <x:f>W491*Q491</x:f>
        <x:v>-0.03222954335072924</x:v>
      </x:c>
      <x:c r="AG491" s="245" t="n">
        <x:f>W491*S491</x:f>
        <x:v>-0.04008086402052489</x:v>
      </x:c>
      <x:c r="AH491" s="245" t="n">
        <x:f>W491</x:f>
        <x:v>-0.04024244416700436</x:v>
      </x:c>
      <x:c r="AI491" s="246" t="n">
        <x:f>G491-$B$4*Z491</x:f>
        <x:v>3.3407906969402728</x:v>
      </x:c>
      <x:c r="AJ491" s="246" t="n">
        <x:f>H491-$B$4*AA491</x:f>
        <x:v>-3.7189041592644814</x:v>
      </x:c>
      <x:c r="AK491" s="246" t="n">
        <x:f>I491-$B$4*AB491</x:f>
        <x:v>-1.8936265440656972</x:v>
      </x:c>
      <x:c r="AL491" s="246" t="n">
        <x:f>J491-$B$4*AC491</x:f>
        <x:v>3.628506642914008</x:v>
      </x:c>
      <x:c r="AM491" s="246" t="n">
        <x:f>K491-$B$4*AD491</x:f>
        <x:v>-3.494943698947434</x:v>
      </x:c>
      <x:c r="AN491" s="246" t="n">
        <x:f>L491-$B$4*AE491</x:f>
        <x:v>1.883846965751254</x:v>
      </x:c>
      <x:c r="AO491" s="246" t="n">
        <x:f>M491-$B$4*AF491</x:f>
        <x:v>4.343431273830259</x:v>
      </x:c>
      <x:c r="AP491" s="246" t="n">
        <x:f>N491-$B$4*AG491</x:f>
        <x:v>-3.9970488208179367</x:v>
      </x:c>
      <x:c r="AQ491" s="246" t="n">
        <x:f>O491-$B$4*AH491</x:f>
        <x:v>1.8259314680442487</x:v>
      </x:c>
      <x:c r="AR491" s="182" t="n">
        <x:f>IF(U491&gt;=$B$5,1,0)</x:f>
        <x:v>1</x:v>
      </x:c>
      <x:c r="AS491" s="182" t="n">
        <x:f>IF(AR491=F491,1,0)</x:f>
        <x:v>1</x:v>
      </x:c>
      <x:c r="AT491" s="252" t="n">
        <x:f>ABS(F491-U491)</x:f>
        <x:v>0.22836911815063576</x:v>
      </x:c>
    </x:row>
    <x:row r="492">
      <x:c r="A492" s="114" t="n">
        <x:v>476</x:v>
      </x:c>
      <x:c r="B492" s="114" t="n">
        <x:v>119</x:v>
      </x:c>
      <x:c r="C492" s="114" t="n">
        <x:v>4</x:v>
      </x:c>
      <x:c r="D492" s="168" t="n">
        <x:f>$I$8</x:f>
        <x:v>1</x:v>
      </x:c>
      <x:c r="E492" s="168" t="n">
        <x:f>$J$8</x:f>
        <x:v>1</x:v>
      </x:c>
      <x:c r="F492" s="168" t="n">
        <x:f>$K$8</x:f>
        <x:v>0</x:v>
      </x:c>
      <x:c r="G492" s="242" t="n">
        <x:f>AI491</x:f>
        <x:v>3.3407906969402728</x:v>
      </x:c>
      <x:c r="H492" s="242" t="n">
        <x:f>AJ491</x:f>
        <x:v>-3.7189041592644814</x:v>
      </x:c>
      <x:c r="I492" s="242" t="n">
        <x:f>AK491</x:f>
        <x:v>-1.8936265440656972</x:v>
      </x:c>
      <x:c r="J492" s="242" t="n">
        <x:f>AL491</x:f>
        <x:v>3.628506642914008</x:v>
      </x:c>
      <x:c r="K492" s="242" t="n">
        <x:f>AM491</x:f>
        <x:v>-3.494943698947434</x:v>
      </x:c>
      <x:c r="L492" s="242" t="n">
        <x:f>AN491</x:f>
        <x:v>1.883846965751254</x:v>
      </x:c>
      <x:c r="M492" s="242" t="n">
        <x:f>AO491</x:f>
        <x:v>4.343431273830259</x:v>
      </x:c>
      <x:c r="N492" s="242" t="n">
        <x:f>AP491</x:f>
        <x:v>-3.9970488208179367</x:v>
      </x:c>
      <x:c r="O492" s="242" t="n">
        <x:f>AQ491</x:f>
        <x:v>1.8259314680442487</x:v>
      </x:c>
      <x:c r="P492" s="243" t="n">
        <x:f>D492*G492+E492*H492+I492</x:f>
        <x:v>-2.271740006389906</x:v>
      </x:c>
      <x:c r="Q492" s="243" t="n">
        <x:f>1/(1+EXP(-P492))</x:f>
        <x:v>0.09349064210582295</x:v>
      </x:c>
      <x:c r="R492" s="243" t="n">
        <x:f>D492*J492+E492*K492+L492</x:f>
        <x:v>2.017409909717828</x:v>
      </x:c>
      <x:c r="S492" s="243" t="n">
        <x:f>1/(1+EXP(-R492))</x:f>
        <x:v>0.8826129225541555</x:v>
      </x:c>
      <x:c r="T492" s="243" t="n">
        <x:f>Q492*M492+S492*N492+O492</x:f>
        <x:v>-1.2958452945566081</x:v>
      </x:c>
      <x:c r="U492" s="243" t="n">
        <x:f>1/(1+EXP(-T492))</x:f>
        <x:v>0.21486507743702857</x:v>
      </x:c>
      <x:c r="V492" s="243" t="n">
        <x:f>0.5*(F492-U492)^2</x:f>
        <x:v>0.023083500751010143</x:v>
      </x:c>
      <x:c r="W492" s="244" t="n">
        <x:f>(U492-F492)*U492*(1-U492)</x:f>
        <x:v>0.03624732514925329</x:v>
      </x:c>
      <x:c r="X492" s="244" t="n">
        <x:f>W492*M492*Q492*(1-Q492)</x:f>
        <x:v>0.013342872985914415</x:v>
      </x:c>
      <x:c r="Y492" s="244" t="n">
        <x:f>W492*N492*S492*(1-S492)</x:f>
        <x:v>-0.01501087430789605</x:v>
      </x:c>
      <x:c r="Z492" s="245" t="n">
        <x:f>X492*D492</x:f>
        <x:v>0.013342872985914415</x:v>
      </x:c>
      <x:c r="AA492" s="245" t="n">
        <x:f>X492*E492</x:f>
        <x:v>0.013342872985914415</x:v>
      </x:c>
      <x:c r="AB492" s="245" t="n">
        <x:f>X492</x:f>
        <x:v>0.013342872985914415</x:v>
      </x:c>
      <x:c r="AC492" s="245" t="n">
        <x:f>Y492*D492</x:f>
        <x:v>-0.01501087430789605</x:v>
      </x:c>
      <x:c r="AD492" s="245" t="n">
        <x:f>Y492*E492</x:f>
        <x:v>-0.01501087430789605</x:v>
      </x:c>
      <x:c r="AE492" s="245" t="n">
        <x:f>Y492</x:f>
        <x:v>-0.01501087430789605</x:v>
      </x:c>
      <x:c r="AF492" s="245" t="n">
        <x:f>W492*Q492</x:f>
        <x:v>0.0033887857028222345</x:v>
      </x:c>
      <x:c r="AG492" s="245" t="n">
        <x:f>W492*S492</x:f>
        <x:v>0.03199235758475318</x:v>
      </x:c>
      <x:c r="AH492" s="245" t="n">
        <x:f>W492</x:f>
        <x:v>0.03624732514925329</x:v>
      </x:c>
      <x:c r="AI492" s="246" t="n">
        <x:f>G492-$B$4*Z492</x:f>
        <x:v>3.3274478239543583</x:v>
      </x:c>
      <x:c r="AJ492" s="246" t="n">
        <x:f>H492-$B$4*AA492</x:f>
        <x:v>-3.732247032250396</x:v>
      </x:c>
      <x:c r="AK492" s="246" t="n">
        <x:f>I492-$B$4*AB492</x:f>
        <x:v>-1.9069694170516116</x:v>
      </x:c>
      <x:c r="AL492" s="246" t="n">
        <x:f>J492-$B$4*AC492</x:f>
        <x:v>3.643517517221904</x:v>
      </x:c>
      <x:c r="AM492" s="246" t="n">
        <x:f>K492-$B$4*AD492</x:f>
        <x:v>-3.479932824639538</x:v>
      </x:c>
      <x:c r="AN492" s="246" t="n">
        <x:f>L492-$B$4*AE492</x:f>
        <x:v>1.89885784005915</x:v>
      </x:c>
      <x:c r="AO492" s="246" t="n">
        <x:f>M492-$B$4*AF492</x:f>
        <x:v>4.340042488127437</x:v>
      </x:c>
      <x:c r="AP492" s="246" t="n">
        <x:f>N492-$B$4*AG492</x:f>
        <x:v>-4.02904117840269</x:v>
      </x:c>
      <x:c r="AQ492" s="246" t="n">
        <x:f>O492-$B$4*AH492</x:f>
        <x:v>1.7896841428949954</x:v>
      </x:c>
      <x:c r="AR492" s="182" t="n">
        <x:f>IF(U492&gt;=$B$5,1,0)</x:f>
        <x:v>0</x:v>
      </x:c>
      <x:c r="AS492" s="182" t="n">
        <x:f>IF(AR492=F492,1,0)</x:f>
        <x:v>1</x:v>
      </x:c>
      <x:c r="AT492" s="252" t="n">
        <x:f>ABS(F492-U492)</x:f>
        <x:v>0.21486507743702857</x:v>
      </x:c>
    </x:row>
    <x:row r="493">
      <x:c r="A493" s="114" t="n">
        <x:v>477</x:v>
      </x:c>
      <x:c r="B493" s="114" t="n">
        <x:v>120</x:v>
      </x:c>
      <x:c r="C493" s="114" t="n">
        <x:v>1</x:v>
      </x:c>
      <x:c r="D493" s="168" t="n">
        <x:f>$I$5</x:f>
        <x:v>0</x:v>
      </x:c>
      <x:c r="E493" s="168" t="n">
        <x:f>$J$5</x:f>
        <x:v>0</x:v>
      </x:c>
      <x:c r="F493" s="168" t="n">
        <x:f>$K$5</x:f>
        <x:v>0</x:v>
      </x:c>
      <x:c r="G493" s="242" t="n">
        <x:f>AI492</x:f>
        <x:v>3.3274478239543583</x:v>
      </x:c>
      <x:c r="H493" s="242" t="n">
        <x:f>AJ492</x:f>
        <x:v>-3.732247032250396</x:v>
      </x:c>
      <x:c r="I493" s="242" t="n">
        <x:f>AK492</x:f>
        <x:v>-1.9069694170516116</x:v>
      </x:c>
      <x:c r="J493" s="242" t="n">
        <x:f>AL492</x:f>
        <x:v>3.643517517221904</x:v>
      </x:c>
      <x:c r="K493" s="242" t="n">
        <x:f>AM492</x:f>
        <x:v>-3.479932824639538</x:v>
      </x:c>
      <x:c r="L493" s="242" t="n">
        <x:f>AN492</x:f>
        <x:v>1.89885784005915</x:v>
      </x:c>
      <x:c r="M493" s="242" t="n">
        <x:f>AO492</x:f>
        <x:v>4.340042488127437</x:v>
      </x:c>
      <x:c r="N493" s="242" t="n">
        <x:f>AP492</x:f>
        <x:v>-4.02904117840269</x:v>
      </x:c>
      <x:c r="O493" s="242" t="n">
        <x:f>AQ492</x:f>
        <x:v>1.7896841428949954</x:v>
      </x:c>
      <x:c r="P493" s="243" t="n">
        <x:f>D493*G493+E493*H493+I493</x:f>
        <x:v>-1.9069694170516116</x:v>
      </x:c>
      <x:c r="Q493" s="243" t="n">
        <x:f>1/(1+EXP(-P493))</x:f>
        <x:v>0.12932170535292017</x:v>
      </x:c>
      <x:c r="R493" s="243" t="n">
        <x:f>D493*J493+E493*K493+L493</x:f>
        <x:v>1.89885784005915</x:v>
      </x:c>
      <x:c r="S493" s="243" t="n">
        <x:f>1/(1+EXP(-R493))</x:f>
        <x:v>0.8697622010563985</x:v>
      </x:c>
      <x:c r="T493" s="243" t="n">
        <x:f>Q493*M493+S493*N493+O493</x:f>
        <x:v>-1.1533618847106226</x:v>
      </x:c>
      <x:c r="U493" s="243" t="n">
        <x:f>1/(1+EXP(-T493))</x:f>
        <x:v>0.23987555692474463</x:v>
      </x:c>
      <x:c r="V493" s="243" t="n">
        <x:f>0.5*(F493-U493)^2</x:f>
        <x:v>0.028770141404978203</x:v>
      </x:c>
      <x:c r="W493" s="244" t="n">
        <x:f>(U493-F493)*U493*(1-U493)</x:f>
        <x:v>0.04373777542531081</x:v>
      </x:c>
      <x:c r="X493" s="244" t="n">
        <x:f>W493*M493*Q493*(1-Q493)</x:f>
        <x:v>0.021373705073867568</x:v>
      </x:c>
      <x:c r="Y493" s="244" t="n">
        <x:f>W493*N493*S493*(1-S493)</x:f>
        <x:v>-0.019961628742492812</x:v>
      </x:c>
      <x:c r="Z493" s="245" t="n">
        <x:f>X493*D493</x:f>
        <x:v>0</x:v>
      </x:c>
      <x:c r="AA493" s="245" t="n">
        <x:f>X493*E493</x:f>
        <x:v>0</x:v>
      </x:c>
      <x:c r="AB493" s="245" t="n">
        <x:f>X493</x:f>
        <x:v>0.021373705073867568</x:v>
      </x:c>
      <x:c r="AC493" s="245" t="n">
        <x:f>Y493*D493</x:f>
        <x:v>0</x:v>
      </x:c>
      <x:c r="AD493" s="245" t="n">
        <x:f>Y493*E493</x:f>
        <x:v>0</x:v>
      </x:c>
      <x:c r="AE493" s="245" t="n">
        <x:f>Y493</x:f>
        <x:v>-0.019961628742492812</x:v>
      </x:c>
      <x:c r="AF493" s="245" t="n">
        <x:f>W493*Q493</x:f>
        <x:v>0.005656243706344237</x:v>
      </x:c>
      <x:c r="AG493" s="245" t="n">
        <x:f>W493*S493</x:f>
        <x:v>0.03804146382322878</x:v>
      </x:c>
      <x:c r="AH493" s="245" t="n">
        <x:f>W493</x:f>
        <x:v>0.04373777542531081</x:v>
      </x:c>
      <x:c r="AI493" s="246" t="n">
        <x:f>G493-$B$4*Z493</x:f>
        <x:v>3.3274478239543583</x:v>
      </x:c>
      <x:c r="AJ493" s="246" t="n">
        <x:f>H493-$B$4*AA493</x:f>
        <x:v>-3.732247032250396</x:v>
      </x:c>
      <x:c r="AK493" s="246" t="n">
        <x:f>I493-$B$4*AB493</x:f>
        <x:v>-1.9283431221254792</x:v>
      </x:c>
      <x:c r="AL493" s="246" t="n">
        <x:f>J493-$B$4*AC493</x:f>
        <x:v>3.643517517221904</x:v>
      </x:c>
      <x:c r="AM493" s="246" t="n">
        <x:f>K493-$B$4*AD493</x:f>
        <x:v>-3.479932824639538</x:v>
      </x:c>
      <x:c r="AN493" s="246" t="n">
        <x:f>L493-$B$4*AE493</x:f>
        <x:v>1.918819468801643</x:v>
      </x:c>
      <x:c r="AO493" s="246" t="n">
        <x:f>M493-$B$4*AF493</x:f>
        <x:v>4.3343862444210925</x:v>
      </x:c>
      <x:c r="AP493" s="246" t="n">
        <x:f>N493-$B$4*AG493</x:f>
        <x:v>-4.067082642225919</x:v>
      </x:c>
      <x:c r="AQ493" s="246" t="n">
        <x:f>O493-$B$4*AH493</x:f>
        <x:v>1.7459463674696847</x:v>
      </x:c>
      <x:c r="AR493" s="182" t="n">
        <x:f>IF(U493&gt;=$B$5,1,0)</x:f>
        <x:v>0</x:v>
      </x:c>
      <x:c r="AS493" s="182" t="n">
        <x:f>IF(AR493=F493,1,0)</x:f>
        <x:v>1</x:v>
      </x:c>
      <x:c r="AT493" s="252" t="n">
        <x:f>ABS(F493-U493)</x:f>
        <x:v>0.23987555692474463</x:v>
      </x:c>
    </x:row>
    <x:row r="494">
      <x:c r="A494" s="114" t="n">
        <x:v>478</x:v>
      </x:c>
      <x:c r="B494" s="114" t="n">
        <x:v>120</x:v>
      </x:c>
      <x:c r="C494" s="114" t="n">
        <x:v>2</x:v>
      </x:c>
      <x:c r="D494" s="168" t="n">
        <x:f>$I$6</x:f>
        <x:v>0</x:v>
      </x:c>
      <x:c r="E494" s="168" t="n">
        <x:f>$J$6</x:f>
        <x:v>1</x:v>
      </x:c>
      <x:c r="F494" s="168" t="n">
        <x:f>$K$6</x:f>
        <x:v>1</x:v>
      </x:c>
      <x:c r="G494" s="242" t="n">
        <x:f>AI493</x:f>
        <x:v>3.3274478239543583</x:v>
      </x:c>
      <x:c r="H494" s="242" t="n">
        <x:f>AJ493</x:f>
        <x:v>-3.732247032250396</x:v>
      </x:c>
      <x:c r="I494" s="242" t="n">
        <x:f>AK493</x:f>
        <x:v>-1.9283431221254792</x:v>
      </x:c>
      <x:c r="J494" s="242" t="n">
        <x:f>AL493</x:f>
        <x:v>3.643517517221904</x:v>
      </x:c>
      <x:c r="K494" s="242" t="n">
        <x:f>AM493</x:f>
        <x:v>-3.479932824639538</x:v>
      </x:c>
      <x:c r="L494" s="242" t="n">
        <x:f>AN493</x:f>
        <x:v>1.918819468801643</x:v>
      </x:c>
      <x:c r="M494" s="242" t="n">
        <x:f>AO493</x:f>
        <x:v>4.3343862444210925</x:v>
      </x:c>
      <x:c r="N494" s="242" t="n">
        <x:f>AP493</x:f>
        <x:v>-4.067082642225919</x:v>
      </x:c>
      <x:c r="O494" s="242" t="n">
        <x:f>AQ493</x:f>
        <x:v>1.7459463674696847</x:v>
      </x:c>
      <x:c r="P494" s="243" t="n">
        <x:f>D494*G494+E494*H494+I494</x:f>
        <x:v>-5.660590154375875</x:v>
      </x:c>
      <x:c r="Q494" s="243" t="n">
        <x:f>1/(1+EXP(-P494))</x:f>
        <x:v>0.00346839067901774</x:v>
      </x:c>
      <x:c r="R494" s="243" t="n">
        <x:f>D494*J494+E494*K494+L494</x:f>
        <x:v>-1.561113355837895</x:v>
      </x:c>
      <x:c r="S494" s="243" t="n">
        <x:f>1/(1+EXP(-R494))</x:f>
        <x:v>0.17348694574886875</x:v>
      </x:c>
      <x:c r="T494" s="243" t="n">
        <x:f>Q494*M494+S494*N494+O494</x:f>
        <x:v>1.0553939666110839</x:v>
      </x:c>
      <x:c r="U494" s="243" t="n">
        <x:f>1/(1+EXP(-T494))</x:f>
        <x:v>0.741809342851729</x:v>
      </x:c>
      <x:c r="V494" s="243" t="n">
        <x:f>0.5*(F494-U494)^2</x:f>
        <x:v>0.03333120771932802</x:v>
      </x:c>
      <x:c r="W494" s="244" t="n">
        <x:f>(U494-F494)*U494*(1-U494)</x:f>
        <x:v>-0.049450802589458394</x:v>
      </x:c>
      <x:c r="X494" s="244" t="n">
        <x:f>W494*M494*Q494*(1-Q494)</x:f>
        <x:v>-0.0007408325287340604</x:v>
      </x:c>
      <x:c r="Y494" s="244" t="n">
        <x:f>W494*N494*S494*(1-S494)</x:f>
        <x:v>0.028838512830486288</x:v>
      </x:c>
      <x:c r="Z494" s="245" t="n">
        <x:f>X494*D494</x:f>
        <x:v>0</x:v>
      </x:c>
      <x:c r="AA494" s="245" t="n">
        <x:f>X494*E494</x:f>
        <x:v>-0.0007408325287340604</x:v>
      </x:c>
      <x:c r="AB494" s="245" t="n">
        <x:f>X494</x:f>
        <x:v>-0.0007408325287340604</x:v>
      </x:c>
      <x:c r="AC494" s="245" t="n">
        <x:f>Y494*D494</x:f>
        <x:v>0</x:v>
      </x:c>
      <x:c r="AD494" s="245" t="n">
        <x:f>Y494*E494</x:f>
        <x:v>0.028838512830486288</x:v>
      </x:c>
      <x:c r="AE494" s="245" t="n">
        <x:f>Y494</x:f>
        <x:v>0.028838512830486288</x:v>
      </x:c>
      <x:c r="AF494" s="245" t="n">
        <x:f>W494*Q494</x:f>
        <x:v>-0.0001715147027712238</x:v>
      </x:c>
      <x:c r="AG494" s="245" t="n">
        <x:f>W494*S494</x:f>
        <x:v>-0.008579068706075386</x:v>
      </x:c>
      <x:c r="AH494" s="245" t="n">
        <x:f>W494</x:f>
        <x:v>-0.049450802589458394</x:v>
      </x:c>
      <x:c r="AI494" s="246" t="n">
        <x:f>G494-$B$4*Z494</x:f>
        <x:v>3.3274478239543583</x:v>
      </x:c>
      <x:c r="AJ494" s="246" t="n">
        <x:f>H494-$B$4*AA494</x:f>
        <x:v>-3.731506199721662</x:v>
      </x:c>
      <x:c r="AK494" s="246" t="n">
        <x:f>I494-$B$4*AB494</x:f>
        <x:v>-1.927602289596745</x:v>
      </x:c>
      <x:c r="AL494" s="246" t="n">
        <x:f>J494-$B$4*AC494</x:f>
        <x:v>3.643517517221904</x:v>
      </x:c>
      <x:c r="AM494" s="246" t="n">
        <x:f>K494-$B$4*AD494</x:f>
        <x:v>-3.5087713374700242</x:v>
      </x:c>
      <x:c r="AN494" s="246" t="n">
        <x:f>L494-$B$4*AE494</x:f>
        <x:v>1.8899809559711567</x:v>
      </x:c>
      <x:c r="AO494" s="246" t="n">
        <x:f>M494-$B$4*AF494</x:f>
        <x:v>4.3345577591238635</x:v>
      </x:c>
      <x:c r="AP494" s="246" t="n">
        <x:f>N494-$B$4*AG494</x:f>
        <x:v>-4.058503573519843</x:v>
      </x:c>
      <x:c r="AQ494" s="246" t="n">
        <x:f>O494-$B$4*AH494</x:f>
        <x:v>1.7953971700591431</x:v>
      </x:c>
      <x:c r="AR494" s="182" t="n">
        <x:f>IF(U494&gt;=$B$5,1,0)</x:f>
        <x:v>1</x:v>
      </x:c>
      <x:c r="AS494" s="182" t="n">
        <x:f>IF(AR494=F494,1,0)</x:f>
        <x:v>1</x:v>
      </x:c>
      <x:c r="AT494" s="252" t="n">
        <x:f>ABS(F494-U494)</x:f>
        <x:v>0.25819065714827105</x:v>
      </x:c>
    </x:row>
    <x:row r="495">
      <x:c r="A495" s="114" t="n">
        <x:v>479</x:v>
      </x:c>
      <x:c r="B495" s="114" t="n">
        <x:v>120</x:v>
      </x:c>
      <x:c r="C495" s="114" t="n">
        <x:v>3</x:v>
      </x:c>
      <x:c r="D495" s="168" t="n">
        <x:f>$I$7</x:f>
        <x:v>1</x:v>
      </x:c>
      <x:c r="E495" s="168" t="n">
        <x:f>$J$7</x:f>
        <x:v>0</x:v>
      </x:c>
      <x:c r="F495" s="168" t="n">
        <x:f>$K$7</x:f>
        <x:v>1</x:v>
      </x:c>
      <x:c r="G495" s="242" t="n">
        <x:f>AI494</x:f>
        <x:v>3.3274478239543583</x:v>
      </x:c>
      <x:c r="H495" s="242" t="n">
        <x:f>AJ494</x:f>
        <x:v>-3.731506199721662</x:v>
      </x:c>
      <x:c r="I495" s="242" t="n">
        <x:f>AK494</x:f>
        <x:v>-1.927602289596745</x:v>
      </x:c>
      <x:c r="J495" s="242" t="n">
        <x:f>AL494</x:f>
        <x:v>3.643517517221904</x:v>
      </x:c>
      <x:c r="K495" s="242" t="n">
        <x:f>AM494</x:f>
        <x:v>-3.5087713374700242</x:v>
      </x:c>
      <x:c r="L495" s="242" t="n">
        <x:f>AN494</x:f>
        <x:v>1.8899809559711567</x:v>
      </x:c>
      <x:c r="M495" s="242" t="n">
        <x:f>AO494</x:f>
        <x:v>4.3345577591238635</x:v>
      </x:c>
      <x:c r="N495" s="242" t="n">
        <x:f>AP494</x:f>
        <x:v>-4.058503573519843</x:v>
      </x:c>
      <x:c r="O495" s="242" t="n">
        <x:f>AQ494</x:f>
        <x:v>1.7953971700591431</x:v>
      </x:c>
      <x:c r="P495" s="243" t="n">
        <x:f>D495*G495+E495*H495+I495</x:f>
        <x:v>1.3998455343576133</x:v>
      </x:c>
      <x:c r="Q495" s="243" t="n">
        <x:f>1/(1+EXP(-P495))</x:f>
        <x:v>0.8021593760498307</x:v>
      </x:c>
      <x:c r="R495" s="243" t="n">
        <x:f>D495*J495+E495*K495+L495</x:f>
        <x:v>5.5334984731930605</x:v>
      </x:c>
      <x:c r="S495" s="243" t="n">
        <x:f>1/(1+EXP(-R495))</x:f>
        <x:v>0.9960634194863157</x:v>
      </x:c>
      <x:c r="T495" s="243" t="n">
        <x:f>Q495*M495+S495*N495+O495</x:f>
        <x:v>1.2298763701322866</x:v>
      </x:c>
      <x:c r="U495" s="243" t="n">
        <x:f>1/(1+EXP(-T495))</x:f>
        <x:v>0.7737969354186068</x:v>
      </x:c>
      <x:c r="V495" s="243" t="n">
        <x:f>0.5*(F495-U495)^2</x:f>
        <x:v>0.025583913213006963</x:v>
      </x:c>
      <x:c r="W495" s="244" t="n">
        <x:f>(U495-F495)*U495*(1-U495)</x:f>
        <x:v>-0.039593507280480784</x:v>
      </x:c>
      <x:c r="X495" s="244" t="n">
        <x:f>W495*M495*Q495*(1-Q495)</x:f>
        <x:v>-0.027236099105068395</x:v>
      </x:c>
      <x:c r="Y495" s="244" t="n">
        <x:f>W495*N495*S495*(1-S495)</x:f>
        <x:v>0.0006300804957665076</x:v>
      </x:c>
      <x:c r="Z495" s="245" t="n">
        <x:f>X495*D495</x:f>
        <x:v>-0.027236099105068395</x:v>
      </x:c>
      <x:c r="AA495" s="245" t="n">
        <x:f>X495*E495</x:f>
        <x:v>0</x:v>
      </x:c>
      <x:c r="AB495" s="245" t="n">
        <x:f>X495</x:f>
        <x:v>-0.027236099105068395</x:v>
      </x:c>
      <x:c r="AC495" s="245" t="n">
        <x:f>Y495*D495</x:f>
        <x:v>0.0006300804957665076</x:v>
      </x:c>
      <x:c r="AD495" s="245" t="n">
        <x:f>Y495*E495</x:f>
        <x:v>0</x:v>
      </x:c>
      <x:c r="AE495" s="245" t="n">
        <x:f>Y495</x:f>
        <x:v>0.0006300804957665076</x:v>
      </x:c>
      <x:c r="AF495" s="245" t="n">
        <x:f>W495*Q495</x:f>
        <x:v>-0.031760303095734896</x:v>
      </x:c>
      <x:c r="AG495" s="245" t="n">
        <x:f>W495*S495</x:f>
        <x:v>-0.03943764425125203</x:v>
      </x:c>
      <x:c r="AH495" s="245" t="n">
        <x:f>W495</x:f>
        <x:v>-0.039593507280480784</x:v>
      </x:c>
      <x:c r="AI495" s="246" t="n">
        <x:f>G495-$B$4*Z495</x:f>
        <x:v>3.3546839230594268</x:v>
      </x:c>
      <x:c r="AJ495" s="246" t="n">
        <x:f>H495-$B$4*AA495</x:f>
        <x:v>-3.731506199721662</x:v>
      </x:c>
      <x:c r="AK495" s="246" t="n">
        <x:f>I495-$B$4*AB495</x:f>
        <x:v>-1.9003661904916767</x:v>
      </x:c>
      <x:c r="AL495" s="246" t="n">
        <x:f>J495-$B$4*AC495</x:f>
        <x:v>3.6428874367261375</x:v>
      </x:c>
      <x:c r="AM495" s="246" t="n">
        <x:f>K495-$B$4*AD495</x:f>
        <x:v>-3.5087713374700242</x:v>
      </x:c>
      <x:c r="AN495" s="246" t="n">
        <x:f>L495-$B$4*AE495</x:f>
        <x:v>1.8893508754753903</x:v>
      </x:c>
      <x:c r="AO495" s="246" t="n">
        <x:f>M495-$B$4*AF495</x:f>
        <x:v>4.366318062219598</x:v>
      </x:c>
      <x:c r="AP495" s="246" t="n">
        <x:f>N495-$B$4*AG495</x:f>
        <x:v>-4.019065929268591</x:v>
      </x:c>
      <x:c r="AQ495" s="246" t="n">
        <x:f>O495-$B$4*AH495</x:f>
        <x:v>1.8349906773396238</x:v>
      </x:c>
      <x:c r="AR495" s="182" t="n">
        <x:f>IF(U495&gt;=$B$5,1,0)</x:f>
        <x:v>1</x:v>
      </x:c>
      <x:c r="AS495" s="182" t="n">
        <x:f>IF(AR495=F495,1,0)</x:f>
        <x:v>1</x:v>
      </x:c>
      <x:c r="AT495" s="252" t="n">
        <x:f>ABS(F495-U495)</x:f>
        <x:v>0.22620306458139317</x:v>
      </x:c>
    </x:row>
    <x:row r="496">
      <x:c r="A496" s="114" t="n">
        <x:v>480</x:v>
      </x:c>
      <x:c r="B496" s="114" t="n">
        <x:v>120</x:v>
      </x:c>
      <x:c r="C496" s="114" t="n">
        <x:v>4</x:v>
      </x:c>
      <x:c r="D496" s="168" t="n">
        <x:f>$I$8</x:f>
        <x:v>1</x:v>
      </x:c>
      <x:c r="E496" s="168" t="n">
        <x:f>$J$8</x:f>
        <x:v>1</x:v>
      </x:c>
      <x:c r="F496" s="168" t="n">
        <x:f>$K$8</x:f>
        <x:v>0</x:v>
      </x:c>
      <x:c r="G496" s="242" t="n">
        <x:f>AI495</x:f>
        <x:v>3.3546839230594268</x:v>
      </x:c>
      <x:c r="H496" s="242" t="n">
        <x:f>AJ495</x:f>
        <x:v>-3.731506199721662</x:v>
      </x:c>
      <x:c r="I496" s="242" t="n">
        <x:f>AK495</x:f>
        <x:v>-1.9003661904916767</x:v>
      </x:c>
      <x:c r="J496" s="242" t="n">
        <x:f>AL495</x:f>
        <x:v>3.6428874367261375</x:v>
      </x:c>
      <x:c r="K496" s="242" t="n">
        <x:f>AM495</x:f>
        <x:v>-3.5087713374700242</x:v>
      </x:c>
      <x:c r="L496" s="242" t="n">
        <x:f>AN495</x:f>
        <x:v>1.8893508754753903</x:v>
      </x:c>
      <x:c r="M496" s="242" t="n">
        <x:f>AO495</x:f>
        <x:v>4.366318062219598</x:v>
      </x:c>
      <x:c r="N496" s="242" t="n">
        <x:f>AP495</x:f>
        <x:v>-4.019065929268591</x:v>
      </x:c>
      <x:c r="O496" s="242" t="n">
        <x:f>AQ495</x:f>
        <x:v>1.8349906773396238</x:v>
      </x:c>
      <x:c r="P496" s="243" t="n">
        <x:f>D496*G496+E496*H496+I496</x:f>
        <x:v>-2.2771884671539118</x:v>
      </x:c>
      <x:c r="Q496" s="243" t="n">
        <x:f>1/(1+EXP(-P496))</x:f>
        <x:v>0.09302990588422058</x:v>
      </x:c>
      <x:c r="R496" s="243" t="n">
        <x:f>D496*J496+E496*K496+L496</x:f>
        <x:v>2.0234669747315035</x:v>
      </x:c>
      <x:c r="S496" s="243" t="n">
        <x:f>1/(1+EXP(-R496))</x:f>
        <x:v>0.8832390261017687</x:v>
      </x:c>
      <x:c r="T496" s="243" t="n">
        <x:f>Q496*M496+S496*N496+O496</x:f>
        <x:v>-1.3086070414775053</x:v>
      </x:c>
      <x:c r="U496" s="243" t="n">
        <x:f>1/(1+EXP(-T496))</x:f>
        <x:v>0.21272002983958418</x:v>
      </x:c>
      <x:c r="V496" s="243" t="n">
        <x:f>0.5*(F496-U496)^2</x:f>
        <x:v>0.022624905547476794</x:v>
      </x:c>
      <x:c r="W496" s="244" t="n">
        <x:f>(U496-F496)*U496*(1-U496)</x:f>
        <x:v>0.03562426992859952</x:v>
      </x:c>
      <x:c r="X496" s="244" t="n">
        <x:f>W496*M496*Q496*(1-Q496)</x:f>
        <x:v>0.013124322391441384</x:v>
      </x:c>
      <x:c r="Y496" s="244" t="n">
        <x:f>W496*N496*S496*(1-S496)</x:f>
        <x:v>-0.014765462748279728</x:v>
      </x:c>
      <x:c r="Z496" s="245" t="n">
        <x:f>X496*D496</x:f>
        <x:v>0.013124322391441384</x:v>
      </x:c>
      <x:c r="AA496" s="245" t="n">
        <x:f>X496*E496</x:f>
        <x:v>0.013124322391441384</x:v>
      </x:c>
      <x:c r="AB496" s="245" t="n">
        <x:f>X496</x:f>
        <x:v>0.013124322391441384</x:v>
      </x:c>
      <x:c r="AC496" s="245" t="n">
        <x:f>Y496*D496</x:f>
        <x:v>-0.014765462748279728</x:v>
      </x:c>
      <x:c r="AD496" s="245" t="n">
        <x:f>Y496*E496</x:f>
        <x:v>-0.014765462748279728</x:v>
      </x:c>
      <x:c r="AE496" s="245" t="n">
        <x:f>Y496</x:f>
        <x:v>-0.014765462748279728</x:v>
      </x:c>
      <x:c r="AF496" s="245" t="n">
        <x:f>W496*Q496</x:f>
        <x:v>0.0033141224786516826</x:v>
      </x:c>
      <x:c r="AG496" s="245" t="n">
        <x:f>W496*S496</x:f>
        <x:v>0.03146474547732277</x:v>
      </x:c>
      <x:c r="AH496" s="245" t="n">
        <x:f>W496</x:f>
        <x:v>0.03562426992859952</x:v>
      </x:c>
      <x:c r="AI496" s="246" t="n">
        <x:f>G496-$B$4*Z496</x:f>
        <x:v>3.3415596006679853</x:v>
      </x:c>
      <x:c r="AJ496" s="246" t="n">
        <x:f>H496-$B$4*AA496</x:f>
        <x:v>-3.7446305221131033</x:v>
      </x:c>
      <x:c r="AK496" s="246" t="n">
        <x:f>I496-$B$4*AB496</x:f>
        <x:v>-1.913490512883118</x:v>
      </x:c>
      <x:c r="AL496" s="246" t="n">
        <x:f>J496-$B$4*AC496</x:f>
        <x:v>3.6576528994744173</x:v>
      </x:c>
      <x:c r="AM496" s="246" t="n">
        <x:f>K496-$B$4*AD496</x:f>
        <x:v>-3.4940058747217444</x:v>
      </x:c>
      <x:c r="AN496" s="246" t="n">
        <x:f>L496-$B$4*AE496</x:f>
        <x:v>1.90411633822367</x:v>
      </x:c>
      <x:c r="AO496" s="246" t="n">
        <x:f>M496-$B$4*AF496</x:f>
        <x:v>4.363003939740946</x:v>
      </x:c>
      <x:c r="AP496" s="246" t="n">
        <x:f>N496-$B$4*AG496</x:f>
        <x:v>-4.050530674745914</x:v>
      </x:c>
      <x:c r="AQ496" s="246" t="n">
        <x:f>O496-$B$4*AH496</x:f>
        <x:v>1.7993664074110243</x:v>
      </x:c>
      <x:c r="AR496" s="182" t="n">
        <x:f>IF(U496&gt;=$B$5,1,0)</x:f>
        <x:v>0</x:v>
      </x:c>
      <x:c r="AS496" s="182" t="n">
        <x:f>IF(AR496=F496,1,0)</x:f>
        <x:v>1</x:v>
      </x:c>
      <x:c r="AT496" s="252" t="n">
        <x:f>ABS(F496-U496)</x:f>
        <x:v>0.21272002983958418</x:v>
      </x:c>
    </x:row>
  </x:sheetData>
  <x:mergeCells>
    <x:mergeCell ref="A1:AT1"/>
    <x:mergeCell ref="A3:C3"/>
    <x:mergeCell ref="D3:F3"/>
    <x:mergeCell ref="H3:K3"/>
    <x:mergeCell ref="A15:AT15"/>
  </x:mergeCells>
  <x:conditionalFormatting sqref="AS17:AS496">
    <x:cfRule type="cellIs" dxfId="2" priority="1">
      <x:formula>1</x:formula>
    </x:cfRule>
    <x:cfRule type="cellIs" dxfId="3" priority="2">
      <x:formula>0</x:formula>
    </x:cfRule>
  </x:conditionalFormatting>
  <x:conditionalFormatting sqref="V17:V496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{55889D88-CC8F-F88A-F0A5-8D8567F7F314}</x14:id>
        </x:ext>
      </x:extLst>
    </x:cfRule>
  </x:conditionalFormatting>
  <x:dataValidations count="1">
    <x:dataValidation type="list" sqref="K5:K8">
      <x:formula1>"0,1"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55889D88-CC8F-F88A-F0A5-8D8567F7F314}">
            <x14:dataBar gradient="1">
              <x14:cfvo type="min"/>
              <x14:cfvo type="max"/>
              <x14:fillColor rgb="FF5B9BD5"/>
            </x14:dataBar>
          </x14:cfRule>
          <xm:sqref>V17:V496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7" hidden="0" customWidth="1"/>
    <x:col min="5" max="5" width="19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12" hidden="0" customWidth="1"/>
  </x:cols>
  <x:sheetData>
    <x:row r="1" ht="34" customHeight="1">
      <x:c r="A1" s="12" t="str">
        <x:v>สรุปผลการฝึก MLP สำหรับ XOR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4"/>
    </x:row>
    <x:row r="3" ht="24" customHeight="1">
      <x:c r="A3" s="48" t="str">
        <x:v>Key Metrics</x:v>
      </x:c>
      <x:c r="B3" s="49"/>
      <x:c r="C3" s="49"/>
      <x:c r="D3" s="50"/>
    </x:row>
    <x:row r="4">
      <x:c r="A4" s="104" t="str">
        <x:v>Metric</x:v>
      </x:c>
      <x:c r="B4" s="104" t="str">
        <x:v>Value</x:v>
      </x:c>
      <x:c r="C4" s="104" t="str">
        <x:v>หน่วย/รูปแบบ</x:v>
      </x:c>
      <x:c r="D4" s="104" t="str">
        <x:v>ความหมาย</x:v>
      </x:c>
    </x:row>
    <x:row r="5">
      <x:c r="A5" s="120" t="str">
        <x:v>Initial average loss</x:v>
      </x:c>
      <x:c r="B5" s="138" t="n">
        <x:f>B12</x:f>
        <x:v>0.13668644935978147</x:v>
      </x:c>
      <x:c r="C5" s="120" t="str">
        <x:v>Loss</x:v>
      </x:c>
      <x:c r="D5" s="120" t="str">
        <x:v>ค่าเฉลี่ย 4 patterns ใน epoch แรก</x:v>
      </x:c>
    </x:row>
    <x:row r="6">
      <x:c r="A6" s="120" t="str">
        <x:v>Final average loss</x:v>
      </x:c>
      <x:c r="B6" s="138" t="n">
        <x:f>B131</x:f>
        <x:v>0.027577541971197495</x:v>
      </x:c>
      <x:c r="C6" s="120" t="str">
        <x:v>Loss</x:v>
      </x:c>
      <x:c r="D6" s="120" t="str">
        <x:v>ค่าเฉลี่ย epoch 120</x:v>
      </x:c>
    </x:row>
    <x:row r="7">
      <x:c r="A7" s="120" t="str">
        <x:v>Final accuracy</x:v>
      </x:c>
      <x:c r="B7" s="254" t="n">
        <x:f>C131</x:f>
        <x:v>1</x:v>
      </x:c>
      <x:c r="C7" s="120" t="str">
        <x:v>%</x:v>
      </x:c>
      <x:c r="D7" s="120" t="str">
        <x:v>Accuracy ของ epoch สุดท้าย</x:v>
      </x:c>
    </x:row>
    <x:row r="8">
      <x:c r="A8" s="120" t="str">
        <x:v>First epoch with 100% accuracy</x:v>
      </x:c>
      <x:c r="B8" s="70" t="n">
        <x:f>IFERROR(MATCH(1,C12:C131,0),"ยังไม่ถึง 100%")</x:f>
        <x:v>39</x:v>
      </x:c>
      <x:c r="C8" s="120" t="str">
        <x:v>Epoch</x:v>
      </x:c>
      <x:c r="D8" s="120" t="str">
        <x:v>ครั้งแรกที่จำแนกครบ 4 patterns ถูก</x:v>
      </x:c>
    </x:row>
    <x:row r="10" ht="24" customHeight="1">
      <x:c r="A10" s="48" t="str">
        <x:v>ผลราย Epoch</x:v>
      </x:c>
      <x:c r="B10" s="49"/>
      <x:c r="C10" s="49"/>
      <x:c r="D10" s="49"/>
      <x:c r="E10" s="50"/>
    </x:row>
    <x:row r="11">
      <x:c r="A11" s="104" t="str">
        <x:v>Epoch</x:v>
      </x:c>
      <x:c r="B11" s="104" t="str">
        <x:v>Average Loss</x:v>
      </x:c>
      <x:c r="C11" s="104" t="str">
        <x:v>Accuracy</x:v>
      </x:c>
      <x:c r="D11" s="104" t="str">
        <x:v>Mean |t−ŷ|</x:v>
      </x:c>
      <x:c r="E11" s="104" t="str">
        <x:v>ΔLoss จาก epoch ก่อน</x:v>
      </x:c>
    </x:row>
    <x:row r="12">
      <x:c r="A12" s="114" t="n">
        <x:v>1</x:v>
      </x:c>
      <x:c r="B12" s="243" t="n">
        <x:f>AVERAGE('05_MLP_XOR_Log'!V17:V20)</x:f>
        <x:v>0.13668644935978147</x:v>
      </x:c>
      <x:c r="C12" s="184" t="n">
        <x:f>AVERAGE('05_MLP_XOR_Log'!AS17:AS20)</x:f>
        <x:v>0.5</x:v>
      </x:c>
      <x:c r="D12" s="252" t="n">
        <x:f>AVERAGE('05_MLP_XOR_Log'!AT17:AT20)</x:f>
        <x:v>0.5167409497346067</x:v>
      </x:c>
      <x:c r="E12" s="252" t="n">
        <x:f>0</x:f>
        <x:v>0</x:v>
      </x:c>
    </x:row>
    <x:row r="13">
      <x:c r="A13" s="114" t="n">
        <x:v>2</x:v>
      </x:c>
      <x:c r="B13" s="243" t="n">
        <x:f>AVERAGE('05_MLP_XOR_Log'!V21:V24)</x:f>
        <x:v>0.13615975189278595</x:v>
      </x:c>
      <x:c r="C13" s="184" t="n">
        <x:f>AVERAGE('05_MLP_XOR_Log'!AS21:AS24)</x:f>
        <x:v>0.5</x:v>
      </x:c>
      <x:c r="D13" s="252" t="n">
        <x:f>AVERAGE('05_MLP_XOR_Log'!AT21:AT24)</x:f>
        <x:v>0.5163287641201536</x:v>
      </x:c>
      <x:c r="E13" s="252" t="n">
        <x:f>B13-B12</x:f>
        <x:v>-0.0005266974669955182</x:v>
      </x:c>
    </x:row>
    <x:row r="14">
      <x:c r="A14" s="114" t="n">
        <x:v>3</x:v>
      </x:c>
      <x:c r="B14" s="243" t="n">
        <x:f>AVERAGE('05_MLP_XOR_Log'!V25:V28)</x:f>
        <x:v>0.1356909324222068</x:v>
      </x:c>
      <x:c r="C14" s="184" t="n">
        <x:f>AVERAGE('05_MLP_XOR_Log'!AS25:AS28)</x:f>
        <x:v>0.5</x:v>
      </x:c>
      <x:c r="D14" s="252" t="n">
        <x:f>AVERAGE('05_MLP_XOR_Log'!AT25:AT28)</x:f>
        <x:v>0.5158757307130492</x:v>
      </x:c>
      <x:c r="E14" s="252" t="n">
        <x:f>B14-B13</x:f>
        <x:v>-0.0004688194705791404</x:v>
      </x:c>
    </x:row>
    <x:row r="15">
      <x:c r="A15" s="114" t="n">
        <x:v>4</x:v>
      </x:c>
      <x:c r="B15" s="243" t="n">
        <x:f>AVERAGE('05_MLP_XOR_Log'!V29:V32)</x:f>
        <x:v>0.13524421588909286</x:v>
      </x:c>
      <x:c r="C15" s="184" t="n">
        <x:f>AVERAGE('05_MLP_XOR_Log'!AS29:AS32)</x:f>
        <x:v>0.5</x:v>
      </x:c>
      <x:c r="D15" s="252" t="n">
        <x:f>AVERAGE('05_MLP_XOR_Log'!AT29:AT32)</x:f>
        <x:v>0.5153849941649746</x:v>
      </x:c>
      <x:c r="E15" s="252" t="n">
        <x:f>B15-B14</x:f>
        <x:v>-0.00044671653311395554</x:v>
      </x:c>
    </x:row>
    <x:row r="16">
      <x:c r="A16" s="114" t="n">
        <x:v>5</x:v>
      </x:c>
      <x:c r="B16" s="243" t="n">
        <x:f>AVERAGE('05_MLP_XOR_Log'!V33:V36)</x:f>
        <x:v>0.13480197964316384</x:v>
      </x:c>
      <x:c r="C16" s="184" t="n">
        <x:f>AVERAGE('05_MLP_XOR_Log'!AS33:AS36)</x:f>
        <x:v>0.5</x:v>
      </x:c>
      <x:c r="D16" s="252" t="n">
        <x:f>AVERAGE('05_MLP_XOR_Log'!AT33:AT36)</x:f>
        <x:v>0.5148578281072376</x:v>
      </x:c>
      <x:c r="E16" s="252" t="n">
        <x:f>B16-B15</x:f>
        <x:v>-0.0004422362459290119</x:v>
      </x:c>
    </x:row>
    <x:row r="17">
      <x:c r="A17" s="114" t="n">
        <x:v>6</x:v>
      </x:c>
      <x:c r="B17" s="243" t="n">
        <x:f>AVERAGE('05_MLP_XOR_Log'!V37:V40)</x:f>
        <x:v>0.13435583080512223</x:v>
      </x:c>
      <x:c r="C17" s="184" t="n">
        <x:f>AVERAGE('05_MLP_XOR_Log'!AS37:AS40)</x:f>
        <x:v>0.5</x:v>
      </x:c>
      <x:c r="D17" s="252" t="n">
        <x:f>AVERAGE('05_MLP_XOR_Log'!AT37:AT40)</x:f>
        <x:v>0.5142947189971776</x:v>
      </x:c>
      <x:c r="E17" s="252" t="n">
        <x:f>B17-B16</x:f>
        <x:v>-0.00044614883804161565</x:v>
      </x:c>
    </x:row>
    <x:row r="18">
      <x:c r="A18" s="114" t="n">
        <x:v>7</x:v>
      </x:c>
      <x:c r="B18" s="243" t="n">
        <x:f>AVERAGE('05_MLP_XOR_Log'!V41:V44)</x:f>
        <x:v>0.13390199344130643</x:v>
      </x:c>
      <x:c r="C18" s="184" t="n">
        <x:f>AVERAGE('05_MLP_XOR_Log'!AS41:AS44)</x:f>
        <x:v>0.5</x:v>
      </x:c>
      <x:c r="D18" s="252" t="n">
        <x:f>AVERAGE('05_MLP_XOR_Log'!AT41:AT44)</x:f>
        <x:v>0.513695958323938</x:v>
      </x:c>
      <x:c r="E18" s="252" t="n">
        <x:f>B18-B17</x:f>
        <x:v>-0.00045383736381579554</x:v>
      </x:c>
    </x:row>
    <x:row r="19">
      <x:c r="A19" s="114" t="n">
        <x:v>8</x:v>
      </x:c>
      <x:c r="B19" s="243" t="n">
        <x:f>AVERAGE('05_MLP_XOR_Log'!V45:V48)</x:f>
        <x:v>0.1334389719509784</x:v>
      </x:c>
      <x:c r="C19" s="184" t="n">
        <x:f>AVERAGE('05_MLP_XOR_Log'!AS45:AS48)</x:f>
        <x:v>0.5</x:v>
      </x:c>
      <x:c r="D19" s="252" t="n">
        <x:f>AVERAGE('05_MLP_XOR_Log'!AT45:AT48)</x:f>
        <x:v>0.5130619170636885</x:v>
      </x:c>
      <x:c r="E19" s="252" t="n">
        <x:f>B19-B18</x:f>
        <x:v>-0.0004630214903280361</x:v>
      </x:c>
    </x:row>
    <x:row r="20">
      <x:c r="A20" s="114" t="n">
        <x:v>9</x:v>
      </x:c>
      <x:c r="B20" s="243" t="n">
        <x:f>AVERAGE('05_MLP_XOR_Log'!V49:V52)</x:f>
        <x:v>0.13296637852004306</x:v>
      </x:c>
      <x:c r="C20" s="184" t="n">
        <x:f>AVERAGE('05_MLP_XOR_Log'!AS49:AS52)</x:f>
        <x:v>0.5</x:v>
      </x:c>
      <x:c r="D20" s="252" t="n">
        <x:f>AVERAGE('05_MLP_XOR_Log'!AT49:AT52)</x:f>
        <x:v>0.5123931378656281</x:v>
      </x:c>
      <x:c r="E20" s="252" t="n">
        <x:f>B20-B19</x:f>
        <x:v>-0.00047259343093533634</x:v>
      </x:c>
    </x:row>
    <x:row r="21">
      <x:c r="A21" s="114" t="n">
        <x:v>10</x:v>
      </x:c>
      <x:c r="B21" s="243" t="n">
        <x:f>AVERAGE('05_MLP_XOR_Log'!V53:V56)</x:f>
        <x:v>0.1324843435248923</x:v>
      </x:c>
      <x:c r="C21" s="184" t="n">
        <x:f>AVERAGE('05_MLP_XOR_Log'!AS53:AS56)</x:f>
        <x:v>0.5</x:v>
      </x:c>
      <x:c r="D21" s="252" t="n">
        <x:f>AVERAGE('05_MLP_XOR_Log'!AT53:AT56)</x:f>
        <x:v>0.5116903311452817</x:v>
      </x:c>
      <x:c r="E21" s="252" t="n">
        <x:f>B21-B20</x:f>
        <x:v>-0.00048203499515075965</x:v>
      </x:c>
    </x:row>
    <x:row r="22">
      <x:c r="A22" s="114" t="n">
        <x:v>11</x:v>
      </x:c>
      <x:c r="B22" s="243" t="n">
        <x:f>AVERAGE('05_MLP_XOR_Log'!V57:V60)</x:f>
        <x:v>0.13199321390594412</x:v>
      </x:c>
      <x:c r="C22" s="184" t="n">
        <x:f>AVERAGE('05_MLP_XOR_Log'!AS57:AS60)</x:f>
        <x:v>0.5</x:v>
      </x:c>
      <x:c r="D22" s="252" t="n">
        <x:f>AVERAGE('05_MLP_XOR_Log'!AT57:AT60)</x:f>
        <x:v>0.510954324991723</x:v>
      </x:c>
      <x:c r="E22" s="252" t="n">
        <x:f>B22-B21</x:f>
        <x:v>-0.0004911296189481773</x:v>
      </x:c>
    </x:row>
    <x:row r="23">
      <x:c r="A23" s="114" t="n">
        <x:v>12</x:v>
      </x:c>
      <x:c r="B23" s="243" t="n">
        <x:f>AVERAGE('05_MLP_XOR_Log'!V61:V64)</x:f>
        <x:v>0.13149339319048414</x:v>
      </x:c>
      <x:c r="C23" s="184" t="n">
        <x:f>AVERAGE('05_MLP_XOR_Log'!AS61:AS64)</x:f>
        <x:v>0.5</x:v>
      </x:c>
      <x:c r="D23" s="252" t="n">
        <x:f>AVERAGE('05_MLP_XOR_Log'!AT61:AT64)</x:f>
        <x:v>0.5101859966894144</x:v>
      </x:c>
      <x:c r="E23" s="252" t="n">
        <x:f>B23-B22</x:f>
        <x:v>-0.000499820715459981</x:v>
      </x:c>
    </x:row>
    <x:row r="24">
      <x:c r="A24" s="114" t="n">
        <x:v>13</x:v>
      </x:c>
      <x:c r="B24" s="243" t="n">
        <x:f>AVERAGE('05_MLP_XOR_Log'!V65:V68)</x:f>
        <x:v>0.13098525219016757</x:v>
      </x:c>
      <x:c r="C24" s="184" t="n">
        <x:f>AVERAGE('05_MLP_XOR_Log'!AS65:AS68)</x:f>
        <x:v>0.5</x:v>
      </x:c>
      <x:c r="D24" s="252" t="n">
        <x:f>AVERAGE('05_MLP_XOR_Log'!AT65:AT68)</x:f>
        <x:v>0.50938620129785</x:v>
      </x:c>
      <x:c r="E24" s="252" t="n">
        <x:f>B24-B23</x:f>
        <x:v>-0.0005081410003165698</x:v>
      </x:c>
    </x:row>
    <x:row r="25" ht="24" customHeight="1">
      <x:c r="A25" s="114" t="n">
        <x:v>14</x:v>
      </x:c>
      <x:c r="B25" s="243" t="n">
        <x:f>AVERAGE('05_MLP_XOR_Log'!V69:V72)</x:f>
        <x:v>0.1304690767206244</x:v>
      </x:c>
      <x:c r="C25" s="184" t="n">
        <x:f>AVERAGE('05_MLP_XOR_Log'!AS69:AS72)</x:f>
        <x:v>0.5</x:v>
      </x:c>
      <x:c r="D25" s="252" t="n">
        <x:f>AVERAGE('05_MLP_XOR_Log'!AT69:AT72)</x:f>
        <x:v>0.5085557059784218</x:v>
      </x:c>
      <x:c r="E25" s="252" t="n">
        <x:f>B25-B24</x:f>
        <x:v>-0.000516175469543162</x:v>
      </x:c>
      <x:c r="G25" s="48" t="str">
        <x:v>ผลทำนาย XOR ด้วย Parameter หลัง Update สุดท้าย</x:v>
      </x:c>
      <x:c r="H25" s="49"/>
      <x:c r="I25" s="49"/>
      <x:c r="J25" s="49"/>
      <x:c r="K25" s="49"/>
      <x:c r="L25" s="49"/>
      <x:c r="M25" s="49"/>
      <x:c r="N25" s="49"/>
      <x:c r="O25" s="50"/>
    </x:row>
    <x:row r="26">
      <x:c r="A26" s="114" t="n">
        <x:v>15</x:v>
      </x:c>
      <x:c r="B26" s="243" t="n">
        <x:f>AVERAGE('05_MLP_XOR_Log'!V73:V76)</x:f>
        <x:v>0.12994503666186072</x:v>
      </x:c>
      <x:c r="C26" s="184" t="n">
        <x:f>AVERAGE('05_MLP_XOR_Log'!AS73:AS76)</x:f>
        <x:v>0.5</x:v>
      </x:c>
      <x:c r="D26" s="252" t="n">
        <x:f>AVERAGE('05_MLP_XOR_Log'!AT73:AT76)</x:f>
        <x:v>0.5076951349009321</x:v>
      </x:c>
      <x:c r="E26" s="252" t="n">
        <x:f>B26-B25</x:f>
        <x:v>-0.0005240400587636918</x:v>
      </x:c>
      <x:c r="G26" s="104" t="str">
        <x:v>Pattern</x:v>
      </x:c>
      <x:c r="H26" s="104" t="str">
        <x:v>x₁</x:v>
      </x:c>
      <x:c r="I26" s="104" t="str">
        <x:v>x₂</x:v>
      </x:c>
      <x:c r="J26" s="104" t="str">
        <x:v>Target</x:v>
      </x:c>
      <x:c r="K26" s="104" t="str">
        <x:v>h₁</x:v>
      </x:c>
      <x:c r="L26" s="104" t="str">
        <x:v>h₂</x:v>
      </x:c>
      <x:c r="M26" s="104" t="str">
        <x:v>ŷ</x:v>
      </x:c>
      <x:c r="N26" s="104" t="str">
        <x:v>Pred</x:v>
      </x:c>
      <x:c r="O26" s="104" t="str">
        <x:v>Correct</x:v>
      </x:c>
    </x:row>
    <x:row r="27">
      <x:c r="A27" s="114" t="n">
        <x:v>16</x:v>
      </x:c>
      <x:c r="B27" s="243" t="n">
        <x:f>AVERAGE('05_MLP_XOR_Log'!V77:V80)</x:f>
        <x:v>0.129413168984975</x:v>
      </x:c>
      <x:c r="C27" s="184" t="n">
        <x:f>AVERAGE('05_MLP_XOR_Log'!AS77:AS80)</x:f>
        <x:v>0.5</x:v>
      </x:c>
      <x:c r="D27" s="252" t="n">
        <x:f>AVERAGE('05_MLP_XOR_Log'!AT77:AT80)</x:f>
        <x:v>0.5068049271228706</x:v>
      </x:c>
      <x:c r="E27" s="252" t="n">
        <x:f>B27-B26</x:f>
        <x:v>-0.0005318676768857056</x:v>
      </x:c>
      <x:c r="G27" s="114" t="n">
        <x:f>'05_MLP_XOR_Log'!H5</x:f>
        <x:v>1</x:v>
      </x:c>
      <x:c r="H27" s="114" t="n">
        <x:f>'05_MLP_XOR_Log'!I5</x:f>
        <x:v>0</x:v>
      </x:c>
      <x:c r="I27" s="114" t="n">
        <x:f>'05_MLP_XOR_Log'!J5</x:f>
        <x:v>0</x:v>
      </x:c>
      <x:c r="J27" s="114" t="n">
        <x:f>'05_MLP_XOR_Log'!K5</x:f>
        <x:v>0</x:v>
      </x:c>
      <x:c r="K27" s="246" t="n">
        <x:f>1/(1+EXP(-(H27*'05_MLP_XOR_Log'!$AI$496+I27*'05_MLP_XOR_Log'!$AJ$496+'05_MLP_XOR_Log'!$AK$496)))</x:f>
        <x:v>0.12858921878395127</x:v>
      </x:c>
      <x:c r="L27" s="246" t="n">
        <x:f>1/(1+EXP(-(H27*'05_MLP_XOR_Log'!$AL$496+I27*'05_MLP_XOR_Log'!$AM$496+'05_MLP_XOR_Log'!$AN$496)))</x:f>
        <x:v>0.8703567049261782</x:v>
      </x:c>
      <x:c r="M27" s="246" t="n">
        <x:f>1/(1+EXP(-(K27*'05_MLP_XOR_Log'!$AO$496+L27*'05_MLP_XOR_Log'!$AP$496+'05_MLP_XOR_Log'!$AQ$496)))</x:f>
        <x:v>0.23775906657463303</x:v>
      </x:c>
      <x:c r="N27" s="172" t="n">
        <x:f>IF(M27&gt;='05_MLP_XOR_Log'!$B$5,1,0)</x:f>
        <x:v>0</x:v>
      </x:c>
      <x:c r="O27" s="172" t="n">
        <x:f>IF(N27=J27,1,0)</x:f>
        <x:v>1</x:v>
      </x:c>
    </x:row>
    <x:row r="28">
      <x:c r="A28" s="114" t="n">
        <x:v>17</x:v>
      </x:c>
      <x:c r="B28" s="243" t="n">
        <x:f>AVERAGE('05_MLP_XOR_Log'!V81:V84)</x:f>
        <x:v>0.12887337098085008</x:v>
      </x:c>
      <x:c r="C28" s="184" t="n">
        <x:f>AVERAGE('05_MLP_XOR_Log'!AS81:AS84)</x:f>
        <x:v>0.5</x:v>
      </x:c>
      <x:c r="D28" s="252" t="n">
        <x:f>AVERAGE('05_MLP_XOR_Log'!AT81:AT84)</x:f>
        <x:v>0.5058853081200021</x:v>
      </x:c>
      <x:c r="E28" s="252" t="n">
        <x:f>B28-B27</x:f>
        <x:v>-0.0005397980041249306</x:v>
      </x:c>
      <x:c r="G28" s="114" t="n">
        <x:f>'05_MLP_XOR_Log'!H6</x:f>
        <x:v>2</x:v>
      </x:c>
      <x:c r="H28" s="114" t="n">
        <x:f>'05_MLP_XOR_Log'!I6</x:f>
        <x:v>0</x:v>
      </x:c>
      <x:c r="I28" s="114" t="n">
        <x:f>'05_MLP_XOR_Log'!J6</x:f>
        <x:v>1</x:v>
      </x:c>
      <x:c r="J28" s="114" t="n">
        <x:f>'05_MLP_XOR_Log'!K6</x:f>
        <x:v>1</x:v>
      </x:c>
      <x:c r="K28" s="246" t="n">
        <x:f>1/(1+EXP(-(H28*'05_MLP_XOR_Log'!$AI$496+I28*'05_MLP_XOR_Log'!$AJ$496+'05_MLP_XOR_Log'!$AK$496)))</x:f>
        <x:v>0.0034769353181611992</x:v>
      </x:c>
      <x:c r="L28" s="246" t="n">
        <x:f>1/(1+EXP(-(H28*'05_MLP_XOR_Log'!$AL$496+I28*'05_MLP_XOR_Log'!$AM$496+'05_MLP_XOR_Log'!$AN$496)))</x:f>
        <x:v>0.169399438942249</x:v>
      </x:c>
      <x:c r="M28" s="246" t="n">
        <x:f>1/(1+EXP(-(K28*'05_MLP_XOR_Log'!$AO$496+L28*'05_MLP_XOR_Log'!$AP$496+'05_MLP_XOR_Log'!$AQ$496)))</x:f>
        <x:v>0.7555395635830554</x:v>
      </x:c>
      <x:c r="N28" s="172" t="n">
        <x:f>IF(M28&gt;='05_MLP_XOR_Log'!$B$5,1,0)</x:f>
        <x:v>1</x:v>
      </x:c>
      <x:c r="O28" s="172" t="n">
        <x:f>IF(N28=J28,1,0)</x:f>
        <x:v>1</x:v>
      </x:c>
    </x:row>
    <x:row r="29">
      <x:c r="A29" s="114" t="n">
        <x:v>18</x:v>
      </x:c>
      <x:c r="B29" s="243" t="n">
        <x:f>AVERAGE('05_MLP_XOR_Log'!V85:V88)</x:f>
        <x:v>0.1283254013609871</x:v>
      </x:c>
      <x:c r="C29" s="184" t="n">
        <x:f>AVERAGE('05_MLP_XOR_Log'!AS85:AS88)</x:f>
        <x:v>0.5</x:v>
      </x:c>
      <x:c r="D29" s="252" t="n">
        <x:f>AVERAGE('05_MLP_XOR_Log'!AT85:AT88)</x:f>
        <x:v>0.5049362743875526</x:v>
      </x:c>
      <x:c r="E29" s="252" t="n">
        <x:f>B29-B28</x:f>
        <x:v>-0.0005479696198629758</x:v>
      </x:c>
      <x:c r="G29" s="114" t="n">
        <x:f>'05_MLP_XOR_Log'!H7</x:f>
        <x:v>3</x:v>
      </x:c>
      <x:c r="H29" s="114" t="n">
        <x:f>'05_MLP_XOR_Log'!I7</x:f>
        <x:v>1</x:v>
      </x:c>
      <x:c r="I29" s="114" t="n">
        <x:f>'05_MLP_XOR_Log'!J7</x:f>
        <x:v>0</x:v>
      </x:c>
      <x:c r="J29" s="114" t="n">
        <x:f>'05_MLP_XOR_Log'!K7</x:f>
        <x:v>1</x:v>
      </x:c>
      <x:c r="K29" s="246" t="n">
        <x:f>1/(1+EXP(-(H29*'05_MLP_XOR_Log'!$AI$496+I29*'05_MLP_XOR_Log'!$AJ$496+'05_MLP_XOR_Log'!$AK$496)))</x:f>
        <x:v>0.8066002789783883</x:v>
      </x:c>
      <x:c r="L29" s="246" t="n">
        <x:f>1/(1+EXP(-(H29*'05_MLP_XOR_Log'!$AL$496+I29*'05_MLP_XOR_Log'!$AM$496+'05_MLP_XOR_Log'!$AN$496)))</x:f>
        <x:v>0.9961727312457951</x:v>
      </x:c>
      <x:c r="M29" s="246" t="n">
        <x:f>1/(1+EXP(-(K29*'05_MLP_XOR_Log'!$AO$496+L29*'05_MLP_XOR_Log'!$AP$496+'05_MLP_XOR_Log'!$AQ$496)))</x:f>
        <x:v>0.7830514879080198</x:v>
      </x:c>
      <x:c r="N29" s="172" t="n">
        <x:f>IF(M29&gt;='05_MLP_XOR_Log'!$B$5,1,0)</x:f>
        <x:v>1</x:v>
      </x:c>
      <x:c r="O29" s="172" t="n">
        <x:f>IF(N29=J29,1,0)</x:f>
        <x:v>1</x:v>
      </x:c>
    </x:row>
    <x:row r="30">
      <x:c r="A30" s="114" t="n">
        <x:v>19</x:v>
      </x:c>
      <x:c r="B30" s="243" t="n">
        <x:f>AVERAGE('05_MLP_XOR_Log'!V89:V92)</x:f>
        <x:v>0.12776888741527836</x:v>
      </x:c>
      <x:c r="C30" s="184" t="n">
        <x:f>AVERAGE('05_MLP_XOR_Log'!AS89:AS92)</x:f>
        <x:v>0.5</x:v>
      </x:c>
      <x:c r="D30" s="252" t="n">
        <x:f>AVERAGE('05_MLP_XOR_Log'!AT89:AT92)</x:f>
        <x:v>0.5039575896449502</x:v>
      </x:c>
      <x:c r="E30" s="252" t="n">
        <x:f>B30-B29</x:f>
        <x:v>-0.000556513945708742</x:v>
      </x:c>
      <x:c r="G30" s="114" t="n">
        <x:f>'05_MLP_XOR_Log'!H8</x:f>
        <x:v>4</x:v>
      </x:c>
      <x:c r="H30" s="114" t="n">
        <x:f>'05_MLP_XOR_Log'!I8</x:f>
        <x:v>1</x:v>
      </x:c>
      <x:c r="I30" s="114" t="n">
        <x:f>'05_MLP_XOR_Log'!J8</x:f>
        <x:v>1</x:v>
      </x:c>
      <x:c r="J30" s="114" t="n">
        <x:f>'05_MLP_XOR_Log'!K8</x:f>
        <x:v>0</x:v>
      </x:c>
      <x:c r="K30" s="246" t="n">
        <x:f>1/(1+EXP(-(H30*'05_MLP_XOR_Log'!$AI$496+I30*'05_MLP_XOR_Log'!$AJ$496+'05_MLP_XOR_Log'!$AK$496)))</x:f>
        <x:v>0.08976060663948654</x:v>
      </x:c>
      <x:c r="L30" s="246" t="n">
        <x:f>1/(1+EXP(-(H30*'05_MLP_XOR_Log'!$AL$496+I30*'05_MLP_XOR_Log'!$AM$496+'05_MLP_XOR_Log'!$AN$496)))</x:f>
        <x:v>0.887730239669535</x:v>
      </x:c>
      <x:c r="M30" s="246" t="n">
        <x:f>1/(1+EXP(-(K30*'05_MLP_XOR_Log'!$AO$496+L30*'05_MLP_XOR_Log'!$AP$496+'05_MLP_XOR_Log'!$AQ$496)))</x:f>
        <x:v>0.1970576996362152</x:v>
      </x:c>
      <x:c r="N30" s="172" t="n">
        <x:f>IF(M30&gt;='05_MLP_XOR_Log'!$B$5,1,0)</x:f>
        <x:v>0</x:v>
      </x:c>
      <x:c r="O30" s="172" t="n">
        <x:f>IF(N30=J30,1,0)</x:f>
        <x:v>1</x:v>
      </x:c>
    </x:row>
    <x:row r="31">
      <x:c r="A31" s="114" t="n">
        <x:v>20</x:v>
      </x:c>
      <x:c r="B31" s="243" t="n">
        <x:f>AVERAGE('05_MLP_XOR_Log'!V93:V96)</x:f>
        <x:v>0.127203336606708</x:v>
      </x:c>
      <x:c r="C31" s="184" t="n">
        <x:f>AVERAGE('05_MLP_XOR_Log'!AS93:AS96)</x:f>
        <x:v>0.5</x:v>
      </x:c>
      <x:c r="D31" s="252" t="n">
        <x:f>AVERAGE('05_MLP_XOR_Log'!AT93:AT96)</x:f>
        <x:v>0.5029487906360373</x:v>
      </x:c>
      <x:c r="E31" s="252" t="n">
        <x:f>B31-B30</x:f>
        <x:v>-0.0005655508085703753</x:v>
      </x:c>
    </x:row>
    <x:row r="32">
      <x:c r="A32" s="114" t="n">
        <x:v>21</x:v>
      </x:c>
      <x:c r="B32" s="243" t="n">
        <x:f>AVERAGE('05_MLP_XOR_Log'!V97:V100)</x:f>
        <x:v>0.1266281511210164</x:v>
      </x:c>
      <x:c r="C32" s="184" t="n">
        <x:f>AVERAGE('05_MLP_XOR_Log'!AS97:AS100)</x:f>
        <x:v>0.5</x:v>
      </x:c>
      <x:c r="D32" s="252" t="n">
        <x:f>AVERAGE('05_MLP_XOR_Log'!AT97:AT100)</x:f>
        <x:v>0.5019092002878993</x:v>
      </x:c>
      <x:c r="E32" s="252" t="n">
        <x:f>B32-B31</x:f>
        <x:v>-0.0005751854856915761</x:v>
      </x:c>
    </x:row>
    <x:row r="33" ht="24" customHeight="1">
      <x:c r="A33" s="114" t="n">
        <x:v>22</x:v>
      </x:c>
      <x:c r="B33" s="243" t="n">
        <x:f>AVERAGE('05_MLP_XOR_Log'!V101:V104)</x:f>
        <x:v>0.12604264406218546</x:v>
      </x:c>
      <x:c r="C33" s="184" t="n">
        <x:f>AVERAGE('05_MLP_XOR_Log'!AS101:AS104)</x:f>
        <x:v>0.5</x:v>
      </x:c>
      <x:c r="D33" s="252" t="n">
        <x:f>AVERAGE('05_MLP_XOR_Log'!AT101:AT104)</x:f>
        <x:v>0.5008379460201837</x:v>
      </x:c>
      <x:c r="E33" s="252" t="n">
        <x:f>B33-B32</x:f>
        <x:v>-0.000585507058830953</x:v>
      </x:c>
      <x:c r="G33" s="48" t="str">
        <x:v>Final Parameters</x:v>
      </x:c>
      <x:c r="H33" s="49"/>
      <x:c r="I33" s="49"/>
      <x:c r="J33" s="50"/>
    </x:row>
    <x:row r="34">
      <x:c r="A34" s="114" t="n">
        <x:v>23</x:v>
      </x:c>
      <x:c r="B34" s="243" t="n">
        <x:f>AVERAGE('05_MLP_XOR_Log'!V105:V108)</x:f>
        <x:v>0.1254460562039489</x:v>
      </x:c>
      <x:c r="C34" s="184" t="n">
        <x:f>AVERAGE('05_MLP_XOR_Log'!AS105:AS108)</x:f>
        <x:v>0.5</x:v>
      </x:c>
      <x:c r="D34" s="252" t="n">
        <x:f>AVERAGE('05_MLP_XOR_Log'!AT105:AT108)</x:f>
        <x:v>0.4997339812120386</x:v>
      </x:c>
      <x:c r="E34" s="252" t="n">
        <x:f>B34-B33</x:f>
        <x:v>-0.0005965878582365469</x:v>
      </x:c>
      <x:c r="G34" s="104" t="str">
        <x:v>Parameter</x:v>
      </x:c>
      <x:c r="H34" s="104" t="str">
        <x:v>Final value</x:v>
      </x:c>
      <x:c r="I34" s="104" t="str">
        <x:v>Connection</x:v>
      </x:c>
      <x:c r="J34" s="104" t="str">
        <x:v>Source</x:v>
      </x:c>
    </x:row>
    <x:row r="35">
      <x:c r="A35" s="114" t="n">
        <x:v>24</x:v>
      </x:c>
      <x:c r="B35" s="243" t="n">
        <x:f>AVERAGE('05_MLP_XOR_Log'!V109:V112)</x:f>
        <x:v>0.12483757245342487</x:v>
      </x:c>
      <x:c r="C35" s="184" t="n">
        <x:f>AVERAGE('05_MLP_XOR_Log'!AS109:AS112)</x:f>
        <x:v>0.5</x:v>
      </x:c>
      <x:c r="D35" s="252" t="n">
        <x:f>AVERAGE('05_MLP_XOR_Log'!AT109:AT112)</x:f>
        <x:v>0.49859610816119204</x:v>
      </x:c>
      <x:c r="E35" s="252" t="n">
        <x:f>B35-B34</x:f>
        <x:v>-0.0006084837505240387</x:v>
      </x:c>
      <x:c r="G35" s="120" t="str">
        <x:v>w₁₁</x:v>
      </x:c>
      <x:c r="H35" s="138" t="n">
        <x:f>'05_MLP_XOR_Log'!AI496</x:f>
        <x:v>3.3415596006679853</x:v>
      </x:c>
      <x:c r="I35" s="120" t="str">
        <x:v>x₁→h₁</x:v>
      </x:c>
      <x:c r="J35" s="120" t="str">
        <x:v>AI496</x:v>
      </x:c>
    </x:row>
    <x:row r="36">
      <x:c r="A36" s="114" t="n">
        <x:v>25</x:v>
      </x:c>
      <x:c r="B36" s="243" t="n">
        <x:f>AVERAGE('05_MLP_XOR_Log'!V113:V116)</x:f>
        <x:v>0.12421633742862324</x:v>
      </x:c>
      <x:c r="C36" s="184" t="n">
        <x:f>AVERAGE('05_MLP_XOR_Log'!AS113:AS116)</x:f>
        <x:v>0.5</x:v>
      </x:c>
      <x:c r="D36" s="252" t="n">
        <x:f>AVERAGE('05_MLP_XOR_Log'!AT113:AT116)</x:f>
        <x:v>0.49742300124304156</x:v>
      </x:c>
      <x:c r="E36" s="252" t="n">
        <x:f>B36-B35</x:f>
        <x:v>-0.0006212350248016307</x:v>
      </x:c>
      <x:c r="G36" s="120" t="str">
        <x:v>w₂₁</x:v>
      </x:c>
      <x:c r="H36" s="138" t="n">
        <x:f>'05_MLP_XOR_Log'!AJ496</x:f>
        <x:v>-3.7446305221131033</x:v>
      </x:c>
      <x:c r="I36" s="120" t="str">
        <x:v>x₂→h₁</x:v>
      </x:c>
      <x:c r="J36" s="120" t="str">
        <x:v>AJ496</x:v>
      </x:c>
    </x:row>
    <x:row r="37">
      <x:c r="A37" s="114" t="n">
        <x:v>26</x:v>
      </x:c>
      <x:c r="B37" s="243" t="n">
        <x:f>AVERAGE('05_MLP_XOR_Log'!V117:V120)</x:f>
        <x:v>0.12358146977483572</x:v>
      </x:c>
      <x:c r="C37" s="184" t="n">
        <x:f>AVERAGE('05_MLP_XOR_Log'!AS117:AS120)</x:f>
        <x:v>0.5</x:v>
      </x:c>
      <x:c r="D37" s="252" t="n">
        <x:f>AVERAGE('05_MLP_XOR_Log'!AT117:AT120)</x:f>
        <x:v>0.49621322934595047</x:v>
      </x:c>
      <x:c r="E37" s="252" t="n">
        <x:f>B37-B36</x:f>
        <x:v>-0.0006348676537875214</x:v>
      </x:c>
      <x:c r="G37" s="120" t="str">
        <x:v>bₕ₁</x:v>
      </x:c>
      <x:c r="H37" s="138" t="n">
        <x:f>'05_MLP_XOR_Log'!AK496</x:f>
        <x:v>-1.913490512883118</x:v>
      </x:c>
      <x:c r="I37" s="120" t="str">
        <x:v>bias→h₁</x:v>
      </x:c>
      <x:c r="J37" s="120" t="str">
        <x:v>AK496</x:v>
      </x:c>
    </x:row>
    <x:row r="38">
      <x:c r="A38" s="114" t="n">
        <x:v>27</x:v>
      </x:c>
      <x:c r="B38" s="243" t="n">
        <x:f>AVERAGE('05_MLP_XOR_Log'!V121:V124)</x:f>
        <x:v>0.12293207503199217</x:v>
      </x:c>
      <x:c r="C38" s="184" t="n">
        <x:f>AVERAGE('05_MLP_XOR_Log'!AS121:AS124)</x:f>
        <x:v>0.5</x:v>
      </x:c>
      <x:c r="D38" s="252" t="n">
        <x:f>AVERAGE('05_MLP_XOR_Log'!AT121:AT124)</x:f>
        <x:v>0.4949652769886308</x:v>
      </x:c>
      <x:c r="E38" s="252" t="n">
        <x:f>B38-B37</x:f>
        <x:v>-0.0006493947428435481</x:v>
      </x:c>
      <x:c r="G38" s="120" t="str">
        <x:v>w₁₂</x:v>
      </x:c>
      <x:c r="H38" s="138" t="n">
        <x:f>'05_MLP_XOR_Log'!AL496</x:f>
        <x:v>3.6576528994744173</x:v>
      </x:c>
      <x:c r="I38" s="120" t="str">
        <x:v>x₁→h₂</x:v>
      </x:c>
      <x:c r="J38" s="120" t="str">
        <x:v>AL496</x:v>
      </x:c>
    </x:row>
    <x:row r="39">
      <x:c r="A39" s="114" t="n">
        <x:v>28</x:v>
      </x:c>
      <x:c r="B39" s="243" t="n">
        <x:f>AVERAGE('05_MLP_XOR_Log'!V125:V128)</x:f>
        <x:v>0.12226725701034369</x:v>
      </x:c>
      <x:c r="C39" s="184" t="n">
        <x:f>AVERAGE('05_MLP_XOR_Log'!AS125:AS128)</x:f>
        <x:v>0.75</x:v>
      </x:c>
      <x:c r="D39" s="252" t="n">
        <x:f>AVERAGE('05_MLP_XOR_Log'!AT125:AT128)</x:f>
        <x:v>0.49367756379864036</x:v>
      </x:c>
      <x:c r="E39" s="252" t="n">
        <x:f>B39-B38</x:f>
        <x:v>-0.0006648180216484861</x:v>
      </x:c>
      <x:c r="G39" s="120" t="str">
        <x:v>w₂₂</x:v>
      </x:c>
      <x:c r="H39" s="138" t="n">
        <x:f>'05_MLP_XOR_Log'!AM496</x:f>
        <x:v>-3.4940058747217444</x:v>
      </x:c>
      <x:c r="I39" s="120" t="str">
        <x:v>x₂→h₂</x:v>
      </x:c>
      <x:c r="J39" s="120" t="str">
        <x:v>AM496</x:v>
      </x:c>
    </x:row>
    <x:row r="40">
      <x:c r="A40" s="114" t="n">
        <x:v>29</x:v>
      </x:c>
      <x:c r="B40" s="243" t="n">
        <x:f>AVERAGE('05_MLP_XOR_Log'!V129:V132)</x:f>
        <x:v>0.12158612773597133</x:v>
      </x:c>
      <x:c r="C40" s="184" t="n">
        <x:f>AVERAGE('05_MLP_XOR_Log'!AS129:AS132)</x:f>
        <x:v>0.75</x:v>
      </x:c>
      <x:c r="D40" s="252" t="n">
        <x:f>AVERAGE('05_MLP_XOR_Log'!AT129:AT132)</x:f>
        <x:v>0.49234846224218054</x:v>
      </x:c>
      <x:c r="E40" s="252" t="n">
        <x:f>B40-B39</x:f>
        <x:v>-0.0006811292743723607</x:v>
      </x:c>
      <x:c r="G40" s="120" t="str">
        <x:v>bₕ₂</x:v>
      </x:c>
      <x:c r="H40" s="138" t="n">
        <x:f>'05_MLP_XOR_Log'!AN496</x:f>
        <x:v>1.90411633822367</x:v>
      </x:c>
      <x:c r="I40" s="120" t="str">
        <x:v>bias→h₂</x:v>
      </x:c>
      <x:c r="J40" s="120" t="str">
        <x:v>AN496</x:v>
      </x:c>
    </x:row>
    <x:row r="41">
      <x:c r="A41" s="114" t="n">
        <x:v>30</x:v>
      </x:c>
      <x:c r="B41" s="243" t="n">
        <x:f>AVERAGE('05_MLP_XOR_Log'!V133:V136)</x:f>
        <x:v>0.12088781609520444</x:v>
      </x:c>
      <x:c r="C41" s="184" t="n">
        <x:f>AVERAGE('05_MLP_XOR_Log'!AS133:AS136)</x:f>
        <x:v>0.75</x:v>
      </x:c>
      <x:c r="D41" s="252" t="n">
        <x:f>AVERAGE('05_MLP_XOR_Log'!AT133:AT136)</x:f>
        <x:v>0.49097631364739297</x:v>
      </x:c>
      <x:c r="E41" s="252" t="n">
        <x:f>B41-B40</x:f>
        <x:v>-0.000698311640766891</x:v>
      </x:c>
      <x:c r="G41" s="120" t="str">
        <x:v>v₁</x:v>
      </x:c>
      <x:c r="H41" s="138" t="n">
        <x:f>'05_MLP_XOR_Log'!AO496</x:f>
        <x:v>4.363003939740946</x:v>
      </x:c>
      <x:c r="I41" s="120" t="str">
        <x:v>h₁→output</x:v>
      </x:c>
      <x:c r="J41" s="120" t="str">
        <x:v>AO496</x:v>
      </x:c>
    </x:row>
    <x:row r="42">
      <x:c r="A42" s="114" t="n">
        <x:v>31</x:v>
      </x:c>
      <x:c r="B42" s="243" t="n">
        <x:f>AVERAGE('05_MLP_XOR_Log'!V137:V140)</x:f>
        <x:v>0.12017147534460522</x:v>
      </x:c>
      <x:c r="C42" s="184" t="n">
        <x:f>AVERAGE('05_MLP_XOR_Log'!AS137:AS140)</x:f>
        <x:v>0.75</x:v>
      </x:c>
      <x:c r="D42" s="252" t="n">
        <x:f>AVERAGE('05_MLP_XOR_Log'!AT137:AT140)</x:f>
        <x:v>0.4895594426639244</x:v>
      </x:c>
      <x:c r="E42" s="252" t="n">
        <x:f>B42-B41</x:f>
        <x:v>-0.0007163407505992175</x:v>
      </x:c>
      <x:c r="G42" s="120" t="str">
        <x:v>v₂</x:v>
      </x:c>
      <x:c r="H42" s="138" t="n">
        <x:f>'05_MLP_XOR_Log'!AP496</x:f>
        <x:v>-4.050530674745914</x:v>
      </x:c>
      <x:c r="I42" s="120" t="str">
        <x:v>h₂→output</x:v>
      </x:c>
      <x:c r="J42" s="120" t="str">
        <x:v>AP496</x:v>
      </x:c>
    </x:row>
    <x:row r="43">
      <x:c r="A43" s="114" t="n">
        <x:v>32</x:v>
      </x:c>
      <x:c r="B43" s="243" t="n">
        <x:f>AVERAGE('05_MLP_XOR_Log'!V141:V144)</x:f>
        <x:v>0.1194362896676964</x:v>
      </x:c>
      <x:c r="C43" s="184" t="n">
        <x:f>AVERAGE('05_MLP_XOR_Log'!AS141:AS144)</x:f>
        <x:v>0.75</x:v>
      </x:c>
      <x:c r="D43" s="252" t="n">
        <x:f>AVERAGE('05_MLP_XOR_Log'!AT141:AT144)</x:f>
        <x:v>0.4880961703603107</x:v>
      </x:c>
      <x:c r="E43" s="252" t="n">
        <x:f>B43-B42</x:f>
        <x:v>-0.00073518567690882</x:v>
      </x:c>
      <x:c r="G43" s="120" t="str">
        <x:v>bₒ</x:v>
      </x:c>
      <x:c r="H43" s="138" t="n">
        <x:f>'05_MLP_XOR_Log'!AQ496</x:f>
        <x:v>1.7993664074110243</x:v>
      </x:c>
      <x:c r="I43" s="120" t="str">
        <x:v>bias→output</x:v>
      </x:c>
      <x:c r="J43" s="120" t="str">
        <x:v>AQ496</x:v>
      </x:c>
    </x:row>
    <x:row r="44">
      <x:c r="A44" s="114" t="n">
        <x:v>33</x:v>
      </x:c>
      <x:c r="B44" s="243" t="n">
        <x:f>AVERAGE('05_MLP_XOR_Log'!V145:V148)</x:f>
        <x:v>0.11868147995756276</x:v>
      </x:c>
      <x:c r="C44" s="184" t="n">
        <x:f>AVERAGE('05_MLP_XOR_Log'!AS145:AS148)</x:f>
        <x:v>0.75</x:v>
      </x:c>
      <x:c r="D44" s="252" t="n">
        <x:f>AVERAGE('05_MLP_XOR_Log'!AT145:AT148)</x:f>
        <x:v>0.48658482618756416</x:v>
      </x:c>
      <x:c r="E44" s="252" t="n">
        <x:f>B44-B43</x:f>
        <x:v>-0.0007548097101336415</x:v>
      </x:c>
    </x:row>
    <x:row r="45">
      <x:c r="A45" s="114" t="n">
        <x:v>34</x:v>
      </x:c>
      <x:c r="B45" s="243" t="n">
        <x:f>AVERAGE('05_MLP_XOR_Log'!V149:V152)</x:f>
        <x:v>0.11790630899133703</x:v>
      </x:c>
      <x:c r="C45" s="184" t="n">
        <x:f>AVERAGE('05_MLP_XOR_Log'!AS149:AS152)</x:f>
        <x:v>0.75</x:v>
      </x:c>
      <x:c r="D45" s="252" t="n">
        <x:f>AVERAGE('05_MLP_XOR_Log'!AT149:AT152)</x:f>
        <x:v>0.48502375904106637</x:v>
      </x:c>
      <x:c r="E45" s="252" t="n">
        <x:f>B45-B44</x:f>
        <x:v>-0.00077517096622573</x:v>
      </x:c>
    </x:row>
    <x:row r="46">
      <x:c r="A46" s="114" t="n">
        <x:v>35</x:v>
      </x:c>
      <x:c r="B46" s="243" t="n">
        <x:f>AVERAGE('05_MLP_XOR_Log'!V153:V156)</x:f>
        <x:v>0.11711008614274435</x:v>
      </x:c>
      <x:c r="C46" s="184" t="n">
        <x:f>AVERAGE('05_MLP_XOR_Log'!AS153:AS156)</x:f>
        <x:v>0.75</x:v>
      </x:c>
      <x:c r="D46" s="252" t="n">
        <x:f>AVERAGE('05_MLP_XOR_Log'!AT153:AT156)</x:f>
        <x:v>0.4834113476408357</x:v>
      </x:c>
      <x:c r="E46" s="252" t="n">
        <x:f>B46-B45</x:f>
        <x:v>-0.0007962228485926814</x:v>
      </x:c>
    </x:row>
    <x:row r="47">
      <x:c r="A47" s="114" t="n">
        <x:v>36</x:v>
      </x:c>
      <x:c r="B47" s="243" t="n">
        <x:f>AVERAGE('05_MLP_XOR_Log'!V157:V160)</x:f>
        <x:v>0.1162921717555849</x:v>
      </x:c>
      <x:c r="C47" s="184" t="n">
        <x:f>AVERAGE('05_MLP_XOR_Log'!AS157:AS160)</x:f>
        <x:v>0.75</x:v>
      </x:c>
      <x:c r="D47" s="252" t="n">
        <x:f>AVERAGE('05_MLP_XOR_Log'!AT157:AT160)</x:f>
        <x:v>0.48174601042823195</x:v>
      </x:c>
      <x:c r="E47" s="252" t="n">
        <x:f>B47-B46</x:f>
        <x:v>-0.0008179143871594463</x:v>
      </x:c>
    </x:row>
    <x:row r="48">
      <x:c r="A48" s="114" t="n">
        <x:v>37</x:v>
      </x:c>
      <x:c r="B48" s="243" t="n">
        <x:f>AVERAGE('05_MLP_XOR_Log'!V161:V164)</x:f>
        <x:v>0.11545198127657508</x:v>
      </x:c>
      <x:c r="C48" s="184" t="n">
        <x:f>AVERAGE('05_MLP_XOR_Log'!AS161:AS164)</x:f>
        <x:v>0.75</x:v>
      </x:c>
      <x:c r="D48" s="252" t="n">
        <x:f>AVERAGE('05_MLP_XOR_Log'!AT161:AT164)</x:f>
        <x:v>0.4800262151494492</x:v>
      </x:c>
      <x:c r="E48" s="252" t="n">
        <x:f>B48-B47</x:f>
        <x:v>-0.0008401904790098225</x:v>
      </x:c>
    </x:row>
    <x:row r="49">
      <x:c r="A49" s="114" t="n">
        <x:v>38</x:v>
      </x:c>
      <x:c r="B49" s="243" t="n">
        <x:f>AVERAGE('05_MLP_XOR_Log'!V165:V168)</x:f>
        <x:v>0.11458898922187409</x:v>
      </x:c>
      <x:c r="C49" s="184" t="n">
        <x:f>AVERAGE('05_MLP_XOR_Log'!AS165:AS168)</x:f>
        <x:v>0.75</x:v>
      </x:c>
      <x:c r="D49" s="252" t="n">
        <x:f>AVERAGE('05_MLP_XOR_Log'!AT165:AT168)</x:f>
        <x:v>0.478250488265767</x:v>
      </x:c>
      <x:c r="E49" s="252" t="n">
        <x:f>B49-B48</x:f>
        <x:v>-0.0008629920547009867</x:v>
      </x:c>
    </x:row>
    <x:row r="50">
      <x:c r="A50" s="114" t="n">
        <x:v>39</x:v>
      </x:c>
      <x:c r="B50" s="243" t="n">
        <x:f>AVERAGE('05_MLP_XOR_Log'!V169:V172)</x:f>
        <x:v>0.11370273302883933</x:v>
      </x:c>
      <x:c r="C50" s="184" t="n">
        <x:f>AVERAGE('05_MLP_XOR_Log'!AS169:AS172)</x:f>
        <x:v>1</x:v>
      </x:c>
      <x:c r="D50" s="252" t="n">
        <x:f>AVERAGE('05_MLP_XOR_Log'!AT169:AT172)</x:f>
        <x:v>0.47641742429949685</x:v>
      </x:c>
      <x:c r="E50" s="252" t="n">
        <x:f>B50-B49</x:f>
        <x:v>-0.0008862561930347568</x:v>
      </x:c>
    </x:row>
    <x:row r="51">
      <x:c r="A51" s="114" t="n">
        <x:v>40</x:v>
      </x:c>
      <x:c r="B51" s="243" t="n">
        <x:f>AVERAGE('05_MLP_XOR_Log'!V173:V176)</x:f>
        <x:v>0.11279281682360376</x:v>
      </x:c>
      <x:c r="C51" s="184" t="n">
        <x:f>AVERAGE('05_MLP_XOR_Log'!AS173:AS176)</x:f>
        <x:v>1</x:v>
      </x:c>
      <x:c r="D51" s="252" t="n">
        <x:f>AVERAGE('05_MLP_XOR_Log'!AT173:AT176)</x:f>
        <x:v>0.47452569519415055</x:v>
      </x:c>
      <x:c r="E51" s="252" t="n">
        <x:f>B51-B50</x:f>
        <x:v>-0.0009099162052355753</x:v>
      </x:c>
    </x:row>
    <x:row r="52">
      <x:c r="A52" s="114" t="n">
        <x:v>41</x:v>
      </x:c>
      <x:c r="B52" s="243" t="n">
        <x:f>AVERAGE('05_MLP_XOR_Log'!V177:V180)</x:f>
        <x:v>0.11185891511619706</x:v>
      </x:c>
      <x:c r="C52" s="184" t="n">
        <x:f>AVERAGE('05_MLP_XOR_Log'!AS177:AS180)</x:f>
        <x:v>1</x:v>
      </x:c>
      <x:c r="D52" s="252" t="n">
        <x:f>AVERAGE('05_MLP_XOR_Log'!AT177:AT180)</x:f>
        <x:v>0.47257405973831473</x:v>
      </x:c>
      <x:c r="E52" s="252" t="n">
        <x:f>B52-B51</x:f>
        <x:v>-0.0009339017074067035</x:v>
      </x:c>
    </x:row>
    <x:row r="53">
      <x:c r="A53" s="114" t="n">
        <x:v>42</x:v>
      </x:c>
      <x:c r="B53" s="243" t="n">
        <x:f>AVERAGE('05_MLP_XOR_Log'!V181:V184)</x:f>
        <x:v>0.11090077641821097</x:v>
      </x:c>
      <x:c r="C53" s="184" t="n">
        <x:f>AVERAGE('05_MLP_XOR_Log'!AS181:AS184)</x:f>
        <x:v>1</x:v>
      </x:c>
      <x:c r="D53" s="252" t="n">
        <x:f>AVERAGE('05_MLP_XOR_Log'!AT181:AT184)</x:f>
        <x:v>0.47056137307541845</x:v>
      </x:c>
      <x:c r="E53" s="252" t="n">
        <x:f>B53-B52</x:f>
        <x:v>-0.0009581386979860829</x:v>
      </x:c>
    </x:row>
    <x:row r="54">
      <x:c r="A54" s="114" t="n">
        <x:v>43</x:v>
      </x:c>
      <x:c r="B54" s="243" t="n">
        <x:f>AVERAGE('05_MLP_XOR_Log'!V185:V188)</x:f>
        <x:v>0.10991822676340621</x:v>
      </x:c>
      <x:c r="C54" s="184" t="n">
        <x:f>AVERAGE('05_MLP_XOR_Log'!AS185:AS188)</x:f>
        <x:v>1</x:v>
      </x:c>
      <x:c r="D54" s="252" t="n">
        <x:f>AVERAGE('05_MLP_XOR_Log'!AT185:AT188)</x:f>
        <x:v>0.46848659629620515</x:v>
      </x:c>
      <x:c r="E54" s="252" t="n">
        <x:f>B54-B53</x:f>
        <x:v>-0.0009825496548047652</x:v>
      </x:c>
    </x:row>
    <x:row r="55">
      <x:c r="A55" s="114" t="n">
        <x:v>44</x:v>
      </x:c>
      <x:c r="B55" s="243" t="n">
        <x:f>AVERAGE('05_MLP_XOR_Log'!V189:V192)</x:f>
        <x:v>0.10891117309910373</x:v>
      </x:c>
      <x:c r="C55" s="184" t="n">
        <x:f>AVERAGE('05_MLP_XOR_Log'!AS189:AS192)</x:f>
        <x:v>1</x:v>
      </x:c>
      <x:c r="D55" s="252" t="n">
        <x:f>AVERAGE('05_MLP_XOR_Log'!AT189:AT192)</x:f>
        <x:v>0.466348806087291</x:v>
      </x:c>
      <x:c r="E55" s="252" t="n">
        <x:f>B55-B54</x:f>
        <x:v>-0.0010070536643024819</x:v>
      </x:c>
    </x:row>
    <x:row r="56">
      <x:c r="A56" s="114" t="n">
        <x:v>45</x:v>
      </x:c>
      <x:c r="B56" s="243" t="n">
        <x:f>AVERAGE('05_MLP_XOR_Log'!V193:V196)</x:f>
        <x:v>0.10787960650562138</x:v>
      </x:c>
      <x:c r="C56" s="184" t="n">
        <x:f>AVERAGE('05_MLP_XOR_Log'!AS193:AS196)</x:f>
        <x:v>1</x:v>
      </x:c>
      <x:c r="D56" s="252" t="n">
        <x:f>AVERAGE('05_MLP_XOR_Log'!AT193:AT196)</x:f>
        <x:v>0.46414720438772394</x:v>
      </x:c>
      <x:c r="E56" s="252" t="n">
        <x:f>B56-B55</x:f>
        <x:v>-0.0010315665934823443</x:v>
      </x:c>
    </x:row>
    <x:row r="57">
      <x:c r="A57" s="114" t="n">
        <x:v>46</x:v>
      </x:c>
      <x:c r="B57" s="243" t="n">
        <x:f>AVERAGE('05_MLP_XOR_Log'!V197:V200)</x:f>
        <x:v>0.10682360519234302</x:v>
      </x:c>
      <x:c r="C57" s="184" t="n">
        <x:f>AVERAGE('05_MLP_XOR_Log'!AS197:AS200)</x:f>
        <x:v>1</x:v>
      </x:c>
      <x:c r="D57" s="252" t="n">
        <x:f>AVERAGE('05_MLP_XOR_Log'!AT197:AT200)</x:f>
        <x:v>0.4618811279859393</x:v>
      </x:c>
      <x:c r="E57" s="252" t="n">
        <x:f>B57-B56</x:f>
        <x:v>-0.0010560013132783624</x:v>
      </x:c>
    </x:row>
    <x:row r="58">
      <x:c r="A58" s="114" t="n">
        <x:v>47</x:v>
      </x:c>
      <x:c r="B58" s="243" t="n">
        <x:f>AVERAGE('05_MLP_XOR_Log'!V201:V204)</x:f>
        <x:v>0.10574333721220391</x:v>
      </x:c>
      <x:c r="C58" s="184" t="n">
        <x:f>AVERAGE('05_MLP_XOR_Log'!AS201:AS204)</x:f>
        <x:v>1</x:v>
      </x:c>
      <x:c r="D58" s="252" t="n">
        <x:f>AVERAGE('05_MLP_XOR_Log'!AT201:AT204)</x:f>
        <x:v>0.45955005797196247</x:v>
      </x:c>
      <x:c r="E58" s="252" t="n">
        <x:f>B58-B57</x:f>
        <x:v>-0.0010802679801391046</x:v>
      </x:c>
    </x:row>
    <x:row r="59">
      <x:c r="A59" s="114" t="n">
        <x:v>48</x:v>
      </x:c>
      <x:c r="B59" s="243" t="n">
        <x:f>AVERAGE('05_MLP_XOR_Log'!V205:V208)</x:f>
        <x:v>0.10463906283144085</x:v>
      </x:c>
      <x:c r="C59" s="184" t="n">
        <x:f>AVERAGE('05_MLP_XOR_Log'!AS205:AS208)</x:f>
        <x:v>1</x:v>
      </x:c>
      <x:c r="D59" s="252" t="n">
        <x:f>AVERAGE('05_MLP_XOR_Log'!AT205:AT208)</x:f>
        <x:v>0.45715362894423234</x:v>
      </x:c>
      <x:c r="E59" s="252" t="n">
        <x:f>B59-B58</x:f>
        <x:v>-0.0011042743807630623</x:v>
      </x:c>
    </x:row>
    <x:row r="60">
      <x:c r="A60" s="114" t="n">
        <x:v>49</x:v>
      </x:c>
      <x:c r="B60" s="243" t="n">
        <x:f>AVERAGE('05_MLP_XOR_Log'!V209:V212)</x:f>
        <x:v>0.10351113648839516</x:v>
      </x:c>
      <x:c r="C60" s="184" t="n">
        <x:f>AVERAGE('05_MLP_XOR_Log'!AS209:AS212)</x:f>
        <x:v>1</x:v>
      </x:c>
      <x:c r="D60" s="252" t="n">
        <x:f>AVERAGE('05_MLP_XOR_Log'!AT209:AT212)</x:f>
        <x:v>0.4546916378571101</x:v>
      </x:c>
      <x:c r="E60" s="252" t="n">
        <x:f>B60-B59</x:f>
        <x:v>-0.0011279263430456904</x:v>
      </x:c>
    </x:row>
    <x:row r="61">
      <x:c r="A61" s="114" t="n">
        <x:v>50</x:v>
      </x:c>
      <x:c r="B61" s="243" t="n">
        <x:f>AVERAGE('05_MLP_XOR_Log'!V213:V216)</x:f>
        <x:v>0.10236000827401955</x:v>
      </x:c>
      <x:c r="C61" s="184" t="n">
        <x:f>AVERAGE('05_MLP_XOR_Log'!AS213:AS216)</x:f>
        <x:v>1</x:v>
      </x:c>
      <x:c r="D61" s="252" t="n">
        <x:f>AVERAGE('05_MLP_XOR_Log'!AT213:AT216)</x:f>
        <x:v>0.45216405238421464</x:v>
      </x:c>
      <x:c r="E61" s="252" t="n">
        <x:f>B61-B60</x:f>
        <x:v>-0.0011511282143756157</x:v>
      </x:c>
    </x:row>
    <x:row r="62">
      <x:c r="A62" s="114" t="n">
        <x:v>51</x:v>
      </x:c>
      <x:c r="B62" s="243" t="n">
        <x:f>AVERAGE('05_MLP_XOR_Log'!V217:V220)</x:f>
        <x:v>0.10118622486755671</x:v>
      </x:c>
      <x:c r="C62" s="184" t="n">
        <x:f>AVERAGE('05_MLP_XOR_Log'!AS217:AS220)</x:f>
        <x:v>1</x:v>
      </x:c>
      <x:c r="D62" s="252" t="n">
        <x:f>AVERAGE('05_MLP_XOR_Log'!AT217:AT220)</x:f>
        <x:v>0.44957101866437926</x:v>
      </x:c>
      <x:c r="E62" s="252" t="n">
        <x:f>B62-B61</x:f>
        <x:v>-0.0011737834064628333</x:v>
      </x:c>
    </x:row>
    <x:row r="63">
      <x:c r="A63" s="114" t="n">
        <x:v>52</x:v>
      </x:c>
      <x:c r="B63" s="243" t="n">
        <x:f>AVERAGE('05_MLP_XOR_Log'!V221:V224)</x:f>
        <x:v>0.0999904298636746</x:v>
      </x:c>
      <x:c r="C63" s="184" t="n">
        <x:f>AVERAGE('05_MLP_XOR_Log'!AS221:AS224)</x:f>
        <x:v>1</x:v>
      </x:c>
      <x:c r="D63" s="252" t="n">
        <x:f>AVERAGE('05_MLP_XOR_Log'!AT221:AT224)</x:f>
        <x:v>0.4469128682915202</x:v>
      </x:c>
      <x:c r="E63" s="252" t="n">
        <x:f>B63-B62</x:f>
        <x:v>-0.0011957950038821163</x:v>
      </x:c>
    </x:row>
    <x:row r="64">
      <x:c r="A64" s="114" t="n">
        <x:v>53</x:v>
      </x:c>
      <x:c r="B64" s="243" t="n">
        <x:f>AVERAGE('05_MLP_XOR_Log'!V225:V228)</x:f>
        <x:v>0.09877336343217569</x:v>
      </x:c>
      <x:c r="C64" s="184" t="n">
        <x:f>AVERAGE('05_MLP_XOR_Log'!AS225:AS228)</x:f>
        <x:v>1</x:v>
      </x:c>
      <x:c r="D64" s="252" t="n">
        <x:f>AVERAGE('05_MLP_XOR_Log'!AT225:AT228)</x:f>
        <x:v>0.444190124407299</x:v>
      </x:c>
      <x:c r="E64" s="252" t="n">
        <x:f>B64-B63</x:f>
        <x:v>-0.0012170664314989088</x:v>
      </x:c>
    </x:row>
    <x:row r="65">
      <x:c r="A65" s="114" t="n">
        <x:v>54</x:v>
      </x:c>
      <x:c r="B65" s="243" t="n">
        <x:f>AVERAGE('05_MLP_XOR_Log'!V229:V232)</x:f>
        <x:v>0.09753586125823482</x:v>
      </x:c>
      <x:c r="C65" s="184" t="n">
        <x:f>AVERAGE('05_MLP_XOR_Log'!AS229:AS232)</x:f>
        <x:v>1</x:v>
      </x:c>
      <x:c r="D65" s="252" t="n">
        <x:f>AVERAGE('05_MLP_XOR_Log'!AT229:AT232)</x:f>
        <x:v>0.4414035067563869</x:v>
      </x:c>
      <x:c r="E65" s="252" t="n">
        <x:f>B65-B64</x:f>
        <x:v>-0.0012375021739408631</x:v>
      </x:c>
    </x:row>
    <x:row r="66">
      <x:c r="A66" s="114" t="n">
        <x:v>55</x:v>
      </x:c>
      <x:c r="B66" s="243" t="n">
        <x:f>AVERAGE('05_MLP_XOR_Log'!V233:V236)</x:f>
        <x:v>0.09627885271990813</x:v>
      </x:c>
      <x:c r="C66" s="184" t="n">
        <x:f>AVERAGE('05_MLP_XOR_Log'!AS233:AS236)</x:f>
        <x:v>1</x:v>
      </x:c>
      <x:c r="D66" s="252" t="n">
        <x:f>AVERAGE('05_MLP_XOR_Log'!AT233:AT236)</x:f>
        <x:v>0.43855393556860967</x:v>
      </x:c>
      <x:c r="E66" s="252" t="n">
        <x:f>B66-B65</x:f>
        <x:v>-0.0012570085383266927</x:v>
      </x:c>
    </x:row>
    <x:row r="67">
      <x:c r="A67" s="114" t="n">
        <x:v>56</x:v>
      </x:c>
      <x:c r="B67" s="243" t="n">
        <x:f>AVERAGE('05_MLP_XOR_Log'!V237:V240)</x:f>
        <x:v>0.09500335827027596</x:v>
      </x:c>
      <x:c r="C67" s="184" t="n">
        <x:f>AVERAGE('05_MLP_XOR_Log'!AS237:AS240)</x:f>
        <x:v>1</x:v>
      </x:c>
      <x:c r="D67" s="252" t="n">
        <x:f>AVERAGE('05_MLP_XOR_Log'!AT237:AT240)</x:f>
        <x:v>0.43564253414039694</x:v>
      </x:c>
      <x:c r="E67" s="252" t="n">
        <x:f>B67-B66</x:f>
        <x:v>-0.0012754944496321668</x:v>
      </x:c>
    </x:row>
    <x:row r="68">
      <x:c r="A68" s="114" t="n">
        <x:v>57</x:v>
      </x:c>
      <x:c r="B68" s="243" t="n">
        <x:f>AVERAGE('05_MLP_XOR_Log'!V241:V244)</x:f>
        <x:v>0.09371048600387484</x:v>
      </x:c>
      <x:c r="C68" s="184" t="n">
        <x:f>AVERAGE('05_MLP_XOR_Log'!AS241:AS244)</x:f>
        <x:v>1</x:v>
      </x:c>
      <x:c r="D68" s="252" t="n">
        <x:f>AVERAGE('05_MLP_XOR_Log'!AT241:AT244)</x:f>
        <x:v>0.4326706299998575</x:v>
      </x:c>
      <x:c r="E68" s="252" t="n">
        <x:f>B68-B67</x:f>
        <x:v>-0.0012928722664011238</x:v>
      </x:c>
    </x:row>
    <x:row r="69">
      <x:c r="A69" s="114" t="n">
        <x:v>58</x:v>
      </x:c>
      <x:c r="B69" s="243" t="n">
        <x:f>AVERAGE('05_MLP_XOR_Log'!V245:V248)</x:f>
        <x:v>0.09240142740078215</x:v>
      </x:c>
      <x:c r="C69" s="184" t="n">
        <x:f>AVERAGE('05_MLP_XOR_Log'!AS245:AS248)</x:f>
        <x:v>1</x:v>
      </x:c>
      <x:c r="D69" s="252" t="n">
        <x:f>AVERAGE('05_MLP_XOR_Log'!AT245:AT248)</x:f>
        <x:v>0.4296397545553842</x:v>
      </x:c>
      <x:c r="E69" s="252" t="n">
        <x:f>B69-B68</x:f>
        <x:v>-0.0013090586030926887</x:v>
      </x:c>
    </x:row>
    <x:row r="70">
      <x:c r="A70" s="114" t="n">
        <x:v>59</x:v>
      </x:c>
      <x:c r="B70" s="243" t="n">
        <x:f>AVERAGE('05_MLP_XOR_Log'!V249:V252)</x:f>
        <x:v>0.09107745225654648</x:v>
      </x:c>
      <x:c r="C70" s="184" t="n">
        <x:f>AVERAGE('05_MLP_XOR_Log'!AS249:AS252)</x:f>
        <x:v>1</x:v>
      </x:c>
      <x:c r="D70" s="252" t="n">
        <x:f>AVERAGE('05_MLP_XOR_Log'!AT249:AT252)</x:f>
        <x:v>0.426551641146808</x:v>
      </x:c>
      <x:c r="E70" s="252" t="n">
        <x:f>B70-B69</x:f>
        <x:v>-0.00132397514423567</x:v>
      </x:c>
    </x:row>
    <x:row r="71">
      <x:c r="A71" s="114" t="n">
        <x:v>60</x:v>
      </x:c>
      <x:c r="B71" s="243" t="n">
        <x:f>AVERAGE('05_MLP_XOR_Log'!V253:V256)</x:f>
        <x:v>0.08973990282172738</x:v>
      </x:c>
      <x:c r="C71" s="184" t="n">
        <x:f>AVERAGE('05_MLP_XOR_Log'!AS253:AS256)</x:f>
        <x:v>1</x:v>
      </x:c>
      <x:c r="D71" s="252" t="n">
        <x:f>AVERAGE('05_MLP_XOR_Log'!AT253:AT256)</x:f>
        <x:v>0.42340822144046497</x:v>
      </x:c>
      <x:c r="E71" s="252" t="n">
        <x:f>B71-B70</x:f>
        <x:v>-0.0013375494348191047</x:v>
      </x:c>
    </x:row>
    <x:row r="72">
      <x:c r="A72" s="114" t="n">
        <x:v>61</x:v>
      </x:c>
      <x:c r="B72" s="243" t="n">
        <x:f>AVERAGE('05_MLP_XOR_Log'!V257:V260)</x:f>
        <x:v>0.08839018719070166</x:v>
      </x:c>
      <x:c r="C72" s="184" t="n">
        <x:f>AVERAGE('05_MLP_XOR_Log'!AS257:AS260)</x:f>
        <x:v>1</x:v>
      </x:c>
      <x:c r="D72" s="252" t="n">
        <x:f>AVERAGE('05_MLP_XOR_Log'!AT257:AT260)</x:f>
        <x:v>0.4202116201346907</x:v>
      </x:c>
      <x:c r="E72" s="252" t="n">
        <x:f>B72-B71</x:f>
        <x:v>-0.0013497156310257191</x:v>
      </x:c>
    </x:row>
    <x:row r="73">
      <x:c r="A73" s="114" t="n">
        <x:v>62</x:v>
      </x:c>
      <x:c r="B73" s="243" t="n">
        <x:f>AVERAGE('05_MLP_XOR_Log'!V261:V264)</x:f>
        <x:v>0.08702977199513703</x:v>
      </x:c>
      <x:c r="C73" s="184" t="n">
        <x:f>AVERAGE('05_MLP_XOR_Log'!AS261:AS264)</x:f>
        <x:v>1</x:v>
      </x:c>
      <x:c r="D73" s="252" t="n">
        <x:f>AVERAGE('05_MLP_XOR_Log'!AT261:AT264)</x:f>
        <x:v>0.4169641479696433</x:v>
      </x:c>
      <x:c r="E73" s="252" t="n">
        <x:f>B73-B72</x:f>
        <x:v>-0.0013604151955646238</x:v>
      </x:c>
    </x:row>
    <x:row r="74">
      <x:c r="A74" s="114" t="n">
        <x:v>63</x:v>
      </x:c>
      <x:c r="B74" s="243" t="n">
        <x:f>AVERAGE('05_MLP_XOR_Log'!V265:V268)</x:f>
        <x:v>0.08566017447264772</x:v>
      </x:c>
      <x:c r="C74" s="184" t="n">
        <x:f>AVERAGE('05_MLP_XOR_Log'!AS265:AS268)</x:f>
        <x:v>1</x:v>
      </x:c>
      <x:c r="D74" s="252" t="n">
        <x:f>AVERAGE('05_MLP_XOR_Log'!AT265:AT268)</x:f>
        <x:v>0.4136682930643224</x:v>
      </x:c>
      <x:c r="E74" s="252" t="n">
        <x:f>B74-B73</x:f>
        <x:v>-0.0013695975224893159</x:v>
      </x:c>
    </x:row>
    <x:row r="75">
      <x:c r="A75" s="114" t="n">
        <x:v>64</x:v>
      </x:c>
      <x:c r="B75" s="243" t="n">
        <x:f>AVERAGE('05_MLP_XOR_Log'!V269:V272)</x:f>
        <x:v>0.08428295399512731</x:v>
      </x:c>
      <x:c r="C75" s="184" t="n">
        <x:f>AVERAGE('05_MLP_XOR_Log'!AS269:AS272)</x:f>
        <x:v>1</x:v>
      </x:c>
      <x:c r="D75" s="252" t="n">
        <x:f>AVERAGE('05_MLP_XOR_Log'!AT269:AT272)</x:f>
        <x:v>0.41032671063340526</x:v>
      </x:c>
      <x:c r="E75" s="252" t="n">
        <x:f>B75-B74</x:f>
        <x:v>-0.0013772204775204105</x:v>
      </x:c>
    </x:row>
    <x:row r="76">
      <x:c r="A76" s="114" t="n">
        <x:v>65</x:v>
      </x:c>
      <x:c r="B76" s="243" t="n">
        <x:f>AVERAGE('05_MLP_XOR_Log'!V273:V276)</x:f>
        <x:v>0.08289970315364259</x:v>
      </x:c>
      <x:c r="C76" s="184" t="n">
        <x:f>AVERAGE('05_MLP_XOR_Log'!AS273:AS276)</x:f>
        <x:v>1</x:v>
      </x:c>
      <x:c r="D76" s="252" t="n">
        <x:f>AVERAGE('05_MLP_XOR_Log'!AT273:AT276)</x:f>
        <x:v>0.40694221116623946</x:v>
      </x:c>
      <x:c r="E76" s="252" t="n">
        <x:f>B76-B75</x:f>
        <x:v>-0.0013832508414847178</x:v>
      </x:c>
    </x:row>
    <x:row r="77">
      <x:c r="A77" s="114" t="n">
        <x:v>66</x:v>
      </x:c>
      <x:c r="B77" s="243" t="n">
        <x:f>AVERAGE('05_MLP_XOR_Log'!V277:V280)</x:f>
        <x:v>0.08151203850712412</x:v>
      </x:c>
      <x:c r="C77" s="184" t="n">
        <x:f>AVERAGE('05_MLP_XOR_Log'!AS277:AS280)</x:f>
        <x:v>1</x:v>
      </x:c>
      <x:c r="D77" s="252" t="n">
        <x:f>AVERAGE('05_MLP_XOR_Log'!AT277:AT280)</x:f>
        <x:v>0.4035177471791319</x:v>
      </x:c>
      <x:c r="E77" s="252" t="n">
        <x:f>B77-B76</x:f>
        <x:v>-0.0013876646465184744</x:v>
      </x:c>
    </x:row>
    <x:row r="78">
      <x:c r="A78" s="114" t="n">
        <x:v>67</x:v>
      </x:c>
      <x:c r="B78" s="243" t="n">
        <x:f>AVERAGE('05_MLP_XOR_Log'!V281:V284)</x:f>
        <x:v>0.08012159111004845</x:v>
      </x:c>
      <x:c r="C78" s="184" t="n">
        <x:f>AVERAGE('05_MLP_XOR_Log'!AS281:AS284)</x:f>
        <x:v>1</x:v>
      </x:c>
      <x:c r="D78" s="252" t="n">
        <x:f>AVERAGE('05_MLP_XOR_Log'!AT281:AT284)</x:f>
        <x:v>0.400056398679078</x:v>
      </x:c>
      <x:c r="E78" s="252" t="n">
        <x:f>B78-B77</x:f>
        <x:v>-0.001390447397075667</x:v>
      </x:c>
    </x:row>
    <x:row r="79">
      <x:c r="A79" s="114" t="n">
        <x:v>68</x:v>
      </x:c>
      <x:c r="B79" s="243" t="n">
        <x:f>AVERAGE('05_MLP_XOR_Log'!V285:V288)</x:f>
        <x:v>0.07872999693958133</x:v>
      </x:c>
      <x:c r="C79" s="184" t="n">
        <x:f>AVERAGE('05_MLP_XOR_Log'!AS285:AS288)</x:f>
        <x:v>1</x:v>
      </x:c>
      <x:c r="D79" s="252" t="n">
        <x:f>AVERAGE('05_MLP_XOR_Log'!AT285:AT288)</x:f>
        <x:v>0.3965613575014558</x:v>
      </x:c>
      <x:c r="E79" s="252" t="n">
        <x:f>B79-B78</x:f>
        <x:v>-0.0013915941704671225</x:v>
      </x:c>
    </x:row>
    <x:row r="80">
      <x:c r="A80" s="114" t="n">
        <x:v>69</x:v>
      </x:c>
      <x:c r="B80" s="243" t="n">
        <x:f>AVERAGE('05_MLP_XOR_Log'!V289:V292)</x:f>
        <x:v>0.07733888734505552</x:v>
      </x:c>
      <x:c r="C80" s="184" t="n">
        <x:f>AVERAGE('05_MLP_XOR_Log'!AS289:AS292)</x:f>
        <x:v>1</x:v>
      </x:c>
      <x:c r="D80" s="252" t="n">
        <x:f>AVERAGE('05_MLP_XOR_Log'!AT289:AT292)</x:f>
        <x:v>0.39303591070520383</x:v>
      </x:c>
      <x:c r="E80" s="252" t="n">
        <x:f>B80-B79</x:f>
        <x:v>-0.001391109594525805</x:v>
      </x:c>
    </x:row>
    <x:row r="81">
      <x:c r="A81" s="114" t="n">
        <x:v>70</x:v>
      </x:c>
      <x:c r="B81" s="243" t="n">
        <x:f>AVERAGE('05_MLP_XOR_Log'!V293:V296)</x:f>
        <x:v>0.07594987964210975</x:v>
      </x:c>
      <x:c r="C81" s="184" t="n">
        <x:f>AVERAGE('05_MLP_XOR_Log'!AS293:AS296)</x:f>
        <x:v>1</x:v>
      </x:c>
      <x:c r="D81" s="252" t="n">
        <x:f>AVERAGE('05_MLP_XOR_Log'!AT293:AT296)</x:f>
        <x:v>0.38948342322595747</x:v>
      </x:c>
      <x:c r="E81" s="252" t="n">
        <x:f>B81-B80</x:f>
        <x:v>-0.0013890077029457687</x:v>
      </x:c>
    </x:row>
    <x:row r="82">
      <x:c r="A82" s="114" t="n">
        <x:v>71</x:v>
      </x:c>
      <x:c r="B82" s="243" t="n">
        <x:f>AVERAGE('05_MLP_XOR_Log'!V297:V300)</x:f>
        <x:v>0.07456456797034697</x:v>
      </x:c>
      <x:c r="C82" s="184" t="n">
        <x:f>AVERAGE('05_MLP_XOR_Log'!AS297:AS300)</x:f>
        <x:v>1</x:v>
      </x:c>
      <x:c r="D82" s="252" t="n">
        <x:f>AVERAGE('05_MLP_XOR_Log'!AT297:AT300)</x:f>
        <x:v>0.38590732000005623</x:v>
      </x:c>
      <x:c r="E82" s="252" t="n">
        <x:f>B82-B81</x:f>
        <x:v>-0.0013853116717627845</x:v>
      </x:c>
    </x:row>
    <x:row r="83">
      <x:c r="A83" s="114" t="n">
        <x:v>72</x:v>
      </x:c>
      <x:c r="B83" s="243" t="n">
        <x:f>AVERAGE('05_MLP_XOR_Log'!V301:V304)</x:f>
        <x:v>0.07318451452711765</x:v>
      </x:c>
      <x:c r="C83" s="184" t="n">
        <x:f>AVERAGE('05_MLP_XOR_Log'!AS301:AS304)</x:f>
        <x:v>1</x:v>
      </x:c>
      <x:c r="D83" s="252" t="n">
        <x:f>AVERAGE('05_MLP_XOR_Log'!AT301:AT304)</x:f>
        <x:v>0.3823110677798746</x:v>
      </x:c>
      <x:c r="E83" s="252" t="n">
        <x:f>B83-B82</x:f>
        <x:v>-0.0013800534432293204</x:v>
      </x:c>
    </x:row>
    <x:row r="84">
      <x:c r="A84" s="114" t="n">
        <x:v>73</x:v>
      </x:c>
      <x:c r="B84" s="243" t="n">
        <x:f>AVERAGE('05_MLP_XOR_Log'!V305:V308)</x:f>
        <x:v>0.07181124128124242</x:v>
      </x:c>
      <x:c r="C84" s="184" t="n">
        <x:f>AVERAGE('05_MLP_XOR_Log'!AS305:AS308)</x:f>
        <x:v>1</x:v>
      </x:c>
      <x:c r="D84" s="252" t="n">
        <x:f>AVERAGE('05_MLP_XOR_Log'!AT305:AT308)</x:f>
        <x:v>0.378698156863452</x:v>
      </x:c>
      <x:c r="E84" s="252" t="n">
        <x:f>B84-B83</x:f>
        <x:v>-0.0013732732458752311</x:v>
      </x:c>
    </x:row>
    <x:row r="85">
      <x:c r="A85" s="114" t="n">
        <x:v>74</x:v>
      </x:c>
      <x:c r="B85" s="243" t="n">
        <x:f>AVERAGE('05_MLP_XOR_Log'!V309:V312)</x:f>
        <x:v>0.07044622225948093</x:v>
      </x:c>
      <x:c r="C85" s="184" t="n">
        <x:f>AVERAGE('05_MLP_XOR_Log'!AS309:AS312)</x:f>
        <x:v>1</x:v>
      </x:c>
      <x:c r="D85" s="252" t="n">
        <x:f>AVERAGE('05_MLP_XOR_Log'!AT309:AT312)</x:f>
        <x:v>0.3750720829588928</x:v>
      </x:c>
      <x:c r="E85" s="252" t="n">
        <x:f>B85-B84</x:f>
        <x:v>-0.0013650190217614905</x:v>
      </x:c>
    </x:row>
    <x:row r="86">
      <x:c r="A86" s="114" t="n">
        <x:v>75</x:v>
      </x:c>
      <x:c r="B86" s="243" t="n">
        <x:f>AVERAGE('05_MLP_XOR_Log'!V313:V316)</x:f>
        <x:v>0.069090876485733</x:v>
      </x:c>
      <x:c r="C86" s="184" t="n">
        <x:f>AVERAGE('05_MLP_XOR_Log'!AS313:AS316)</x:f>
        <x:v>1</x:v>
      </x:c>
      <x:c r="D86" s="252" t="n">
        <x:f>AVERAGE('05_MLP_XOR_Log'!AT313:AT316)</x:f>
        <x:v>0.3714363293966823</x:v>
      </x:c>
      <x:c r="E86" s="252" t="n">
        <x:f>B86-B85</x:f>
        <x:v>-0.0013553457737479208</x:v>
      </x:c>
    </x:row>
    <x:row r="87">
      <x:c r="A87" s="114" t="n">
        <x:v>76</x:v>
      </x:c>
      <x:c r="B87" s="243" t="n">
        <x:f>AVERAGE('05_MLP_XOR_Log'!V317:V320)</x:f>
        <x:v>0.06774656163877305</x:v>
      </x:c>
      <x:c r="C87" s="184" t="n">
        <x:f>AVERAGE('05_MLP_XOR_Log'!AS317:AS320)</x:f>
        <x:v>1</x:v>
      </x:c>
      <x:c r="D87" s="252" t="n">
        <x:f>AVERAGE('05_MLP_XOR_Log'!AT317:AT320)</x:f>
        <x:v>0.3677943498912811</x:v>
      </x:c>
      <x:c r="E87" s="252" t="n">
        <x:f>B87-B86</x:f>
        <x:v>-0.0013443148469599597</x:v>
      </x:c>
    </x:row>
    <x:row r="88">
      <x:c r="A88" s="114" t="n">
        <x:v>77</x:v>
      </x:c>
      <x:c r="B88" s="243" t="n">
        <x:f>AVERAGE('05_MLP_XOR_Log'!V321:V324)</x:f>
        <x:v>0.0664145684792449</x:v>
      </x:c>
      <x:c r="C88" s="184" t="n">
        <x:f>AVERAGE('05_MLP_XOR_Log'!AS321:AS324)</x:f>
        <x:v>1</x:v>
      </x:c>
      <x:c r="D88" s="252" t="n">
        <x:f>AVERAGE('05_MLP_XOR_Log'!AT321:AT324)</x:f>
        <x:v>0.36414955203761035</x:v>
      </x:c>
      <x:c r="E88" s="252" t="n">
        <x:f>B88-B87</x:f>
        <x:v>-0.0013319931595281442</x:v>
      </x:c>
    </x:row>
    <x:row r="89">
      <x:c r="A89" s="114" t="n">
        <x:v>78</x:v>
      </x:c>
      <x:c r="B89" s="243" t="n">
        <x:f>AVERAGE('05_MLP_XOR_Log'!V325:V328)</x:f>
        <x:v>0.0650961160811645</x:v>
      </x:c>
      <x:c r="C89" s="184" t="n">
        <x:f>AVERAGE('05_MLP_XOR_Log'!AS325:AS328)</x:f>
        <x:v>1</x:v>
      </x:c>
      <x:c r="D89" s="252" t="n">
        <x:f>AVERAGE('05_MLP_XOR_Log'!AT325:AT328)</x:f>
        <x:v>0.3605052817089413</x:v>
      </x:c>
      <x:c r="E89" s="252" t="n">
        <x:f>B89-B88</x:f>
        <x:v>-0.0013184523980803997</x:v>
      </x:c>
    </x:row>
    <x:row r="90">
      <x:c r="A90" s="114" t="n">
        <x:v>79</x:v>
      </x:c>
      <x:c r="B90" s="243" t="n">
        <x:f>AVERAGE('05_MLP_XOR_Log'!V329:V332)</x:f>
        <x:v>0.06379234788776053</x:v>
      </x:c>
      <x:c r="C90" s="184" t="n">
        <x:f>AVERAGE('05_MLP_XOR_Log'!AS329:AS332)</x:f>
        <x:v>1</x:v>
      </x:c>
      <x:c r="D90" s="252" t="n">
        <x:f>AVERAGE('05_MLP_XOR_Log'!AT329:AT332)</x:f>
        <x:v>0.3568648085009449</x:v>
      </x:c>
      <x:c r="E90" s="252" t="n">
        <x:f>B90-B89</x:f>
        <x:v>-0.0013037681934039702</x:v>
      </x:c>
    </x:row>
    <x:row r="91">
      <x:c r="A91" s="114" t="n">
        <x:v>80</x:v>
      </x:c>
      <x:c r="B91" s="243" t="n">
        <x:f>AVERAGE('05_MLP_XOR_Log'!V333:V336)</x:f>
        <x:v>0.06250432859655863</x:v>
      </x:c>
      <x:c r="C91" s="184" t="n">
        <x:f>AVERAGE('05_MLP_XOR_Log'!AS333:AS336)</x:f>
        <x:v>1</x:v>
      </x:c>
      <x:c r="D91" s="252" t="n">
        <x:f>AVERAGE('05_MLP_XOR_Log'!AT333:AT336)</x:f>
        <x:v>0.3532313123429849</x:v>
      </x:c>
      <x:c r="E91" s="252" t="n">
        <x:f>B91-B90</x:f>
        <x:v>-0.0012880192912018973</x:v>
      </x:c>
    </x:row>
    <x:row r="92">
      <x:c r="A92" s="114" t="n">
        <x:v>81</x:v>
      </x:c>
      <x:c r="B92" s="243" t="n">
        <x:f>AVERAGE('05_MLP_XOR_Log'!V337:V340)</x:f>
        <x:v>0.061233041864567406</x:v>
      </x:c>
      <x:c r="C92" s="184" t="n">
        <x:f>AVERAGE('05_MLP_XOR_Log'!AS337:AS340)</x:f>
        <x:v>1</x:v>
      </x:c>
      <x:c r="D92" s="252" t="n">
        <x:f>AVERAGE('05_MLP_XOR_Log'!AT337:AT340)</x:f>
        <x:v>0.3496078713729055</x:v>
      </x:c>
      <x:c r="E92" s="252" t="n">
        <x:f>B92-B91</x:f>
        <x:v>-0.001271286731991228</x:v>
      </x:c>
    </x:row>
    <x:row r="93">
      <x:c r="A93" s="114" t="n">
        <x:v>82</x:v>
      </x:c>
      <x:c r="B93" s="243" t="n">
        <x:f>AVERAGE('05_MLP_XOR_Log'!V341:V344)</x:f>
        <x:v>0.0599793888115719</x:v>
      </x:c>
      <x:c r="C93" s="184" t="n">
        <x:f>AVERAGE('05_MLP_XOR_Log'!AS341:AS344)</x:f>
        <x:v>1</x:v>
      </x:c>
      <x:c r="D93" s="252" t="n">
        <x:f>AVERAGE('05_MLP_XOR_Log'!AT341:AT344)</x:f>
        <x:v>0.3459974511463003</x:v>
      </x:c>
      <x:c r="E93" s="252" t="n">
        <x:f>B93-B92</x:f>
        <x:v>-0.0012536530529955042</x:v>
      </x:c>
    </x:row>
    <x:row r="94">
      <x:c r="A94" s="114" t="n">
        <x:v>83</x:v>
      </x:c>
      <x:c r="B94" s="243" t="n">
        <x:f>AVERAGE('05_MLP_XOR_Log'!V345:V348)</x:f>
        <x:v>0.058744187288139724</x:v>
      </x:c>
      <x:c r="C94" s="184" t="n">
        <x:f>AVERAGE('05_MLP_XOR_Log'!AS345:AS348)</x:f>
        <x:v>1</x:v>
      </x:c>
      <x:c r="D94" s="252" t="n">
        <x:f>AVERAGE('05_MLP_XOR_Log'!AT345:AT348)</x:f>
        <x:v>0.34240289522626643</x:v>
      </x:c>
      <x:c r="E94" s="252" t="n">
        <x:f>B94-B93</x:f>
        <x:v>-0.0012352015234321778</x:v>
      </x:c>
    </x:row>
    <x:row r="95">
      <x:c r="A95" s="114" t="n">
        <x:v>84</x:v>
      </x:c>
      <x:c r="B95" s="243" t="n">
        <x:f>AVERAGE('05_MLP_XOR_Log'!V349:V352)</x:f>
        <x:v>0.05752817186516922</x:v>
      </x:c>
      <x:c r="C95" s="184" t="n">
        <x:f>AVERAGE('05_MLP_XOR_Log'!AS349:AS352)</x:f>
        <x:v>1</x:v>
      </x:c>
      <x:c r="D95" s="252" t="n">
        <x:f>AVERAGE('05_MLP_XOR_Log'!AT349:AT352)</x:f>
        <x:v>0.33882691717554414</x:v>
      </x:c>
      <x:c r="E95" s="252" t="n">
        <x:f>B95-B94</x:f>
        <x:v>-0.0012160154229705067</x:v>
      </x:c>
    </x:row>
    <x:row r="96">
      <x:c r="A96" s="114" t="n">
        <x:v>85</x:v>
      </x:c>
      <x:c r="B96" s="243" t="n">
        <x:f>AVERAGE('05_MLP_XOR_Log'!V353:V356)</x:f>
        <x:v>0.05633199449377371</x:v>
      </x:c>
      <x:c r="C96" s="184" t="n">
        <x:f>AVERAGE('05_MLP_XOR_Log'!AS353:AS356)</x:f>
        <x:v>1</x:v>
      </x:c>
      <x:c r="D96" s="252" t="n">
        <x:f>AVERAGE('05_MLP_XOR_Log'!AT353:AT356)</x:f>
        <x:v>0.33527209395027846</x:v>
      </x:c>
      <x:c r="E96" s="252" t="n">
        <x:f>B96-B95</x:f>
        <x:v>-0.0011961773713955043</x:v>
      </x:c>
    </x:row>
    <x:row r="97">
      <x:c r="A97" s="114" t="n">
        <x:v>86</x:v>
      </x:c>
      <x:c r="B97" s="243" t="n">
        <x:f>AVERAGE('05_MLP_XOR_Log'!V357:V360)</x:f>
        <x:v>0.055156225778034175</x:v>
      </x:c>
      <x:c r="C97" s="184" t="n">
        <x:f>AVERAGE('05_MLP_XOR_Log'!AS357:AS360)</x:f>
        <x:v>1</x:v>
      </x:c>
      <x:c r="D97" s="252" t="n">
        <x:f>AVERAGE('05_MLP_XOR_Log'!AT357:AT360)</x:f>
        <x:v>0.3317408606738495</x:v>
      </x:c>
      <x:c r="E97" s="252" t="n">
        <x:f>B97-B96</x:f>
        <x:v>-0.0011757687157395377</x:v>
      </x:c>
    </x:row>
    <x:row r="98">
      <x:c r="A98" s="114" t="n">
        <x:v>87</x:v>
      </x:c>
      <x:c r="B98" s="243" t="n">
        <x:f>AVERAGE('05_MLP_XOR_Log'!V361:V364)</x:f>
        <x:v>0.054001356798647364</x:v>
      </x:c>
      <x:c r="C98" s="184" t="n">
        <x:f>AVERAGE('05_MLP_XOR_Log'!AS361:AS364)</x:f>
        <x:v>1</x:v>
      </x:c>
      <x:c r="D98" s="252" t="n">
        <x:f>AVERAGE('05_MLP_XOR_Log'!AT361:AT364)</x:f>
        <x:v>0.3282355067506289</x:v>
      </x:c>
      <x:c r="E98" s="252" t="n">
        <x:f>B98-B97</x:f>
        <x:v>-0.001154868979386811</x:v>
      </x:c>
    </x:row>
    <x:row r="99">
      <x:c r="A99" s="114" t="n">
        <x:v>88</x:v>
      </x:c>
      <x:c r="B99" s="243" t="n">
        <x:f>AVERAGE('05_MLP_XOR_Log'!V365:V368)</x:f>
        <x:v>0.052867801422675</x:v>
      </x:c>
      <x:c r="C99" s="184" t="n">
        <x:f>AVERAGE('05_MLP_XOR_Log'!AS365:AS368)</x:f>
        <x:v>1</x:v>
      </x:c>
      <x:c r="D99" s="252" t="n">
        <x:f>AVERAGE('05_MLP_XOR_Log'!AT365:AT368)</x:f>
        <x:v>0.3247581732633956</x:v>
      </x:c>
      <x:c r="E99" s="252" t="n">
        <x:f>B99-B98</x:f>
        <x:v>-0.0011335553759723657</x:v>
      </x:c>
    </x:row>
    <x:row r="100">
      <x:c r="A100" s="114" t="n">
        <x:v>89</x:v>
      </x:c>
      <x:c r="B100" s="243" t="n">
        <x:f>AVERAGE('05_MLP_XOR_Log'!V369:V372)</x:f>
        <x:v>0.05175589903333877</x:v>
      </x:c>
      <x:c r="C100" s="184" t="n">
        <x:f>AVERAGE('05_MLP_XOR_Log'!AS369:AS372)</x:f>
        <x:v>1</x:v>
      </x:c>
      <x:c r="D100" s="252" t="n">
        <x:f>AVERAGE('05_MLP_XOR_Log'!AT369:AT372)</x:f>
        <x:v>0.3213108515845857</x:v>
      </x:c>
      <x:c r="E100" s="252" t="n">
        <x:f>B100-B99</x:f>
        <x:v>-0.0011119023893362279</x:v>
      </x:c>
    </x:row>
    <x:row r="101">
      <x:c r="A101" s="114" t="n">
        <x:v>90</x:v>
      </x:c>
      <x:c r="B101" s="243" t="n">
        <x:f>AVERAGE('05_MLP_XOR_Log'!V373:V376)</x:f>
        <x:v>0.0506659176139633</x:v>
      </x:c>
      <x:c r="C101" s="184" t="n">
        <x:f>AVERAGE('05_MLP_XOR_Log'!AS373:AS376)</x:f>
        <x:v>1</x:v>
      </x:c>
      <x:c r="D101" s="252" t="n">
        <x:f>AVERAGE('05_MLP_XOR_Log'!AT373:AT376)</x:f>
        <x:v>0.31789538312063104</x:v>
      </x:c>
      <x:c r="E101" s="252" t="n">
        <x:f>B101-B100</x:f>
        <x:v>-0.0010899814193754687</x:v>
      </x:c>
    </x:row>
    <x:row r="102">
      <x:c r="A102" s="114" t="n">
        <x:v>91</x:v>
      </x:c>
      <x:c r="B102" s="243" t="n">
        <x:f>AVERAGE('05_MLP_XOR_Log'!V377:V380)</x:f>
        <x:v>0.04959805712156487</x:v>
      </x:c>
      <x:c r="C102" s="184" t="n">
        <x:f>AVERAGE('05_MLP_XOR_Log'!AS377:AS380)</x:f>
        <x:v>1</x:v>
      </x:c>
      <x:c r="D102" s="252" t="n">
        <x:f>AVERAGE('05_MLP_XOR_Log'!AT377:AT380)</x:f>
        <x:v>0.3145134601003021</x:v>
      </x:c>
      <x:c r="E102" s="252" t="n">
        <x:f>B102-B101</x:f>
        <x:v>-0.0010678604923984314</x:v>
      </x:c>
    </x:row>
    <x:row r="103">
      <x:c r="A103" s="114" t="n">
        <x:v>92</x:v>
      </x:c>
      <x:c r="B103" s="243" t="n">
        <x:f>AVERAGE('05_MLP_XOR_Log'!V381:V384)</x:f>
        <x:v>0.04855245308803621</x:v>
      </x:c>
      <x:c r="C103" s="184" t="n">
        <x:f>AVERAGE('05_MLP_XOR_Log'!AS381:AS384)</x:f>
        <x:v>1</x:v>
      </x:c>
      <x:c r="D103" s="252" t="n">
        <x:f>AVERAGE('05_MLP_XOR_Log'!AT381:AT384)</x:f>
        <x:v>0.3111666273121206</x:v>
      </x:c>
      <x:c r="E103" s="252" t="n">
        <x:f>B103-B102</x:f>
        <x:v>-0.0010456040335286576</x:v>
      </x:c>
    </x:row>
    <x:row r="104">
      <x:c r="A104" s="114" t="n">
        <x:v>93</x:v>
      </x:c>
      <x:c r="B104" s="243" t="n">
        <x:f>AVERAGE('05_MLP_XOR_Log'!V385:V388)</x:f>
        <x:v>0.04752918039019181</x:v>
      </x:c>
      <x:c r="C104" s="184" t="n">
        <x:f>AVERAGE('05_MLP_XOR_Log'!AS385:AS388)</x:f>
        <x:v>1</x:v>
      </x:c>
      <x:c r="D104" s="252" t="n">
        <x:f>AVERAGE('05_MLP_XOR_Log'!AT385:AT388)</x:f>
        <x:v>0.30785628469236936</x:v>
      </x:c>
      <x:c r="E104" s="252" t="n">
        <x:f>B104-B103</x:f>
        <x:v>-0.001023272697844406</x:v>
      </x:c>
    </x:row>
    <x:row r="105">
      <x:c r="A105" s="114" t="n">
        <x:v>94</x:v>
      </x:c>
      <x:c r="B105" s="243" t="n">
        <x:f>AVERAGE('05_MLP_XOR_Log'!V389:V392)</x:f>
        <x:v>0.046528257133926804</x:v>
      </x:c>
      <x:c r="C105" s="184" t="n">
        <x:f>AVERAGE('05_MLP_XOR_Log'!AS389:AS392)</x:f>
        <x:v>1</x:v>
      </x:c>
      <x:c r="D105" s="252" t="n">
        <x:f>AVERAGE('05_MLP_XOR_Log'!AT389:AT392)</x:f>
        <x:v>0.30458369066381</x:v>
      </x:c>
      <x:c r="E105" s="252" t="n">
        <x:f>B105-B104</x:f>
        <x:v>-0.001000923256265003</x:v>
      </x:c>
    </x:row>
    <x:row r="106">
      <x:c r="A106" s="114" t="n">
        <x:v>95</x:v>
      </x:c>
      <x:c r="B106" s="243" t="n">
        <x:f>AVERAGE('05_MLP_XOR_Log'!V393:V396)</x:f>
        <x:v>0.04554964860222547</x:v>
      </x:c>
      <x:c r="C106" s="184" t="n">
        <x:f>AVERAGE('05_MLP_XOR_Log'!AS393:AS396)</x:f>
        <x:v>1</x:v>
      </x:c>
      <x:c r="D106" s="252" t="n">
        <x:f>AVERAGE('05_MLP_XOR_Log'!AT393:AT396)</x:f>
        <x:v>0.30134996612567605</x:v>
      </x:c>
      <x:c r="E106" s="252" t="n">
        <x:f>B106-B105</x:f>
        <x:v>-0.0009786085317013346</x:v>
      </x:c>
    </x:row>
    <x:row r="107">
      <x:c r="A107" s="114" t="n">
        <x:v>96</x:v>
      </x:c>
      <x:c r="B107" s="243" t="n">
        <x:f>AVERAGE('05_MLP_XOR_Log'!V397:V400)</x:f>
        <x:v>0.04459327122156352</x:v>
      </x:c>
      <x:c r="C107" s="184" t="n">
        <x:f>AVERAGE('05_MLP_XOR_Log'!AS397:AS400)</x:f>
        <x:v>1</x:v>
      </x:c>
      <x:c r="D107" s="252" t="n">
        <x:f>AVERAGE('05_MLP_XOR_Log'!AT397:AT400)</x:f>
        <x:v>0.29815609899759943</x:v>
      </x:c>
      <x:c r="E107" s="252" t="n">
        <x:f>B107-B106</x:f>
        <x:v>-0.0009563773806619477</x:v>
      </x:c>
    </x:row>
    <x:row r="108">
      <x:c r="A108" s="114" t="n">
        <x:v>97</x:v>
      </x:c>
      <x:c r="B108" s="243" t="n">
        <x:f>AVERAGE('05_MLP_XOR_Log'!V401:V404)</x:f>
        <x:v>0.043658996506231236</x:v>
      </x:c>
      <x:c r="C108" s="184" t="n">
        <x:f>AVERAGE('05_MLP_XOR_Log'!AS401:AS404)</x:f>
        <x:v>1</x:v>
      </x:c>
      <x:c r="D108" s="252" t="n">
        <x:f>AVERAGE('05_MLP_XOR_Log'!AT401:AT404)</x:f>
        <x:v>0.29500294922358195</x:v>
      </x:c>
      <x:c r="E108" s="252" t="n">
        <x:f>B108-B107</x:f>
        <x:v>-0.0009342747153322853</x:v>
      </x:c>
    </x:row>
    <x:row r="109">
      <x:c r="A109" s="114" t="n">
        <x:v>98</x:v>
      </x:c>
      <x:c r="B109" s="243" t="n">
        <x:f>AVERAGE('05_MLP_XOR_Log'!V405:V408)</x:f>
        <x:v>0.04274665494513283</x:v>
      </x:c>
      <x:c r="C109" s="184" t="n">
        <x:f>AVERAGE('05_MLP_XOR_Log'!AS405:AS408)</x:f>
        <x:v>1</x:v>
      </x:c>
      <x:c r="D109" s="252" t="n">
        <x:f>AVERAGE('05_MLP_XOR_Log'!AT405:AT408)</x:f>
        <x:v>0.29189125414669825</x:v>
      </x:c>
      <x:c r="E109" s="252" t="n">
        <x:f>B109-B108</x:f>
        <x:v>-0.0009123415610984079</x:v>
      </x:c>
    </x:row>
    <x:row r="110">
      <x:c r="A110" s="114" t="n">
        <x:v>99</x:v>
      </x:c>
      <x:c r="B110" s="243" t="n">
        <x:f>AVERAGE('05_MLP_XOR_Log'!V409:V412)</x:f>
        <x:v>0.04185603980057288</x:v>
      </x:c>
      <x:c r="C110" s="184" t="n">
        <x:f>AVERAGE('05_MLP_XOR_Log'!AS409:AS412)</x:f>
        <x:v>1</x:v>
      </x:c>
      <x:c r="D110" s="252" t="n">
        <x:f>AVERAGE('05_MLP_XOR_Log'!AT409:AT412)</x:f>
        <x:v>0.2888216341706531</x:v>
      </x:c>
      <x:c r="E110" s="252" t="n">
        <x:f>B110-B109</x:f>
        <x:v>-0.0008906151445599447</x:v>
      </x:c>
    </x:row>
    <x:row r="111">
      <x:c r="A111" s="114" t="n">
        <x:v>100</x:v>
      </x:c>
      <x:c r="B111" s="243" t="n">
        <x:f>AVERAGE('05_MLP_XOR_Log'!V413:V416)</x:f>
        <x:v>0.040986910793334885</x:v>
      </x:c>
      <x:c r="C111" s="184" t="n">
        <x:f>AVERAGE('05_MLP_XOR_Log'!AS413:AS416)</x:f>
        <x:v>1</x:v>
      </x:c>
      <x:c r="D111" s="252" t="n">
        <x:f>AVERAGE('05_MLP_XOR_Log'!AT413:AT416)</x:f>
        <x:v>0.2857945986303881</x:v>
      </x:c>
      <x:c r="E111" s="252" t="n">
        <x:f>B111-B110</x:f>
        <x:v>-0.0008691290072379981</x:v>
      </x:c>
    </x:row>
    <x:row r="112">
      <x:c r="A112" s="114" t="n">
        <x:v>101</x:v>
      </x:c>
      <x:c r="B112" s="243" t="n">
        <x:f>AVERAGE('05_MLP_XOR_Log'!V417:V420)</x:f>
        <x:v>0.040138997652915696</x:v>
      </x:c>
      <x:c r="C112" s="184" t="n">
        <x:f>AVERAGE('05_MLP_XOR_Log'!AS417:AS420)</x:f>
        <x:v>1</x:v>
      </x:c>
      <x:c r="D112" s="252" t="n">
        <x:f>AVERAGE('05_MLP_XOR_Log'!AT417:AT420)</x:f>
        <x:v>0.282810551800443</x:v>
      </x:c>
      <x:c r="E112" s="252" t="n">
        <x:f>B112-B111</x:f>
        <x:v>-0.0008479131404191889</x:v>
      </x:c>
    </x:row>
    <x:row r="113">
      <x:c r="A113" s="114" t="n">
        <x:v>102</x:v>
      </x:c>
      <x:c r="B113" s="243" t="n">
        <x:f>AVERAGE('05_MLP_XOR_Log'!V421:V424)</x:f>
        <x:v>0.039312003516042957</x:v>
      </x:c>
      <x:c r="C113" s="184" t="n">
        <x:f>AVERAGE('05_MLP_XOR_Log'!AS421:AS424)</x:f>
        <x:v>1</x:v>
      </x:c>
      <x:c r="D113" s="252" t="n">
        <x:f>AVERAGE('05_MLP_XOR_Log'!AT421:AT424)</x:f>
        <x:v>0.27986979897650643</x:v>
      </x:c>
      <x:c r="E113" s="252" t="n">
        <x:f>B113-B112</x:f>
        <x:v>-0.0008269941368727399</x:v>
      </x:c>
    </x:row>
    <x:row r="114">
      <x:c r="A114" s="114" t="n">
        <x:v>103</x:v>
      </x:c>
      <x:c r="B114" s="243" t="n">
        <x:f>AVERAGE('05_MLP_XOR_Log'!V425:V428)</x:f>
        <x:v>0.03850560816053821</x:v>
      </x:c>
      <x:c r="C114" s="184" t="n">
        <x:f>AVERAGE('05_MLP_XOR_Log'!AS425:AS428)</x:f>
        <x:v>1</x:v>
      </x:c>
      <x:c r="D114" s="252" t="n">
        <x:f>AVERAGE('05_MLP_XOR_Log'!AT425:AT428)</x:f>
        <x:v>0.2769725525724181</x:v>
      </x:c>
      <x:c r="E114" s="252" t="n">
        <x:f>B114-B113</x:f>
        <x:v>-0.0008063953555047451</x:v>
      </x:c>
    </x:row>
    <x:row r="115">
      <x:c r="A115" s="114" t="n">
        <x:v>104</x:v>
      </x:c>
      <x:c r="B115" s="243" t="n">
        <x:f>AVERAGE('05_MLP_XOR_Log'!V429:V432)</x:f>
        <x:v>0.037719471065163476</x:v>
      </x:c>
      <x:c r="C115" s="184" t="n">
        <x:f>AVERAGE('05_MLP_XOR_Log'!AS429:AS432)</x:f>
        <x:v>1</x:v>
      </x:c>
      <x:c r="D115" s="252" t="n">
        <x:f>AVERAGE('05_MLP_XOR_Log'!AT429:AT432)</x:f>
        <x:v>0.27411893818163063</x:v>
      </x:c>
      <x:c r="E115" s="252" t="n">
        <x:f>B115-B114</x:f>
        <x:v>-0.0007861370953747351</x:v>
      </x:c>
    </x:row>
    <x:row r="116">
      <x:c r="A116" s="114" t="n">
        <x:v>105</x:v>
      </x:c>
      <x:c r="B116" s="243" t="n">
        <x:f>AVERAGE('05_MLP_XOR_Log'!V433:V436)</x:f>
        <x:v>0.03695323428929722</x:v>
      </x:c>
      <x:c r="C116" s="184" t="n">
        <x:f>AVERAGE('05_MLP_XOR_Log'!AS433:AS436)</x:f>
        <x:v>1</x:v>
      </x:c>
      <x:c r="D116" s="252" t="n">
        <x:f>AVERAGE('05_MLP_XOR_Log'!AT433:AT436)</x:f>
        <x:v>0.27130900055871365</x:v>
      </x:c>
      <x:c r="E116" s="252" t="n">
        <x:f>B116-B115</x:f>
        <x:v>-0.0007662367758662567</x:v>
      </x:c>
    </x:row>
    <x:row r="117">
      <x:c r="A117" s="114" t="n">
        <x:v>106</x:v>
      </x:c>
      <x:c r="B117" s="243" t="n">
        <x:f>AVERAGE('05_MLP_XOR_Log'!V437:V440)</x:f>
        <x:v>0.03620652516912328</x:v>
      </x:c>
      <x:c r="C117" s="184" t="n">
        <x:f>AVERAGE('05_MLP_XOR_Log'!AS437:AS440)</x:f>
        <x:v>1</x:v>
      </x:c>
      <x:c r="D117" s="252" t="n">
        <x:f>AVERAGE('05_MLP_XOR_Log'!AT437:AT440)</x:f>
        <x:v>0.2685427094827921</x:v>
      </x:c>
      <x:c r="E117" s="252" t="n">
        <x:f>B117-B116</x:f>
        <x:v>-0.0007467091201739384</x:v>
      </x:c>
    </x:row>
    <x:row r="118">
      <x:c r="A118" s="114" t="n">
        <x:v>107</x:v>
      </x:c>
      <x:c r="B118" s="243" t="n">
        <x:f>AVERAGE('05_MLP_XOR_Log'!V441:V444)</x:f>
        <x:v>0.03547895882948883</x:v>
      </x:c>
      <x:c r="C118" s="184" t="n">
        <x:f>AVERAGE('05_MLP_XOR_Log'!AS441:AS444)</x:f>
        <x:v>1</x:v>
      </x:c>
      <x:c r="D118" s="252" t="n">
        <x:f>AVERAGE('05_MLP_XOR_Log'!AT441:AT444)</x:f>
        <x:v>0.26581996547076575</x:v>
      </x:c>
      <x:c r="E118" s="252" t="n">
        <x:f>B118-B117</x:f>
        <x:v>-0.0007275663396344514</x:v>
      </x:c>
    </x:row>
    <x:row r="119">
      <x:c r="A119" s="114" t="n">
        <x:v>108</x:v>
      </x:c>
      <x:c r="B119" s="243" t="n">
        <x:f>AVERAGE('05_MLP_XOR_Log'!V445:V448)</x:f>
        <x:v>0.034770140512710934</x:v>
      </x:c>
      <x:c r="C119" s="184" t="n">
        <x:f>AVERAGE('05_MLP_XOR_Log'!AS445:AS448)</x:f>
        <x:v>1</x:v>
      </x:c>
      <x:c r="D119" s="252" t="n">
        <x:f>AVERAGE('05_MLP_XOR_Log'!AT445:AT448)</x:f>
        <x:v>0.263140605313734</x:v>
      </x:c>
      <x:c r="E119" s="252" t="n">
        <x:f>B119-B118</x:f>
        <x:v>-0.0007088183167778955</x:v>
      </x:c>
    </x:row>
    <x:row r="120">
      <x:c r="A120" s="114" t="n">
        <x:v>109</x:v>
      </x:c>
      <x:c r="B120" s="243" t="n">
        <x:f>AVERAGE('05_MLP_XOR_Log'!V449:V452)</x:f>
        <x:v>0.034079667727404735</x:v>
      </x:c>
      <x:c r="C120" s="184" t="n">
        <x:f>AVERAGE('05_MLP_XOR_Log'!AS449:AS452)</x:f>
        <x:v>1</x:v>
      </x:c>
      <x:c r="D120" s="252" t="n">
        <x:f>AVERAGE('05_MLP_XOR_Log'!AT449:AT452)</x:f>
        <x:v>0.2605044074151902</x:v>
      </x:c>
      <x:c r="E120" s="252" t="n">
        <x:f>B120-B119</x:f>
        <x:v>-0.0006904727853061995</x:v>
      </x:c>
    </x:row>
    <x:row r="121">
      <x:c r="A121" s="114" t="n">
        <x:v>110</x:v>
      </x:c>
      <x:c r="B121" s="243" t="n">
        <x:f>AVERAGE('05_MLP_XOR_Log'!V453:V456)</x:f>
        <x:v>0.03340713222188941</x:v>
      </x:c>
      <x:c r="C121" s="184" t="n">
        <x:f>AVERAGE('05_MLP_XOR_Log'!AS453:AS456)</x:f>
        <x:v>1</x:v>
      </x:c>
      <x:c r="D121" s="252" t="n">
        <x:f>AVERAGE('05_MLP_XOR_Log'!AT453:AT456)</x:f>
        <x:v>0.2579110969142452</x:v>
      </x:c>
      <x:c r="E121" s="252" t="n">
        <x:f>B121-B120</x:f>
        <x:v>-0.0006725355055153259</x:v>
      </x:c>
    </x:row>
    <x:row r="122">
      <x:c r="A122" s="114" t="n">
        <x:v>111</x:v>
      </x:c>
      <x:c r="B122" s="243" t="n">
        <x:f>AVERAGE('05_MLP_XOR_Log'!V457:V460)</x:f>
        <x:v>0.032752121787931174</x:v>
      </x:c>
      <x:c r="C122" s="184" t="n">
        <x:f>AVERAGE('05_MLP_XOR_Log'!AS457:AS460)</x:f>
        <x:v>1</x:v>
      </x:c>
      <x:c r="D122" s="252" t="n">
        <x:f>AVERAGE('05_MLP_XOR_Log'!AT457:AT460)</x:f>
        <x:v>0.2553603505813884</x:v>
      </x:c>
      <x:c r="E122" s="252" t="n">
        <x:f>B122-B121</x:f>
        <x:v>-0.0006550104339582349</x:v>
      </x:c>
    </x:row>
    <x:row r="123">
      <x:c r="A123" s="114" t="n">
        <x:v>112</x:v>
      </x:c>
      <x:c r="B123" s="243" t="n">
        <x:f>AVERAGE('05_MLP_XOR_Log'!V461:V464)</x:f>
        <x:v>0.03211422190152588</x:v>
      </x:c>
      <x:c r="C123" s="184" t="n">
        <x:f>AVERAGE('05_MLP_XOR_Log'!AS461:AS464)</x:f>
        <x:v>1</x:v>
      </x:c>
      <x:c r="D123" s="252" t="n">
        <x:f>AVERAGE('05_MLP_XOR_Log'!AT461:AT464)</x:f>
        <x:v>0.2528518014780787</x:v>
      </x:c>
      <x:c r="E123" s="252" t="n">
        <x:f>B123-B122</x:f>
        <x:v>-0.0006378998864052937</x:v>
      </x:c>
    </x:row>
    <x:row r="124">
      <x:c r="A124" s="114" t="n">
        <x:v>113</x:v>
      </x:c>
      <x:c r="B124" s="243" t="n">
        <x:f>AVERAGE('05_MLP_XOR_Log'!V465:V468)</x:f>
        <x:v>0.03149301720814205</x:v>
      </x:c>
      <x:c r="C124" s="184" t="n">
        <x:f>AVERAGE('05_MLP_XOR_Log'!AS465:AS468)</x:f>
        <x:v>1</x:v>
      </x:c>
      <x:c r="D124" s="252" t="n">
        <x:f>AVERAGE('05_MLP_XOR_Log'!AT465:AT468)</x:f>
        <x:v>0.25038504337482137</x:v>
      </x:c>
      <x:c r="E124" s="252" t="n">
        <x:f>B124-B123</x:f>
        <x:v>-0.0006212046933838297</x:v>
      </x:c>
    </x:row>
    <x:row r="125">
      <x:c r="A125" s="114" t="n">
        <x:v>114</x:v>
      </x:c>
      <x:c r="B125" s="243" t="n">
        <x:f>AVERAGE('05_MLP_XOR_Log'!V469:V472)</x:f>
        <x:v>0.030888092860355057</x:v>
      </x:c>
      <x:c r="C125" s="184" t="n">
        <x:f>AVERAGE('05_MLP_XOR_Log'!AS469:AS472)</x:f>
        <x:v>1</x:v>
      </x:c>
      <x:c r="D125" s="252" t="n">
        <x:f>AVERAGE('05_MLP_XOR_Log'!AT469:AT472)</x:f>
        <x:v>0.24795963492531067</x:v>
      </x:c>
      <x:c r="E125" s="252" t="n">
        <x:f>B125-B124</x:f>
        <x:v>-0.0006049243477869934</x:v>
      </x:c>
    </x:row>
    <x:row r="126">
      <x:c r="A126" s="114" t="n">
        <x:v>115</x:v>
      </x:c>
      <x:c r="B126" s="243" t="n">
        <x:f>AVERAGE('05_MLP_XOR_Log'!V473:V476)</x:f>
        <x:v>0.03029903571614103</x:v>
      </x:c>
      <x:c r="C126" s="184" t="n">
        <x:f>AVERAGE('05_MLP_XOR_Log'!AS473:AS476)</x:f>
        <x:v>1</x:v>
      </x:c>
      <x:c r="D126" s="252" t="n">
        <x:f>AVERAGE('05_MLP_XOR_Log'!AT473:AT476)</x:f>
        <x:v>0.2455751035967581</x:v>
      </x:c>
      <x:c r="E126" s="252" t="n">
        <x:f>B126-B125</x:f>
        <x:v>-0.0005890571442140266</x:v>
      </x:c>
    </x:row>
    <x:row r="127">
      <x:c r="A127" s="114" t="n">
        <x:v>116</x:v>
      </x:c>
      <x:c r="B127" s="243" t="n">
        <x:f>AVERAGE('05_MLP_XOR_Log'!V477:V480)</x:f>
        <x:v>0.029725435406281437</x:v>
      </x:c>
      <x:c r="C127" s="184" t="n">
        <x:f>AVERAGE('05_MLP_XOR_Log'!AS477:AS480)</x:f>
        <x:v>1</x:v>
      </x:c>
      <x:c r="D127" s="252" t="n">
        <x:f>AVERAGE('05_MLP_XOR_Log'!AT477:AT480)</x:f>
        <x:v>0.24323094935868889</x:v>
      </x:c>
      <x:c r="E127" s="252" t="n">
        <x:f>B127-B126</x:f>
        <x:v>-0.0005736003098595933</x:v>
      </x:c>
    </x:row>
    <x:row r="128">
      <x:c r="A128" s="114" t="n">
        <x:v>117</x:v>
      </x:c>
      <x:c r="B128" s="243" t="n">
        <x:f>AVERAGE('05_MLP_XOR_Log'!V481:V484)</x:f>
        <x:v>0.02916688527938151</x:v>
      </x:c>
      <x:c r="C128" s="184" t="n">
        <x:f>AVERAGE('05_MLP_XOR_Log'!AS481:AS484)</x:f>
        <x:v>1</x:v>
      </x:c>
      <x:c r="D128" s="252" t="n">
        <x:f>AVERAGE('05_MLP_XOR_Log'!AT481:AT484)</x:f>
        <x:v>0.24092664813430445</x:v>
      </x:c>
      <x:c r="E128" s="252" t="n">
        <x:f>B128-B127</x:f>
        <x:v>-0.000558550126899926</x:v>
      </x:c>
    </x:row>
    <x:row r="129">
      <x:c r="A129" s="114" t="n">
        <x:v>118</x:v>
      </x:c>
      <x:c r="B129" s="243" t="n">
        <x:f>AVERAGE('05_MLP_XOR_Log'!V485:V488)</x:f>
        <x:v>0.028622983232951392</x:v>
      </x:c>
      <x:c r="C129" s="184" t="n">
        <x:f>AVERAGE('05_MLP_XOR_Log'!AS485:AS488)</x:f>
        <x:v>1</x:v>
      </x:c>
      <x:c r="D129" s="252" t="n">
        <x:f>AVERAGE('05_MLP_XOR_Log'!AT485:AT488)</x:f>
        <x:v>0.2386616550200192</x:v>
      </x:c>
      <x:c r="E129" s="252" t="n">
        <x:f>B129-B128</x:f>
        <x:v>-0.000543902046430119</x:v>
      </x:c>
    </x:row>
    <x:row r="130">
      <x:c r="A130" s="114" t="n">
        <x:v>119</x:v>
      </x:c>
      <x:c r="B130" s="243" t="n">
        <x:f>AVERAGE('05_MLP_XOR_Log'!V489:V492)</x:f>
        <x:v>0.028093332438853036</x:v>
      </x:c>
      <x:c r="C130" s="184" t="n">
        <x:f>AVERAGE('05_MLP_XOR_Log'!AS489:AS492)</x:f>
        <x:v>1</x:v>
      </x:c>
      <x:c r="D130" s="252" t="n">
        <x:f>AVERAGE('05_MLP_XOR_Log'!AT489:AT492)</x:f>
        <x:v>0.23643540727999987</x:v>
      </x:c>
      <x:c r="E130" s="252" t="n">
        <x:f>B130-B129</x:f>
        <x:v>-0.0005296507940983561</x:v>
      </x:c>
    </x:row>
    <x:row r="131">
      <x:c r="A131" s="114" t="n">
        <x:v>120</x:v>
      </x:c>
      <x:c r="B131" s="243" t="n">
        <x:f>AVERAGE('05_MLP_XOR_Log'!V493:V496)</x:f>
        <x:v>0.027577541971197495</x:v>
      </x:c>
      <x:c r="C131" s="184" t="n">
        <x:f>AVERAGE('05_MLP_XOR_Log'!AS493:AS496)</x:f>
        <x:v>1</x:v>
      </x:c>
      <x:c r="D131" s="252" t="n">
        <x:f>AVERAGE('05_MLP_XOR_Log'!AT493:AT496)</x:f>
        <x:v>0.23424732712349824</x:v>
      </x:c>
      <x:c r="E131" s="252" t="n">
        <x:f>B131-B130</x:f>
        <x:v>-0.0005157904676555414</x:v>
      </x:c>
    </x:row>
  </x:sheetData>
  <x:mergeCells>
    <x:mergeCell ref="A1:O1"/>
    <x:mergeCell ref="A3:D3"/>
    <x:mergeCell ref="A10:E10"/>
    <x:mergeCell ref="G25:O25"/>
    <x:mergeCell ref="G33:J33"/>
  </x:mergeCells>
  <x:conditionalFormatting sqref="B12:B13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{06E922CD-C8C2-3EDE-D71C-6D8B67AC0101}</x14:id>
        </x:ext>
      </x:extLst>
    </x:cfRule>
  </x:conditionalFormatting>
  <x:conditionalFormatting sqref="C12:C131">
    <x:cfRule type="colorScale" priority="2">
      <x:colorScale>
        <x:cfvo type="min"/>
        <x:cfvo type="percentile" val="50"/>
        <x:cfvo type="max"/>
        <x:color rgb="FFF4CCCC"/>
        <x:color rgb="FFFFF2CC"/>
        <x:color rgb="FFC6E0B4"/>
      </x:colorScale>
    </x:cfRule>
  </x:conditionalFormatting>
  <x:pageMargins left="0.7" right="0.7" top="0.75" bottom="0.75" header="0.3" footer="0.3"/>
  <x:drawing xmlns:r="http://schemas.openxmlformats.org/officeDocument/2006/relationships" r:id="Rd298ff9273a145d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6E922CD-C8C2-3EDE-D71C-6D8B67AC0101}">
            <x14:dataBar gradient="1">
              <x14:cfvo type="min"/>
              <x14:cfvo type="max"/>
              <x14:fillColor rgb="FF5B9BD5"/>
            </x14:dataBar>
          </x14:cfRule>
          <xm:sqref>B12:B131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7" hidden="0" customWidth="1"/>
    <x:col min="3" max="3" width="39" hidden="0" customWidth="1"/>
    <x:col min="4" max="4" width="18" hidden="0" customWidth="1"/>
    <x:col min="5" max="5" width="23" hidden="0" customWidth="1"/>
    <x:col min="6" max="6" width="23" hidden="0" customWidth="1"/>
    <x:col min="7" max="7" width="30" hidden="0" customWidth="1"/>
    <x:col min="8" max="8" width="22" hidden="0" customWidth="1"/>
    <x:col min="9" max="9" width="14" hidden="0" customWidth="1"/>
    <x:col min="10" max="10" width="10" hidden="0" customWidth="1"/>
  </x:cols>
  <x:sheetData>
    <x:row r="1" ht="34" customHeight="1">
      <x:c r="A1" s="12" t="str">
        <x:v>แบบฝึกหัดทดลอง Perceptron และ MLP</x:v>
      </x:c>
      <x:c r="B1" s="13"/>
      <x:c r="C1" s="13"/>
      <x:c r="D1" s="13"/>
      <x:c r="E1" s="13"/>
      <x:c r="F1" s="13"/>
      <x:c r="G1" s="13"/>
      <x:c r="H1" s="13"/>
      <x:c r="I1" s="13"/>
      <x:c r="J1" s="14"/>
    </x:row>
    <x:row r="3">
      <x:c r="A3" s="256" t="str">
        <x:v>ให้นักศึกษาเขียนค่าที่คาดการณ์ก่อนเปลี่ยนเซลล์สีเหลือง จากนั้นทดลองจริงและบันทึกผล เน้นอธิบายเหตุผลจากสูตร ไม่ใช่เพียงรายงานตัวเลข</x:v>
      </x:c>
      <x:c r="B3" s="256"/>
      <x:c r="C3" s="256"/>
      <x:c r="D3" s="256"/>
      <x:c r="E3" s="256"/>
      <x:c r="F3" s="256"/>
      <x:c r="G3" s="256"/>
      <x:c r="H3" s="256"/>
      <x:c r="I3" s="256"/>
      <x:c r="J3" s="256"/>
    </x:row>
    <x:row r="4">
      <x:c r="A4" s="256"/>
      <x:c r="B4" s="256"/>
      <x:c r="C4" s="256"/>
      <x:c r="D4" s="256"/>
      <x:c r="E4" s="256"/>
      <x:c r="F4" s="256"/>
      <x:c r="G4" s="256"/>
      <x:c r="H4" s="256"/>
      <x:c r="I4" s="256"/>
      <x:c r="J4" s="256"/>
    </x:row>
    <x:row r="6">
      <x:c r="A6" s="104" t="str">
        <x:v>ข้อ</x:v>
      </x:c>
      <x:c r="B6" s="104" t="str">
        <x:v>แผ่นงาน</x:v>
      </x:c>
      <x:c r="C6" s="104" t="str">
        <x:v>งานที่ต้องทำ</x:v>
      </x:c>
      <x:c r="D6" s="104" t="str">
        <x:v>ค่าที่เปลี่ยน</x:v>
      </x:c>
      <x:c r="E6" s="104" t="str">
        <x:v>ผลที่คาด</x:v>
      </x:c>
      <x:c r="F6" s="104" t="str">
        <x:v>ผลที่สังเกต</x:v>
      </x:c>
      <x:c r="G6" s="104" t="str">
        <x:v>เหตุผลเชิงสูตร</x:v>
      </x:c>
      <x:c r="H6" s="104" t="str">
        <x:v>สรุป</x:v>
      </x:c>
      <x:c r="I6" s="104" t="str">
        <x:v>ผู้ตรวจ</x:v>
      </x:c>
      <x:c r="J6" s="104" t="str">
        <x:v>คะแนน</x:v>
      </x:c>
    </x:row>
    <x:row r="7" ht="54" customHeight="1">
      <x:c r="A7" s="116" t="n">
        <x:v>1</x:v>
      </x:c>
      <x:c r="B7" s="120" t="str">
        <x:v>01_P_1รอบ</x:v>
      </x:c>
      <x:c r="C7" s="120" t="str">
        <x:v>เปลี่ยน x₁,x₂ และ Target แล้วคำนวณ z,y,e ด้วยมือ</x:v>
      </x:c>
      <x:c r="D7" s="120" t="str">
        <x:v>B7:B9</x:v>
      </x:c>
      <x:c r="E7" s="66" t="str"/>
      <x:c r="F7" s="66" t="str"/>
      <x:c r="G7" s="66" t="str"/>
      <x:c r="H7" s="66" t="str"/>
      <x:c r="I7" s="74" t="str"/>
      <x:c r="J7" s="74" t="str"/>
    </x:row>
    <x:row r="8" ht="54" customHeight="1">
      <x:c r="A8" s="116" t="n">
        <x:v>2</x:v>
      </x:c>
      <x:c r="B8" s="120" t="str">
        <x:v>01_P_1รอบ</x:v>
      </x:c>
      <x:c r="C8" s="120" t="str">
        <x:v>ทดลอง η = 0.01, 0.1, 0.5 แล้วเปรียบเทียบขนาด Δw</x:v>
      </x:c>
      <x:c r="D8" s="120" t="str">
        <x:v>B10</x:v>
      </x:c>
      <x:c r="E8" s="66" t="str"/>
      <x:c r="F8" s="66" t="str"/>
      <x:c r="G8" s="66" t="str"/>
      <x:c r="H8" s="66" t="str"/>
      <x:c r="I8" s="74" t="str"/>
      <x:c r="J8" s="74" t="str"/>
    </x:row>
    <x:row r="9" ht="54" customHeight="1">
      <x:c r="A9" s="116" t="n">
        <x:v>3</x:v>
      </x:c>
      <x:c r="B9" s="120" t="str">
        <x:v>02_P_AND</x:v>
      </x:c>
      <x:c r="C9" s="120" t="str">
        <x:v>เปลี่ยน Target เป็น OR: 0,1,1,1 แล้วหา epoch แรกที่ผิดเป็น 0</x:v>
      </x:c>
      <x:c r="D9" s="120" t="str">
        <x:v>Z5:Z8</x:v>
      </x:c>
      <x:c r="E9" s="66" t="str"/>
      <x:c r="F9" s="66" t="str"/>
      <x:c r="G9" s="66" t="str"/>
      <x:c r="H9" s="66" t="str"/>
      <x:c r="I9" s="74" t="str"/>
      <x:c r="J9" s="74" t="str"/>
    </x:row>
    <x:row r="10" ht="54" customHeight="1">
      <x:c r="A10" s="116" t="n">
        <x:v>4</x:v>
      </x:c>
      <x:c r="B10" s="120" t="str">
        <x:v>02_P_AND</x:v>
      </x:c>
      <x:c r="C10" s="120" t="str">
        <x:v>เปลี่ยน Target เป็น NAND: 1,1,1,0 และอธิบาย weight/bias สุดท้าย</x:v>
      </x:c>
      <x:c r="D10" s="120" t="str">
        <x:v>Z5:Z8</x:v>
      </x:c>
      <x:c r="E10" s="66" t="str"/>
      <x:c r="F10" s="66" t="str"/>
      <x:c r="G10" s="66" t="str"/>
      <x:c r="H10" s="66" t="str"/>
      <x:c r="I10" s="74" t="str"/>
      <x:c r="J10" s="74" t="str"/>
    </x:row>
    <x:row r="11" ht="54" customHeight="1">
      <x:c r="A11" s="116" t="n">
        <x:v>5</x:v>
      </x:c>
      <x:c r="B11" s="120" t="str">
        <x:v>03_MLP_Forward</x:v>
      </x:c>
      <x:c r="C11" s="120" t="str">
        <x:v>คำนวณ zₕ₁,h₁,zₕ₂,h₂,zₒ,ŷ และ Loss ด้วยเครื่องคิดเลข</x:v>
      </x:c>
      <x:c r="D11" s="120" t="str">
        <x:v>B7:B10 และ weights</x:v>
      </x:c>
      <x:c r="E11" s="66" t="str"/>
      <x:c r="F11" s="66" t="str"/>
      <x:c r="G11" s="66" t="str"/>
      <x:c r="H11" s="66" t="str"/>
      <x:c r="I11" s="74" t="str"/>
      <x:c r="J11" s="74" t="str"/>
    </x:row>
    <x:row r="12" ht="54" customHeight="1">
      <x:c r="A12" s="116" t="n">
        <x:v>6</x:v>
      </x:c>
      <x:c r="B12" s="120" t="str">
        <x:v>04_MLP_Backprop</x:v>
      </x:c>
      <x:c r="C12" s="120" t="str">
        <x:v>พิสูจน์ δₒ=(ŷ−t)ŷ(1−ŷ) ด้วย Chain Rule</x:v>
      </x:c>
      <x:c r="D12" s="120" t="str">
        <x:v>ไม่เปลี่ยนค่า</x:v>
      </x:c>
      <x:c r="E12" s="66" t="str"/>
      <x:c r="F12" s="66" t="str"/>
      <x:c r="G12" s="66" t="str"/>
      <x:c r="H12" s="66" t="str"/>
      <x:c r="I12" s="74" t="str"/>
      <x:c r="J12" s="74" t="str"/>
    </x:row>
    <x:row r="13" ht="54" customHeight="1">
      <x:c r="A13" s="116" t="n">
        <x:v>7</x:v>
      </x:c>
      <x:c r="B13" s="120" t="str">
        <x:v>04_MLP_Backprop</x:v>
      </x:c>
      <x:c r="C13" s="120" t="str">
        <x:v>ตรวจว่า Loss หลัง update ลดลงหรือไม่ และอธิบายสาเหตุ</x:v>
      </x:c>
      <x:c r="D13" s="120" t="str">
        <x:v>B10 ใน Forward</x:v>
      </x:c>
      <x:c r="E13" s="66" t="str"/>
      <x:c r="F13" s="66" t="str"/>
      <x:c r="G13" s="66" t="str"/>
      <x:c r="H13" s="66" t="str"/>
      <x:c r="I13" s="74" t="str"/>
      <x:c r="J13" s="74" t="str"/>
    </x:row>
    <x:row r="14" ht="54" customHeight="1">
      <x:c r="A14" s="116" t="n">
        <x:v>8</x:v>
      </x:c>
      <x:c r="B14" s="120" t="str">
        <x:v>05_MLP_XOR_Log</x:v>
      </x:c>
      <x:c r="C14" s="120" t="str">
        <x:v>ทดลอง η = 0.2, 1.0, 1.5 แล้วบันทึก Final Loss/Accuracy</x:v>
      </x:c>
      <x:c r="D14" s="120" t="str">
        <x:v>B4</x:v>
      </x:c>
      <x:c r="E14" s="66" t="str"/>
      <x:c r="F14" s="66" t="str"/>
      <x:c r="G14" s="66" t="str"/>
      <x:c r="H14" s="66" t="str"/>
      <x:c r="I14" s="74" t="str"/>
      <x:c r="J14" s="74" t="str"/>
    </x:row>
    <x:row r="15" ht="54" customHeight="1">
      <x:c r="A15" s="116" t="n">
        <x:v>9</x:v>
      </x:c>
      <x:c r="B15" s="120" t="str">
        <x:v>05_MLP_XOR_Log</x:v>
      </x:c>
      <x:c r="C15" s="120" t="str">
        <x:v>เปลี่ยน Initial Parameter หนึ่งค่า แล้วสังเกตการลู่เข้า</x:v>
      </x:c>
      <x:c r="D15" s="120" t="str">
        <x:v>E5:E13</x:v>
      </x:c>
      <x:c r="E15" s="66" t="str"/>
      <x:c r="F15" s="66" t="str"/>
      <x:c r="G15" s="66" t="str"/>
      <x:c r="H15" s="66" t="str"/>
      <x:c r="I15" s="74" t="str"/>
      <x:c r="J15" s="74" t="str"/>
    </x:row>
    <x:row r="16" ht="54" customHeight="1">
      <x:c r="A16" s="116" t="n">
        <x:v>10</x:v>
      </x:c>
      <x:c r="B16" s="120" t="str">
        <x:v>อภิปราย</x:v>
      </x:c>
      <x:c r="C16" s="120" t="str">
        <x:v>เหตุใด Single-Layer Perceptron จึงแก้ XOR ไม่ได้ แต่ MLP ทำได้</x:v>
      </x:c>
      <x:c r="D16" s="120" t="str">
        <x:v>-</x:v>
      </x:c>
      <x:c r="E16" s="66" t="str"/>
      <x:c r="F16" s="66" t="str"/>
      <x:c r="G16" s="66" t="str"/>
      <x:c r="H16" s="66" t="str"/>
      <x:c r="I16" s="74" t="str"/>
      <x:c r="J16" s="74" t="str"/>
    </x:row>
    <x:row r="17" ht="54" customHeight="1">
      <x:c r="A17" s="116" t="n">
        <x:v>11</x:v>
      </x:c>
      <x:c r="B17" s="120" t="str">
        <x:v>อภิปราย</x:v>
      </x:c>
      <x:c r="C17" s="120" t="str">
        <x:v>อธิบายว่า Backpropagation และ Gradient Descent ทำหน้าที่ต่างกันอย่างไร</x:v>
      </x:c>
      <x:c r="D17" s="120" t="str">
        <x:v>-</x:v>
      </x:c>
      <x:c r="E17" s="66" t="str"/>
      <x:c r="F17" s="66" t="str"/>
      <x:c r="G17" s="66" t="str"/>
      <x:c r="H17" s="66" t="str"/>
      <x:c r="I17" s="74" t="str"/>
      <x:c r="J17" s="74" t="str"/>
    </x:row>
    <x:row r="18" ht="54" customHeight="1">
      <x:c r="A18" s="116" t="n">
        <x:v>12</x:v>
      </x:c>
      <x:c r="B18" s="120" t="str">
        <x:v>อภิปราย</x:v>
      </x:c>
      <x:c r="C18" s="120" t="str">
        <x:v>Learning rate ต่ำ/สูงเกินไปส่งผลต่อ Loss และการลู่เข้าอย่างไร</x:v>
      </x:c>
      <x:c r="D18" s="120" t="str">
        <x:v>-</x:v>
      </x:c>
      <x:c r="E18" s="66" t="str"/>
      <x:c r="F18" s="66" t="str"/>
      <x:c r="G18" s="66" t="str"/>
      <x:c r="H18" s="66" t="str"/>
      <x:c r="I18" s="74" t="str"/>
      <x:c r="J18" s="74" t="str"/>
    </x:row>
    <x:row r="21" ht="24" customHeight="1">
      <x:c r="A21" s="48" t="str">
        <x:v>คำถามสรุปท้ายกิจกรรม</x:v>
      </x:c>
      <x:c r="B21" s="49"/>
      <x:c r="C21" s="49"/>
      <x:c r="D21" s="49"/>
      <x:c r="E21" s="49"/>
      <x:c r="F21" s="49"/>
      <x:c r="G21" s="49"/>
      <x:c r="H21" s="49"/>
      <x:c r="I21" s="49"/>
      <x:c r="J21" s="50"/>
    </x:row>
    <x:row r="22">
      <x:c r="A22" s="104" t="str">
        <x:v>ข้อ</x:v>
      </x:c>
      <x:c r="B22" s="104" t="str">
        <x:v>คำถาม</x:v>
      </x:c>
      <x:c r="C22" s="104" t="str"/>
      <x:c r="D22" s="104" t="str"/>
      <x:c r="E22" s="104" t="str"/>
      <x:c r="F22" s="104" t="str"/>
      <x:c r="G22" s="104" t="str"/>
      <x:c r="H22" s="104" t="str"/>
      <x:c r="I22" s="104" t="str"/>
      <x:c r="J22" s="104" t="str"/>
    </x:row>
    <x:row r="23">
      <x:c r="A23" s="120" t="str">
        <x:v>1</x:v>
      </x:c>
      <x:c r="B23" s="120" t="str">
        <x:v>ใน Perceptron ค่า error มีผลต่อทิศทางการเปลี่ยน weight อย่างไร?</x:v>
      </x:c>
      <x:c r="C23" s="120" t="str"/>
      <x:c r="D23" s="120" t="str"/>
      <x:c r="E23" s="120" t="str"/>
      <x:c r="F23" s="120" t="str"/>
      <x:c r="G23" s="120" t="str"/>
      <x:c r="H23" s="120" t="str"/>
      <x:c r="I23" s="120" t="str"/>
      <x:c r="J23" s="120" t="str"/>
    </x:row>
    <x:row r="24" ht="42" customHeight="1">
      <x:c r="A24" s="66" t="str">
        <x:v>คำตอบ</x:v>
      </x:c>
      <x:c r="B24" s="66" t="str"/>
      <x:c r="C24" s="66" t="str"/>
      <x:c r="D24" s="66" t="str"/>
      <x:c r="E24" s="66" t="str"/>
      <x:c r="F24" s="66" t="str"/>
      <x:c r="G24" s="66" t="str"/>
      <x:c r="H24" s="66" t="str"/>
      <x:c r="I24" s="66" t="str"/>
      <x:c r="J24" s="66" t="str"/>
    </x:row>
    <x:row r="25">
      <x:c r="A25" s="120" t="str">
        <x:v>2</x:v>
      </x:c>
      <x:c r="B25" s="120" t="str">
        <x:v>เหตุใด hidden delta ต้องคูณ output weight เดิม?</x:v>
      </x:c>
      <x:c r="C25" s="120" t="str"/>
      <x:c r="D25" s="120" t="str"/>
      <x:c r="E25" s="120" t="str"/>
      <x:c r="F25" s="120" t="str"/>
      <x:c r="G25" s="120" t="str"/>
      <x:c r="H25" s="120" t="str"/>
      <x:c r="I25" s="120" t="str"/>
      <x:c r="J25" s="120" t="str"/>
    </x:row>
    <x:row r="26" ht="42" customHeight="1">
      <x:c r="A26" s="66" t="str">
        <x:v>คำตอบ</x:v>
      </x:c>
      <x:c r="B26" s="66" t="str"/>
      <x:c r="C26" s="66" t="str"/>
      <x:c r="D26" s="66" t="str"/>
      <x:c r="E26" s="66" t="str"/>
      <x:c r="F26" s="66" t="str"/>
      <x:c r="G26" s="66" t="str"/>
      <x:c r="H26" s="66" t="str"/>
      <x:c r="I26" s="66" t="str"/>
      <x:c r="J26" s="66" t="str"/>
    </x:row>
    <x:row r="27">
      <x:c r="A27" s="120" t="str">
        <x:v>3</x:v>
      </x:c>
      <x:c r="B27" s="120" t="str">
        <x:v>เหตุใด gradient ของ bias จึงไม่คูณ input x แต่เทียบเท่าคูณ 1?</x:v>
      </x:c>
      <x:c r="C27" s="120" t="str"/>
      <x:c r="D27" s="120" t="str"/>
      <x:c r="E27" s="120" t="str"/>
      <x:c r="F27" s="120" t="str"/>
      <x:c r="G27" s="120" t="str"/>
      <x:c r="H27" s="120" t="str"/>
      <x:c r="I27" s="120" t="str"/>
      <x:c r="J27" s="120" t="str"/>
    </x:row>
    <x:row r="28" ht="42" customHeight="1">
      <x:c r="A28" s="66" t="str">
        <x:v>คำตอบ</x:v>
      </x:c>
      <x:c r="B28" s="66" t="str"/>
      <x:c r="C28" s="66" t="str"/>
      <x:c r="D28" s="66" t="str"/>
      <x:c r="E28" s="66" t="str"/>
      <x:c r="F28" s="66" t="str"/>
      <x:c r="G28" s="66" t="str"/>
      <x:c r="H28" s="66" t="str"/>
      <x:c r="I28" s="66" t="str"/>
      <x:c r="J28" s="66" t="str"/>
    </x:row>
    <x:row r="29">
      <x:c r="A29" s="120" t="str">
        <x:v>4</x:v>
      </x:c>
      <x:c r="B29" s="120" t="str">
        <x:v>Accuracy 100% เพียง epoch เดียวเพียงพอหรือไม่ ควรดู Loss ร่วมด้วยอย่างไร?</x:v>
      </x:c>
      <x:c r="C29" s="120" t="str"/>
      <x:c r="D29" s="120" t="str"/>
      <x:c r="E29" s="120" t="str"/>
      <x:c r="F29" s="120" t="str"/>
      <x:c r="G29" s="120" t="str"/>
      <x:c r="H29" s="120" t="str"/>
      <x:c r="I29" s="120" t="str"/>
      <x:c r="J29" s="120" t="str"/>
    </x:row>
    <x:row r="30" ht="42" customHeight="1">
      <x:c r="A30" s="66" t="str">
        <x:v>คำตอบ</x:v>
      </x:c>
      <x:c r="B30" s="66" t="str"/>
      <x:c r="C30" s="66" t="str"/>
      <x:c r="D30" s="66" t="str"/>
      <x:c r="E30" s="66" t="str"/>
      <x:c r="F30" s="66" t="str"/>
      <x:c r="G30" s="66" t="str"/>
      <x:c r="H30" s="66" t="str"/>
      <x:c r="I30" s="66" t="str"/>
      <x:c r="J30" s="66" t="str"/>
    </x:row>
    <x:row r="31">
      <x:c r="A31" s="120" t="str">
        <x:v>5</x:v>
      </x:c>
      <x:c r="B31" s="120" t="str">
        <x:v>Online SGD แตกต่างจาก Batch Gradient Descent ในจังหวะการ update อย่างไร?</x:v>
      </x:c>
      <x:c r="C31" s="120" t="str"/>
      <x:c r="D31" s="120" t="str"/>
      <x:c r="E31" s="120" t="str"/>
      <x:c r="F31" s="120" t="str"/>
      <x:c r="G31" s="120" t="str"/>
      <x:c r="H31" s="120" t="str"/>
      <x:c r="I31" s="120" t="str"/>
      <x:c r="J31" s="120" t="str"/>
    </x:row>
    <x:row r="32" ht="42" customHeight="1">
      <x:c r="A32" s="66" t="str">
        <x:v>คำตอบ</x:v>
      </x:c>
      <x:c r="B32" s="66" t="str"/>
      <x:c r="C32" s="66" t="str"/>
      <x:c r="D32" s="66" t="str"/>
      <x:c r="E32" s="66" t="str"/>
      <x:c r="F32" s="66" t="str"/>
      <x:c r="G32" s="66" t="str"/>
      <x:c r="H32" s="66" t="str"/>
      <x:c r="I32" s="66" t="str"/>
      <x:c r="J32" s="66" t="str"/>
    </x:row>
  </x:sheetData>
  <x:mergeCells>
    <x:mergeCell ref="A1:J1"/>
    <x:mergeCell ref="A3:J4"/>
    <x:mergeCell ref="A21:J21"/>
    <x:mergeCell ref="B23:J23"/>
    <x:mergeCell ref="B25:J25"/>
    <x:mergeCell ref="B27:J27"/>
    <x:mergeCell ref="B29:J29"/>
    <x:mergeCell ref="B31:J31"/>
    <x:mergeCell ref="B24:J24"/>
    <x:mergeCell ref="B26:J26"/>
    <x:mergeCell ref="B28:J28"/>
    <x:mergeCell ref="B30:J30"/>
    <x:mergeCell ref="B32:J32"/>
  </x:mergeCells>
  <x:pageMargins left="0.7" right="0.7" top="0.75" bottom="0.75" header="0.3" footer="0.3"/>
</x:worksheet>
</file>